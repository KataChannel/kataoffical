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ÓP Ý pm MỚI\"/>
    </mc:Choice>
  </mc:AlternateContent>
  <xr:revisionPtr revIDLastSave="0" documentId="13_ncr:1_{1BCABE29-B7A7-434F-B11C-EB5870741F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 CÔNG NỢ THEO NGÀY" sheetId="1" r:id="rId1"/>
  </sheets>
  <calcPr calcId="181029"/>
</workbook>
</file>

<file path=xl/calcChain.xml><?xml version="1.0" encoding="utf-8"?>
<calcChain xmlns="http://schemas.openxmlformats.org/spreadsheetml/2006/main">
  <c r="Q15" i="1" l="1"/>
  <c r="O39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</calcChain>
</file>

<file path=xl/sharedStrings.xml><?xml version="1.0" encoding="utf-8"?>
<sst xmlns="http://schemas.openxmlformats.org/spreadsheetml/2006/main" count="189" uniqueCount="78">
  <si>
    <r>
      <rPr>
        <b/>
        <sz val="14"/>
        <color rgb="FF000000"/>
        <rFont val="Segoe UI Light"/>
      </rPr>
      <t xml:space="preserve">CÔNG TY TNHH NÔNG SẢN THỰC PHẨM TRẦN GIA
</t>
    </r>
    <r>
      <rPr>
        <sz val="11"/>
        <color rgb="FF000000"/>
        <rFont val="Segoe UI Light"/>
      </rPr>
      <t xml:space="preserve">HTX: Ấp Lộc Tiến, Xã Mỹ Lộc, Huyện Cần Giuộc, Tỉnh Long An
</t>
    </r>
    <r>
      <rPr>
        <sz val="11"/>
        <color rgb="FF000000"/>
        <rFont val="Segoe UI Light"/>
      </rPr>
      <t xml:space="preserve">VP: Tòa nhà An Phú Plaza, 117-119 Lý Chính Thắng, P.7. Q.3, TP.HCM
</t>
    </r>
    <r>
      <rPr>
        <sz val="11"/>
        <color rgb="FF000000"/>
        <rFont val="Segoe UI Light"/>
      </rPr>
      <t xml:space="preserve">Kho sơ chế: 30 Kha Vạn Cân, P. Hiệp Bình Chánh, TP.Thủ Đức, TP.HCM
</t>
    </r>
    <r>
      <rPr>
        <sz val="11"/>
        <color rgb="FF000000"/>
        <rFont val="Segoe UI Light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</rPr>
      <t>Website: rausachtrangia.com - Hotline: 090.245.8081</t>
    </r>
  </si>
  <si>
    <t>BẢNG ĐỐI CHIẾU CÔNG NỢ</t>
  </si>
  <si>
    <t>Từ ngày 1 tháng 6 đến ngày 21 tháng 6 năm 2025</t>
  </si>
  <si>
    <r>
      <rPr>
        <sz val="12"/>
        <color rgb="FF000000"/>
        <rFont val="Segoe UI"/>
      </rPr>
      <t xml:space="preserve">Tên Khách hàng: </t>
    </r>
    <r>
      <rPr>
        <sz val="12"/>
        <color rgb="FF000000"/>
        <rFont val="Segoe UI"/>
      </rPr>
      <t>ROLL STORY (Thủ Đức)</t>
    </r>
  </si>
  <si>
    <r>
      <rPr>
        <sz val="12"/>
        <color rgb="FF000000"/>
        <rFont val="Segoe UI"/>
      </rPr>
      <t xml:space="preserve">Địa chỉ: </t>
    </r>
    <r>
      <rPr>
        <sz val="12"/>
        <color rgb="FF000000"/>
        <rFont val="Segoe UI"/>
      </rPr>
      <t>L4-08 Vincom Mega Mall Grand Park, 88 Phước Thiện, Long Bình, Thủ Đức, Hồ Chí Minh</t>
    </r>
  </si>
  <si>
    <t>Người liên hệ:                                                                                              Email:</t>
  </si>
  <si>
    <t>NGÀY</t>
  </si>
  <si>
    <t>MÃ KHÁCH HÀNG</t>
  </si>
  <si>
    <t>TÊN KHÁCH HÀNG</t>
  </si>
  <si>
    <t>MÃ ĐƠN HÀNG</t>
  </si>
  <si>
    <t>MÃ HÀNG</t>
  </si>
  <si>
    <t>TÊN HÀNG</t>
  </si>
  <si>
    <t>ĐVT</t>
  </si>
  <si>
    <t>SỐ LƯỢNG</t>
  </si>
  <si>
    <t>ĐƠN GIÁ</t>
  </si>
  <si>
    <t>THÀNH TIỀN</t>
  </si>
  <si>
    <t>GHI CHÚ</t>
  </si>
  <si>
    <t>C100926</t>
  </si>
  <si>
    <t>ROLL STORY (Thủ Đức)</t>
  </si>
  <si>
    <t>000001</t>
  </si>
  <si>
    <t>I100003</t>
  </si>
  <si>
    <t>Bắp cải trắng</t>
  </si>
  <si>
    <t>Kg</t>
  </si>
  <si>
    <t/>
  </si>
  <si>
    <t>I100004</t>
  </si>
  <si>
    <t>Bắp chuối bào</t>
  </si>
  <si>
    <t>xuất hđ đổi thành bắp chuối</t>
  </si>
  <si>
    <t>I100034</t>
  </si>
  <si>
    <t>Cà chua</t>
  </si>
  <si>
    <t>I100039</t>
  </si>
  <si>
    <t>Cà rốt</t>
  </si>
  <si>
    <t>I100051</t>
  </si>
  <si>
    <t>Cải thảo</t>
  </si>
  <si>
    <t>I100468</t>
  </si>
  <si>
    <t>Cam tươi</t>
  </si>
  <si>
    <t>I100060</t>
  </si>
  <si>
    <t>Chanh không hạt</t>
  </si>
  <si>
    <t>I100067</t>
  </si>
  <si>
    <t>Củ cải trắng (Loại 1)</t>
  </si>
  <si>
    <t>I100479</t>
  </si>
  <si>
    <t>Dưa hấu</t>
  </si>
  <si>
    <t>I100089</t>
  </si>
  <si>
    <t>Dưa leo</t>
  </si>
  <si>
    <t>I100738</t>
  </si>
  <si>
    <t>Nấm kim châm gói (200g)</t>
  </si>
  <si>
    <t>Gói</t>
  </si>
  <si>
    <t>I100160</t>
  </si>
  <si>
    <t>Ngò tây</t>
  </si>
  <si>
    <t>I100498</t>
  </si>
  <si>
    <t>Ổi trái</t>
  </si>
  <si>
    <t>I100164</t>
  </si>
  <si>
    <t>Ớt đà lạt (đỏ)</t>
  </si>
  <si>
    <t>I100165</t>
  </si>
  <si>
    <t>Ớt đà lạt (vàng)</t>
  </si>
  <si>
    <t>I100166</t>
  </si>
  <si>
    <t>Ớt đà lạt (xanh)</t>
  </si>
  <si>
    <t>I100170</t>
  </si>
  <si>
    <t>Ớt sừng đỏ</t>
  </si>
  <si>
    <t>I100183</t>
  </si>
  <si>
    <t>Rau muống bào</t>
  </si>
  <si>
    <t>bỏ bào</t>
  </si>
  <si>
    <t>I100216</t>
  </si>
  <si>
    <t>Tắc trái</t>
  </si>
  <si>
    <t>I100506</t>
  </si>
  <si>
    <t>Táo xanh VN</t>
  </si>
  <si>
    <t>I101129</t>
  </si>
  <si>
    <t>Thơm chín (kg)</t>
  </si>
  <si>
    <t>I101157</t>
  </si>
  <si>
    <t>Trứng gà Ba Huân</t>
  </si>
  <si>
    <t>Vỉ</t>
  </si>
  <si>
    <t>I100207</t>
  </si>
  <si>
    <t>Xà lách lolo xanh</t>
  </si>
  <si>
    <t>I100511</t>
  </si>
  <si>
    <t>Xoài Keo</t>
  </si>
  <si>
    <t>VAT</t>
  </si>
  <si>
    <t>TỔNG CỘNG</t>
  </si>
  <si>
    <t>TỔNG TIỀN TRƯỚC THUẾ</t>
  </si>
  <si>
    <t>TỔNG TIỀN SAU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</si>
</sst>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/mm/yyyy"/>
    <numFmt numFmtId="165" formatCode="[$-10409]#,##0;\(#,##0\)"/>
    <numFmt numFmtId="166" formatCode="[$-10409]#,##0.000;\(#,##0.000\)"/>
  </numFmts>
  <fonts count="16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Segoe UI Light"/>
    </font>
    <font>
      <b/>
      <sz val="16"/>
      <color rgb="FF000000"/>
      <name val="Segoe UI"/>
    </font>
    <font>
      <i/>
      <sz val="11"/>
      <color rgb="FF000000"/>
      <name val="Segoe UI"/>
    </font>
    <font>
      <sz val="12"/>
      <color rgb="FF000000"/>
      <name val="Segoe UI"/>
    </font>
    <font>
      <b/>
      <sz val="11"/>
      <color rgb="FF000000"/>
      <name val="Arial"/>
    </font>
    <font>
      <b/>
      <sz val="11"/>
      <color rgb="FF000000"/>
      <name val="Segoe UI"/>
    </font>
    <font>
      <sz val="11"/>
      <color rgb="FF000000"/>
      <name val="Arial"/>
    </font>
    <font>
      <sz val="11"/>
      <color rgb="FF000000"/>
      <name val="Segoe UI"/>
    </font>
    <font>
      <sz val="11"/>
      <color rgb="FF000000"/>
      <name val="Segoe UI Light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Arial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6">
    <xf numFmtId="0" fontId="1" fillId="0" borderId="0" xfId="0" applyFont="1"/>
    <xf numFmtId="0" fontId="6" fillId="2" borderId="4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8" fillId="0" borderId="4" xfId="0" applyFont="1" applyBorder="1" applyAlignment="1">
      <alignment vertical="center" wrapText="1" readingOrder="1"/>
    </xf>
    <xf numFmtId="0" fontId="9" fillId="0" borderId="4" xfId="0" applyFont="1" applyBorder="1" applyAlignment="1">
      <alignment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166" fontId="8" fillId="0" borderId="4" xfId="0" applyNumberFormat="1" applyFont="1" applyBorder="1" applyAlignment="1">
      <alignment vertical="top" wrapText="1" readingOrder="1"/>
    </xf>
    <xf numFmtId="165" fontId="8" fillId="0" borderId="4" xfId="0" applyNumberFormat="1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vertical="top" wrapText="1" readingOrder="1"/>
    </xf>
    <xf numFmtId="164" fontId="8" fillId="0" borderId="4" xfId="0" applyNumberFormat="1" applyFont="1" applyBorder="1" applyAlignment="1">
      <alignment vertical="center" wrapText="1" readingOrder="1"/>
    </xf>
    <xf numFmtId="9" fontId="8" fillId="0" borderId="4" xfId="1" applyFont="1" applyBorder="1" applyAlignment="1">
      <alignment horizontal="center" vertical="top" wrapText="1" readingOrder="1"/>
    </xf>
    <xf numFmtId="165" fontId="12" fillId="3" borderId="0" xfId="0" applyNumberFormat="1" applyFont="1" applyFill="1"/>
    <xf numFmtId="0" fontId="13" fillId="0" borderId="0" xfId="0" applyFont="1"/>
    <xf numFmtId="165" fontId="8" fillId="3" borderId="1" xfId="0" applyNumberFormat="1" applyFont="1" applyFill="1" applyBorder="1" applyAlignment="1">
      <alignment horizontal="center" vertical="center" wrapText="1" readingOrder="1"/>
    </xf>
    <xf numFmtId="165" fontId="8" fillId="3" borderId="2" xfId="0" applyNumberFormat="1" applyFont="1" applyFill="1" applyBorder="1" applyAlignment="1">
      <alignment horizontal="center" vertical="center" wrapText="1" readingOrder="1"/>
    </xf>
    <xf numFmtId="165" fontId="8" fillId="3" borderId="3" xfId="0" applyNumberFormat="1" applyFont="1" applyFill="1" applyBorder="1" applyAlignment="1">
      <alignment horizontal="center" vertical="center" wrapText="1" readingOrder="1"/>
    </xf>
    <xf numFmtId="0" fontId="14" fillId="2" borderId="4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vertical="top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165" fontId="15" fillId="0" borderId="6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6495ED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9753</xdr:colOff>
      <xdr:row>1</xdr:row>
      <xdr:rowOff>9067</xdr:rowOff>
    </xdr:from>
    <xdr:to>
      <xdr:col>5</xdr:col>
      <xdr:colOff>38100</xdr:colOff>
      <xdr:row>1</xdr:row>
      <xdr:rowOff>1284704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9"/>
  <sheetViews>
    <sheetView showGridLines="0" tabSelected="1" topLeftCell="A2" workbookViewId="0">
      <selection activeCell="Q5" sqref="Q5"/>
    </sheetView>
  </sheetViews>
  <sheetFormatPr defaultRowHeight="15"/>
  <cols>
    <col min="1" max="1" width="2.28515625" customWidth="1"/>
    <col min="2" max="2" width="12.28515625" customWidth="1"/>
    <col min="3" max="3" width="13.7109375" customWidth="1"/>
    <col min="4" max="4" width="21" customWidth="1"/>
    <col min="5" max="5" width="11.7109375" customWidth="1"/>
    <col min="6" max="6" width="13.42578125" customWidth="1"/>
    <col min="7" max="7" width="12" style="18" customWidth="1"/>
    <col min="8" max="8" width="13.5703125" customWidth="1"/>
    <col min="9" max="9" width="16" customWidth="1"/>
    <col min="10" max="10" width="35.140625" customWidth="1"/>
    <col min="11" max="11" width="7.85546875" customWidth="1"/>
    <col min="12" max="12" width="9.42578125" customWidth="1"/>
    <col min="13" max="13" width="15.42578125" customWidth="1"/>
    <col min="14" max="14" width="14.85546875" customWidth="1"/>
    <col min="15" max="15" width="16" customWidth="1"/>
    <col min="16" max="16" width="28.7109375" customWidth="1"/>
    <col min="17" max="17" width="16.7109375" customWidth="1"/>
  </cols>
  <sheetData>
    <row r="1" spans="2:17" ht="9.6" customHeight="1"/>
    <row r="2" spans="2:17" ht="102.95" customHeight="1">
      <c r="B2" s="11"/>
      <c r="C2" s="8"/>
      <c r="D2" s="8"/>
      <c r="E2" s="8"/>
      <c r="F2" s="9"/>
      <c r="H2" s="12" t="s">
        <v>0</v>
      </c>
      <c r="I2" s="8"/>
      <c r="J2" s="8"/>
      <c r="K2" s="8"/>
      <c r="L2" s="8"/>
      <c r="M2" s="8"/>
      <c r="N2" s="8"/>
      <c r="O2" s="9"/>
    </row>
    <row r="3" spans="2:17" ht="1.1499999999999999" customHeight="1"/>
    <row r="4" spans="2:17" ht="24.75" customHeight="1">
      <c r="B4" s="13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spans="2:17" ht="2.1" customHeight="1"/>
    <row r="6" spans="2:17" ht="22.5" customHeight="1">
      <c r="B6" s="14" t="s">
        <v>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</row>
    <row r="7" spans="2:17" ht="3" customHeight="1"/>
    <row r="8" spans="2:17" ht="24.95" customHeight="1">
      <c r="B8" s="10" t="s">
        <v>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 spans="2:17" ht="4.1500000000000004" customHeight="1"/>
    <row r="10" spans="2:17" ht="23.25" customHeight="1">
      <c r="B10" s="10" t="s">
        <v>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2:17" ht="3.95" customHeight="1"/>
    <row r="12" spans="2:17" ht="23.85" customHeight="1">
      <c r="B12" s="10" t="s">
        <v>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2:17" ht="5.0999999999999996" customHeight="1"/>
    <row r="14" spans="2:17" ht="45">
      <c r="B14" s="1" t="s">
        <v>6</v>
      </c>
      <c r="C14" s="1" t="s">
        <v>7</v>
      </c>
      <c r="D14" s="1" t="s">
        <v>8</v>
      </c>
      <c r="E14" s="1" t="s">
        <v>9</v>
      </c>
      <c r="F14" s="22" t="s">
        <v>76</v>
      </c>
      <c r="G14" s="8"/>
      <c r="H14" s="9"/>
      <c r="I14" s="2" t="s">
        <v>10</v>
      </c>
      <c r="J14" s="2" t="s">
        <v>11</v>
      </c>
      <c r="K14" s="1" t="s">
        <v>12</v>
      </c>
      <c r="L14" s="1" t="s">
        <v>13</v>
      </c>
      <c r="M14" s="1" t="s">
        <v>14</v>
      </c>
      <c r="N14" s="1" t="s">
        <v>74</v>
      </c>
      <c r="O14" s="1" t="s">
        <v>15</v>
      </c>
      <c r="P14" s="1" t="s">
        <v>16</v>
      </c>
      <c r="Q14" s="24" t="s">
        <v>77</v>
      </c>
    </row>
    <row r="15" spans="2:17" ht="35.25" customHeight="1">
      <c r="B15" s="15">
        <v>45822</v>
      </c>
      <c r="C15" s="3" t="s">
        <v>17</v>
      </c>
      <c r="D15" s="3" t="s">
        <v>18</v>
      </c>
      <c r="E15" s="3" t="s">
        <v>19</v>
      </c>
      <c r="F15" s="19">
        <v>2473300</v>
      </c>
      <c r="G15" s="20"/>
      <c r="H15" s="21"/>
      <c r="I15" s="4" t="s">
        <v>20</v>
      </c>
      <c r="J15" s="4" t="s">
        <v>21</v>
      </c>
      <c r="K15" s="5" t="s">
        <v>22</v>
      </c>
      <c r="L15" s="6">
        <v>3.5</v>
      </c>
      <c r="M15" s="7">
        <v>11000</v>
      </c>
      <c r="N15" s="16">
        <v>0.05</v>
      </c>
      <c r="O15" s="7">
        <f>L15*(M15+(M15*N15))</f>
        <v>40425</v>
      </c>
      <c r="P15" s="23" t="s">
        <v>23</v>
      </c>
      <c r="Q15" s="25">
        <f>O39</f>
        <v>2596965</v>
      </c>
    </row>
    <row r="16" spans="2:17" ht="35.25" customHeight="1">
      <c r="B16" s="15">
        <v>45822</v>
      </c>
      <c r="C16" s="3" t="s">
        <v>17</v>
      </c>
      <c r="D16" s="3" t="s">
        <v>18</v>
      </c>
      <c r="E16" s="3" t="s">
        <v>19</v>
      </c>
      <c r="F16" s="19">
        <v>2473300</v>
      </c>
      <c r="G16" s="20"/>
      <c r="H16" s="21"/>
      <c r="I16" s="4" t="s">
        <v>24</v>
      </c>
      <c r="J16" s="4" t="s">
        <v>25</v>
      </c>
      <c r="K16" s="5" t="s">
        <v>22</v>
      </c>
      <c r="L16" s="6">
        <v>0.9</v>
      </c>
      <c r="M16" s="7">
        <v>32000</v>
      </c>
      <c r="N16" s="16">
        <v>0.05</v>
      </c>
      <c r="O16" s="7">
        <f t="shared" ref="O16:O38" si="0">L16*(M16+(M16*N16))</f>
        <v>30240</v>
      </c>
      <c r="P16" s="23" t="s">
        <v>26</v>
      </c>
      <c r="Q16" s="25"/>
    </row>
    <row r="17" spans="2:17" ht="35.25" customHeight="1">
      <c r="B17" s="15">
        <v>45822</v>
      </c>
      <c r="C17" s="3" t="s">
        <v>17</v>
      </c>
      <c r="D17" s="3" t="s">
        <v>18</v>
      </c>
      <c r="E17" s="3" t="s">
        <v>19</v>
      </c>
      <c r="F17" s="19">
        <v>2473300</v>
      </c>
      <c r="G17" s="20"/>
      <c r="H17" s="21"/>
      <c r="I17" s="4" t="s">
        <v>27</v>
      </c>
      <c r="J17" s="4" t="s">
        <v>28</v>
      </c>
      <c r="K17" s="5" t="s">
        <v>22</v>
      </c>
      <c r="L17" s="6">
        <v>3</v>
      </c>
      <c r="M17" s="7">
        <v>18000</v>
      </c>
      <c r="N17" s="16">
        <v>0.05</v>
      </c>
      <c r="O17" s="7">
        <f t="shared" si="0"/>
        <v>56700</v>
      </c>
      <c r="P17" s="23" t="s">
        <v>23</v>
      </c>
      <c r="Q17" s="25"/>
    </row>
    <row r="18" spans="2:17" ht="35.25" customHeight="1">
      <c r="B18" s="15">
        <v>45822</v>
      </c>
      <c r="C18" s="3" t="s">
        <v>17</v>
      </c>
      <c r="D18" s="3" t="s">
        <v>18</v>
      </c>
      <c r="E18" s="3" t="s">
        <v>19</v>
      </c>
      <c r="F18" s="19">
        <v>2473300</v>
      </c>
      <c r="G18" s="20"/>
      <c r="H18" s="21"/>
      <c r="I18" s="4" t="s">
        <v>29</v>
      </c>
      <c r="J18" s="4" t="s">
        <v>30</v>
      </c>
      <c r="K18" s="5" t="s">
        <v>22</v>
      </c>
      <c r="L18" s="6">
        <v>3</v>
      </c>
      <c r="M18" s="7">
        <v>14000</v>
      </c>
      <c r="N18" s="16">
        <v>0.05</v>
      </c>
      <c r="O18" s="7">
        <f t="shared" si="0"/>
        <v>44100</v>
      </c>
      <c r="P18" s="23" t="s">
        <v>23</v>
      </c>
      <c r="Q18" s="25"/>
    </row>
    <row r="19" spans="2:17" ht="35.25" customHeight="1">
      <c r="B19" s="15">
        <v>45822</v>
      </c>
      <c r="C19" s="3" t="s">
        <v>17</v>
      </c>
      <c r="D19" s="3" t="s">
        <v>18</v>
      </c>
      <c r="E19" s="3" t="s">
        <v>19</v>
      </c>
      <c r="F19" s="19">
        <v>2473300</v>
      </c>
      <c r="G19" s="20"/>
      <c r="H19" s="21"/>
      <c r="I19" s="4" t="s">
        <v>31</v>
      </c>
      <c r="J19" s="4" t="s">
        <v>32</v>
      </c>
      <c r="K19" s="5" t="s">
        <v>22</v>
      </c>
      <c r="L19" s="6">
        <v>11</v>
      </c>
      <c r="M19" s="7">
        <v>13000</v>
      </c>
      <c r="N19" s="16">
        <v>0.05</v>
      </c>
      <c r="O19" s="7">
        <f t="shared" si="0"/>
        <v>150150</v>
      </c>
      <c r="P19" s="23" t="s">
        <v>23</v>
      </c>
      <c r="Q19" s="25"/>
    </row>
    <row r="20" spans="2:17" ht="35.25" customHeight="1">
      <c r="B20" s="15">
        <v>45822</v>
      </c>
      <c r="C20" s="3" t="s">
        <v>17</v>
      </c>
      <c r="D20" s="3" t="s">
        <v>18</v>
      </c>
      <c r="E20" s="3" t="s">
        <v>19</v>
      </c>
      <c r="F20" s="19">
        <v>2473300</v>
      </c>
      <c r="G20" s="20"/>
      <c r="H20" s="21"/>
      <c r="I20" s="4" t="s">
        <v>33</v>
      </c>
      <c r="J20" s="4" t="s">
        <v>34</v>
      </c>
      <c r="K20" s="5" t="s">
        <v>22</v>
      </c>
      <c r="L20" s="6">
        <v>3</v>
      </c>
      <c r="M20" s="7">
        <v>15000</v>
      </c>
      <c r="N20" s="16">
        <v>0.05</v>
      </c>
      <c r="O20" s="7">
        <f t="shared" si="0"/>
        <v>47250</v>
      </c>
      <c r="P20" s="23" t="s">
        <v>23</v>
      </c>
      <c r="Q20" s="25"/>
    </row>
    <row r="21" spans="2:17" ht="35.25" customHeight="1">
      <c r="B21" s="15">
        <v>45822</v>
      </c>
      <c r="C21" s="3" t="s">
        <v>17</v>
      </c>
      <c r="D21" s="3" t="s">
        <v>18</v>
      </c>
      <c r="E21" s="3" t="s">
        <v>19</v>
      </c>
      <c r="F21" s="19">
        <v>2473300</v>
      </c>
      <c r="G21" s="20"/>
      <c r="H21" s="21"/>
      <c r="I21" s="4" t="s">
        <v>35</v>
      </c>
      <c r="J21" s="4" t="s">
        <v>36</v>
      </c>
      <c r="K21" s="5" t="s">
        <v>22</v>
      </c>
      <c r="L21" s="6">
        <v>3.1</v>
      </c>
      <c r="M21" s="7">
        <v>22000</v>
      </c>
      <c r="N21" s="16">
        <v>0.05</v>
      </c>
      <c r="O21" s="7">
        <f t="shared" si="0"/>
        <v>71610</v>
      </c>
      <c r="P21" s="23" t="s">
        <v>23</v>
      </c>
      <c r="Q21" s="25"/>
    </row>
    <row r="22" spans="2:17" ht="35.25" customHeight="1">
      <c r="B22" s="15">
        <v>45822</v>
      </c>
      <c r="C22" s="3" t="s">
        <v>17</v>
      </c>
      <c r="D22" s="3" t="s">
        <v>18</v>
      </c>
      <c r="E22" s="3" t="s">
        <v>19</v>
      </c>
      <c r="F22" s="19">
        <v>2473300</v>
      </c>
      <c r="G22" s="20"/>
      <c r="H22" s="21"/>
      <c r="I22" s="4" t="s">
        <v>37</v>
      </c>
      <c r="J22" s="4" t="s">
        <v>38</v>
      </c>
      <c r="K22" s="5" t="s">
        <v>22</v>
      </c>
      <c r="L22" s="6">
        <v>5</v>
      </c>
      <c r="M22" s="7">
        <v>10000</v>
      </c>
      <c r="N22" s="16">
        <v>0.05</v>
      </c>
      <c r="O22" s="7">
        <f t="shared" si="0"/>
        <v>52500</v>
      </c>
      <c r="P22" s="23" t="s">
        <v>23</v>
      </c>
      <c r="Q22" s="25"/>
    </row>
    <row r="23" spans="2:17" ht="35.25" customHeight="1">
      <c r="B23" s="15">
        <v>45822</v>
      </c>
      <c r="C23" s="3" t="s">
        <v>17</v>
      </c>
      <c r="D23" s="3" t="s">
        <v>18</v>
      </c>
      <c r="E23" s="3" t="s">
        <v>19</v>
      </c>
      <c r="F23" s="19">
        <v>2473300</v>
      </c>
      <c r="G23" s="20"/>
      <c r="H23" s="21"/>
      <c r="I23" s="4" t="s">
        <v>39</v>
      </c>
      <c r="J23" s="4" t="s">
        <v>40</v>
      </c>
      <c r="K23" s="5" t="s">
        <v>22</v>
      </c>
      <c r="L23" s="6">
        <v>15</v>
      </c>
      <c r="M23" s="7">
        <v>16000</v>
      </c>
      <c r="N23" s="16">
        <v>0.05</v>
      </c>
      <c r="O23" s="7">
        <f t="shared" si="0"/>
        <v>252000</v>
      </c>
      <c r="P23" s="23" t="s">
        <v>23</v>
      </c>
      <c r="Q23" s="25"/>
    </row>
    <row r="24" spans="2:17" ht="35.25" customHeight="1">
      <c r="B24" s="15">
        <v>45822</v>
      </c>
      <c r="C24" s="3" t="s">
        <v>17</v>
      </c>
      <c r="D24" s="3" t="s">
        <v>18</v>
      </c>
      <c r="E24" s="3" t="s">
        <v>19</v>
      </c>
      <c r="F24" s="19">
        <v>2473300</v>
      </c>
      <c r="G24" s="20"/>
      <c r="H24" s="21"/>
      <c r="I24" s="4" t="s">
        <v>41</v>
      </c>
      <c r="J24" s="4" t="s">
        <v>42</v>
      </c>
      <c r="K24" s="5" t="s">
        <v>22</v>
      </c>
      <c r="L24" s="6">
        <v>2</v>
      </c>
      <c r="M24" s="7">
        <v>16000</v>
      </c>
      <c r="N24" s="16">
        <v>0.05</v>
      </c>
      <c r="O24" s="7">
        <f t="shared" si="0"/>
        <v>33600</v>
      </c>
      <c r="P24" s="23" t="s">
        <v>23</v>
      </c>
      <c r="Q24" s="25"/>
    </row>
    <row r="25" spans="2:17" ht="35.25" customHeight="1">
      <c r="B25" s="15">
        <v>45822</v>
      </c>
      <c r="C25" s="3" t="s">
        <v>17</v>
      </c>
      <c r="D25" s="3" t="s">
        <v>18</v>
      </c>
      <c r="E25" s="3" t="s">
        <v>19</v>
      </c>
      <c r="F25" s="19">
        <v>2473300</v>
      </c>
      <c r="G25" s="20"/>
      <c r="H25" s="21"/>
      <c r="I25" s="4" t="s">
        <v>43</v>
      </c>
      <c r="J25" s="4" t="s">
        <v>44</v>
      </c>
      <c r="K25" s="5" t="s">
        <v>45</v>
      </c>
      <c r="L25" s="6">
        <v>20</v>
      </c>
      <c r="M25" s="7">
        <v>11000</v>
      </c>
      <c r="N25" s="16">
        <v>0.05</v>
      </c>
      <c r="O25" s="7">
        <f t="shared" si="0"/>
        <v>231000</v>
      </c>
      <c r="P25" s="23" t="s">
        <v>23</v>
      </c>
      <c r="Q25" s="25"/>
    </row>
    <row r="26" spans="2:17" ht="35.25" customHeight="1">
      <c r="B26" s="15">
        <v>45822</v>
      </c>
      <c r="C26" s="3" t="s">
        <v>17</v>
      </c>
      <c r="D26" s="3" t="s">
        <v>18</v>
      </c>
      <c r="E26" s="3" t="s">
        <v>19</v>
      </c>
      <c r="F26" s="19">
        <v>2473300</v>
      </c>
      <c r="G26" s="20"/>
      <c r="H26" s="21"/>
      <c r="I26" s="4" t="s">
        <v>46</v>
      </c>
      <c r="J26" s="4" t="s">
        <v>47</v>
      </c>
      <c r="K26" s="5" t="s">
        <v>22</v>
      </c>
      <c r="L26" s="6">
        <v>2</v>
      </c>
      <c r="M26" s="7">
        <v>35000</v>
      </c>
      <c r="N26" s="16">
        <v>0.05</v>
      </c>
      <c r="O26" s="7">
        <f t="shared" si="0"/>
        <v>73500</v>
      </c>
      <c r="P26" s="23" t="s">
        <v>23</v>
      </c>
      <c r="Q26" s="25"/>
    </row>
    <row r="27" spans="2:17" ht="35.25" customHeight="1">
      <c r="B27" s="15">
        <v>45822</v>
      </c>
      <c r="C27" s="3" t="s">
        <v>17</v>
      </c>
      <c r="D27" s="3" t="s">
        <v>18</v>
      </c>
      <c r="E27" s="3" t="s">
        <v>19</v>
      </c>
      <c r="F27" s="19">
        <v>2473300</v>
      </c>
      <c r="G27" s="20"/>
      <c r="H27" s="21"/>
      <c r="I27" s="4" t="s">
        <v>48</v>
      </c>
      <c r="J27" s="4" t="s">
        <v>49</v>
      </c>
      <c r="K27" s="5" t="s">
        <v>22</v>
      </c>
      <c r="L27" s="6">
        <v>4.3</v>
      </c>
      <c r="M27" s="7">
        <v>22000</v>
      </c>
      <c r="N27" s="16">
        <v>0.05</v>
      </c>
      <c r="O27" s="7">
        <f t="shared" si="0"/>
        <v>99330</v>
      </c>
      <c r="P27" s="23" t="s">
        <v>23</v>
      </c>
      <c r="Q27" s="25"/>
    </row>
    <row r="28" spans="2:17" ht="35.25" customHeight="1">
      <c r="B28" s="15">
        <v>45822</v>
      </c>
      <c r="C28" s="3" t="s">
        <v>17</v>
      </c>
      <c r="D28" s="3" t="s">
        <v>18</v>
      </c>
      <c r="E28" s="3" t="s">
        <v>19</v>
      </c>
      <c r="F28" s="19">
        <v>2473300</v>
      </c>
      <c r="G28" s="20"/>
      <c r="H28" s="21"/>
      <c r="I28" s="4" t="s">
        <v>50</v>
      </c>
      <c r="J28" s="4" t="s">
        <v>51</v>
      </c>
      <c r="K28" s="5" t="s">
        <v>22</v>
      </c>
      <c r="L28" s="6">
        <v>3</v>
      </c>
      <c r="M28" s="7">
        <v>42000</v>
      </c>
      <c r="N28" s="16">
        <v>0.05</v>
      </c>
      <c r="O28" s="7">
        <f t="shared" si="0"/>
        <v>132300</v>
      </c>
      <c r="P28" s="23" t="s">
        <v>23</v>
      </c>
      <c r="Q28" s="25"/>
    </row>
    <row r="29" spans="2:17" ht="35.25" customHeight="1">
      <c r="B29" s="15">
        <v>45822</v>
      </c>
      <c r="C29" s="3" t="s">
        <v>17</v>
      </c>
      <c r="D29" s="3" t="s">
        <v>18</v>
      </c>
      <c r="E29" s="3" t="s">
        <v>19</v>
      </c>
      <c r="F29" s="19">
        <v>2473300</v>
      </c>
      <c r="G29" s="20"/>
      <c r="H29" s="21"/>
      <c r="I29" s="4" t="s">
        <v>52</v>
      </c>
      <c r="J29" s="4" t="s">
        <v>53</v>
      </c>
      <c r="K29" s="5" t="s">
        <v>22</v>
      </c>
      <c r="L29" s="6">
        <v>1.5</v>
      </c>
      <c r="M29" s="7">
        <v>45000</v>
      </c>
      <c r="N29" s="16">
        <v>0.05</v>
      </c>
      <c r="O29" s="7">
        <f t="shared" si="0"/>
        <v>70875</v>
      </c>
      <c r="P29" s="23" t="s">
        <v>23</v>
      </c>
      <c r="Q29" s="25"/>
    </row>
    <row r="30" spans="2:17" ht="35.25" customHeight="1">
      <c r="B30" s="15">
        <v>45822</v>
      </c>
      <c r="C30" s="3" t="s">
        <v>17</v>
      </c>
      <c r="D30" s="3" t="s">
        <v>18</v>
      </c>
      <c r="E30" s="3" t="s">
        <v>19</v>
      </c>
      <c r="F30" s="19">
        <v>2473300</v>
      </c>
      <c r="G30" s="20"/>
      <c r="H30" s="21"/>
      <c r="I30" s="4" t="s">
        <v>54</v>
      </c>
      <c r="J30" s="4" t="s">
        <v>55</v>
      </c>
      <c r="K30" s="5" t="s">
        <v>22</v>
      </c>
      <c r="L30" s="6">
        <v>1.5</v>
      </c>
      <c r="M30" s="7">
        <v>35000</v>
      </c>
      <c r="N30" s="16">
        <v>0.05</v>
      </c>
      <c r="O30" s="7">
        <f t="shared" si="0"/>
        <v>55125</v>
      </c>
      <c r="P30" s="23" t="s">
        <v>23</v>
      </c>
      <c r="Q30" s="25"/>
    </row>
    <row r="31" spans="2:17" ht="35.25" customHeight="1">
      <c r="B31" s="15">
        <v>45822</v>
      </c>
      <c r="C31" s="3" t="s">
        <v>17</v>
      </c>
      <c r="D31" s="3" t="s">
        <v>18</v>
      </c>
      <c r="E31" s="3" t="s">
        <v>19</v>
      </c>
      <c r="F31" s="19">
        <v>2473300</v>
      </c>
      <c r="G31" s="20"/>
      <c r="H31" s="21"/>
      <c r="I31" s="4" t="s">
        <v>56</v>
      </c>
      <c r="J31" s="4" t="s">
        <v>57</v>
      </c>
      <c r="K31" s="5" t="s">
        <v>22</v>
      </c>
      <c r="L31" s="6">
        <v>2</v>
      </c>
      <c r="M31" s="7">
        <v>33000</v>
      </c>
      <c r="N31" s="16">
        <v>0.05</v>
      </c>
      <c r="O31" s="7">
        <f t="shared" si="0"/>
        <v>69300</v>
      </c>
      <c r="P31" s="23" t="s">
        <v>23</v>
      </c>
      <c r="Q31" s="25"/>
    </row>
    <row r="32" spans="2:17" ht="35.25" customHeight="1">
      <c r="B32" s="15">
        <v>45822</v>
      </c>
      <c r="C32" s="3" t="s">
        <v>17</v>
      </c>
      <c r="D32" s="3" t="s">
        <v>18</v>
      </c>
      <c r="E32" s="3" t="s">
        <v>19</v>
      </c>
      <c r="F32" s="19">
        <v>2473300</v>
      </c>
      <c r="G32" s="20"/>
      <c r="H32" s="21"/>
      <c r="I32" s="4" t="s">
        <v>58</v>
      </c>
      <c r="J32" s="4" t="s">
        <v>59</v>
      </c>
      <c r="K32" s="5" t="s">
        <v>22</v>
      </c>
      <c r="L32" s="6">
        <v>1.1000000000000001</v>
      </c>
      <c r="M32" s="7">
        <v>16000</v>
      </c>
      <c r="N32" s="16">
        <v>0.05</v>
      </c>
      <c r="O32" s="7">
        <f t="shared" si="0"/>
        <v>18480</v>
      </c>
      <c r="P32" s="23" t="s">
        <v>60</v>
      </c>
      <c r="Q32" s="25"/>
    </row>
    <row r="33" spans="2:17" ht="35.25" customHeight="1">
      <c r="B33" s="15">
        <v>45822</v>
      </c>
      <c r="C33" s="3" t="s">
        <v>17</v>
      </c>
      <c r="D33" s="3" t="s">
        <v>18</v>
      </c>
      <c r="E33" s="3" t="s">
        <v>19</v>
      </c>
      <c r="F33" s="19">
        <v>2473300</v>
      </c>
      <c r="G33" s="20"/>
      <c r="H33" s="21"/>
      <c r="I33" s="4" t="s">
        <v>61</v>
      </c>
      <c r="J33" s="4" t="s">
        <v>62</v>
      </c>
      <c r="K33" s="5" t="s">
        <v>22</v>
      </c>
      <c r="L33" s="6">
        <v>3</v>
      </c>
      <c r="M33" s="7">
        <v>16000</v>
      </c>
      <c r="N33" s="16">
        <v>0.05</v>
      </c>
      <c r="O33" s="7">
        <f t="shared" si="0"/>
        <v>50400</v>
      </c>
      <c r="P33" s="23" t="s">
        <v>23</v>
      </c>
      <c r="Q33" s="25"/>
    </row>
    <row r="34" spans="2:17" ht="35.25" customHeight="1">
      <c r="B34" s="15">
        <v>45822</v>
      </c>
      <c r="C34" s="3" t="s">
        <v>17</v>
      </c>
      <c r="D34" s="3" t="s">
        <v>18</v>
      </c>
      <c r="E34" s="3" t="s">
        <v>19</v>
      </c>
      <c r="F34" s="19">
        <v>2473300</v>
      </c>
      <c r="G34" s="20"/>
      <c r="H34" s="21"/>
      <c r="I34" s="4" t="s">
        <v>63</v>
      </c>
      <c r="J34" s="4" t="s">
        <v>64</v>
      </c>
      <c r="K34" s="5" t="s">
        <v>22</v>
      </c>
      <c r="L34" s="6">
        <v>5</v>
      </c>
      <c r="M34" s="7">
        <v>34000</v>
      </c>
      <c r="N34" s="16">
        <v>0.05</v>
      </c>
      <c r="O34" s="7">
        <f t="shared" si="0"/>
        <v>178500</v>
      </c>
      <c r="P34" s="23" t="s">
        <v>23</v>
      </c>
      <c r="Q34" s="25"/>
    </row>
    <row r="35" spans="2:17" ht="35.25" customHeight="1">
      <c r="B35" s="15">
        <v>45822</v>
      </c>
      <c r="C35" s="3" t="s">
        <v>17</v>
      </c>
      <c r="D35" s="3" t="s">
        <v>18</v>
      </c>
      <c r="E35" s="3" t="s">
        <v>19</v>
      </c>
      <c r="F35" s="19">
        <v>2473300</v>
      </c>
      <c r="G35" s="20"/>
      <c r="H35" s="21"/>
      <c r="I35" s="4" t="s">
        <v>65</v>
      </c>
      <c r="J35" s="4" t="s">
        <v>66</v>
      </c>
      <c r="K35" s="5" t="s">
        <v>22</v>
      </c>
      <c r="L35" s="6">
        <v>2.2000000000000002</v>
      </c>
      <c r="M35" s="7">
        <v>18000</v>
      </c>
      <c r="N35" s="16">
        <v>0.05</v>
      </c>
      <c r="O35" s="7">
        <f t="shared" si="0"/>
        <v>41580</v>
      </c>
      <c r="P35" s="23" t="s">
        <v>23</v>
      </c>
      <c r="Q35" s="25"/>
    </row>
    <row r="36" spans="2:17" ht="35.25" customHeight="1">
      <c r="B36" s="15">
        <v>45822</v>
      </c>
      <c r="C36" s="3" t="s">
        <v>17</v>
      </c>
      <c r="D36" s="3" t="s">
        <v>18</v>
      </c>
      <c r="E36" s="3" t="s">
        <v>19</v>
      </c>
      <c r="F36" s="19">
        <v>2473300</v>
      </c>
      <c r="G36" s="20"/>
      <c r="H36" s="21"/>
      <c r="I36" s="4" t="s">
        <v>67</v>
      </c>
      <c r="J36" s="4" t="s">
        <v>68</v>
      </c>
      <c r="K36" s="5" t="s">
        <v>69</v>
      </c>
      <c r="L36" s="6">
        <v>2</v>
      </c>
      <c r="M36" s="7">
        <v>30000</v>
      </c>
      <c r="N36" s="16">
        <v>0.05</v>
      </c>
      <c r="O36" s="7">
        <f t="shared" si="0"/>
        <v>63000</v>
      </c>
      <c r="P36" s="23" t="s">
        <v>23</v>
      </c>
      <c r="Q36" s="25"/>
    </row>
    <row r="37" spans="2:17" ht="35.25" customHeight="1">
      <c r="B37" s="15">
        <v>45822</v>
      </c>
      <c r="C37" s="3" t="s">
        <v>17</v>
      </c>
      <c r="D37" s="3" t="s">
        <v>18</v>
      </c>
      <c r="E37" s="3" t="s">
        <v>19</v>
      </c>
      <c r="F37" s="19">
        <v>2473300</v>
      </c>
      <c r="G37" s="20"/>
      <c r="H37" s="21"/>
      <c r="I37" s="4" t="s">
        <v>70</v>
      </c>
      <c r="J37" s="4" t="s">
        <v>71</v>
      </c>
      <c r="K37" s="5" t="s">
        <v>22</v>
      </c>
      <c r="L37" s="6">
        <v>15</v>
      </c>
      <c r="M37" s="7">
        <v>30000</v>
      </c>
      <c r="N37" s="16">
        <v>0.05</v>
      </c>
      <c r="O37" s="7">
        <f t="shared" si="0"/>
        <v>472500</v>
      </c>
      <c r="P37" s="23" t="s">
        <v>23</v>
      </c>
      <c r="Q37" s="25"/>
    </row>
    <row r="38" spans="2:17" ht="35.25" customHeight="1">
      <c r="B38" s="15">
        <v>45822</v>
      </c>
      <c r="C38" s="3" t="s">
        <v>17</v>
      </c>
      <c r="D38" s="3" t="s">
        <v>18</v>
      </c>
      <c r="E38" s="3" t="s">
        <v>19</v>
      </c>
      <c r="F38" s="19">
        <v>2473300</v>
      </c>
      <c r="G38" s="20"/>
      <c r="H38" s="21"/>
      <c r="I38" s="4" t="s">
        <v>72</v>
      </c>
      <c r="J38" s="4" t="s">
        <v>73</v>
      </c>
      <c r="K38" s="5" t="s">
        <v>22</v>
      </c>
      <c r="L38" s="6">
        <v>10</v>
      </c>
      <c r="M38" s="7">
        <v>25000</v>
      </c>
      <c r="N38" s="16">
        <v>0.05</v>
      </c>
      <c r="O38" s="7">
        <f t="shared" si="0"/>
        <v>262500</v>
      </c>
      <c r="P38" s="23" t="s">
        <v>23</v>
      </c>
      <c r="Q38" s="25"/>
    </row>
    <row r="39" spans="2:17" ht="18.75">
      <c r="B39" t="s">
        <v>75</v>
      </c>
      <c r="O39" s="17">
        <f>SUM(O15:O38)</f>
        <v>2596965</v>
      </c>
    </row>
  </sheetData>
  <mergeCells count="33">
    <mergeCell ref="F33:H33"/>
    <mergeCell ref="F34:H34"/>
    <mergeCell ref="F35:H35"/>
    <mergeCell ref="F36:H36"/>
    <mergeCell ref="F37:H37"/>
    <mergeCell ref="F38:H38"/>
    <mergeCell ref="Q15:Q38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B10:O10"/>
    <mergeCell ref="B12:O12"/>
    <mergeCell ref="F14:H14"/>
    <mergeCell ref="B2:F2"/>
    <mergeCell ref="H2:O2"/>
    <mergeCell ref="B4:O4"/>
    <mergeCell ref="B6:O6"/>
    <mergeCell ref="B8:O8"/>
    <mergeCell ref="F15:H15"/>
    <mergeCell ref="F16:H16"/>
    <mergeCell ref="F18:H18"/>
    <mergeCell ref="F19:H19"/>
    <mergeCell ref="F17:H17"/>
    <mergeCell ref="F20:H20"/>
    <mergeCell ref="F21:H21"/>
    <mergeCell ref="F22:H22"/>
    <mergeCell ref="F23:H23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CÔNG NỢ THEO NGÀY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Hp6300</cp:lastModifiedBy>
  <dcterms:created xsi:type="dcterms:W3CDTF">2025-06-23T04:51:21Z</dcterms:created>
  <dcterms:modified xsi:type="dcterms:W3CDTF">2025-07-11T02:33:01Z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