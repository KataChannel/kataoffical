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ÓP Ý pm MỚI\"/>
    </mc:Choice>
  </mc:AlternateContent>
  <xr:revisionPtr revIDLastSave="0" documentId="13_ncr:1_{E35129A6-0B35-4C58-9EEF-E048EDE801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 CÔNG NỢ THEO NGÀY" sheetId="1" r:id="rId1"/>
  </sheets>
  <calcPr calcId="181029"/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4" i="1"/>
  <c r="N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Hp6300</author>
  </authors>
  <commentList>
    <comment ref="P4" authorId="0" shapeId="0" xr:uid="{E6EC6DE4-A2A4-4801-ACCE-378C6BC24E19}">
      <text>
        <r>
          <rPr>
            <b/>
            <sz val="9"/>
            <color indexed="81"/>
            <rFont val="Tahoma"/>
            <family val="2"/>
          </rPr>
          <t xml:space="preserve">Ô NÀY SẼ MERGE THEO NGÀY
</t>
        </r>
      </text>
    </comment>
  </commentList>
</comments>
</file>

<file path=xl/sharedStrings.xml><?xml version="1.0" encoding="utf-8"?>
<sst xmlns="http://schemas.openxmlformats.org/spreadsheetml/2006/main" count="184" uniqueCount="73">
  <si>
    <t>NGÀY</t>
  </si>
  <si>
    <t>MÃ KHÁCH HÀNG</t>
  </si>
  <si>
    <t>TÊN KHÁCH HÀNG</t>
  </si>
  <si>
    <t>MÃ ĐƠN HÀNG</t>
  </si>
  <si>
    <t>MÃ HÀNG</t>
  </si>
  <si>
    <t>TÊN HÀNG</t>
  </si>
  <si>
    <t>ĐVT</t>
  </si>
  <si>
    <t>SỐ LƯỢNG</t>
  </si>
  <si>
    <t>ĐƠN GIÁ</t>
  </si>
  <si>
    <t>GHI CHÚ</t>
  </si>
  <si>
    <t>C100926</t>
  </si>
  <si>
    <t>ROLL STORY (Thủ Đức)</t>
  </si>
  <si>
    <t>000001</t>
  </si>
  <si>
    <t>I100003</t>
  </si>
  <si>
    <t>Bắp cải trắng</t>
  </si>
  <si>
    <t>Kg</t>
  </si>
  <si>
    <t/>
  </si>
  <si>
    <t>I100004</t>
  </si>
  <si>
    <t>Bắp chuối bào</t>
  </si>
  <si>
    <t>xuất hđ đổi thành bắp chuối</t>
  </si>
  <si>
    <t>I100034</t>
  </si>
  <si>
    <t>Cà chua</t>
  </si>
  <si>
    <t>I100039</t>
  </si>
  <si>
    <t>Cà rốt</t>
  </si>
  <si>
    <t>I100051</t>
  </si>
  <si>
    <t>Cải thảo</t>
  </si>
  <si>
    <t>I100468</t>
  </si>
  <si>
    <t>Cam tươi</t>
  </si>
  <si>
    <t>I100060</t>
  </si>
  <si>
    <t>Chanh không hạt</t>
  </si>
  <si>
    <t>I100067</t>
  </si>
  <si>
    <t>Củ cải trắng (Loại 1)</t>
  </si>
  <si>
    <t>I100479</t>
  </si>
  <si>
    <t>Dưa hấu</t>
  </si>
  <si>
    <t>I100089</t>
  </si>
  <si>
    <t>Dưa leo</t>
  </si>
  <si>
    <t>I100738</t>
  </si>
  <si>
    <t>Nấm kim châm gói (200g)</t>
  </si>
  <si>
    <t>Gói</t>
  </si>
  <si>
    <t>I100160</t>
  </si>
  <si>
    <t>Ngò tây</t>
  </si>
  <si>
    <t>I100498</t>
  </si>
  <si>
    <t>Ổi trái</t>
  </si>
  <si>
    <t>I100164</t>
  </si>
  <si>
    <t>Ớt đà lạt (đỏ)</t>
  </si>
  <si>
    <t>I100165</t>
  </si>
  <si>
    <t>Ớt đà lạt (vàng)</t>
  </si>
  <si>
    <t>I100166</t>
  </si>
  <si>
    <t>Ớt đà lạt (xanh)</t>
  </si>
  <si>
    <t>I100170</t>
  </si>
  <si>
    <t>Ớt sừng đỏ</t>
  </si>
  <si>
    <t>I100183</t>
  </si>
  <si>
    <t>Rau muống bào</t>
  </si>
  <si>
    <t>bỏ bào</t>
  </si>
  <si>
    <t>I100216</t>
  </si>
  <si>
    <t>Tắc trái</t>
  </si>
  <si>
    <t>I100506</t>
  </si>
  <si>
    <t>Táo xanh VN</t>
  </si>
  <si>
    <t>I101129</t>
  </si>
  <si>
    <t>Thơm chín (kg)</t>
  </si>
  <si>
    <t>I101157</t>
  </si>
  <si>
    <t>Trứng gà Ba Huân</t>
  </si>
  <si>
    <t>Vỉ</t>
  </si>
  <si>
    <t>I100207</t>
  </si>
  <si>
    <t>Xà lách lolo xanh</t>
  </si>
  <si>
    <t>I100511</t>
  </si>
  <si>
    <t>Xoài Keo</t>
  </si>
  <si>
    <t>VAT</t>
  </si>
  <si>
    <t>TỔNG CỘNG</t>
  </si>
  <si>
    <t>TỔNG TIỀN SAU THUẾ</t>
  </si>
  <si>
    <t>THÀNH TIỀN TRƯỚC VAT</t>
  </si>
  <si>
    <t>ĐƠN GIÁ VAT</t>
  </si>
  <si>
    <t>THÀNH TIỀN SAU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</si>
</sst>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10409]dd/mm/yyyy"/>
    <numFmt numFmtId="165" formatCode="[$-10409]#,##0;\(#,##0\)"/>
    <numFmt numFmtId="166" formatCode="[$-10409]#,##0.000;\(#,##0.000\)"/>
    <numFmt numFmtId="170" formatCode="_(* #,##0_);_(* \(#,##0\);_(* &quot;-&quot;??_);_(@_)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Arial"/>
      <family val="2"/>
    </font>
    <font>
      <sz val="11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</font>
    <font>
      <sz val="16"/>
      <name val="Calibri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6">
    <xf numFmtId="0" fontId="1" fillId="0" borderId="0" xfId="0" applyFont="1"/>
    <xf numFmtId="0" fontId="2" fillId="2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166" fontId="4" fillId="0" borderId="2" xfId="0" applyNumberFormat="1" applyFont="1" applyBorder="1" applyAlignment="1">
      <alignment vertical="top" wrapText="1" readingOrder="1"/>
    </xf>
    <xf numFmtId="165" fontId="4" fillId="0" borderId="2" xfId="0" applyNumberFormat="1" applyFont="1" applyBorder="1" applyAlignment="1">
      <alignment vertical="top" wrapText="1" readingOrder="1"/>
    </xf>
    <xf numFmtId="164" fontId="4" fillId="0" borderId="2" xfId="0" applyNumberFormat="1" applyFont="1" applyBorder="1" applyAlignment="1">
      <alignment vertical="center" wrapText="1" readingOrder="1"/>
    </xf>
    <xf numFmtId="9" fontId="4" fillId="0" borderId="2" xfId="1" applyFont="1" applyBorder="1" applyAlignment="1">
      <alignment horizontal="center" vertical="top" wrapText="1" readingOrder="1"/>
    </xf>
    <xf numFmtId="165" fontId="7" fillId="3" borderId="0" xfId="0" applyNumberFormat="1" applyFont="1" applyFill="1"/>
    <xf numFmtId="0" fontId="4" fillId="0" borderId="1" xfId="0" applyFont="1" applyBorder="1" applyAlignment="1">
      <alignment vertical="top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165" fontId="8" fillId="0" borderId="4" xfId="0" applyNumberFormat="1" applyFont="1" applyBorder="1" applyAlignment="1">
      <alignment horizontal="center" vertical="center"/>
    </xf>
    <xf numFmtId="170" fontId="4" fillId="0" borderId="2" xfId="2" applyNumberFormat="1" applyFont="1" applyBorder="1" applyAlignment="1">
      <alignment horizontal="center" vertical="top" wrapText="1" readingOrder="1"/>
    </xf>
    <xf numFmtId="0" fontId="10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6495ED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285978</xdr:colOff>
      <xdr:row>0</xdr:row>
      <xdr:rowOff>104317</xdr:rowOff>
    </xdr:from>
    <xdr:to>
      <xdr:col>5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378" y="104317"/>
          <a:ext cx="3943122" cy="1275637"/>
        </a:xfrm>
        <a:prstGeom prst="rect">
          <a:avLst/>
        </a:prstGeom>
      </xdr:spPr>
    </xdr:pic>
    <xdr:clientData/>
  </xdr:twoCellAnchor>
  <xdr:twoCellAnchor>
    <xdr:from>
      <xdr:col>15</xdr:col>
      <xdr:colOff>916894</xdr:colOff>
      <xdr:row>5</xdr:row>
      <xdr:rowOff>236447</xdr:rowOff>
    </xdr:from>
    <xdr:to>
      <xdr:col>18</xdr:col>
      <xdr:colOff>581773</xdr:colOff>
      <xdr:row>7</xdr:row>
      <xdr:rowOff>337209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52081C4B-C784-5C8D-9EAF-1B38B4CBF392}"/>
            </a:ext>
          </a:extLst>
        </xdr:cNvPr>
        <xdr:cNvSpPr/>
      </xdr:nvSpPr>
      <xdr:spPr>
        <a:xfrm rot="2429487">
          <a:off x="16566469" y="1684247"/>
          <a:ext cx="1998504" cy="996112"/>
        </a:xfrm>
        <a:prstGeom prst="cloudCallou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Ô</a:t>
          </a:r>
          <a:r>
            <a:rPr lang="en-US" sz="1100" baseline="0">
              <a:solidFill>
                <a:sysClr val="windowText" lastClr="000000"/>
              </a:solidFill>
            </a:rPr>
            <a:t> NÀY SẼ MERGE THEO NGÀY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8"/>
  <sheetViews>
    <sheetView showGridLines="0" tabSelected="1" workbookViewId="0">
      <selection activeCell="G38" sqref="G38:G39"/>
    </sheetView>
  </sheetViews>
  <sheetFormatPr defaultRowHeight="15" x14ac:dyDescent="0.25"/>
  <cols>
    <col min="1" max="1" width="2.28515625" customWidth="1"/>
    <col min="2" max="2" width="12.28515625" customWidth="1"/>
    <col min="3" max="3" width="13.7109375" customWidth="1"/>
    <col min="4" max="4" width="21" customWidth="1"/>
    <col min="5" max="5" width="11.7109375" customWidth="1"/>
    <col min="6" max="6" width="16" customWidth="1"/>
    <col min="7" max="7" width="35.140625" customWidth="1"/>
    <col min="8" max="8" width="7.85546875" customWidth="1"/>
    <col min="9" max="9" width="9.42578125" customWidth="1"/>
    <col min="10" max="11" width="15.42578125" customWidth="1"/>
    <col min="12" max="13" width="14.85546875" customWidth="1"/>
    <col min="14" max="14" width="16" customWidth="1"/>
    <col min="15" max="15" width="28.7109375" customWidth="1"/>
    <col min="16" max="16" width="16.7109375" customWidth="1"/>
  </cols>
  <sheetData>
    <row r="1" spans="2:16" ht="9.6" customHeight="1" x14ac:dyDescent="0.25"/>
    <row r="2" spans="2:16" ht="5.0999999999999996" customHeight="1" x14ac:dyDescent="0.25"/>
    <row r="3" spans="2:16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2" t="s">
        <v>5</v>
      </c>
      <c r="H3" s="1" t="s">
        <v>6</v>
      </c>
      <c r="I3" s="1" t="s">
        <v>7</v>
      </c>
      <c r="J3" s="1" t="s">
        <v>8</v>
      </c>
      <c r="K3" s="1" t="s">
        <v>70</v>
      </c>
      <c r="L3" s="1" t="s">
        <v>67</v>
      </c>
      <c r="M3" s="1" t="s">
        <v>71</v>
      </c>
      <c r="N3" s="1" t="s">
        <v>72</v>
      </c>
      <c r="O3" s="1" t="s">
        <v>9</v>
      </c>
      <c r="P3" s="12" t="s">
        <v>69</v>
      </c>
    </row>
    <row r="4" spans="2:16" ht="35.25" customHeight="1" x14ac:dyDescent="0.25">
      <c r="B4" s="8">
        <v>45822</v>
      </c>
      <c r="C4" s="3" t="s">
        <v>10</v>
      </c>
      <c r="D4" s="3" t="s">
        <v>11</v>
      </c>
      <c r="E4" s="3" t="s">
        <v>12</v>
      </c>
      <c r="F4" s="4" t="s">
        <v>13</v>
      </c>
      <c r="G4" s="4" t="s">
        <v>14</v>
      </c>
      <c r="H4" s="5" t="s">
        <v>15</v>
      </c>
      <c r="I4" s="6">
        <v>3.5</v>
      </c>
      <c r="J4" s="7">
        <v>11000</v>
      </c>
      <c r="K4" s="7">
        <f>I4*J4</f>
        <v>38500</v>
      </c>
      <c r="L4" s="9">
        <v>0.05</v>
      </c>
      <c r="M4" s="14">
        <f>J4+(J4*L4)</f>
        <v>11550</v>
      </c>
      <c r="N4" s="7">
        <f>I4*M4</f>
        <v>40425</v>
      </c>
      <c r="O4" s="11" t="s">
        <v>16</v>
      </c>
      <c r="P4" s="13">
        <v>2596965</v>
      </c>
    </row>
    <row r="5" spans="2:16" ht="35.25" customHeight="1" x14ac:dyDescent="0.25">
      <c r="B5" s="8">
        <v>45822</v>
      </c>
      <c r="C5" s="3" t="s">
        <v>10</v>
      </c>
      <c r="D5" s="3" t="s">
        <v>11</v>
      </c>
      <c r="E5" s="3" t="s">
        <v>12</v>
      </c>
      <c r="F5" s="4" t="s">
        <v>17</v>
      </c>
      <c r="G5" s="4" t="s">
        <v>18</v>
      </c>
      <c r="H5" s="5" t="s">
        <v>15</v>
      </c>
      <c r="I5" s="6">
        <v>0.9</v>
      </c>
      <c r="J5" s="7">
        <v>32000</v>
      </c>
      <c r="K5" s="7">
        <f t="shared" ref="K5:K27" si="0">I5*J5</f>
        <v>28800</v>
      </c>
      <c r="L5" s="9">
        <v>0.05</v>
      </c>
      <c r="M5" s="14">
        <f t="shared" ref="M5:M27" si="1">J5+(J5*L5)</f>
        <v>33600</v>
      </c>
      <c r="N5" s="7">
        <f t="shared" ref="N5:N27" si="2">I5*M5</f>
        <v>30240</v>
      </c>
      <c r="O5" s="11" t="s">
        <v>19</v>
      </c>
      <c r="P5" s="13"/>
    </row>
    <row r="6" spans="2:16" ht="35.25" customHeight="1" x14ac:dyDescent="0.25">
      <c r="B6" s="8">
        <v>45822</v>
      </c>
      <c r="C6" s="3" t="s">
        <v>10</v>
      </c>
      <c r="D6" s="3" t="s">
        <v>11</v>
      </c>
      <c r="E6" s="3" t="s">
        <v>12</v>
      </c>
      <c r="F6" s="4" t="s">
        <v>20</v>
      </c>
      <c r="G6" s="4" t="s">
        <v>21</v>
      </c>
      <c r="H6" s="5" t="s">
        <v>15</v>
      </c>
      <c r="I6" s="6">
        <v>3</v>
      </c>
      <c r="J6" s="7">
        <v>18000</v>
      </c>
      <c r="K6" s="7">
        <f t="shared" si="0"/>
        <v>54000</v>
      </c>
      <c r="L6" s="9">
        <v>0.05</v>
      </c>
      <c r="M6" s="14">
        <f t="shared" si="1"/>
        <v>18900</v>
      </c>
      <c r="N6" s="7">
        <f t="shared" si="2"/>
        <v>56700</v>
      </c>
      <c r="O6" s="11" t="s">
        <v>16</v>
      </c>
      <c r="P6" s="13"/>
    </row>
    <row r="7" spans="2:16" ht="35.25" customHeight="1" x14ac:dyDescent="0.25">
      <c r="B7" s="8">
        <v>45822</v>
      </c>
      <c r="C7" s="3" t="s">
        <v>10</v>
      </c>
      <c r="D7" s="3" t="s">
        <v>11</v>
      </c>
      <c r="E7" s="3" t="s">
        <v>12</v>
      </c>
      <c r="F7" s="4" t="s">
        <v>22</v>
      </c>
      <c r="G7" s="4" t="s">
        <v>23</v>
      </c>
      <c r="H7" s="5" t="s">
        <v>15</v>
      </c>
      <c r="I7" s="6">
        <v>3</v>
      </c>
      <c r="J7" s="7">
        <v>14000</v>
      </c>
      <c r="K7" s="7">
        <f t="shared" si="0"/>
        <v>42000</v>
      </c>
      <c r="L7" s="9">
        <v>0.05</v>
      </c>
      <c r="M7" s="14">
        <f t="shared" si="1"/>
        <v>14700</v>
      </c>
      <c r="N7" s="7">
        <f t="shared" si="2"/>
        <v>44100</v>
      </c>
      <c r="O7" s="11" t="s">
        <v>16</v>
      </c>
      <c r="P7" s="13"/>
    </row>
    <row r="8" spans="2:16" ht="35.25" customHeight="1" x14ac:dyDescent="0.25">
      <c r="B8" s="8">
        <v>45822</v>
      </c>
      <c r="C8" s="3" t="s">
        <v>10</v>
      </c>
      <c r="D8" s="3" t="s">
        <v>11</v>
      </c>
      <c r="E8" s="3" t="s">
        <v>12</v>
      </c>
      <c r="F8" s="4" t="s">
        <v>24</v>
      </c>
      <c r="G8" s="4" t="s">
        <v>25</v>
      </c>
      <c r="H8" s="5" t="s">
        <v>15</v>
      </c>
      <c r="I8" s="6">
        <v>11</v>
      </c>
      <c r="J8" s="7">
        <v>13000</v>
      </c>
      <c r="K8" s="7">
        <f t="shared" si="0"/>
        <v>143000</v>
      </c>
      <c r="L8" s="9">
        <v>0.05</v>
      </c>
      <c r="M8" s="14">
        <f t="shared" si="1"/>
        <v>13650</v>
      </c>
      <c r="N8" s="7">
        <f t="shared" si="2"/>
        <v>150150</v>
      </c>
      <c r="O8" s="11" t="s">
        <v>16</v>
      </c>
      <c r="P8" s="13"/>
    </row>
    <row r="9" spans="2:16" ht="35.25" customHeight="1" x14ac:dyDescent="0.25">
      <c r="B9" s="8">
        <v>45822</v>
      </c>
      <c r="C9" s="3" t="s">
        <v>10</v>
      </c>
      <c r="D9" s="3" t="s">
        <v>11</v>
      </c>
      <c r="E9" s="3" t="s">
        <v>12</v>
      </c>
      <c r="F9" s="4" t="s">
        <v>26</v>
      </c>
      <c r="G9" s="4" t="s">
        <v>27</v>
      </c>
      <c r="H9" s="5" t="s">
        <v>15</v>
      </c>
      <c r="I9" s="6">
        <v>3</v>
      </c>
      <c r="J9" s="7">
        <v>15000</v>
      </c>
      <c r="K9" s="7">
        <f t="shared" si="0"/>
        <v>45000</v>
      </c>
      <c r="L9" s="9">
        <v>0.05</v>
      </c>
      <c r="M9" s="14">
        <f t="shared" si="1"/>
        <v>15750</v>
      </c>
      <c r="N9" s="7">
        <f t="shared" si="2"/>
        <v>47250</v>
      </c>
      <c r="O9" s="11" t="s">
        <v>16</v>
      </c>
      <c r="P9" s="13"/>
    </row>
    <row r="10" spans="2:16" ht="35.25" customHeight="1" x14ac:dyDescent="0.25">
      <c r="B10" s="8">
        <v>45822</v>
      </c>
      <c r="C10" s="3" t="s">
        <v>10</v>
      </c>
      <c r="D10" s="3" t="s">
        <v>11</v>
      </c>
      <c r="E10" s="3" t="s">
        <v>12</v>
      </c>
      <c r="F10" s="4" t="s">
        <v>28</v>
      </c>
      <c r="G10" s="4" t="s">
        <v>29</v>
      </c>
      <c r="H10" s="5" t="s">
        <v>15</v>
      </c>
      <c r="I10" s="6">
        <v>3.1</v>
      </c>
      <c r="J10" s="7">
        <v>22000</v>
      </c>
      <c r="K10" s="7">
        <f t="shared" si="0"/>
        <v>68200</v>
      </c>
      <c r="L10" s="9">
        <v>0.05</v>
      </c>
      <c r="M10" s="14">
        <f t="shared" si="1"/>
        <v>23100</v>
      </c>
      <c r="N10" s="7">
        <f t="shared" si="2"/>
        <v>71610</v>
      </c>
      <c r="O10" s="11" t="s">
        <v>16</v>
      </c>
      <c r="P10" s="13"/>
    </row>
    <row r="11" spans="2:16" ht="35.25" customHeight="1" x14ac:dyDescent="0.25">
      <c r="B11" s="8">
        <v>45822</v>
      </c>
      <c r="C11" s="3" t="s">
        <v>10</v>
      </c>
      <c r="D11" s="3" t="s">
        <v>11</v>
      </c>
      <c r="E11" s="3" t="s">
        <v>12</v>
      </c>
      <c r="F11" s="4" t="s">
        <v>30</v>
      </c>
      <c r="G11" s="4" t="s">
        <v>31</v>
      </c>
      <c r="H11" s="5" t="s">
        <v>15</v>
      </c>
      <c r="I11" s="6">
        <v>5</v>
      </c>
      <c r="J11" s="7">
        <v>10000</v>
      </c>
      <c r="K11" s="7">
        <f t="shared" si="0"/>
        <v>50000</v>
      </c>
      <c r="L11" s="9">
        <v>0.05</v>
      </c>
      <c r="M11" s="14">
        <f t="shared" si="1"/>
        <v>10500</v>
      </c>
      <c r="N11" s="7">
        <f t="shared" si="2"/>
        <v>52500</v>
      </c>
      <c r="O11" s="11" t="s">
        <v>16</v>
      </c>
      <c r="P11" s="13"/>
    </row>
    <row r="12" spans="2:16" ht="35.25" customHeight="1" x14ac:dyDescent="0.25">
      <c r="B12" s="8">
        <v>45822</v>
      </c>
      <c r="C12" s="3" t="s">
        <v>10</v>
      </c>
      <c r="D12" s="3" t="s">
        <v>11</v>
      </c>
      <c r="E12" s="3" t="s">
        <v>12</v>
      </c>
      <c r="F12" s="4" t="s">
        <v>32</v>
      </c>
      <c r="G12" s="4" t="s">
        <v>33</v>
      </c>
      <c r="H12" s="5" t="s">
        <v>15</v>
      </c>
      <c r="I12" s="6">
        <v>15</v>
      </c>
      <c r="J12" s="7">
        <v>16000</v>
      </c>
      <c r="K12" s="7">
        <f t="shared" si="0"/>
        <v>240000</v>
      </c>
      <c r="L12" s="9">
        <v>0.05</v>
      </c>
      <c r="M12" s="14">
        <f t="shared" si="1"/>
        <v>16800</v>
      </c>
      <c r="N12" s="7">
        <f t="shared" si="2"/>
        <v>252000</v>
      </c>
      <c r="O12" s="11" t="s">
        <v>16</v>
      </c>
      <c r="P12" s="13"/>
    </row>
    <row r="13" spans="2:16" ht="35.25" customHeight="1" x14ac:dyDescent="0.25">
      <c r="B13" s="8">
        <v>45822</v>
      </c>
      <c r="C13" s="3" t="s">
        <v>10</v>
      </c>
      <c r="D13" s="3" t="s">
        <v>11</v>
      </c>
      <c r="E13" s="3" t="s">
        <v>12</v>
      </c>
      <c r="F13" s="4" t="s">
        <v>34</v>
      </c>
      <c r="G13" s="4" t="s">
        <v>35</v>
      </c>
      <c r="H13" s="5" t="s">
        <v>15</v>
      </c>
      <c r="I13" s="6">
        <v>2</v>
      </c>
      <c r="J13" s="7">
        <v>16000</v>
      </c>
      <c r="K13" s="7">
        <f t="shared" si="0"/>
        <v>32000</v>
      </c>
      <c r="L13" s="9">
        <v>0.05</v>
      </c>
      <c r="M13" s="14">
        <f t="shared" si="1"/>
        <v>16800</v>
      </c>
      <c r="N13" s="7">
        <f t="shared" si="2"/>
        <v>33600</v>
      </c>
      <c r="O13" s="11" t="s">
        <v>16</v>
      </c>
      <c r="P13" s="13"/>
    </row>
    <row r="14" spans="2:16" ht="35.25" customHeight="1" x14ac:dyDescent="0.25">
      <c r="B14" s="8">
        <v>45822</v>
      </c>
      <c r="C14" s="3" t="s">
        <v>10</v>
      </c>
      <c r="D14" s="3" t="s">
        <v>11</v>
      </c>
      <c r="E14" s="3" t="s">
        <v>12</v>
      </c>
      <c r="F14" s="4" t="s">
        <v>36</v>
      </c>
      <c r="G14" s="4" t="s">
        <v>37</v>
      </c>
      <c r="H14" s="5" t="s">
        <v>38</v>
      </c>
      <c r="I14" s="6">
        <v>20</v>
      </c>
      <c r="J14" s="7">
        <v>11000</v>
      </c>
      <c r="K14" s="7">
        <f t="shared" si="0"/>
        <v>220000</v>
      </c>
      <c r="L14" s="9">
        <v>0.05</v>
      </c>
      <c r="M14" s="14">
        <f t="shared" si="1"/>
        <v>11550</v>
      </c>
      <c r="N14" s="7">
        <f t="shared" si="2"/>
        <v>231000</v>
      </c>
      <c r="O14" s="11" t="s">
        <v>16</v>
      </c>
      <c r="P14" s="13"/>
    </row>
    <row r="15" spans="2:16" ht="35.25" customHeight="1" x14ac:dyDescent="0.25">
      <c r="B15" s="8">
        <v>45822</v>
      </c>
      <c r="C15" s="3" t="s">
        <v>10</v>
      </c>
      <c r="D15" s="3" t="s">
        <v>11</v>
      </c>
      <c r="E15" s="3" t="s">
        <v>12</v>
      </c>
      <c r="F15" s="4" t="s">
        <v>39</v>
      </c>
      <c r="G15" s="4" t="s">
        <v>40</v>
      </c>
      <c r="H15" s="5" t="s">
        <v>15</v>
      </c>
      <c r="I15" s="6">
        <v>2</v>
      </c>
      <c r="J15" s="7">
        <v>35000</v>
      </c>
      <c r="K15" s="7">
        <f t="shared" si="0"/>
        <v>70000</v>
      </c>
      <c r="L15" s="9">
        <v>0.05</v>
      </c>
      <c r="M15" s="14">
        <f t="shared" si="1"/>
        <v>36750</v>
      </c>
      <c r="N15" s="7">
        <f t="shared" si="2"/>
        <v>73500</v>
      </c>
      <c r="O15" s="11" t="s">
        <v>16</v>
      </c>
      <c r="P15" s="13"/>
    </row>
    <row r="16" spans="2:16" ht="35.25" customHeight="1" x14ac:dyDescent="0.25">
      <c r="B16" s="8">
        <v>45822</v>
      </c>
      <c r="C16" s="3" t="s">
        <v>10</v>
      </c>
      <c r="D16" s="3" t="s">
        <v>11</v>
      </c>
      <c r="E16" s="3" t="s">
        <v>12</v>
      </c>
      <c r="F16" s="4" t="s">
        <v>41</v>
      </c>
      <c r="G16" s="4" t="s">
        <v>42</v>
      </c>
      <c r="H16" s="5" t="s">
        <v>15</v>
      </c>
      <c r="I16" s="6">
        <v>4.3</v>
      </c>
      <c r="J16" s="7">
        <v>22000</v>
      </c>
      <c r="K16" s="7">
        <f t="shared" si="0"/>
        <v>94600</v>
      </c>
      <c r="L16" s="9">
        <v>0.05</v>
      </c>
      <c r="M16" s="14">
        <f t="shared" si="1"/>
        <v>23100</v>
      </c>
      <c r="N16" s="7">
        <f t="shared" si="2"/>
        <v>99330</v>
      </c>
      <c r="O16" s="11" t="s">
        <v>16</v>
      </c>
      <c r="P16" s="13"/>
    </row>
    <row r="17" spans="2:16" ht="35.25" customHeight="1" x14ac:dyDescent="0.25">
      <c r="B17" s="8">
        <v>45822</v>
      </c>
      <c r="C17" s="3" t="s">
        <v>10</v>
      </c>
      <c r="D17" s="3" t="s">
        <v>11</v>
      </c>
      <c r="E17" s="3" t="s">
        <v>12</v>
      </c>
      <c r="F17" s="4" t="s">
        <v>43</v>
      </c>
      <c r="G17" s="4" t="s">
        <v>44</v>
      </c>
      <c r="H17" s="5" t="s">
        <v>15</v>
      </c>
      <c r="I17" s="6">
        <v>3</v>
      </c>
      <c r="J17" s="7">
        <v>42000</v>
      </c>
      <c r="K17" s="7">
        <f t="shared" si="0"/>
        <v>126000</v>
      </c>
      <c r="L17" s="9">
        <v>0.05</v>
      </c>
      <c r="M17" s="14">
        <f t="shared" si="1"/>
        <v>44100</v>
      </c>
      <c r="N17" s="7">
        <f t="shared" si="2"/>
        <v>132300</v>
      </c>
      <c r="O17" s="11" t="s">
        <v>16</v>
      </c>
      <c r="P17" s="13"/>
    </row>
    <row r="18" spans="2:16" ht="35.25" customHeight="1" x14ac:dyDescent="0.25">
      <c r="B18" s="8">
        <v>45822</v>
      </c>
      <c r="C18" s="3" t="s">
        <v>10</v>
      </c>
      <c r="D18" s="3" t="s">
        <v>11</v>
      </c>
      <c r="E18" s="3" t="s">
        <v>12</v>
      </c>
      <c r="F18" s="4" t="s">
        <v>45</v>
      </c>
      <c r="G18" s="4" t="s">
        <v>46</v>
      </c>
      <c r="H18" s="5" t="s">
        <v>15</v>
      </c>
      <c r="I18" s="6">
        <v>1.5</v>
      </c>
      <c r="J18" s="7">
        <v>45000</v>
      </c>
      <c r="K18" s="7">
        <f t="shared" si="0"/>
        <v>67500</v>
      </c>
      <c r="L18" s="9">
        <v>0.05</v>
      </c>
      <c r="M18" s="14">
        <f t="shared" si="1"/>
        <v>47250</v>
      </c>
      <c r="N18" s="7">
        <f t="shared" si="2"/>
        <v>70875</v>
      </c>
      <c r="O18" s="11" t="s">
        <v>16</v>
      </c>
      <c r="P18" s="13"/>
    </row>
    <row r="19" spans="2:16" ht="35.25" customHeight="1" x14ac:dyDescent="0.25">
      <c r="B19" s="8">
        <v>45822</v>
      </c>
      <c r="C19" s="3" t="s">
        <v>10</v>
      </c>
      <c r="D19" s="3" t="s">
        <v>11</v>
      </c>
      <c r="E19" s="3" t="s">
        <v>12</v>
      </c>
      <c r="F19" s="4" t="s">
        <v>47</v>
      </c>
      <c r="G19" s="4" t="s">
        <v>48</v>
      </c>
      <c r="H19" s="5" t="s">
        <v>15</v>
      </c>
      <c r="I19" s="6">
        <v>1.5</v>
      </c>
      <c r="J19" s="7">
        <v>35000</v>
      </c>
      <c r="K19" s="7">
        <f t="shared" si="0"/>
        <v>52500</v>
      </c>
      <c r="L19" s="9">
        <v>0.05</v>
      </c>
      <c r="M19" s="14">
        <f t="shared" si="1"/>
        <v>36750</v>
      </c>
      <c r="N19" s="7">
        <f t="shared" si="2"/>
        <v>55125</v>
      </c>
      <c r="O19" s="11" t="s">
        <v>16</v>
      </c>
      <c r="P19" s="13"/>
    </row>
    <row r="20" spans="2:16" ht="35.25" customHeight="1" x14ac:dyDescent="0.25">
      <c r="B20" s="8">
        <v>45822</v>
      </c>
      <c r="C20" s="3" t="s">
        <v>10</v>
      </c>
      <c r="D20" s="3" t="s">
        <v>11</v>
      </c>
      <c r="E20" s="3" t="s">
        <v>12</v>
      </c>
      <c r="F20" s="4" t="s">
        <v>49</v>
      </c>
      <c r="G20" s="4" t="s">
        <v>50</v>
      </c>
      <c r="H20" s="5" t="s">
        <v>15</v>
      </c>
      <c r="I20" s="6">
        <v>2</v>
      </c>
      <c r="J20" s="7">
        <v>33000</v>
      </c>
      <c r="K20" s="7">
        <f t="shared" si="0"/>
        <v>66000</v>
      </c>
      <c r="L20" s="9">
        <v>0.05</v>
      </c>
      <c r="M20" s="14">
        <f t="shared" si="1"/>
        <v>34650</v>
      </c>
      <c r="N20" s="7">
        <f t="shared" si="2"/>
        <v>69300</v>
      </c>
      <c r="O20" s="11" t="s">
        <v>16</v>
      </c>
      <c r="P20" s="13"/>
    </row>
    <row r="21" spans="2:16" ht="35.25" customHeight="1" x14ac:dyDescent="0.25">
      <c r="B21" s="8">
        <v>45822</v>
      </c>
      <c r="C21" s="3" t="s">
        <v>10</v>
      </c>
      <c r="D21" s="3" t="s">
        <v>11</v>
      </c>
      <c r="E21" s="3" t="s">
        <v>12</v>
      </c>
      <c r="F21" s="4" t="s">
        <v>51</v>
      </c>
      <c r="G21" s="4" t="s">
        <v>52</v>
      </c>
      <c r="H21" s="5" t="s">
        <v>15</v>
      </c>
      <c r="I21" s="6">
        <v>1.1000000000000001</v>
      </c>
      <c r="J21" s="7">
        <v>16000</v>
      </c>
      <c r="K21" s="7">
        <f t="shared" si="0"/>
        <v>17600</v>
      </c>
      <c r="L21" s="9">
        <v>0.05</v>
      </c>
      <c r="M21" s="14">
        <f t="shared" si="1"/>
        <v>16800</v>
      </c>
      <c r="N21" s="7">
        <f t="shared" si="2"/>
        <v>18480</v>
      </c>
      <c r="O21" s="11" t="s">
        <v>53</v>
      </c>
      <c r="P21" s="13"/>
    </row>
    <row r="22" spans="2:16" ht="35.25" customHeight="1" x14ac:dyDescent="0.25">
      <c r="B22" s="8">
        <v>45822</v>
      </c>
      <c r="C22" s="3" t="s">
        <v>10</v>
      </c>
      <c r="D22" s="3" t="s">
        <v>11</v>
      </c>
      <c r="E22" s="3" t="s">
        <v>12</v>
      </c>
      <c r="F22" s="4" t="s">
        <v>54</v>
      </c>
      <c r="G22" s="4" t="s">
        <v>55</v>
      </c>
      <c r="H22" s="5" t="s">
        <v>15</v>
      </c>
      <c r="I22" s="6">
        <v>3</v>
      </c>
      <c r="J22" s="7">
        <v>16000</v>
      </c>
      <c r="K22" s="7">
        <f t="shared" si="0"/>
        <v>48000</v>
      </c>
      <c r="L22" s="9">
        <v>0.05</v>
      </c>
      <c r="M22" s="14">
        <f t="shared" si="1"/>
        <v>16800</v>
      </c>
      <c r="N22" s="7">
        <f t="shared" si="2"/>
        <v>50400</v>
      </c>
      <c r="O22" s="11" t="s">
        <v>16</v>
      </c>
      <c r="P22" s="13"/>
    </row>
    <row r="23" spans="2:16" ht="35.25" customHeight="1" x14ac:dyDescent="0.25">
      <c r="B23" s="8">
        <v>45822</v>
      </c>
      <c r="C23" s="3" t="s">
        <v>10</v>
      </c>
      <c r="D23" s="3" t="s">
        <v>11</v>
      </c>
      <c r="E23" s="3" t="s">
        <v>12</v>
      </c>
      <c r="F23" s="4" t="s">
        <v>56</v>
      </c>
      <c r="G23" s="4" t="s">
        <v>57</v>
      </c>
      <c r="H23" s="5" t="s">
        <v>15</v>
      </c>
      <c r="I23" s="6">
        <v>5</v>
      </c>
      <c r="J23" s="7">
        <v>34000</v>
      </c>
      <c r="K23" s="7">
        <f t="shared" si="0"/>
        <v>170000</v>
      </c>
      <c r="L23" s="9">
        <v>0.05</v>
      </c>
      <c r="M23" s="14">
        <f t="shared" si="1"/>
        <v>35700</v>
      </c>
      <c r="N23" s="7">
        <f t="shared" si="2"/>
        <v>178500</v>
      </c>
      <c r="O23" s="11" t="s">
        <v>16</v>
      </c>
      <c r="P23" s="13"/>
    </row>
    <row r="24" spans="2:16" ht="35.25" customHeight="1" x14ac:dyDescent="0.25">
      <c r="B24" s="8">
        <v>45822</v>
      </c>
      <c r="C24" s="3" t="s">
        <v>10</v>
      </c>
      <c r="D24" s="3" t="s">
        <v>11</v>
      </c>
      <c r="E24" s="3" t="s">
        <v>12</v>
      </c>
      <c r="F24" s="4" t="s">
        <v>58</v>
      </c>
      <c r="G24" s="4" t="s">
        <v>59</v>
      </c>
      <c r="H24" s="5" t="s">
        <v>15</v>
      </c>
      <c r="I24" s="6">
        <v>2.2000000000000002</v>
      </c>
      <c r="J24" s="7">
        <v>18000</v>
      </c>
      <c r="K24" s="7">
        <f t="shared" si="0"/>
        <v>39600</v>
      </c>
      <c r="L24" s="9">
        <v>0.05</v>
      </c>
      <c r="M24" s="14">
        <f t="shared" si="1"/>
        <v>18900</v>
      </c>
      <c r="N24" s="7">
        <f t="shared" si="2"/>
        <v>41580</v>
      </c>
      <c r="O24" s="11" t="s">
        <v>16</v>
      </c>
      <c r="P24" s="13"/>
    </row>
    <row r="25" spans="2:16" ht="35.25" customHeight="1" x14ac:dyDescent="0.25">
      <c r="B25" s="8">
        <v>45822</v>
      </c>
      <c r="C25" s="3" t="s">
        <v>10</v>
      </c>
      <c r="D25" s="3" t="s">
        <v>11</v>
      </c>
      <c r="E25" s="3" t="s">
        <v>12</v>
      </c>
      <c r="F25" s="4" t="s">
        <v>60</v>
      </c>
      <c r="G25" s="4" t="s">
        <v>61</v>
      </c>
      <c r="H25" s="5" t="s">
        <v>62</v>
      </c>
      <c r="I25" s="6">
        <v>2</v>
      </c>
      <c r="J25" s="7">
        <v>30000</v>
      </c>
      <c r="K25" s="7">
        <f t="shared" si="0"/>
        <v>60000</v>
      </c>
      <c r="L25" s="9">
        <v>0.05</v>
      </c>
      <c r="M25" s="14">
        <f t="shared" si="1"/>
        <v>31500</v>
      </c>
      <c r="N25" s="7">
        <f t="shared" si="2"/>
        <v>63000</v>
      </c>
      <c r="O25" s="11" t="s">
        <v>16</v>
      </c>
      <c r="P25" s="13"/>
    </row>
    <row r="26" spans="2:16" ht="35.25" customHeight="1" x14ac:dyDescent="0.25">
      <c r="B26" s="8">
        <v>45822</v>
      </c>
      <c r="C26" s="3" t="s">
        <v>10</v>
      </c>
      <c r="D26" s="3" t="s">
        <v>11</v>
      </c>
      <c r="E26" s="3" t="s">
        <v>12</v>
      </c>
      <c r="F26" s="4" t="s">
        <v>63</v>
      </c>
      <c r="G26" s="4" t="s">
        <v>64</v>
      </c>
      <c r="H26" s="5" t="s">
        <v>15</v>
      </c>
      <c r="I26" s="6">
        <v>15</v>
      </c>
      <c r="J26" s="7">
        <v>30000</v>
      </c>
      <c r="K26" s="7">
        <f t="shared" si="0"/>
        <v>450000</v>
      </c>
      <c r="L26" s="9">
        <v>0.05</v>
      </c>
      <c r="M26" s="14">
        <f t="shared" si="1"/>
        <v>31500</v>
      </c>
      <c r="N26" s="7">
        <f t="shared" si="2"/>
        <v>472500</v>
      </c>
      <c r="O26" s="11" t="s">
        <v>16</v>
      </c>
      <c r="P26" s="13"/>
    </row>
    <row r="27" spans="2:16" ht="35.25" customHeight="1" x14ac:dyDescent="0.25">
      <c r="B27" s="8">
        <v>45822</v>
      </c>
      <c r="C27" s="3" t="s">
        <v>10</v>
      </c>
      <c r="D27" s="3" t="s">
        <v>11</v>
      </c>
      <c r="E27" s="3" t="s">
        <v>12</v>
      </c>
      <c r="F27" s="4" t="s">
        <v>65</v>
      </c>
      <c r="G27" s="4" t="s">
        <v>66</v>
      </c>
      <c r="H27" s="5" t="s">
        <v>15</v>
      </c>
      <c r="I27" s="6">
        <v>10</v>
      </c>
      <c r="J27" s="7">
        <v>25000</v>
      </c>
      <c r="K27" s="7">
        <f t="shared" si="0"/>
        <v>250000</v>
      </c>
      <c r="L27" s="9">
        <v>0.05</v>
      </c>
      <c r="M27" s="14">
        <f t="shared" si="1"/>
        <v>26250</v>
      </c>
      <c r="N27" s="7">
        <f t="shared" si="2"/>
        <v>262500</v>
      </c>
      <c r="O27" s="11" t="s">
        <v>16</v>
      </c>
      <c r="P27" s="13"/>
    </row>
    <row r="28" spans="2:16" s="15" customFormat="1" ht="18.75" x14ac:dyDescent="0.3">
      <c r="B28" s="15" t="s">
        <v>68</v>
      </c>
      <c r="N28" s="10">
        <f>SUM(N4:N27)</f>
        <v>2596965</v>
      </c>
    </row>
  </sheetData>
  <mergeCells count="1">
    <mergeCell ref="P4:P27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CÔNG NỢ THEO NGÀY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Hp6300</cp:lastModifiedBy>
  <dcterms:created xsi:type="dcterms:W3CDTF">2025-06-23T04:51:21Z</dcterms:created>
  <dcterms:modified xsi:type="dcterms:W3CDTF">2025-07-11T02:55:48Z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