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D:\TRAN GIA 2026\XAY DUNG FILE TONG HOP\"/>
    </mc:Choice>
  </mc:AlternateContent>
  <xr:revisionPtr revIDLastSave="0" documentId="13_ncr:1_{7AC13BED-5DF1-41F5-B8A7-05447F6C4600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sheet1!$A$1:$X$4</definedName>
  </definedNames>
  <calcPr calcId="181029"/>
</workbook>
</file>

<file path=xl/calcChain.xml><?xml version="1.0" encoding="utf-8"?>
<calcChain xmlns="http://schemas.openxmlformats.org/spreadsheetml/2006/main">
  <c r="S3" i="1" l="1"/>
  <c r="L3" i="1" s="1"/>
  <c r="S4" i="1"/>
  <c r="L4" i="1" s="1"/>
  <c r="S2" i="1"/>
  <c r="L2" i="1" s="1"/>
  <c r="H3" i="1" l="1"/>
  <c r="H4" i="1"/>
  <c r="H2" i="1"/>
</calcChain>
</file>

<file path=xl/sharedStrings.xml><?xml version="1.0" encoding="utf-8"?>
<sst xmlns="http://schemas.openxmlformats.org/spreadsheetml/2006/main" count="1507" uniqueCount="610">
  <si>
    <t>NGÀY</t>
  </si>
  <si>
    <t>MÃ NCC</t>
  </si>
  <si>
    <t>TÊN NHÀ CUNG CẤP</t>
  </si>
  <si>
    <t>MÃ SẢN PHẨM</t>
  </si>
  <si>
    <t>TÊN SẢN PHẨM</t>
  </si>
  <si>
    <t>ĐVT</t>
  </si>
  <si>
    <t>SL ĐẶT (NHÀ CC)</t>
  </si>
  <si>
    <t>SL CẦN ĐẶT (GỢI Ý)</t>
  </si>
  <si>
    <t>GHI CHÚ</t>
  </si>
  <si>
    <t>TỔNG ĐẶT (KHÁCH)</t>
  </si>
  <si>
    <t>TỔNG BÁN (GIAO)</t>
  </si>
  <si>
    <t>TỒN HỆ THỐNG</t>
  </si>
  <si>
    <t>TỔNG TỒN (CÁC KHO)</t>
  </si>
  <si>
    <t>CHÊNH LỆCH</t>
  </si>
  <si>
    <t>TG-LONG AN</t>
  </si>
  <si>
    <t>BỔ SUNG</t>
  </si>
  <si>
    <t>TG-ĐÀ LẠT</t>
  </si>
  <si>
    <t>KHO TỔNG - HCM</t>
  </si>
  <si>
    <t>SG1</t>
  </si>
  <si>
    <t>SG2</t>
  </si>
  <si>
    <t>TỈ LỆ HAO HỤT (%)</t>
  </si>
  <si>
    <t>SL HAO HỤT</t>
  </si>
  <si>
    <t>TG-NCC0065</t>
  </si>
  <si>
    <t>THỦY CẦU MUỐI</t>
  </si>
  <si>
    <t>I100730</t>
  </si>
  <si>
    <t>Hành tím bắc lột</t>
  </si>
  <si>
    <t>Kg</t>
  </si>
  <si>
    <t>TG-NCC0003</t>
  </si>
  <si>
    <t>Năm Nấm</t>
  </si>
  <si>
    <t>I100738</t>
  </si>
  <si>
    <t>Nấm kim châm gói (200g)</t>
  </si>
  <si>
    <t>Gói</t>
  </si>
  <si>
    <t>TG-NCC0014</t>
  </si>
  <si>
    <t>Thơm</t>
  </si>
  <si>
    <t>I100891</t>
  </si>
  <si>
    <t>Thơm chín</t>
  </si>
  <si>
    <t>Trái</t>
  </si>
  <si>
    <t>TG-NCC00233</t>
  </si>
  <si>
    <t>MƯỜI GỪNG</t>
  </si>
  <si>
    <t>TG-NCC0018</t>
  </si>
  <si>
    <t>MẠNH ĐẬU HỦ</t>
  </si>
  <si>
    <t>Miếng</t>
  </si>
  <si>
    <t>2026-04-06</t>
  </si>
  <si>
    <t>TG-NCC0032</t>
  </si>
  <si>
    <t>Tư bún</t>
  </si>
  <si>
    <t>I100251</t>
  </si>
  <si>
    <t>Bánh phở</t>
  </si>
  <si>
    <t>TG-NCC0218</t>
  </si>
  <si>
    <t>Phạm Ngọc An Thu mua (TG)</t>
  </si>
  <si>
    <t>I100266</t>
  </si>
  <si>
    <t>Hủ tiếu xào</t>
  </si>
  <si>
    <t>I100256</t>
  </si>
  <si>
    <t>Bún nhỏ</t>
  </si>
  <si>
    <t>TG-NCC0058</t>
  </si>
  <si>
    <t>BẢO TIÊN - TRẦN GIA</t>
  </si>
  <si>
    <t>I100043</t>
  </si>
  <si>
    <t>Cải bẹ xanh có gốc</t>
  </si>
  <si>
    <t>TG-NCC0057</t>
  </si>
  <si>
    <t>QUẢNG VỰA ỚT</t>
  </si>
  <si>
    <t>I100209</t>
  </si>
  <si>
    <t>Xà lách romain</t>
  </si>
  <si>
    <t>I100186</t>
  </si>
  <si>
    <t>Rau muống lá</t>
  </si>
  <si>
    <t>TG-NCC0029</t>
  </si>
  <si>
    <t>TRÁI CÂY PHƯỢNG HẰNG</t>
  </si>
  <si>
    <t>Bó</t>
  </si>
  <si>
    <t>TG-NCC0006</t>
  </si>
  <si>
    <t>Gái Hành Lá</t>
  </si>
  <si>
    <t>I100112</t>
  </si>
  <si>
    <t>Húng cây</t>
  </si>
  <si>
    <t>TG-NCC00243</t>
  </si>
  <si>
    <t>ANH VĂN L2.1</t>
  </si>
  <si>
    <t>I100045</t>
  </si>
  <si>
    <t>Cải Hongkong(Cai ngong)</t>
  </si>
  <si>
    <t>TG-NCC0005</t>
  </si>
  <si>
    <t>Bảy Đẩu</t>
  </si>
  <si>
    <t>TG-NCC0027</t>
  </si>
  <si>
    <t>GIÁ</t>
  </si>
  <si>
    <t>I100094</t>
  </si>
  <si>
    <t>Giá tươi</t>
  </si>
  <si>
    <t>TG-NCC0008</t>
  </si>
  <si>
    <t>CHÍN ỚT CHUÔNG</t>
  </si>
  <si>
    <t>I100160</t>
  </si>
  <si>
    <t>Ngò tây</t>
  </si>
  <si>
    <t>I100099</t>
  </si>
  <si>
    <t>Hành Paro</t>
  </si>
  <si>
    <t>I100932</t>
  </si>
  <si>
    <t>z_Phí ship 40_z</t>
  </si>
  <si>
    <t>Lần</t>
  </si>
  <si>
    <t>Hộp</t>
  </si>
  <si>
    <t>I100018</t>
  </si>
  <si>
    <t>Bó xôi (Nhà Lồng)</t>
  </si>
  <si>
    <t>I100009</t>
  </si>
  <si>
    <t>Bắp non tươi</t>
  </si>
  <si>
    <t>TG-NCC0004</t>
  </si>
  <si>
    <t>A Bằng Cần Nước</t>
  </si>
  <si>
    <t>TG-NCC0002</t>
  </si>
  <si>
    <t>CHỊ BÉ RAU MUỐNG</t>
  </si>
  <si>
    <t>I100177</t>
  </si>
  <si>
    <t>Rau đay</t>
  </si>
  <si>
    <t>I100153</t>
  </si>
  <si>
    <t>Nghệ tươi</t>
  </si>
  <si>
    <t>TG-NCC0010</t>
  </si>
  <si>
    <t>Nga Nấm</t>
  </si>
  <si>
    <t>I100234</t>
  </si>
  <si>
    <t>Nấm bào ngư trắng</t>
  </si>
  <si>
    <t>I100201</t>
  </si>
  <si>
    <t>Xà lách Big Frisse</t>
  </si>
  <si>
    <t>I100175</t>
  </si>
  <si>
    <t>Rau càng cua</t>
  </si>
  <si>
    <t>I100217</t>
  </si>
  <si>
    <t>Tần ô</t>
  </si>
  <si>
    <t>I100208</t>
  </si>
  <si>
    <t>Xà lách Radichio</t>
  </si>
  <si>
    <t>I100555</t>
  </si>
  <si>
    <t>Hành hương làm sạch</t>
  </si>
  <si>
    <t>I100248</t>
  </si>
  <si>
    <t>Bánh Canh Bột Gạo</t>
  </si>
  <si>
    <t>I100174</t>
  </si>
  <si>
    <t>Rau bù ngót</t>
  </si>
  <si>
    <t>I100255</t>
  </si>
  <si>
    <t>Bún bò</t>
  </si>
  <si>
    <t>I100262</t>
  </si>
  <si>
    <t>Đậu hủ trắng Ichiban</t>
  </si>
  <si>
    <t>Cây</t>
  </si>
  <si>
    <t>I100235</t>
  </si>
  <si>
    <t>Nấm bào ngư xám</t>
  </si>
  <si>
    <t>I100257</t>
  </si>
  <si>
    <t>Bún nhuyễn</t>
  </si>
  <si>
    <t>I100495</t>
  </si>
  <si>
    <t>Nước cốt dừa</t>
  </si>
  <si>
    <t>Lít</t>
  </si>
  <si>
    <t>I100265</t>
  </si>
  <si>
    <t>Hủ tiếu dai</t>
  </si>
  <si>
    <t>I100245</t>
  </si>
  <si>
    <t>Nấm rơm</t>
  </si>
  <si>
    <t>I100057</t>
  </si>
  <si>
    <t>Cần tây</t>
  </si>
  <si>
    <t>I100258</t>
  </si>
  <si>
    <t>Bánh Canh Bột Lọc</t>
  </si>
  <si>
    <t>I100163</t>
  </si>
  <si>
    <t>Ớt Batri (Cay)</t>
  </si>
  <si>
    <t>I100222</t>
  </si>
  <si>
    <t>Tiêu xanh Tươi</t>
  </si>
  <si>
    <t>I100263</t>
  </si>
  <si>
    <t>Đậu hủ trứng Ichiban</t>
  </si>
  <si>
    <t>I100418</t>
  </si>
  <si>
    <t>Cá lóc</t>
  </si>
  <si>
    <t>I100025</t>
  </si>
  <si>
    <t>Bông cải xanh Baby</t>
  </si>
  <si>
    <t>I100187</t>
  </si>
  <si>
    <t>Rau nhút</t>
  </si>
  <si>
    <t>I100260</t>
  </si>
  <si>
    <t>Đậu hủ miếng trắng</t>
  </si>
  <si>
    <t>I100037</t>
  </si>
  <si>
    <t>Cà pháo muối</t>
  </si>
  <si>
    <t>I100074</t>
  </si>
  <si>
    <t>Củ sen</t>
  </si>
  <si>
    <t>I100252</t>
  </si>
  <si>
    <t>Bánh tráng pía tươi</t>
  </si>
  <si>
    <t>Xấp</t>
  </si>
  <si>
    <t>TG-NCC00259</t>
  </si>
  <si>
    <t>CHỊ HÀ DỪA TƯƠI</t>
  </si>
  <si>
    <t>I100482</t>
  </si>
  <si>
    <t>Dừa tươi</t>
  </si>
  <si>
    <t>I100188</t>
  </si>
  <si>
    <t>Rau nước mát</t>
  </si>
  <si>
    <t>I100580</t>
  </si>
  <si>
    <t>Cải bẹ xanh nước</t>
  </si>
  <si>
    <t>I100533</t>
  </si>
  <si>
    <t>Củ nén</t>
  </si>
  <si>
    <t>I100481</t>
  </si>
  <si>
    <t>Dừa nạo</t>
  </si>
  <si>
    <t>I100268</t>
  </si>
  <si>
    <t>Mì Quảng</t>
  </si>
  <si>
    <t>I100360</t>
  </si>
  <si>
    <t>Dừa xiêm</t>
  </si>
  <si>
    <t>I100253</t>
  </si>
  <si>
    <t>Bánh ướt</t>
  </si>
  <si>
    <t>I101156</t>
  </si>
  <si>
    <t>Mì vắt (Kg)</t>
  </si>
  <si>
    <t>I100032</t>
  </si>
  <si>
    <t>Bông thiên lý</t>
  </si>
  <si>
    <t>I100970</t>
  </si>
  <si>
    <t>Nấm mối đen</t>
  </si>
  <si>
    <t>TG-NCC0031</t>
  </si>
  <si>
    <t>ANH ĐĂNG</t>
  </si>
  <si>
    <t>TG-NCC0001</t>
  </si>
  <si>
    <t>Tỏi Bình minh</t>
  </si>
  <si>
    <t>TG-NCC00245</t>
  </si>
  <si>
    <t>THU NGUYỆT TRÁI CÂY</t>
  </si>
  <si>
    <t>TG-NCC0007</t>
  </si>
  <si>
    <t>Trung Đậu Bắp</t>
  </si>
  <si>
    <t>TG-NCC0051</t>
  </si>
  <si>
    <t>MƠ - THÚY N2-18</t>
  </si>
  <si>
    <t>TG-NCC0021</t>
  </si>
  <si>
    <t>TUYẾN TÂM</t>
  </si>
  <si>
    <t>kg</t>
  </si>
  <si>
    <t>TG-NCC0064</t>
  </si>
  <si>
    <t>THI CỦ CẢI</t>
  </si>
  <si>
    <t>TG-NCC0012</t>
  </si>
  <si>
    <t>BẰNG KHOAI</t>
  </si>
  <si>
    <t>TG-NCC00258</t>
  </si>
  <si>
    <t>THƯỞNG H2-19</t>
  </si>
  <si>
    <t>TG-NCC0011</t>
  </si>
  <si>
    <t>Cô Tí Chanh</t>
  </si>
  <si>
    <t>TG-NCC0039</t>
  </si>
  <si>
    <t>SANG ĐU ĐỦ</t>
  </si>
  <si>
    <t>trái</t>
  </si>
  <si>
    <t>I100626</t>
  </si>
  <si>
    <t>Rau má nhỏ</t>
  </si>
  <si>
    <t>I100278</t>
  </si>
  <si>
    <t>Cà rốt bào</t>
  </si>
  <si>
    <t>I100197</t>
  </si>
  <si>
    <t>Sả bào</t>
  </si>
  <si>
    <t>I100631</t>
  </si>
  <si>
    <t>Ngải Bún</t>
  </si>
  <si>
    <t>I100210</t>
  </si>
  <si>
    <t>Xà lách son nhỏ</t>
  </si>
  <si>
    <t>I100184</t>
  </si>
  <si>
    <t>Rau muống cọng</t>
  </si>
  <si>
    <t>I100573</t>
  </si>
  <si>
    <t>Đinh Lăng</t>
  </si>
  <si>
    <t>I100431</t>
  </si>
  <si>
    <t>Chả lụa</t>
  </si>
  <si>
    <t>I100501</t>
  </si>
  <si>
    <t>Sơ ri</t>
  </si>
  <si>
    <t>I100085</t>
  </si>
  <si>
    <t>Đọt rau lang</t>
  </si>
  <si>
    <t>I100111</t>
  </si>
  <si>
    <t>Hẹ lá</t>
  </si>
  <si>
    <t>I100465</t>
  </si>
  <si>
    <t>Bơ trái</t>
  </si>
  <si>
    <t>I100176</t>
  </si>
  <si>
    <t>Rau đắng</t>
  </si>
  <si>
    <t>I100780</t>
  </si>
  <si>
    <t>Bột bán</t>
  </si>
  <si>
    <t>I101150</t>
  </si>
  <si>
    <t>Bún lá</t>
  </si>
  <si>
    <t>I100081</t>
  </si>
  <si>
    <t>Đậu rồng</t>
  </si>
  <si>
    <t>I100511</t>
  </si>
  <si>
    <t>Xoài Keo</t>
  </si>
  <si>
    <t>I100211</t>
  </si>
  <si>
    <t>Xà lách son Đà Lạt</t>
  </si>
  <si>
    <t>I100597</t>
  </si>
  <si>
    <t>Khoai môn sáp</t>
  </si>
  <si>
    <t>I100882</t>
  </si>
  <si>
    <t>Mì gói kg</t>
  </si>
  <si>
    <t>I100500</t>
  </si>
  <si>
    <t>Quýt</t>
  </si>
  <si>
    <t>I100472</t>
  </si>
  <si>
    <t>Chuối chín</t>
  </si>
  <si>
    <t>I100491</t>
  </si>
  <si>
    <t>Mận</t>
  </si>
  <si>
    <t>I100110</t>
  </si>
  <si>
    <t>Hạt sen tươi</t>
  </si>
  <si>
    <t>I100143</t>
  </si>
  <si>
    <t>Măng chua trắng</t>
  </si>
  <si>
    <t>I100051</t>
  </si>
  <si>
    <t>Cải thảo</t>
  </si>
  <si>
    <t>I100136</t>
  </si>
  <si>
    <t>Lá dứa</t>
  </si>
  <si>
    <t>I100212</t>
  </si>
  <si>
    <t>Xà lách Rocket</t>
  </si>
  <si>
    <t>I100171</t>
  </si>
  <si>
    <t>Ớt sừng xanh</t>
  </si>
  <si>
    <t>I100027</t>
  </si>
  <si>
    <t>Bông điên điển</t>
  </si>
  <si>
    <t>I100716</t>
  </si>
  <si>
    <t>Xoài Cát Chu</t>
  </si>
  <si>
    <t>I100134</t>
  </si>
  <si>
    <t>Lá chanh Thái</t>
  </si>
  <si>
    <t>I100375</t>
  </si>
  <si>
    <t>Sao Nhái</t>
  </si>
  <si>
    <t>I100190</t>
  </si>
  <si>
    <t>Rau rừng Tây Ninh</t>
  </si>
  <si>
    <t>I100352</t>
  </si>
  <si>
    <t>Lạp xưởng</t>
  </si>
  <si>
    <t>I100054</t>
  </si>
  <si>
    <t>Cải xanh con</t>
  </si>
  <si>
    <t>I100154</t>
  </si>
  <si>
    <t>Ngò gai</t>
  </si>
  <si>
    <t>I100508</t>
  </si>
  <si>
    <t>Xoài cát Hòa Lộc</t>
  </si>
  <si>
    <t>I100300</t>
  </si>
  <si>
    <t>Bắp nếp</t>
  </si>
  <si>
    <t>I100189</t>
  </si>
  <si>
    <t>Rau răm</t>
  </si>
  <si>
    <t>I100100</t>
  </si>
  <si>
    <t>Hành phi</t>
  </si>
  <si>
    <t>I100055</t>
  </si>
  <si>
    <t>Cần nước</t>
  </si>
  <si>
    <t>I100162</t>
  </si>
  <si>
    <t>Nha đam</t>
  </si>
  <si>
    <t>I100938</t>
  </si>
  <si>
    <t>GIÁ SẠCH</t>
  </si>
  <si>
    <t>I100172</t>
  </si>
  <si>
    <t>Quế tây</t>
  </si>
  <si>
    <t>I100063</t>
  </si>
  <si>
    <t>Chuối chát</t>
  </si>
  <si>
    <t>I100180</t>
  </si>
  <si>
    <t>Rau diếp cá</t>
  </si>
  <si>
    <t>I100031</t>
  </si>
  <si>
    <t>Bông súng</t>
  </si>
  <si>
    <t>I100185</t>
  </si>
  <si>
    <t>Rau muống hạt</t>
  </si>
  <si>
    <t>I100519</t>
  </si>
  <si>
    <t>Lá cóc</t>
  </si>
  <si>
    <t>I100040</t>
  </si>
  <si>
    <t>Cà rốt baby</t>
  </si>
  <si>
    <t>I100466</t>
  </si>
  <si>
    <t>Thanh long ruột đỏ</t>
  </si>
  <si>
    <t>I100475</t>
  </si>
  <si>
    <t>Chuối xanh</t>
  </si>
  <si>
    <t>I101146</t>
  </si>
  <si>
    <t>Hủ Tiếu Dai Sa Đéc</t>
  </si>
  <si>
    <t>I100289</t>
  </si>
  <si>
    <t>Su su bào sẵn</t>
  </si>
  <si>
    <t>I100137</t>
  </si>
  <si>
    <t>Lá Giang (bó)</t>
  </si>
  <si>
    <t>I100033</t>
  </si>
  <si>
    <t>Cà chua bi</t>
  </si>
  <si>
    <t>I100673</t>
  </si>
  <si>
    <t>Quýt Thái</t>
  </si>
  <si>
    <t>I100064</t>
  </si>
  <si>
    <t>Củ cải đỏ (Radis)</t>
  </si>
  <si>
    <t>I100206</t>
  </si>
  <si>
    <t>Xà lách lolo tím</t>
  </si>
  <si>
    <t>I100072</t>
  </si>
  <si>
    <t>Củ riềng</t>
  </si>
  <si>
    <t>I100523</t>
  </si>
  <si>
    <t>Cải Kale</t>
  </si>
  <si>
    <t>I100194</t>
  </si>
  <si>
    <t>Rau tía tô</t>
  </si>
  <si>
    <t>I100047</t>
  </si>
  <si>
    <t>Cải ngọt</t>
  </si>
  <si>
    <t>I100164</t>
  </si>
  <si>
    <t>Ớt đà lạt (đỏ)</t>
  </si>
  <si>
    <t>I100004</t>
  </si>
  <si>
    <t>Bắp chuối bào</t>
  </si>
  <si>
    <t>I100116</t>
  </si>
  <si>
    <t>Khế xanh</t>
  </si>
  <si>
    <t>I100547</t>
  </si>
  <si>
    <t>Bắp cải trái tim</t>
  </si>
  <si>
    <t>I100139</t>
  </si>
  <si>
    <t>Lá lốt</t>
  </si>
  <si>
    <t>I100493</t>
  </si>
  <si>
    <t>Nhãn</t>
  </si>
  <si>
    <t>I100077</t>
  </si>
  <si>
    <t>Đậu cove Pháp (Nhật)</t>
  </si>
  <si>
    <t>I100928</t>
  </si>
  <si>
    <t>Dưa lưới (vỏ vàng)</t>
  </si>
  <si>
    <t>I100150</t>
  </si>
  <si>
    <t>Mồng tơi</t>
  </si>
  <si>
    <t>I100198</t>
  </si>
  <si>
    <t>Sả cây</t>
  </si>
  <si>
    <t>I100473</t>
  </si>
  <si>
    <t>Chuối sứ</t>
  </si>
  <si>
    <t>I100530</t>
  </si>
  <si>
    <t>Ổi không hạt</t>
  </si>
  <si>
    <t>I100499</t>
  </si>
  <si>
    <t>ỔI Ruột Đỏ</t>
  </si>
  <si>
    <t>I100639</t>
  </si>
  <si>
    <t>Táo xanh</t>
  </si>
  <si>
    <t>I100613</t>
  </si>
  <si>
    <t>Xoài tứ quý</t>
  </si>
  <si>
    <t>I100016</t>
  </si>
  <si>
    <t>Bí ngòi xanh</t>
  </si>
  <si>
    <t>I100021</t>
  </si>
  <si>
    <t>Bông bí</t>
  </si>
  <si>
    <t>I100489</t>
  </si>
  <si>
    <t>Lê trái</t>
  </si>
  <si>
    <t>I100786</t>
  </si>
  <si>
    <t>Kim chi</t>
  </si>
  <si>
    <t>I100097</t>
  </si>
  <si>
    <t>Củ Gừng</t>
  </si>
  <si>
    <t>I100521</t>
  </si>
  <si>
    <t>Dưa leo baby</t>
  </si>
  <si>
    <t>I100181</t>
  </si>
  <si>
    <t>Rau kinh giới</t>
  </si>
  <si>
    <t>I100178</t>
  </si>
  <si>
    <t>Rau dền</t>
  </si>
  <si>
    <t>I100005</t>
  </si>
  <si>
    <t>Bắp chuối nguyên trái</t>
  </si>
  <si>
    <t>I100058</t>
  </si>
  <si>
    <t>Chanh ĐaLat</t>
  </si>
  <si>
    <t>I100204</t>
  </si>
  <si>
    <t>Xà lách carol</t>
  </si>
  <si>
    <t>I100536</t>
  </si>
  <si>
    <t>Lá Trâm Ổi</t>
  </si>
  <si>
    <t>I100132</t>
  </si>
  <si>
    <t>Lá cây nhíp (lá mè)</t>
  </si>
  <si>
    <t>I100202</t>
  </si>
  <si>
    <t>Xà lách búp ĐL</t>
  </si>
  <si>
    <t>I100183</t>
  </si>
  <si>
    <t>Rau muống bào</t>
  </si>
  <si>
    <t>I100203</t>
  </si>
  <si>
    <t>Xà lách búp mỹ</t>
  </si>
  <si>
    <t>I100075</t>
  </si>
  <si>
    <t>Đậu bắp</t>
  </si>
  <si>
    <t>I100507</t>
  </si>
  <si>
    <t>Thanh long ruột trắng</t>
  </si>
  <si>
    <t>I100102</t>
  </si>
  <si>
    <t>Hành tây tím</t>
  </si>
  <si>
    <t>I100017</t>
  </si>
  <si>
    <t>Bí nụ</t>
  </si>
  <si>
    <t>I100046</t>
  </si>
  <si>
    <t>Cải mầm (100g)</t>
  </si>
  <si>
    <t>I101266</t>
  </si>
  <si>
    <t>Măng tây trung</t>
  </si>
  <si>
    <t>I100518</t>
  </si>
  <si>
    <t>Quế vị (xá xị)</t>
  </si>
  <si>
    <t>I100118</t>
  </si>
  <si>
    <t>Khổ qua</t>
  </si>
  <si>
    <t>TG-NCC0056</t>
  </si>
  <si>
    <t>THỪA HÀNH NGÒ</t>
  </si>
  <si>
    <t>I100098</t>
  </si>
  <si>
    <t>Hành lá</t>
  </si>
  <si>
    <t>I100052</t>
  </si>
  <si>
    <t>Cải thìa</t>
  </si>
  <si>
    <t>I100015</t>
  </si>
  <si>
    <t>Bí ngòi vàng</t>
  </si>
  <si>
    <t>I100088</t>
  </si>
  <si>
    <t>Đu đủ trái xanh</t>
  </si>
  <si>
    <t>I100113</t>
  </si>
  <si>
    <t>Húng lũi</t>
  </si>
  <si>
    <t>I100001</t>
  </si>
  <si>
    <t>Bạc hà</t>
  </si>
  <si>
    <t>I100059</t>
  </si>
  <si>
    <t>Chanh giấy</t>
  </si>
  <si>
    <t>I100144</t>
  </si>
  <si>
    <t>Măng tây xanh</t>
  </si>
  <si>
    <t>I100056</t>
  </si>
  <si>
    <t>Cần tàu</t>
  </si>
  <si>
    <t>I100155</t>
  </si>
  <si>
    <t>Ngò om</t>
  </si>
  <si>
    <t>I100170</t>
  </si>
  <si>
    <t>Ớt sừng đỏ</t>
  </si>
  <si>
    <t>I100089</t>
  </si>
  <si>
    <t>Dưa leo</t>
  </si>
  <si>
    <t>I100114</t>
  </si>
  <si>
    <t>Húng quế</t>
  </si>
  <si>
    <t>I100591</t>
  </si>
  <si>
    <t>Cà rốt ĐaLat (củ lớn)</t>
  </si>
  <si>
    <t>I100104</t>
  </si>
  <si>
    <t>Hành tím lột vỏ TQ</t>
  </si>
  <si>
    <t>I100166</t>
  </si>
  <si>
    <t>Ớt đà lạt (xanh)</t>
  </si>
  <si>
    <t>I100010</t>
  </si>
  <si>
    <t>Bầu xanh</t>
  </si>
  <si>
    <t>I100125</t>
  </si>
  <si>
    <t>Khoai môn cao</t>
  </si>
  <si>
    <t>I100474</t>
  </si>
  <si>
    <t>Chanh Dây</t>
  </si>
  <si>
    <t>I100214</t>
  </si>
  <si>
    <t>Su Su</t>
  </si>
  <si>
    <t>I100121</t>
  </si>
  <si>
    <t>Khoai lang nhật</t>
  </si>
  <si>
    <t>I100003</t>
  </si>
  <si>
    <t>Bắp cải trắng</t>
  </si>
  <si>
    <t>I100167</t>
  </si>
  <si>
    <t>Ớt hiểm đỏ</t>
  </si>
  <si>
    <t>I100127</t>
  </si>
  <si>
    <t>Khoai tây bi</t>
  </si>
  <si>
    <t>I100124</t>
  </si>
  <si>
    <t>Khoai mỡ</t>
  </si>
  <si>
    <t>I101133</t>
  </si>
  <si>
    <t>Kèo nèo bó</t>
  </si>
  <si>
    <t>I100105</t>
  </si>
  <si>
    <t>Hành tím Bắc</t>
  </si>
  <si>
    <t>I100096</t>
  </si>
  <si>
    <t>Gừng còn vỏ VN</t>
  </si>
  <si>
    <t>I100221</t>
  </si>
  <si>
    <t>Thơm gọt</t>
  </si>
  <si>
    <t>I100468</t>
  </si>
  <si>
    <t>Cam tươi</t>
  </si>
  <si>
    <t>I100199</t>
  </si>
  <si>
    <t>Sả xay</t>
  </si>
  <si>
    <t>I100261</t>
  </si>
  <si>
    <t>Đậu hủ non Ichiban</t>
  </si>
  <si>
    <t>I100386</t>
  </si>
  <si>
    <t>Rau rừng Gia Lai</t>
  </si>
  <si>
    <t>I100034</t>
  </si>
  <si>
    <t>Cà chua</t>
  </si>
  <si>
    <t>I100012</t>
  </si>
  <si>
    <t>Bí đỏ hồ lô</t>
  </si>
  <si>
    <t>I100022</t>
  </si>
  <si>
    <t>Bông cải trắng</t>
  </si>
  <si>
    <t>I100216</t>
  </si>
  <si>
    <t>Tắc trái</t>
  </si>
  <si>
    <t>I100625</t>
  </si>
  <si>
    <t>Cà chua Beef</t>
  </si>
  <si>
    <t>I100128</t>
  </si>
  <si>
    <t>Khoai Tây DL lớn</t>
  </si>
  <si>
    <t>I100236</t>
  </si>
  <si>
    <t>Nấm đông cô tươi</t>
  </si>
  <si>
    <t>I100135</t>
  </si>
  <si>
    <t>Lá chuối</t>
  </si>
  <si>
    <t>I100156</t>
  </si>
  <si>
    <t>Ngò rí</t>
  </si>
  <si>
    <t>I100612</t>
  </si>
  <si>
    <t>Cà Chua Lớn</t>
  </si>
  <si>
    <t>I100073</t>
  </si>
  <si>
    <t>Củ sắn</t>
  </si>
  <si>
    <t>I100151</t>
  </si>
  <si>
    <t>Mướp hương</t>
  </si>
  <si>
    <t>I100240</t>
  </si>
  <si>
    <t>Nấm kim châm tươi</t>
  </si>
  <si>
    <t>I100237</t>
  </si>
  <si>
    <t>Nấm đùi gà</t>
  </si>
  <si>
    <t>I100067</t>
  </si>
  <si>
    <t>Củ cải trắng (Loại 1)</t>
  </si>
  <si>
    <t>I100229</t>
  </si>
  <si>
    <t>Tỏi lột</t>
  </si>
  <si>
    <t>I100103</t>
  </si>
  <si>
    <t>Hành tím củ</t>
  </si>
  <si>
    <t>I100024</t>
  </si>
  <si>
    <t>Bông cải xanh</t>
  </si>
  <si>
    <t>I100039</t>
  </si>
  <si>
    <t>Cà rốt</t>
  </si>
  <si>
    <t>I100242</t>
  </si>
  <si>
    <t>Nấm linh chi trắng - hộp (125g)</t>
  </si>
  <si>
    <t>I100241</t>
  </si>
  <si>
    <t>Nấm linh chi đen (125g)</t>
  </si>
  <si>
    <t>TG-NCC0067</t>
  </si>
  <si>
    <t>CÔ PHÚC LOLO XANH</t>
  </si>
  <si>
    <t>I100207</t>
  </si>
  <si>
    <t>Xà lách lolo xanh</t>
  </si>
  <si>
    <t>I100008</t>
  </si>
  <si>
    <t>Bắp mỹ trái (Loại 1)</t>
  </si>
  <si>
    <t>Ngày Nhận</t>
  </si>
  <si>
    <t>Tên Sản Phẩm</t>
  </si>
  <si>
    <t>Mã Sản Phẩm</t>
  </si>
  <si>
    <t>Mã NCC</t>
  </si>
  <si>
    <t>Tên Nhà Cung Cấp</t>
  </si>
  <si>
    <t>SL Đặt (Nhà CC)</t>
  </si>
  <si>
    <t>Tổng Đặt</t>
  </si>
  <si>
    <t>SL Cần Đặt (Gợi Ý)</t>
  </si>
  <si>
    <t>Tồn Hệ Thống</t>
  </si>
  <si>
    <t>Tồn Chốt Kho (Thực Tế)</t>
  </si>
  <si>
    <t>Chênh Lệch</t>
  </si>
  <si>
    <t>Bổ Sung</t>
  </si>
  <si>
    <t>Tỉ Lệ Hao Hụt (%)</t>
  </si>
  <si>
    <t>SL Hao Hụt</t>
  </si>
  <si>
    <t>TG-NCC0079</t>
  </si>
  <si>
    <t>TUẤN SẢ LONG AN</t>
  </si>
  <si>
    <t>TG-NCC00238</t>
  </si>
  <si>
    <t>SANTE ĐL</t>
  </si>
  <si>
    <t>TG-NCC00254</t>
  </si>
  <si>
    <t>TIẾN ỚT CHUÔNG ĐL</t>
  </si>
  <si>
    <t>TG-NCC0063</t>
  </si>
  <si>
    <t>CÔ PHƯỢNG ỔI</t>
  </si>
  <si>
    <t>TG-NCC0019</t>
  </si>
  <si>
    <t>SANG ĐL</t>
  </si>
  <si>
    <t>TG-NCC0214</t>
  </si>
  <si>
    <t>Phương ĐD - ĐL</t>
  </si>
  <si>
    <t>TG-NCC0062</t>
  </si>
  <si>
    <t>NAM RAU MUỐNG</t>
  </si>
  <si>
    <t>TG-NCC0228</t>
  </si>
  <si>
    <t>Nông Sản Chi Cường ĐL</t>
  </si>
  <si>
    <t>TG-NCC0035</t>
  </si>
  <si>
    <t>BẢO VÕ ĐL</t>
  </si>
  <si>
    <t>TG-NCC0044</t>
  </si>
  <si>
    <t>DUNG TRÚC - TRẦN GIA</t>
  </si>
  <si>
    <t>TG-NCC0059</t>
  </si>
  <si>
    <t>PHƯỢNG LA</t>
  </si>
  <si>
    <t>TG-NCC0060</t>
  </si>
  <si>
    <t>A LẬP - TRẦN GIA</t>
  </si>
  <si>
    <t>TG-NCC0224</t>
  </si>
  <si>
    <t>Thơm cà chua ĐL</t>
  </si>
  <si>
    <t>TG-NCC0036</t>
  </si>
  <si>
    <t>HUY CẢI THẢO ĐL</t>
  </si>
  <si>
    <t>TG-NCC0037</t>
  </si>
  <si>
    <t>TUYỀN ĐÀ LẠT</t>
  </si>
  <si>
    <t>TG-NCC00252</t>
  </si>
  <si>
    <t>LIỄU HÀNH HƯƠNG</t>
  </si>
  <si>
    <t>TG-NCC0216</t>
  </si>
  <si>
    <t>TÀI LONG AN</t>
  </si>
  <si>
    <t>TG-NCC0078</t>
  </si>
  <si>
    <t>DUNG LÁ MÈ - ĐL</t>
  </si>
  <si>
    <t>TG-NCC0186</t>
  </si>
  <si>
    <t>BÉ NĂM PHƯỚC HẬU</t>
  </si>
  <si>
    <t>TG-NCC0042</t>
  </si>
  <si>
    <t>Nấm Sao Việt</t>
  </si>
  <si>
    <t>TG-NCC0040</t>
  </si>
  <si>
    <t>Ái Măng Tây</t>
  </si>
  <si>
    <t>TG-NCC0221</t>
  </si>
  <si>
    <t>Hương ĐL</t>
  </si>
  <si>
    <t>TG-NCC0033</t>
  </si>
  <si>
    <t>PHƯỢNG RAU RỪNG</t>
  </si>
  <si>
    <t>TG-NCC0226</t>
  </si>
  <si>
    <t>Tuyền ớt ĐL</t>
  </si>
  <si>
    <t>TG-NCC00255</t>
  </si>
  <si>
    <t>BÉ BẮP TIỀN GIANG</t>
  </si>
  <si>
    <t>TG-NCC0222</t>
  </si>
  <si>
    <t>Thanh bí nụ ĐL</t>
  </si>
  <si>
    <t>TG-NCC00253</t>
  </si>
  <si>
    <t>NHUNG BÍ ĐL</t>
  </si>
  <si>
    <t>TG-NCC0034</t>
  </si>
  <si>
    <t>NAM TÂM ĐL</t>
  </si>
  <si>
    <t>TỒN ĐẦU NGÀY</t>
  </si>
  <si>
    <t>15H: KHI UP TEMPLATE ( VÀO CỘT N) NẾU CÓ SỐ THÌ LẤY SỐ, KHÔNG CÓ SỐ THÌ TỰ ĐỘNG LẤY TỒN HỆ THỐNG (L) ĐƯA SANG."</t>
  </si>
  <si>
    <t>TÓM TẮT LUỒNG VẬN HÀNH:</t>
  </si>
  <si>
    <r>
      <t>SÁNG (04:00 - 13:00):</t>
    </r>
    <r>
      <rPr>
        <sz val="11"/>
        <rFont val="Calibri"/>
        <family val="2"/>
      </rPr>
      <t xml:space="preserve"> TẬP TRUNG GIAO HÀNG, NHẬP CỘT </t>
    </r>
    <r>
      <rPr>
        <b/>
        <sz val="11"/>
        <rFont val="Calibri"/>
        <family val="2"/>
      </rPr>
      <t>K</t>
    </r>
    <r>
      <rPr>
        <sz val="11"/>
        <rFont val="Calibri"/>
        <family val="2"/>
      </rPr>
      <t>.</t>
    </r>
  </si>
  <si>
    <r>
      <t xml:space="preserve">HỆ THỐNG TỰ HIỂU LÀ HÔM NAY MÌNH "BỖNG NHIÊN" CÓ THÊM HÀNG ĐỂ BÁN TIẾP, NÊN CỘT </t>
    </r>
    <r>
      <rPr>
        <b/>
        <sz val="11"/>
        <rFont val="Calibri"/>
        <family val="2"/>
      </rPr>
      <t>H</t>
    </r>
    <r>
      <rPr>
        <sz val="11"/>
        <rFont val="Calibri"/>
        <family val="2"/>
      </rPr>
      <t xml:space="preserve"> (CẦN MUA) SẼ TỰ ĐỘNG GIẢM XUỐNG.</t>
    </r>
  </si>
  <si>
    <r>
      <t xml:space="preserve">UP TỒN (LẤY </t>
    </r>
    <r>
      <rPr>
        <b/>
        <sz val="11"/>
        <rFont val="Calibri"/>
        <family val="2"/>
      </rPr>
      <t>L</t>
    </r>
    <r>
      <rPr>
        <sz val="11"/>
        <rFont val="Calibri"/>
        <family val="2"/>
      </rPr>
      <t xml:space="preserve"> CŨ BỎ VÀO </t>
    </r>
    <r>
      <rPr>
        <b/>
        <sz val="11"/>
        <rFont val="Calibri"/>
        <family val="2"/>
      </rPr>
      <t>N</t>
    </r>
    <r>
      <rPr>
        <sz val="11"/>
        <rFont val="Calibri"/>
        <family val="2"/>
      </rPr>
      <t xml:space="preserve"> MỚI.)</t>
    </r>
  </si>
  <si>
    <t>HÀNG HỦY</t>
  </si>
  <si>
    <r>
      <t>TRƯA (13:00 - 15:00):</t>
    </r>
    <r>
      <rPr>
        <sz val="11"/>
        <rFont val="Calibri"/>
        <family val="2"/>
      </rPr>
      <t xml:space="preserve"> RÀ SOÁT LẠI TOÀN BỘ SỐ LIỆU TRONG NGÀY ( CHỐT SỐ MỌI NHÀ CUNG CẤP + THU MUA) + UP HÀNG HỦY, HAO HỤT......</t>
    </r>
  </si>
  <si>
    <t>TỒN CUỐI NGÀY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</si>
</sst>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libri"/>
    </font>
    <font>
      <sz val="11"/>
      <name val="Calibri"/>
      <family val="2"/>
    </font>
    <font>
      <b/>
      <sz val="13.5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2" xfId="0" applyBorder="1"/>
    <xf numFmtId="0" fontId="0" fillId="0" borderId="0" xfId="0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1" fillId="0" borderId="0" xfId="0" applyFont="1"/>
    <xf numFmtId="0" fontId="0" fillId="0" borderId="3" xfId="0" applyBorder="1"/>
    <xf numFmtId="0" fontId="0" fillId="0" borderId="1" xfId="0" applyBorder="1"/>
    <xf numFmtId="0" fontId="1" fillId="0" borderId="1" xfId="0" applyFont="1" applyBorder="1"/>
    <xf numFmtId="0" fontId="1" fillId="0" borderId="2" xfId="0" applyFont="1" applyBorder="1"/>
    <xf numFmtId="0" fontId="0" fillId="3" borderId="2" xfId="0" applyFill="1" applyBorder="1"/>
    <xf numFmtId="0" fontId="1" fillId="3" borderId="2" xfId="0" applyFont="1" applyFill="1" applyBorder="1"/>
    <xf numFmtId="0" fontId="1" fillId="4" borderId="2" xfId="0" applyFont="1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3" fillId="0" borderId="0" xfId="0" applyFont="1" applyAlignment="1">
      <alignment horizontal="left" vertical="center" indent="1"/>
    </xf>
    <xf numFmtId="0" fontId="0" fillId="0" borderId="0" xfId="0" applyAlignment="1">
      <alignment horizontal="left" vertical="center" indent="2"/>
    </xf>
    <xf numFmtId="0" fontId="1" fillId="0" borderId="0" xfId="0" applyFont="1" applyAlignment="1">
      <alignment horizontal="left" vertical="center" indent="2"/>
    </xf>
    <xf numFmtId="0" fontId="1" fillId="2" borderId="2" xfId="0" applyFont="1" applyFill="1" applyBorder="1" applyAlignment="1">
      <alignment horizontal="center" vertical="center" wrapText="1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33"/>
  <sheetViews>
    <sheetView tabSelected="1" topLeftCell="D1" workbookViewId="0">
      <selection activeCell="K2" sqref="K2"/>
    </sheetView>
  </sheetViews>
  <sheetFormatPr defaultRowHeight="14.4"/>
  <cols>
    <col min="1" max="2" width="8.88671875" style="6"/>
    <col min="3" max="3" width="16.33203125" style="6" customWidth="1"/>
    <col min="4" max="4" width="8.88671875" style="6"/>
    <col min="5" max="5" width="15.88671875" style="6" customWidth="1"/>
    <col min="6" max="16384" width="8.88671875" style="6"/>
  </cols>
  <sheetData>
    <row r="1" spans="1:25" s="2" customFormat="1" ht="57.6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11" t="s">
        <v>601</v>
      </c>
      <c r="O1" s="11" t="s">
        <v>13</v>
      </c>
      <c r="P1" s="12" t="s">
        <v>14</v>
      </c>
      <c r="Q1" s="12" t="s">
        <v>15</v>
      </c>
      <c r="R1" s="12" t="s">
        <v>16</v>
      </c>
      <c r="S1" s="12" t="s">
        <v>17</v>
      </c>
      <c r="T1" s="12" t="s">
        <v>18</v>
      </c>
      <c r="U1" s="12" t="s">
        <v>19</v>
      </c>
      <c r="V1" s="3" t="s">
        <v>20</v>
      </c>
      <c r="W1" s="3" t="s">
        <v>21</v>
      </c>
      <c r="X1" s="18" t="s">
        <v>607</v>
      </c>
      <c r="Y1" s="18" t="s">
        <v>609</v>
      </c>
    </row>
    <row r="2" spans="1:25" customFormat="1">
      <c r="A2" s="1"/>
      <c r="B2" s="1" t="s">
        <v>22</v>
      </c>
      <c r="C2" s="1" t="s">
        <v>23</v>
      </c>
      <c r="D2" s="1" t="s">
        <v>24</v>
      </c>
      <c r="E2" s="1" t="s">
        <v>25</v>
      </c>
      <c r="F2" s="1" t="s">
        <v>26</v>
      </c>
      <c r="G2" s="1"/>
      <c r="H2" s="8">
        <f xml:space="preserve"> J2 - S2</f>
        <v>20</v>
      </c>
      <c r="I2" s="1"/>
      <c r="J2" s="9">
        <v>20</v>
      </c>
      <c r="K2" s="9"/>
      <c r="L2" s="10">
        <f xml:space="preserve"> (S2 + U2) - K2-X2</f>
        <v>0</v>
      </c>
      <c r="M2" s="1"/>
      <c r="N2" s="1"/>
      <c r="O2" s="1"/>
      <c r="P2" s="1"/>
      <c r="Q2" s="1"/>
      <c r="R2" s="1"/>
      <c r="S2" s="8">
        <f xml:space="preserve"> N2 + P2 + R2 + T2+Q2</f>
        <v>0</v>
      </c>
      <c r="T2" s="1"/>
      <c r="U2" s="1"/>
      <c r="V2" s="1"/>
      <c r="W2" s="1"/>
      <c r="X2" s="8"/>
      <c r="Y2" s="1"/>
    </row>
    <row r="3" spans="1:25" customFormat="1">
      <c r="A3" s="1"/>
      <c r="B3" s="1" t="s">
        <v>27</v>
      </c>
      <c r="C3" s="1" t="s">
        <v>28</v>
      </c>
      <c r="D3" s="1" t="s">
        <v>29</v>
      </c>
      <c r="E3" s="1" t="s">
        <v>30</v>
      </c>
      <c r="F3" s="1" t="s">
        <v>31</v>
      </c>
      <c r="G3" s="1"/>
      <c r="H3" s="8">
        <f t="shared" ref="H3:H4" si="0" xml:space="preserve"> J3 - S3</f>
        <v>0</v>
      </c>
      <c r="I3" s="1"/>
      <c r="J3" s="9"/>
      <c r="K3" s="9"/>
      <c r="L3" s="10">
        <f t="shared" ref="L3:L4" si="1" xml:space="preserve"> (S3 + U3) - K3</f>
        <v>0</v>
      </c>
      <c r="M3" s="1"/>
      <c r="N3" s="1"/>
      <c r="O3" s="1"/>
      <c r="P3" s="1"/>
      <c r="Q3" s="1"/>
      <c r="R3" s="1"/>
      <c r="S3" s="8">
        <f t="shared" ref="S3:S4" si="2" xml:space="preserve"> N3 + P3 + R3 + T3+Q3</f>
        <v>0</v>
      </c>
      <c r="T3" s="1"/>
      <c r="U3" s="1"/>
      <c r="V3" s="1"/>
      <c r="W3" s="1"/>
      <c r="X3" s="1"/>
      <c r="Y3" s="1"/>
    </row>
    <row r="4" spans="1:25">
      <c r="A4" s="5"/>
      <c r="B4" s="5" t="s">
        <v>32</v>
      </c>
      <c r="C4" s="1" t="s">
        <v>33</v>
      </c>
      <c r="D4" s="1" t="s">
        <v>34</v>
      </c>
      <c r="E4" s="1" t="s">
        <v>35</v>
      </c>
      <c r="F4" s="1" t="s">
        <v>36</v>
      </c>
      <c r="G4" s="1"/>
      <c r="H4" s="8">
        <f t="shared" si="0"/>
        <v>0</v>
      </c>
      <c r="I4" s="1"/>
      <c r="J4" s="9"/>
      <c r="K4" s="9"/>
      <c r="L4" s="10">
        <f t="shared" si="1"/>
        <v>0</v>
      </c>
      <c r="M4" s="1"/>
      <c r="N4" s="1"/>
      <c r="O4" s="1"/>
      <c r="P4" s="1"/>
      <c r="Q4" s="1"/>
      <c r="R4" s="1"/>
      <c r="S4" s="8">
        <f t="shared" si="2"/>
        <v>0</v>
      </c>
      <c r="T4" s="1"/>
      <c r="U4" s="1"/>
      <c r="V4" s="1"/>
      <c r="W4" s="1"/>
      <c r="X4" s="1"/>
      <c r="Y4" s="1"/>
    </row>
    <row r="8" spans="1:25" ht="18">
      <c r="C8" s="13" t="s">
        <v>603</v>
      </c>
    </row>
    <row r="9" spans="1:25">
      <c r="C9" s="14"/>
    </row>
    <row r="10" spans="1:25">
      <c r="C10" s="15" t="s">
        <v>604</v>
      </c>
    </row>
    <row r="11" spans="1:25">
      <c r="C11" s="14"/>
    </row>
    <row r="12" spans="1:25">
      <c r="C12" s="15" t="s">
        <v>608</v>
      </c>
    </row>
    <row r="13" spans="1:25">
      <c r="C13" s="15"/>
    </row>
    <row r="14" spans="1:25">
      <c r="C14" s="17" t="s">
        <v>606</v>
      </c>
    </row>
    <row r="15" spans="1:25">
      <c r="C15" s="14"/>
    </row>
    <row r="16" spans="1:25">
      <c r="C16" s="19" t="s">
        <v>602</v>
      </c>
    </row>
    <row r="18" spans="2:3">
      <c r="C18" s="16"/>
    </row>
    <row r="21" spans="2:3" ht="18">
      <c r="B21" s="13"/>
      <c r="C21" s="7"/>
    </row>
    <row r="22" spans="2:3">
      <c r="B22"/>
    </row>
    <row r="23" spans="2:3">
      <c r="B23" s="4"/>
      <c r="C23" s="4"/>
    </row>
    <row r="24" spans="2:3">
      <c r="B24" s="14"/>
    </row>
    <row r="25" spans="2:3">
      <c r="B25" s="15"/>
    </row>
    <row r="26" spans="2:3">
      <c r="B26" s="14"/>
    </row>
    <row r="27" spans="2:3">
      <c r="B27" s="15"/>
    </row>
    <row r="28" spans="2:3">
      <c r="B28" s="14"/>
    </row>
    <row r="29" spans="2:3">
      <c r="B29" s="15"/>
    </row>
    <row r="30" spans="2:3">
      <c r="B30" s="14"/>
    </row>
    <row r="31" spans="2:3">
      <c r="B31" s="14"/>
    </row>
    <row r="32" spans="2:3">
      <c r="B32" s="16"/>
    </row>
    <row r="33" spans="2:2">
      <c r="B33" s="17" t="s">
        <v>605</v>
      </c>
    </row>
  </sheetData>
  <autoFilter ref="A1:X4" xr:uid="{00000000-0001-0000-0000-000000000000}"/>
  <pageMargins left="0.7" right="0.7" top="0.75" bottom="0.75" header="0.3" footer="0.3"/>
  <ignoredErrors>
    <ignoredError sqref="A1:M1 A2:F4 I2:I4 P1:W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241"/>
  <sheetViews>
    <sheetView workbookViewId="0">
      <selection activeCell="M9" sqref="M9"/>
    </sheetView>
  </sheetViews>
  <sheetFormatPr defaultRowHeight="14.4"/>
  <sheetData>
    <row r="1" spans="1:21">
      <c r="A1" t="s">
        <v>531</v>
      </c>
      <c r="B1" t="s">
        <v>532</v>
      </c>
      <c r="C1" t="s">
        <v>533</v>
      </c>
      <c r="D1" t="s">
        <v>5</v>
      </c>
      <c r="E1" t="s">
        <v>534</v>
      </c>
      <c r="F1" t="s">
        <v>535</v>
      </c>
      <c r="G1" t="s">
        <v>536</v>
      </c>
      <c r="H1" t="s">
        <v>537</v>
      </c>
      <c r="I1" t="s">
        <v>538</v>
      </c>
      <c r="J1" t="s">
        <v>10</v>
      </c>
      <c r="K1" t="s">
        <v>539</v>
      </c>
      <c r="L1" t="s">
        <v>540</v>
      </c>
      <c r="M1" t="s">
        <v>541</v>
      </c>
      <c r="N1" t="s">
        <v>14</v>
      </c>
      <c r="O1" t="s">
        <v>542</v>
      </c>
      <c r="P1" t="s">
        <v>16</v>
      </c>
      <c r="Q1" t="s">
        <v>17</v>
      </c>
      <c r="R1" t="s">
        <v>18</v>
      </c>
      <c r="S1" t="s">
        <v>19</v>
      </c>
      <c r="T1" t="s">
        <v>543</v>
      </c>
      <c r="U1" t="s">
        <v>544</v>
      </c>
    </row>
    <row r="2" spans="1:21">
      <c r="A2" t="s">
        <v>42</v>
      </c>
      <c r="B2" t="s">
        <v>356</v>
      </c>
      <c r="C2" t="s">
        <v>355</v>
      </c>
      <c r="D2" t="s">
        <v>26</v>
      </c>
      <c r="E2" t="s">
        <v>37</v>
      </c>
      <c r="F2" t="s">
        <v>38</v>
      </c>
      <c r="G2">
        <v>10</v>
      </c>
      <c r="H2">
        <v>50</v>
      </c>
      <c r="I2">
        <v>0</v>
      </c>
      <c r="J2">
        <v>0</v>
      </c>
      <c r="K2">
        <v>-48.2</v>
      </c>
      <c r="L2">
        <v>3</v>
      </c>
      <c r="M2">
        <v>-51.2</v>
      </c>
      <c r="N2">
        <v>0</v>
      </c>
      <c r="O2">
        <v>0</v>
      </c>
      <c r="P2">
        <v>0</v>
      </c>
      <c r="Q2">
        <v>0</v>
      </c>
      <c r="R2">
        <v>10</v>
      </c>
      <c r="S2">
        <v>0</v>
      </c>
      <c r="T2">
        <v>5</v>
      </c>
      <c r="U2">
        <v>0</v>
      </c>
    </row>
    <row r="3" spans="1:21">
      <c r="A3" t="s">
        <v>42</v>
      </c>
      <c r="B3" t="s">
        <v>356</v>
      </c>
      <c r="C3" t="s">
        <v>355</v>
      </c>
      <c r="D3" t="s">
        <v>26</v>
      </c>
      <c r="E3" t="s">
        <v>37</v>
      </c>
      <c r="F3" t="s">
        <v>38</v>
      </c>
      <c r="G3">
        <v>10</v>
      </c>
      <c r="H3">
        <v>50</v>
      </c>
      <c r="I3">
        <v>0</v>
      </c>
      <c r="J3">
        <v>0</v>
      </c>
      <c r="K3">
        <v>-48.2</v>
      </c>
      <c r="L3">
        <v>3</v>
      </c>
      <c r="M3">
        <v>-51.2</v>
      </c>
      <c r="N3">
        <v>0</v>
      </c>
      <c r="O3">
        <v>0</v>
      </c>
      <c r="P3">
        <v>0</v>
      </c>
      <c r="Q3">
        <v>0</v>
      </c>
      <c r="R3">
        <v>0</v>
      </c>
      <c r="S3">
        <v>10</v>
      </c>
      <c r="T3">
        <v>5</v>
      </c>
      <c r="U3">
        <v>0</v>
      </c>
    </row>
    <row r="4" spans="1:21">
      <c r="A4" t="s">
        <v>42</v>
      </c>
      <c r="B4" t="s">
        <v>356</v>
      </c>
      <c r="C4" t="s">
        <v>355</v>
      </c>
      <c r="D4" t="s">
        <v>26</v>
      </c>
      <c r="E4" t="s">
        <v>545</v>
      </c>
      <c r="F4" t="s">
        <v>546</v>
      </c>
      <c r="G4">
        <v>30</v>
      </c>
      <c r="H4">
        <v>50</v>
      </c>
      <c r="I4">
        <v>0</v>
      </c>
      <c r="J4">
        <v>0</v>
      </c>
      <c r="K4">
        <v>-48.2</v>
      </c>
      <c r="L4">
        <v>3</v>
      </c>
      <c r="M4">
        <v>-51.2</v>
      </c>
      <c r="N4">
        <v>30</v>
      </c>
      <c r="O4">
        <v>0</v>
      </c>
      <c r="P4">
        <v>0</v>
      </c>
      <c r="Q4">
        <v>0</v>
      </c>
      <c r="R4">
        <v>0</v>
      </c>
      <c r="S4">
        <v>0</v>
      </c>
      <c r="T4">
        <v>5</v>
      </c>
      <c r="U4">
        <v>0</v>
      </c>
    </row>
    <row r="5" spans="1:21">
      <c r="A5" t="s">
        <v>42</v>
      </c>
      <c r="B5" t="s">
        <v>338</v>
      </c>
      <c r="C5" t="s">
        <v>337</v>
      </c>
      <c r="D5" t="s">
        <v>26</v>
      </c>
      <c r="E5" t="s">
        <v>547</v>
      </c>
      <c r="F5" t="s">
        <v>548</v>
      </c>
      <c r="G5">
        <v>10</v>
      </c>
      <c r="H5">
        <v>20</v>
      </c>
      <c r="I5">
        <v>0</v>
      </c>
      <c r="J5">
        <v>0</v>
      </c>
      <c r="K5">
        <v>-16.2</v>
      </c>
      <c r="L5">
        <v>0</v>
      </c>
      <c r="M5">
        <v>-16.2</v>
      </c>
      <c r="N5">
        <v>0</v>
      </c>
      <c r="O5">
        <v>0</v>
      </c>
      <c r="P5">
        <v>10</v>
      </c>
      <c r="Q5">
        <v>0</v>
      </c>
      <c r="R5">
        <v>0</v>
      </c>
      <c r="S5">
        <v>0</v>
      </c>
      <c r="T5">
        <v>0</v>
      </c>
      <c r="U5">
        <v>0</v>
      </c>
    </row>
    <row r="6" spans="1:21">
      <c r="A6" t="s">
        <v>42</v>
      </c>
      <c r="B6" t="s">
        <v>338</v>
      </c>
      <c r="C6" t="s">
        <v>337</v>
      </c>
      <c r="D6" t="s">
        <v>26</v>
      </c>
      <c r="E6" t="s">
        <v>549</v>
      </c>
      <c r="F6" t="s">
        <v>550</v>
      </c>
      <c r="G6">
        <v>10</v>
      </c>
      <c r="H6">
        <v>20</v>
      </c>
      <c r="I6">
        <v>0</v>
      </c>
      <c r="J6">
        <v>0</v>
      </c>
      <c r="K6">
        <v>-16.2</v>
      </c>
      <c r="L6">
        <v>0</v>
      </c>
      <c r="M6">
        <v>-16.2</v>
      </c>
      <c r="N6">
        <v>0</v>
      </c>
      <c r="O6">
        <v>0</v>
      </c>
      <c r="P6">
        <v>10</v>
      </c>
      <c r="Q6">
        <v>0</v>
      </c>
      <c r="R6">
        <v>0</v>
      </c>
      <c r="S6">
        <v>0</v>
      </c>
      <c r="T6">
        <v>0</v>
      </c>
      <c r="U6">
        <v>0</v>
      </c>
    </row>
    <row r="7" spans="1:21">
      <c r="A7" t="s">
        <v>42</v>
      </c>
      <c r="B7" t="s">
        <v>490</v>
      </c>
      <c r="C7" t="s">
        <v>489</v>
      </c>
      <c r="D7" t="s">
        <v>26</v>
      </c>
      <c r="E7" t="s">
        <v>551</v>
      </c>
      <c r="F7" t="s">
        <v>552</v>
      </c>
      <c r="G7">
        <v>50</v>
      </c>
      <c r="H7">
        <v>80</v>
      </c>
      <c r="I7">
        <v>0</v>
      </c>
      <c r="J7">
        <v>0</v>
      </c>
      <c r="K7">
        <v>-79.2</v>
      </c>
      <c r="L7">
        <v>0</v>
      </c>
      <c r="M7">
        <v>-79.2</v>
      </c>
      <c r="N7">
        <v>50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</row>
    <row r="8" spans="1:21">
      <c r="A8" t="s">
        <v>42</v>
      </c>
      <c r="B8" t="s">
        <v>490</v>
      </c>
      <c r="C8" t="s">
        <v>489</v>
      </c>
      <c r="D8" t="s">
        <v>26</v>
      </c>
      <c r="E8" t="s">
        <v>204</v>
      </c>
      <c r="F8" t="s">
        <v>205</v>
      </c>
      <c r="G8">
        <v>30</v>
      </c>
      <c r="H8">
        <v>80</v>
      </c>
      <c r="I8">
        <v>0</v>
      </c>
      <c r="J8">
        <v>0</v>
      </c>
      <c r="K8">
        <v>-79.2</v>
      </c>
      <c r="L8">
        <v>0</v>
      </c>
      <c r="M8">
        <v>-79.2</v>
      </c>
      <c r="N8">
        <v>0</v>
      </c>
      <c r="O8">
        <v>0</v>
      </c>
      <c r="P8">
        <v>0</v>
      </c>
      <c r="Q8">
        <v>0</v>
      </c>
      <c r="R8">
        <v>0</v>
      </c>
      <c r="S8">
        <v>30</v>
      </c>
      <c r="T8">
        <v>0</v>
      </c>
      <c r="U8">
        <v>0</v>
      </c>
    </row>
    <row r="9" spans="1:21">
      <c r="A9" t="s">
        <v>42</v>
      </c>
      <c r="B9" t="s">
        <v>111</v>
      </c>
      <c r="C9" t="s">
        <v>110</v>
      </c>
      <c r="D9" t="s">
        <v>26</v>
      </c>
      <c r="E9" t="s">
        <v>57</v>
      </c>
      <c r="F9" t="s">
        <v>58</v>
      </c>
      <c r="G9">
        <v>1.8</v>
      </c>
      <c r="H9">
        <v>31.8</v>
      </c>
      <c r="I9">
        <v>0</v>
      </c>
      <c r="J9">
        <v>0</v>
      </c>
      <c r="K9">
        <v>-31.8</v>
      </c>
      <c r="L9">
        <v>0</v>
      </c>
      <c r="M9">
        <v>-31.8</v>
      </c>
      <c r="N9">
        <v>0</v>
      </c>
      <c r="O9">
        <v>0</v>
      </c>
      <c r="P9">
        <v>0</v>
      </c>
      <c r="Q9">
        <v>0</v>
      </c>
      <c r="R9">
        <v>0</v>
      </c>
      <c r="S9">
        <v>1.8</v>
      </c>
      <c r="T9">
        <v>10</v>
      </c>
      <c r="U9">
        <v>0</v>
      </c>
    </row>
    <row r="10" spans="1:21">
      <c r="A10" t="s">
        <v>42</v>
      </c>
      <c r="B10" t="s">
        <v>111</v>
      </c>
      <c r="C10" t="s">
        <v>110</v>
      </c>
      <c r="D10" t="s">
        <v>26</v>
      </c>
      <c r="E10" t="s">
        <v>553</v>
      </c>
      <c r="F10" t="s">
        <v>554</v>
      </c>
      <c r="G10">
        <v>30</v>
      </c>
      <c r="H10">
        <v>31.8</v>
      </c>
      <c r="I10">
        <v>0</v>
      </c>
      <c r="J10">
        <v>0</v>
      </c>
      <c r="K10">
        <v>-31.8</v>
      </c>
      <c r="L10">
        <v>0</v>
      </c>
      <c r="M10">
        <v>-31.8</v>
      </c>
      <c r="N10">
        <v>0</v>
      </c>
      <c r="O10">
        <v>0</v>
      </c>
      <c r="P10">
        <v>30</v>
      </c>
      <c r="Q10">
        <v>0</v>
      </c>
      <c r="R10">
        <v>0</v>
      </c>
      <c r="S10">
        <v>0</v>
      </c>
      <c r="T10">
        <v>10</v>
      </c>
      <c r="U10">
        <v>0</v>
      </c>
    </row>
    <row r="11" spans="1:21">
      <c r="A11" t="s">
        <v>42</v>
      </c>
      <c r="B11" t="s">
        <v>308</v>
      </c>
      <c r="C11" t="s">
        <v>307</v>
      </c>
      <c r="D11" t="s">
        <v>26</v>
      </c>
      <c r="E11" t="s">
        <v>193</v>
      </c>
      <c r="F11" t="s">
        <v>194</v>
      </c>
      <c r="G11">
        <v>3</v>
      </c>
      <c r="H11">
        <v>5.7</v>
      </c>
      <c r="I11">
        <v>0</v>
      </c>
      <c r="J11">
        <v>0</v>
      </c>
      <c r="K11">
        <v>-5.7</v>
      </c>
      <c r="L11">
        <v>0</v>
      </c>
      <c r="M11">
        <v>-5.7</v>
      </c>
      <c r="N11">
        <v>0</v>
      </c>
      <c r="O11">
        <v>0</v>
      </c>
      <c r="P11">
        <v>0</v>
      </c>
      <c r="Q11">
        <v>0</v>
      </c>
      <c r="R11">
        <v>3</v>
      </c>
      <c r="S11">
        <v>0</v>
      </c>
      <c r="T11">
        <v>10</v>
      </c>
      <c r="U11">
        <v>0</v>
      </c>
    </row>
    <row r="12" spans="1:21">
      <c r="A12" t="s">
        <v>42</v>
      </c>
      <c r="B12" t="s">
        <v>308</v>
      </c>
      <c r="C12" t="s">
        <v>307</v>
      </c>
      <c r="D12" t="s">
        <v>26</v>
      </c>
      <c r="E12" t="s">
        <v>193</v>
      </c>
      <c r="F12" t="s">
        <v>194</v>
      </c>
      <c r="G12">
        <v>2.7</v>
      </c>
      <c r="H12">
        <v>5.7</v>
      </c>
      <c r="I12">
        <v>0</v>
      </c>
      <c r="J12">
        <v>0</v>
      </c>
      <c r="K12">
        <v>-5.7</v>
      </c>
      <c r="L12">
        <v>0</v>
      </c>
      <c r="M12">
        <v>-5.7</v>
      </c>
      <c r="N12">
        <v>0</v>
      </c>
      <c r="O12">
        <v>0</v>
      </c>
      <c r="P12">
        <v>0</v>
      </c>
      <c r="Q12">
        <v>0</v>
      </c>
      <c r="R12">
        <v>0</v>
      </c>
      <c r="S12">
        <v>2.7</v>
      </c>
      <c r="T12">
        <v>10</v>
      </c>
      <c r="U12">
        <v>0</v>
      </c>
    </row>
    <row r="13" spans="1:21">
      <c r="A13" t="s">
        <v>42</v>
      </c>
      <c r="B13" t="s">
        <v>448</v>
      </c>
      <c r="C13" t="s">
        <v>447</v>
      </c>
      <c r="D13" t="s">
        <v>26</v>
      </c>
      <c r="E13" t="s">
        <v>547</v>
      </c>
      <c r="F13" t="s">
        <v>548</v>
      </c>
      <c r="G13">
        <v>5</v>
      </c>
      <c r="H13">
        <v>15</v>
      </c>
      <c r="I13">
        <v>0</v>
      </c>
      <c r="J13">
        <v>0</v>
      </c>
      <c r="K13">
        <v>-10.6</v>
      </c>
      <c r="L13">
        <v>10.17</v>
      </c>
      <c r="M13">
        <v>-20.77</v>
      </c>
      <c r="N13">
        <v>0</v>
      </c>
      <c r="O13">
        <v>0</v>
      </c>
      <c r="P13">
        <v>5</v>
      </c>
      <c r="Q13">
        <v>0</v>
      </c>
      <c r="R13">
        <v>0</v>
      </c>
      <c r="S13">
        <v>0</v>
      </c>
      <c r="T13">
        <v>0</v>
      </c>
      <c r="U13">
        <v>0</v>
      </c>
    </row>
    <row r="14" spans="1:21">
      <c r="A14" t="s">
        <v>42</v>
      </c>
      <c r="B14" t="s">
        <v>448</v>
      </c>
      <c r="C14" t="s">
        <v>447</v>
      </c>
      <c r="D14" t="s">
        <v>26</v>
      </c>
      <c r="E14" t="s">
        <v>549</v>
      </c>
      <c r="F14" t="s">
        <v>550</v>
      </c>
      <c r="G14">
        <v>10</v>
      </c>
      <c r="H14">
        <v>15</v>
      </c>
      <c r="I14">
        <v>0</v>
      </c>
      <c r="J14">
        <v>0</v>
      </c>
      <c r="K14">
        <v>-10.6</v>
      </c>
      <c r="L14">
        <v>10.17</v>
      </c>
      <c r="M14">
        <v>-20.77</v>
      </c>
      <c r="N14">
        <v>0</v>
      </c>
      <c r="O14">
        <v>0</v>
      </c>
      <c r="P14">
        <v>10</v>
      </c>
      <c r="Q14">
        <v>0</v>
      </c>
      <c r="R14">
        <v>0</v>
      </c>
      <c r="S14">
        <v>0</v>
      </c>
      <c r="T14">
        <v>0</v>
      </c>
      <c r="U14">
        <v>0</v>
      </c>
    </row>
    <row r="15" spans="1:21">
      <c r="A15" t="s">
        <v>42</v>
      </c>
      <c r="B15" t="s">
        <v>528</v>
      </c>
      <c r="C15" t="s">
        <v>527</v>
      </c>
      <c r="D15" t="s">
        <v>26</v>
      </c>
      <c r="E15" t="s">
        <v>525</v>
      </c>
      <c r="F15" t="s">
        <v>526</v>
      </c>
      <c r="G15">
        <v>40</v>
      </c>
      <c r="H15">
        <v>160</v>
      </c>
      <c r="I15">
        <v>0</v>
      </c>
      <c r="J15">
        <v>0</v>
      </c>
      <c r="K15">
        <v>-150.1</v>
      </c>
      <c r="L15">
        <v>26.3</v>
      </c>
      <c r="M15">
        <v>-176.4</v>
      </c>
      <c r="N15">
        <v>0</v>
      </c>
      <c r="O15">
        <v>0</v>
      </c>
      <c r="P15">
        <v>0</v>
      </c>
      <c r="Q15">
        <v>0</v>
      </c>
      <c r="R15">
        <v>0</v>
      </c>
      <c r="S15">
        <v>40</v>
      </c>
      <c r="T15">
        <v>20</v>
      </c>
      <c r="U15">
        <v>0</v>
      </c>
    </row>
    <row r="16" spans="1:21">
      <c r="A16" t="s">
        <v>42</v>
      </c>
      <c r="B16" t="s">
        <v>528</v>
      </c>
      <c r="C16" t="s">
        <v>527</v>
      </c>
      <c r="D16" t="s">
        <v>26</v>
      </c>
      <c r="E16" t="s">
        <v>555</v>
      </c>
      <c r="F16" t="s">
        <v>556</v>
      </c>
      <c r="G16">
        <v>120</v>
      </c>
      <c r="H16">
        <v>160</v>
      </c>
      <c r="I16">
        <v>0</v>
      </c>
      <c r="J16">
        <v>0</v>
      </c>
      <c r="K16">
        <v>-150.1</v>
      </c>
      <c r="L16">
        <v>26.3</v>
      </c>
      <c r="M16">
        <v>-176.4</v>
      </c>
      <c r="N16">
        <v>0</v>
      </c>
      <c r="O16">
        <v>0</v>
      </c>
      <c r="P16">
        <v>120</v>
      </c>
      <c r="Q16">
        <v>0</v>
      </c>
      <c r="R16">
        <v>0</v>
      </c>
      <c r="S16">
        <v>0</v>
      </c>
      <c r="T16">
        <v>20</v>
      </c>
      <c r="U16">
        <v>0</v>
      </c>
    </row>
    <row r="17" spans="1:21">
      <c r="A17" t="s">
        <v>42</v>
      </c>
      <c r="B17" t="s">
        <v>62</v>
      </c>
      <c r="C17" t="s">
        <v>61</v>
      </c>
      <c r="D17" t="s">
        <v>26</v>
      </c>
      <c r="E17" t="s">
        <v>53</v>
      </c>
      <c r="F17" t="s">
        <v>54</v>
      </c>
      <c r="G17">
        <v>1</v>
      </c>
      <c r="H17">
        <v>41</v>
      </c>
      <c r="I17">
        <v>0</v>
      </c>
      <c r="J17">
        <v>0</v>
      </c>
      <c r="K17">
        <v>-47.4</v>
      </c>
      <c r="L17">
        <v>0</v>
      </c>
      <c r="M17">
        <v>-47.4</v>
      </c>
      <c r="N17">
        <v>0</v>
      </c>
      <c r="O17">
        <v>0</v>
      </c>
      <c r="P17">
        <v>0</v>
      </c>
      <c r="Q17">
        <v>0</v>
      </c>
      <c r="R17">
        <v>0</v>
      </c>
      <c r="S17">
        <v>1</v>
      </c>
      <c r="T17">
        <v>10</v>
      </c>
      <c r="U17">
        <v>0</v>
      </c>
    </row>
    <row r="18" spans="1:21">
      <c r="A18" t="s">
        <v>42</v>
      </c>
      <c r="B18" t="s">
        <v>62</v>
      </c>
      <c r="C18" t="s">
        <v>61</v>
      </c>
      <c r="D18" t="s">
        <v>26</v>
      </c>
      <c r="E18" t="s">
        <v>557</v>
      </c>
      <c r="F18" t="s">
        <v>558</v>
      </c>
      <c r="G18">
        <v>40</v>
      </c>
      <c r="H18">
        <v>41</v>
      </c>
      <c r="I18">
        <v>0</v>
      </c>
      <c r="J18">
        <v>0</v>
      </c>
      <c r="K18">
        <v>-47.4</v>
      </c>
      <c r="L18">
        <v>0</v>
      </c>
      <c r="M18">
        <v>-47.4</v>
      </c>
      <c r="N18">
        <v>40</v>
      </c>
      <c r="O18">
        <v>0</v>
      </c>
      <c r="P18">
        <v>0</v>
      </c>
      <c r="Q18">
        <v>0</v>
      </c>
      <c r="R18">
        <v>0</v>
      </c>
      <c r="S18">
        <v>0</v>
      </c>
      <c r="T18">
        <v>10</v>
      </c>
      <c r="U18">
        <v>0</v>
      </c>
    </row>
    <row r="19" spans="1:21">
      <c r="A19" t="s">
        <v>42</v>
      </c>
      <c r="B19" t="s">
        <v>418</v>
      </c>
      <c r="C19" t="s">
        <v>417</v>
      </c>
      <c r="D19" t="s">
        <v>26</v>
      </c>
      <c r="E19" t="s">
        <v>559</v>
      </c>
      <c r="F19" t="s">
        <v>560</v>
      </c>
      <c r="G19">
        <v>60</v>
      </c>
      <c r="H19">
        <v>72</v>
      </c>
      <c r="I19">
        <v>0</v>
      </c>
      <c r="J19">
        <v>0</v>
      </c>
      <c r="K19">
        <v>-74.599999999999994</v>
      </c>
      <c r="L19">
        <v>0.7</v>
      </c>
      <c r="M19">
        <v>-75.3</v>
      </c>
      <c r="N19">
        <v>0</v>
      </c>
      <c r="O19">
        <v>0</v>
      </c>
      <c r="P19">
        <v>60</v>
      </c>
      <c r="Q19">
        <v>0</v>
      </c>
      <c r="R19">
        <v>0</v>
      </c>
      <c r="S19">
        <v>0</v>
      </c>
      <c r="T19">
        <v>5</v>
      </c>
      <c r="U19">
        <v>0</v>
      </c>
    </row>
    <row r="20" spans="1:21">
      <c r="A20" t="s">
        <v>42</v>
      </c>
      <c r="B20" t="s">
        <v>418</v>
      </c>
      <c r="C20" t="s">
        <v>417</v>
      </c>
      <c r="D20" t="s">
        <v>26</v>
      </c>
      <c r="E20" t="s">
        <v>415</v>
      </c>
      <c r="F20" t="s">
        <v>416</v>
      </c>
      <c r="G20">
        <v>12</v>
      </c>
      <c r="H20">
        <v>72</v>
      </c>
      <c r="I20">
        <v>0</v>
      </c>
      <c r="J20">
        <v>0</v>
      </c>
      <c r="K20">
        <v>-74.599999999999994</v>
      </c>
      <c r="L20">
        <v>0.7</v>
      </c>
      <c r="M20">
        <v>-75.3</v>
      </c>
      <c r="N20">
        <v>0</v>
      </c>
      <c r="O20">
        <v>0</v>
      </c>
      <c r="P20">
        <v>0</v>
      </c>
      <c r="Q20">
        <v>0</v>
      </c>
      <c r="R20">
        <v>0</v>
      </c>
      <c r="S20">
        <v>12</v>
      </c>
      <c r="T20">
        <v>5</v>
      </c>
      <c r="U20">
        <v>0</v>
      </c>
    </row>
    <row r="21" spans="1:21">
      <c r="A21" t="s">
        <v>42</v>
      </c>
      <c r="B21" t="s">
        <v>91</v>
      </c>
      <c r="C21" t="s">
        <v>90</v>
      </c>
      <c r="D21" t="s">
        <v>26</v>
      </c>
      <c r="E21" t="s">
        <v>57</v>
      </c>
      <c r="F21" t="s">
        <v>58</v>
      </c>
      <c r="G21">
        <v>6.4</v>
      </c>
      <c r="H21">
        <v>36.4</v>
      </c>
      <c r="I21">
        <v>0</v>
      </c>
      <c r="J21">
        <v>0</v>
      </c>
      <c r="K21">
        <v>-36.9</v>
      </c>
      <c r="L21">
        <v>0</v>
      </c>
      <c r="M21">
        <v>-36.9</v>
      </c>
      <c r="N21">
        <v>0</v>
      </c>
      <c r="O21">
        <v>0</v>
      </c>
      <c r="P21">
        <v>0</v>
      </c>
      <c r="Q21">
        <v>0</v>
      </c>
      <c r="R21">
        <v>0</v>
      </c>
      <c r="S21">
        <v>6.4</v>
      </c>
      <c r="T21">
        <v>5</v>
      </c>
      <c r="U21">
        <v>0</v>
      </c>
    </row>
    <row r="22" spans="1:21">
      <c r="A22" t="s">
        <v>42</v>
      </c>
      <c r="B22" t="s">
        <v>91</v>
      </c>
      <c r="C22" t="s">
        <v>90</v>
      </c>
      <c r="D22" t="s">
        <v>26</v>
      </c>
      <c r="E22" t="s">
        <v>553</v>
      </c>
      <c r="F22" t="s">
        <v>554</v>
      </c>
      <c r="G22">
        <v>30</v>
      </c>
      <c r="H22">
        <v>36.4</v>
      </c>
      <c r="I22">
        <v>0</v>
      </c>
      <c r="J22">
        <v>0</v>
      </c>
      <c r="K22">
        <v>-36.9</v>
      </c>
      <c r="L22">
        <v>0</v>
      </c>
      <c r="M22">
        <v>-36.9</v>
      </c>
      <c r="N22">
        <v>0</v>
      </c>
      <c r="O22">
        <v>0</v>
      </c>
      <c r="P22">
        <v>30</v>
      </c>
      <c r="Q22">
        <v>0</v>
      </c>
      <c r="R22">
        <v>0</v>
      </c>
      <c r="S22">
        <v>0</v>
      </c>
      <c r="T22">
        <v>5</v>
      </c>
      <c r="U22">
        <v>0</v>
      </c>
    </row>
    <row r="23" spans="1:21">
      <c r="A23" t="s">
        <v>42</v>
      </c>
      <c r="B23" t="s">
        <v>113</v>
      </c>
      <c r="C23" t="s">
        <v>112</v>
      </c>
      <c r="D23" t="s">
        <v>26</v>
      </c>
      <c r="E23" t="s">
        <v>57</v>
      </c>
      <c r="F23" t="s">
        <v>58</v>
      </c>
      <c r="G23">
        <v>0.2</v>
      </c>
      <c r="H23">
        <v>5.2</v>
      </c>
      <c r="I23">
        <v>0</v>
      </c>
      <c r="J23">
        <v>0</v>
      </c>
      <c r="K23">
        <v>-6.2</v>
      </c>
      <c r="L23">
        <v>1</v>
      </c>
      <c r="M23">
        <v>-7.2</v>
      </c>
      <c r="N23">
        <v>0</v>
      </c>
      <c r="O23">
        <v>0</v>
      </c>
      <c r="P23">
        <v>0</v>
      </c>
      <c r="Q23">
        <v>0</v>
      </c>
      <c r="R23">
        <v>0</v>
      </c>
      <c r="S23">
        <v>0.2</v>
      </c>
      <c r="T23">
        <v>10</v>
      </c>
      <c r="U23">
        <v>0</v>
      </c>
    </row>
    <row r="24" spans="1:21">
      <c r="A24" t="s">
        <v>42</v>
      </c>
      <c r="B24" t="s">
        <v>113</v>
      </c>
      <c r="C24" t="s">
        <v>112</v>
      </c>
      <c r="D24" t="s">
        <v>26</v>
      </c>
      <c r="E24" t="s">
        <v>561</v>
      </c>
      <c r="F24" t="s">
        <v>562</v>
      </c>
      <c r="G24">
        <v>5</v>
      </c>
      <c r="H24">
        <v>5.2</v>
      </c>
      <c r="I24">
        <v>0</v>
      </c>
      <c r="J24">
        <v>0</v>
      </c>
      <c r="K24">
        <v>-6.2</v>
      </c>
      <c r="L24">
        <v>1</v>
      </c>
      <c r="M24">
        <v>-7.2</v>
      </c>
      <c r="N24">
        <v>0</v>
      </c>
      <c r="O24">
        <v>0</v>
      </c>
      <c r="P24">
        <v>5</v>
      </c>
      <c r="Q24">
        <v>0</v>
      </c>
      <c r="R24">
        <v>0</v>
      </c>
      <c r="S24">
        <v>0</v>
      </c>
      <c r="T24">
        <v>10</v>
      </c>
      <c r="U24">
        <v>0</v>
      </c>
    </row>
    <row r="25" spans="1:21">
      <c r="A25" t="s">
        <v>42</v>
      </c>
      <c r="B25" t="s">
        <v>440</v>
      </c>
      <c r="C25" t="s">
        <v>439</v>
      </c>
      <c r="D25" t="s">
        <v>26</v>
      </c>
      <c r="E25" t="s">
        <v>563</v>
      </c>
      <c r="F25" t="s">
        <v>564</v>
      </c>
      <c r="G25">
        <v>1</v>
      </c>
      <c r="H25">
        <v>71</v>
      </c>
      <c r="I25">
        <v>0</v>
      </c>
      <c r="J25">
        <v>0</v>
      </c>
      <c r="K25">
        <v>-88.8</v>
      </c>
      <c r="L25">
        <v>31</v>
      </c>
      <c r="M25">
        <v>-119.8</v>
      </c>
      <c r="N25">
        <v>0</v>
      </c>
      <c r="O25">
        <v>0</v>
      </c>
      <c r="P25">
        <v>0</v>
      </c>
      <c r="Q25">
        <v>0</v>
      </c>
      <c r="R25">
        <v>1</v>
      </c>
      <c r="S25">
        <v>0</v>
      </c>
      <c r="T25">
        <v>5</v>
      </c>
      <c r="U25">
        <v>0</v>
      </c>
    </row>
    <row r="26" spans="1:21">
      <c r="A26" t="s">
        <v>42</v>
      </c>
      <c r="B26" t="s">
        <v>440</v>
      </c>
      <c r="C26" t="s">
        <v>439</v>
      </c>
      <c r="D26" t="s">
        <v>26</v>
      </c>
      <c r="E26" t="s">
        <v>565</v>
      </c>
      <c r="F26" t="s">
        <v>566</v>
      </c>
      <c r="G26">
        <v>70</v>
      </c>
      <c r="H26">
        <v>71</v>
      </c>
      <c r="I26">
        <v>0</v>
      </c>
      <c r="J26">
        <v>0</v>
      </c>
      <c r="K26">
        <v>-88.8</v>
      </c>
      <c r="L26">
        <v>31</v>
      </c>
      <c r="M26">
        <v>-119.8</v>
      </c>
      <c r="N26">
        <v>70</v>
      </c>
      <c r="O26">
        <v>0</v>
      </c>
      <c r="P26">
        <v>0</v>
      </c>
      <c r="Q26">
        <v>0</v>
      </c>
      <c r="R26">
        <v>0</v>
      </c>
      <c r="S26">
        <v>0</v>
      </c>
      <c r="T26">
        <v>5</v>
      </c>
      <c r="U26">
        <v>0</v>
      </c>
    </row>
    <row r="27" spans="1:21">
      <c r="A27" t="s">
        <v>42</v>
      </c>
      <c r="B27" t="s">
        <v>398</v>
      </c>
      <c r="C27" t="s">
        <v>397</v>
      </c>
      <c r="D27" t="s">
        <v>26</v>
      </c>
      <c r="E27" t="s">
        <v>561</v>
      </c>
      <c r="F27" t="s">
        <v>562</v>
      </c>
      <c r="G27">
        <v>10</v>
      </c>
      <c r="H27">
        <v>15</v>
      </c>
      <c r="I27">
        <v>0</v>
      </c>
      <c r="J27">
        <v>0</v>
      </c>
      <c r="K27">
        <v>-7.7</v>
      </c>
      <c r="L27">
        <v>0.4</v>
      </c>
      <c r="M27">
        <v>-8.1</v>
      </c>
      <c r="N27">
        <v>0</v>
      </c>
      <c r="O27">
        <v>0</v>
      </c>
      <c r="P27">
        <v>10</v>
      </c>
      <c r="Q27">
        <v>0</v>
      </c>
      <c r="R27">
        <v>0</v>
      </c>
      <c r="S27">
        <v>0</v>
      </c>
      <c r="T27">
        <v>10</v>
      </c>
      <c r="U27">
        <v>0</v>
      </c>
    </row>
    <row r="28" spans="1:21">
      <c r="A28" t="s">
        <v>42</v>
      </c>
      <c r="B28" t="s">
        <v>398</v>
      </c>
      <c r="C28" t="s">
        <v>397</v>
      </c>
      <c r="D28" t="s">
        <v>26</v>
      </c>
      <c r="E28" t="s">
        <v>567</v>
      </c>
      <c r="F28" t="s">
        <v>568</v>
      </c>
      <c r="G28">
        <v>5</v>
      </c>
      <c r="H28">
        <v>15</v>
      </c>
      <c r="I28">
        <v>0</v>
      </c>
      <c r="J28">
        <v>0</v>
      </c>
      <c r="K28">
        <v>-7.7</v>
      </c>
      <c r="L28">
        <v>0.4</v>
      </c>
      <c r="M28">
        <v>-8.1</v>
      </c>
      <c r="N28">
        <v>0</v>
      </c>
      <c r="O28">
        <v>0</v>
      </c>
      <c r="P28">
        <v>5</v>
      </c>
      <c r="Q28">
        <v>0</v>
      </c>
      <c r="R28">
        <v>0</v>
      </c>
      <c r="S28">
        <v>0</v>
      </c>
      <c r="T28">
        <v>10</v>
      </c>
      <c r="U28">
        <v>0</v>
      </c>
    </row>
    <row r="29" spans="1:21">
      <c r="A29" t="s">
        <v>42</v>
      </c>
      <c r="B29" t="s">
        <v>456</v>
      </c>
      <c r="C29" t="s">
        <v>455</v>
      </c>
      <c r="D29" t="s">
        <v>26</v>
      </c>
      <c r="E29" t="s">
        <v>198</v>
      </c>
      <c r="F29" t="s">
        <v>199</v>
      </c>
      <c r="G29">
        <v>15.5</v>
      </c>
      <c r="H29">
        <v>25.5</v>
      </c>
      <c r="I29">
        <v>0</v>
      </c>
      <c r="J29">
        <v>0</v>
      </c>
      <c r="K29">
        <v>-26</v>
      </c>
      <c r="L29">
        <v>0.5</v>
      </c>
      <c r="M29">
        <v>-26.5</v>
      </c>
      <c r="N29">
        <v>0</v>
      </c>
      <c r="O29">
        <v>0</v>
      </c>
      <c r="P29">
        <v>0</v>
      </c>
      <c r="Q29">
        <v>0</v>
      </c>
      <c r="R29">
        <v>0</v>
      </c>
      <c r="S29">
        <v>15.5</v>
      </c>
      <c r="T29">
        <v>0</v>
      </c>
      <c r="U29">
        <v>0</v>
      </c>
    </row>
    <row r="30" spans="1:21">
      <c r="A30" t="s">
        <v>42</v>
      </c>
      <c r="B30" t="s">
        <v>456</v>
      </c>
      <c r="C30" t="s">
        <v>455</v>
      </c>
      <c r="D30" t="s">
        <v>26</v>
      </c>
      <c r="E30" t="s">
        <v>569</v>
      </c>
      <c r="F30" t="s">
        <v>570</v>
      </c>
      <c r="G30">
        <v>10</v>
      </c>
      <c r="H30">
        <v>25.5</v>
      </c>
      <c r="I30">
        <v>0</v>
      </c>
      <c r="J30">
        <v>0</v>
      </c>
      <c r="K30">
        <v>-26</v>
      </c>
      <c r="L30">
        <v>0.5</v>
      </c>
      <c r="M30">
        <v>-26.5</v>
      </c>
      <c r="N30">
        <v>0</v>
      </c>
      <c r="O30">
        <v>0</v>
      </c>
      <c r="P30">
        <v>10</v>
      </c>
      <c r="Q30">
        <v>0</v>
      </c>
      <c r="R30">
        <v>0</v>
      </c>
      <c r="S30">
        <v>0</v>
      </c>
      <c r="T30">
        <v>0</v>
      </c>
      <c r="U30">
        <v>0</v>
      </c>
    </row>
    <row r="31" spans="1:21">
      <c r="A31" t="s">
        <v>42</v>
      </c>
      <c r="B31" t="s">
        <v>400</v>
      </c>
      <c r="C31" t="s">
        <v>399</v>
      </c>
      <c r="D31" t="s">
        <v>26</v>
      </c>
      <c r="E31" t="s">
        <v>563</v>
      </c>
      <c r="F31" t="s">
        <v>564</v>
      </c>
      <c r="G31">
        <v>30</v>
      </c>
      <c r="H31">
        <v>39</v>
      </c>
      <c r="I31">
        <v>0</v>
      </c>
      <c r="J31">
        <v>0</v>
      </c>
      <c r="K31">
        <v>-39.9</v>
      </c>
      <c r="L31">
        <v>0</v>
      </c>
      <c r="M31">
        <v>-39.9</v>
      </c>
      <c r="N31">
        <v>0</v>
      </c>
      <c r="O31">
        <v>0</v>
      </c>
      <c r="P31">
        <v>0</v>
      </c>
      <c r="Q31">
        <v>0</v>
      </c>
      <c r="R31">
        <v>30</v>
      </c>
      <c r="S31">
        <v>0</v>
      </c>
      <c r="T31">
        <v>5</v>
      </c>
      <c r="U31">
        <v>0</v>
      </c>
    </row>
    <row r="32" spans="1:21">
      <c r="A32" t="s">
        <v>42</v>
      </c>
      <c r="B32" t="s">
        <v>400</v>
      </c>
      <c r="C32" t="s">
        <v>399</v>
      </c>
      <c r="D32" t="s">
        <v>26</v>
      </c>
      <c r="E32" t="s">
        <v>202</v>
      </c>
      <c r="F32" t="s">
        <v>203</v>
      </c>
      <c r="G32">
        <v>9</v>
      </c>
      <c r="H32">
        <v>39</v>
      </c>
      <c r="I32">
        <v>0</v>
      </c>
      <c r="J32">
        <v>0</v>
      </c>
      <c r="K32">
        <v>-39.9</v>
      </c>
      <c r="L32">
        <v>0</v>
      </c>
      <c r="M32">
        <v>-39.9</v>
      </c>
      <c r="N32">
        <v>0</v>
      </c>
      <c r="O32">
        <v>0</v>
      </c>
      <c r="P32">
        <v>0</v>
      </c>
      <c r="Q32">
        <v>0</v>
      </c>
      <c r="R32">
        <v>0</v>
      </c>
      <c r="S32">
        <v>9</v>
      </c>
      <c r="T32">
        <v>5</v>
      </c>
      <c r="U32">
        <v>0</v>
      </c>
    </row>
    <row r="33" spans="1:21">
      <c r="A33" t="s">
        <v>42</v>
      </c>
      <c r="B33" t="s">
        <v>460</v>
      </c>
      <c r="C33" t="s">
        <v>459</v>
      </c>
      <c r="D33" t="s">
        <v>26</v>
      </c>
      <c r="E33" t="s">
        <v>187</v>
      </c>
      <c r="F33" t="s">
        <v>188</v>
      </c>
      <c r="G33">
        <v>50</v>
      </c>
      <c r="H33">
        <v>120</v>
      </c>
      <c r="I33">
        <v>0</v>
      </c>
      <c r="J33">
        <v>0</v>
      </c>
      <c r="K33">
        <v>-115.9</v>
      </c>
      <c r="L33">
        <v>12</v>
      </c>
      <c r="M33">
        <v>-127.9</v>
      </c>
      <c r="N33">
        <v>0</v>
      </c>
      <c r="O33">
        <v>0</v>
      </c>
      <c r="P33">
        <v>0</v>
      </c>
      <c r="Q33">
        <v>0</v>
      </c>
      <c r="R33">
        <v>0</v>
      </c>
      <c r="S33">
        <v>50</v>
      </c>
      <c r="T33">
        <v>10</v>
      </c>
      <c r="U33">
        <v>0</v>
      </c>
    </row>
    <row r="34" spans="1:21">
      <c r="A34" t="s">
        <v>42</v>
      </c>
      <c r="B34" t="s">
        <v>460</v>
      </c>
      <c r="C34" t="s">
        <v>459</v>
      </c>
      <c r="D34" t="s">
        <v>26</v>
      </c>
      <c r="E34" t="s">
        <v>571</v>
      </c>
      <c r="F34" t="s">
        <v>572</v>
      </c>
      <c r="G34">
        <v>70</v>
      </c>
      <c r="H34">
        <v>120</v>
      </c>
      <c r="I34">
        <v>0</v>
      </c>
      <c r="J34">
        <v>0</v>
      </c>
      <c r="K34">
        <v>-115.9</v>
      </c>
      <c r="L34">
        <v>12</v>
      </c>
      <c r="M34">
        <v>-127.9</v>
      </c>
      <c r="N34">
        <v>0</v>
      </c>
      <c r="O34">
        <v>0</v>
      </c>
      <c r="P34">
        <v>70</v>
      </c>
      <c r="Q34">
        <v>0</v>
      </c>
      <c r="R34">
        <v>0</v>
      </c>
      <c r="S34">
        <v>0</v>
      </c>
      <c r="T34">
        <v>10</v>
      </c>
      <c r="U34">
        <v>0</v>
      </c>
    </row>
    <row r="35" spans="1:21">
      <c r="A35" t="s">
        <v>42</v>
      </c>
      <c r="B35" t="s">
        <v>514</v>
      </c>
      <c r="C35" t="s">
        <v>513</v>
      </c>
      <c r="D35" t="s">
        <v>26</v>
      </c>
      <c r="E35" t="s">
        <v>37</v>
      </c>
      <c r="F35" t="s">
        <v>38</v>
      </c>
      <c r="G35">
        <v>60</v>
      </c>
      <c r="H35">
        <v>110</v>
      </c>
      <c r="I35">
        <v>0</v>
      </c>
      <c r="J35">
        <v>0</v>
      </c>
      <c r="K35">
        <v>-100.3</v>
      </c>
      <c r="L35">
        <v>15</v>
      </c>
      <c r="M35">
        <v>-115.3</v>
      </c>
      <c r="N35">
        <v>0</v>
      </c>
      <c r="O35">
        <v>0</v>
      </c>
      <c r="P35">
        <v>0</v>
      </c>
      <c r="Q35">
        <v>0</v>
      </c>
      <c r="R35">
        <v>60</v>
      </c>
      <c r="S35">
        <v>0</v>
      </c>
      <c r="T35">
        <v>0</v>
      </c>
      <c r="U35">
        <v>0</v>
      </c>
    </row>
    <row r="36" spans="1:21">
      <c r="A36" t="s">
        <v>42</v>
      </c>
      <c r="B36" t="s">
        <v>514</v>
      </c>
      <c r="C36" t="s">
        <v>513</v>
      </c>
      <c r="D36" t="s">
        <v>26</v>
      </c>
      <c r="E36" t="s">
        <v>37</v>
      </c>
      <c r="F36" t="s">
        <v>38</v>
      </c>
      <c r="G36">
        <v>50</v>
      </c>
      <c r="H36">
        <v>110</v>
      </c>
      <c r="I36">
        <v>0</v>
      </c>
      <c r="J36">
        <v>0</v>
      </c>
      <c r="K36">
        <v>-100.3</v>
      </c>
      <c r="L36">
        <v>15</v>
      </c>
      <c r="M36">
        <v>-115.3</v>
      </c>
      <c r="N36">
        <v>0</v>
      </c>
      <c r="O36">
        <v>0</v>
      </c>
      <c r="P36">
        <v>0</v>
      </c>
      <c r="Q36">
        <v>0</v>
      </c>
      <c r="R36">
        <v>0</v>
      </c>
      <c r="S36">
        <v>50</v>
      </c>
      <c r="T36">
        <v>0</v>
      </c>
      <c r="U36">
        <v>0</v>
      </c>
    </row>
    <row r="37" spans="1:21">
      <c r="A37" t="s">
        <v>42</v>
      </c>
      <c r="B37" t="s">
        <v>79</v>
      </c>
      <c r="C37" t="s">
        <v>78</v>
      </c>
      <c r="D37" t="s">
        <v>26</v>
      </c>
      <c r="E37" t="s">
        <v>76</v>
      </c>
      <c r="F37" t="s">
        <v>77</v>
      </c>
      <c r="G37">
        <v>40</v>
      </c>
      <c r="H37">
        <v>41</v>
      </c>
      <c r="I37">
        <v>0</v>
      </c>
      <c r="J37">
        <v>0</v>
      </c>
      <c r="K37">
        <v>-42.3</v>
      </c>
      <c r="L37">
        <v>0</v>
      </c>
      <c r="M37">
        <v>-42.3</v>
      </c>
      <c r="N37">
        <v>0</v>
      </c>
      <c r="O37">
        <v>0</v>
      </c>
      <c r="P37">
        <v>0</v>
      </c>
      <c r="Q37">
        <v>0</v>
      </c>
      <c r="R37">
        <v>0</v>
      </c>
      <c r="S37">
        <v>40</v>
      </c>
      <c r="T37">
        <v>1</v>
      </c>
      <c r="U37">
        <v>0</v>
      </c>
    </row>
    <row r="38" spans="1:21">
      <c r="A38" t="s">
        <v>42</v>
      </c>
      <c r="B38" t="s">
        <v>79</v>
      </c>
      <c r="C38" t="s">
        <v>78</v>
      </c>
      <c r="D38" t="s">
        <v>26</v>
      </c>
      <c r="E38" t="s">
        <v>43</v>
      </c>
      <c r="F38" t="s">
        <v>44</v>
      </c>
      <c r="G38">
        <v>1</v>
      </c>
      <c r="H38">
        <v>41</v>
      </c>
      <c r="I38">
        <v>0</v>
      </c>
      <c r="J38">
        <v>0</v>
      </c>
      <c r="K38">
        <v>-42.3</v>
      </c>
      <c r="L38">
        <v>0</v>
      </c>
      <c r="M38">
        <v>-42.3</v>
      </c>
      <c r="N38">
        <v>0</v>
      </c>
      <c r="O38">
        <v>0</v>
      </c>
      <c r="P38">
        <v>0</v>
      </c>
      <c r="Q38">
        <v>0</v>
      </c>
      <c r="R38">
        <v>0</v>
      </c>
      <c r="S38">
        <v>1</v>
      </c>
      <c r="T38">
        <v>1</v>
      </c>
      <c r="U38">
        <v>0</v>
      </c>
    </row>
    <row r="39" spans="1:21">
      <c r="A39" t="s">
        <v>42</v>
      </c>
      <c r="B39" t="s">
        <v>368</v>
      </c>
      <c r="C39" t="s">
        <v>367</v>
      </c>
      <c r="D39" t="s">
        <v>26</v>
      </c>
      <c r="E39" t="s">
        <v>573</v>
      </c>
      <c r="F39" t="s">
        <v>574</v>
      </c>
      <c r="G39">
        <v>30</v>
      </c>
      <c r="H39">
        <v>60</v>
      </c>
      <c r="I39">
        <v>0</v>
      </c>
      <c r="J39">
        <v>0</v>
      </c>
      <c r="K39">
        <v>-60.5</v>
      </c>
      <c r="L39">
        <v>6</v>
      </c>
      <c r="M39">
        <v>-66.5</v>
      </c>
      <c r="N39">
        <v>0</v>
      </c>
      <c r="O39">
        <v>0</v>
      </c>
      <c r="P39">
        <v>30</v>
      </c>
      <c r="Q39">
        <v>0</v>
      </c>
      <c r="R39">
        <v>0</v>
      </c>
      <c r="S39">
        <v>0</v>
      </c>
      <c r="T39">
        <v>0</v>
      </c>
      <c r="U39">
        <v>0</v>
      </c>
    </row>
    <row r="40" spans="1:21">
      <c r="A40" t="s">
        <v>42</v>
      </c>
      <c r="B40" t="s">
        <v>368</v>
      </c>
      <c r="C40" t="s">
        <v>367</v>
      </c>
      <c r="D40" t="s">
        <v>26</v>
      </c>
      <c r="E40" t="s">
        <v>567</v>
      </c>
      <c r="F40" t="s">
        <v>568</v>
      </c>
      <c r="G40">
        <v>30</v>
      </c>
      <c r="H40">
        <v>60</v>
      </c>
      <c r="I40">
        <v>0</v>
      </c>
      <c r="J40">
        <v>0</v>
      </c>
      <c r="K40">
        <v>-60.5</v>
      </c>
      <c r="L40">
        <v>6</v>
      </c>
      <c r="M40">
        <v>-66.5</v>
      </c>
      <c r="N40">
        <v>0</v>
      </c>
      <c r="O40">
        <v>0</v>
      </c>
      <c r="P40">
        <v>30</v>
      </c>
      <c r="Q40">
        <v>0</v>
      </c>
      <c r="R40">
        <v>0</v>
      </c>
      <c r="S40">
        <v>0</v>
      </c>
      <c r="T40">
        <v>0</v>
      </c>
      <c r="U40">
        <v>0</v>
      </c>
    </row>
    <row r="41" spans="1:21">
      <c r="A41" t="s">
        <v>42</v>
      </c>
      <c r="B41" t="s">
        <v>444</v>
      </c>
      <c r="C41" t="s">
        <v>443</v>
      </c>
      <c r="D41" t="s">
        <v>26</v>
      </c>
      <c r="E41" t="s">
        <v>198</v>
      </c>
      <c r="F41" t="s">
        <v>199</v>
      </c>
      <c r="G41">
        <v>20</v>
      </c>
      <c r="H41">
        <v>23</v>
      </c>
      <c r="I41">
        <v>0</v>
      </c>
      <c r="J41">
        <v>0</v>
      </c>
      <c r="K41">
        <v>-28.5</v>
      </c>
      <c r="L41">
        <v>0</v>
      </c>
      <c r="M41">
        <v>-28.5</v>
      </c>
      <c r="N41">
        <v>0</v>
      </c>
      <c r="O41">
        <v>0</v>
      </c>
      <c r="P41">
        <v>0</v>
      </c>
      <c r="Q41">
        <v>0</v>
      </c>
      <c r="R41">
        <v>20</v>
      </c>
      <c r="S41">
        <v>0</v>
      </c>
      <c r="T41">
        <v>10</v>
      </c>
      <c r="U41">
        <v>0</v>
      </c>
    </row>
    <row r="42" spans="1:21">
      <c r="A42" t="s">
        <v>42</v>
      </c>
      <c r="B42" t="s">
        <v>444</v>
      </c>
      <c r="C42" t="s">
        <v>443</v>
      </c>
      <c r="D42" t="s">
        <v>26</v>
      </c>
      <c r="E42" t="s">
        <v>198</v>
      </c>
      <c r="F42" t="s">
        <v>199</v>
      </c>
      <c r="G42">
        <v>3</v>
      </c>
      <c r="H42">
        <v>23</v>
      </c>
      <c r="I42">
        <v>0</v>
      </c>
      <c r="J42">
        <v>0</v>
      </c>
      <c r="K42">
        <v>-28.5</v>
      </c>
      <c r="L42">
        <v>0</v>
      </c>
      <c r="M42">
        <v>-28.5</v>
      </c>
      <c r="N42">
        <v>0</v>
      </c>
      <c r="O42">
        <v>0</v>
      </c>
      <c r="P42">
        <v>0</v>
      </c>
      <c r="Q42">
        <v>0</v>
      </c>
      <c r="R42">
        <v>0</v>
      </c>
      <c r="S42">
        <v>3</v>
      </c>
      <c r="T42">
        <v>10</v>
      </c>
      <c r="U42">
        <v>0</v>
      </c>
    </row>
    <row r="43" spans="1:21">
      <c r="A43" t="s">
        <v>42</v>
      </c>
      <c r="B43" t="s">
        <v>115</v>
      </c>
      <c r="C43" t="s">
        <v>114</v>
      </c>
      <c r="D43" t="s">
        <v>26</v>
      </c>
      <c r="E43" t="s">
        <v>575</v>
      </c>
      <c r="F43" t="s">
        <v>576</v>
      </c>
      <c r="G43">
        <v>30</v>
      </c>
      <c r="H43">
        <v>32</v>
      </c>
      <c r="I43">
        <v>0</v>
      </c>
      <c r="J43">
        <v>0</v>
      </c>
      <c r="K43">
        <v>-32</v>
      </c>
      <c r="L43">
        <v>0</v>
      </c>
      <c r="M43">
        <v>-32</v>
      </c>
      <c r="N43">
        <v>30</v>
      </c>
      <c r="O43">
        <v>0</v>
      </c>
      <c r="P43">
        <v>0</v>
      </c>
      <c r="Q43">
        <v>0</v>
      </c>
      <c r="R43">
        <v>0</v>
      </c>
      <c r="S43">
        <v>0</v>
      </c>
      <c r="T43">
        <v>10</v>
      </c>
      <c r="U43">
        <v>0</v>
      </c>
    </row>
    <row r="44" spans="1:21">
      <c r="A44" t="s">
        <v>42</v>
      </c>
      <c r="B44" t="s">
        <v>115</v>
      </c>
      <c r="C44" t="s">
        <v>114</v>
      </c>
      <c r="D44" t="s">
        <v>26</v>
      </c>
      <c r="E44" t="s">
        <v>53</v>
      </c>
      <c r="F44" t="s">
        <v>54</v>
      </c>
      <c r="G44">
        <v>2</v>
      </c>
      <c r="H44">
        <v>32</v>
      </c>
      <c r="I44">
        <v>0</v>
      </c>
      <c r="J44">
        <v>0</v>
      </c>
      <c r="K44">
        <v>-32</v>
      </c>
      <c r="L44">
        <v>0</v>
      </c>
      <c r="M44">
        <v>-32</v>
      </c>
      <c r="N44">
        <v>0</v>
      </c>
      <c r="O44">
        <v>0</v>
      </c>
      <c r="P44">
        <v>0</v>
      </c>
      <c r="Q44">
        <v>0</v>
      </c>
      <c r="R44">
        <v>0</v>
      </c>
      <c r="S44">
        <v>2</v>
      </c>
      <c r="T44">
        <v>10</v>
      </c>
      <c r="U44">
        <v>0</v>
      </c>
    </row>
    <row r="45" spans="1:21">
      <c r="A45" t="s">
        <v>42</v>
      </c>
      <c r="B45" t="s">
        <v>274</v>
      </c>
      <c r="C45" t="s">
        <v>273</v>
      </c>
      <c r="D45" t="s">
        <v>26</v>
      </c>
      <c r="E45" t="s">
        <v>193</v>
      </c>
      <c r="F45" t="s">
        <v>194</v>
      </c>
      <c r="G45">
        <v>4</v>
      </c>
      <c r="H45">
        <v>5.5</v>
      </c>
      <c r="I45">
        <v>0</v>
      </c>
      <c r="J45">
        <v>0</v>
      </c>
      <c r="K45">
        <v>-5.5</v>
      </c>
      <c r="L45">
        <v>0</v>
      </c>
      <c r="M45">
        <v>-5.5</v>
      </c>
      <c r="N45">
        <v>0</v>
      </c>
      <c r="O45">
        <v>0</v>
      </c>
      <c r="P45">
        <v>0</v>
      </c>
      <c r="Q45">
        <v>0</v>
      </c>
      <c r="R45">
        <v>4</v>
      </c>
      <c r="S45">
        <v>0</v>
      </c>
      <c r="T45">
        <v>10</v>
      </c>
      <c r="U45">
        <v>0</v>
      </c>
    </row>
    <row r="46" spans="1:21">
      <c r="A46" t="s">
        <v>42</v>
      </c>
      <c r="B46" t="s">
        <v>274</v>
      </c>
      <c r="C46" t="s">
        <v>273</v>
      </c>
      <c r="D46" t="s">
        <v>26</v>
      </c>
      <c r="E46" t="s">
        <v>193</v>
      </c>
      <c r="F46" t="s">
        <v>194</v>
      </c>
      <c r="G46">
        <v>1.5</v>
      </c>
      <c r="H46">
        <v>5.5</v>
      </c>
      <c r="I46">
        <v>0</v>
      </c>
      <c r="J46">
        <v>0</v>
      </c>
      <c r="K46">
        <v>-5.5</v>
      </c>
      <c r="L46">
        <v>0</v>
      </c>
      <c r="M46">
        <v>-5.5</v>
      </c>
      <c r="N46">
        <v>0</v>
      </c>
      <c r="O46">
        <v>0</v>
      </c>
      <c r="P46">
        <v>0</v>
      </c>
      <c r="Q46">
        <v>0</v>
      </c>
      <c r="R46">
        <v>0</v>
      </c>
      <c r="S46">
        <v>1.5</v>
      </c>
      <c r="T46">
        <v>10</v>
      </c>
      <c r="U46">
        <v>0</v>
      </c>
    </row>
    <row r="47" spans="1:21">
      <c r="A47" t="s">
        <v>42</v>
      </c>
      <c r="B47" t="s">
        <v>402</v>
      </c>
      <c r="C47" t="s">
        <v>401</v>
      </c>
      <c r="D47" t="s">
        <v>26</v>
      </c>
      <c r="E47" t="s">
        <v>551</v>
      </c>
      <c r="F47" t="s">
        <v>552</v>
      </c>
      <c r="G47">
        <v>10</v>
      </c>
      <c r="H47">
        <v>18</v>
      </c>
      <c r="I47">
        <v>0</v>
      </c>
      <c r="J47">
        <v>0</v>
      </c>
      <c r="K47">
        <v>-26</v>
      </c>
      <c r="L47">
        <v>8</v>
      </c>
      <c r="M47">
        <v>-34</v>
      </c>
      <c r="N47">
        <v>10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</row>
    <row r="48" spans="1:21">
      <c r="A48" t="s">
        <v>42</v>
      </c>
      <c r="B48" t="s">
        <v>402</v>
      </c>
      <c r="C48" t="s">
        <v>401</v>
      </c>
      <c r="D48" t="s">
        <v>26</v>
      </c>
      <c r="E48" t="s">
        <v>189</v>
      </c>
      <c r="F48" t="s">
        <v>190</v>
      </c>
      <c r="G48">
        <v>8</v>
      </c>
      <c r="H48">
        <v>18</v>
      </c>
      <c r="I48">
        <v>0</v>
      </c>
      <c r="J48">
        <v>0</v>
      </c>
      <c r="K48">
        <v>-26</v>
      </c>
      <c r="L48">
        <v>8</v>
      </c>
      <c r="M48">
        <v>-34</v>
      </c>
      <c r="N48">
        <v>0</v>
      </c>
      <c r="O48">
        <v>0</v>
      </c>
      <c r="P48">
        <v>0</v>
      </c>
      <c r="Q48">
        <v>0</v>
      </c>
      <c r="R48">
        <v>0</v>
      </c>
      <c r="S48">
        <v>8</v>
      </c>
      <c r="T48">
        <v>0</v>
      </c>
      <c r="U48">
        <v>0</v>
      </c>
    </row>
    <row r="49" spans="1:21">
      <c r="A49" t="s">
        <v>42</v>
      </c>
      <c r="B49" t="s">
        <v>282</v>
      </c>
      <c r="C49" t="s">
        <v>281</v>
      </c>
      <c r="D49" t="s">
        <v>26</v>
      </c>
      <c r="E49" t="s">
        <v>193</v>
      </c>
      <c r="F49" t="s">
        <v>194</v>
      </c>
      <c r="G49">
        <v>2</v>
      </c>
      <c r="H49">
        <v>7</v>
      </c>
      <c r="I49">
        <v>0</v>
      </c>
      <c r="J49">
        <v>0</v>
      </c>
      <c r="K49">
        <v>-11.2</v>
      </c>
      <c r="L49">
        <v>4</v>
      </c>
      <c r="M49">
        <v>-15.2</v>
      </c>
      <c r="N49">
        <v>0</v>
      </c>
      <c r="O49">
        <v>0</v>
      </c>
      <c r="P49">
        <v>0</v>
      </c>
      <c r="Q49">
        <v>0</v>
      </c>
      <c r="R49">
        <v>0</v>
      </c>
      <c r="S49">
        <v>2</v>
      </c>
      <c r="T49">
        <v>0</v>
      </c>
      <c r="U49">
        <v>0</v>
      </c>
    </row>
    <row r="50" spans="1:21">
      <c r="A50" t="s">
        <v>42</v>
      </c>
      <c r="B50" t="s">
        <v>282</v>
      </c>
      <c r="C50" t="s">
        <v>281</v>
      </c>
      <c r="D50" t="s">
        <v>26</v>
      </c>
      <c r="E50" t="s">
        <v>577</v>
      </c>
      <c r="F50" t="s">
        <v>578</v>
      </c>
      <c r="G50">
        <v>5</v>
      </c>
      <c r="H50">
        <v>7</v>
      </c>
      <c r="I50">
        <v>0</v>
      </c>
      <c r="J50">
        <v>0</v>
      </c>
      <c r="K50">
        <v>-11.2</v>
      </c>
      <c r="L50">
        <v>4</v>
      </c>
      <c r="M50">
        <v>-15.2</v>
      </c>
      <c r="N50">
        <v>5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</row>
    <row r="51" spans="1:21">
      <c r="A51" t="s">
        <v>42</v>
      </c>
      <c r="B51" t="s">
        <v>512</v>
      </c>
      <c r="C51" t="s">
        <v>511</v>
      </c>
      <c r="D51" t="s">
        <v>26</v>
      </c>
      <c r="E51" t="s">
        <v>198</v>
      </c>
      <c r="F51" t="s">
        <v>199</v>
      </c>
      <c r="G51">
        <v>50</v>
      </c>
      <c r="H51">
        <v>65</v>
      </c>
      <c r="I51">
        <v>0</v>
      </c>
      <c r="J51">
        <v>0</v>
      </c>
      <c r="K51">
        <v>-64.599999999999994</v>
      </c>
      <c r="L51">
        <v>5</v>
      </c>
      <c r="M51">
        <v>-69.599999999999994</v>
      </c>
      <c r="N51">
        <v>0</v>
      </c>
      <c r="O51">
        <v>0</v>
      </c>
      <c r="P51">
        <v>0</v>
      </c>
      <c r="Q51">
        <v>0</v>
      </c>
      <c r="R51">
        <v>50</v>
      </c>
      <c r="S51">
        <v>0</v>
      </c>
      <c r="T51">
        <v>5</v>
      </c>
      <c r="U51">
        <v>0</v>
      </c>
    </row>
    <row r="52" spans="1:21">
      <c r="A52" t="s">
        <v>42</v>
      </c>
      <c r="B52" t="s">
        <v>512</v>
      </c>
      <c r="C52" t="s">
        <v>511</v>
      </c>
      <c r="D52" t="s">
        <v>26</v>
      </c>
      <c r="E52" t="s">
        <v>198</v>
      </c>
      <c r="F52" t="s">
        <v>199</v>
      </c>
      <c r="G52">
        <v>15</v>
      </c>
      <c r="H52">
        <v>65</v>
      </c>
      <c r="I52">
        <v>0</v>
      </c>
      <c r="J52">
        <v>0</v>
      </c>
      <c r="K52">
        <v>-64.599999999999994</v>
      </c>
      <c r="L52">
        <v>5</v>
      </c>
      <c r="M52">
        <v>-69.599999999999994</v>
      </c>
      <c r="N52">
        <v>0</v>
      </c>
      <c r="O52">
        <v>0</v>
      </c>
      <c r="P52">
        <v>0</v>
      </c>
      <c r="Q52">
        <v>0</v>
      </c>
      <c r="R52">
        <v>0</v>
      </c>
      <c r="S52">
        <v>15</v>
      </c>
      <c r="T52">
        <v>5</v>
      </c>
      <c r="U52">
        <v>0</v>
      </c>
    </row>
    <row r="53" spans="1:21">
      <c r="A53" t="s">
        <v>42</v>
      </c>
      <c r="B53" t="s">
        <v>260</v>
      </c>
      <c r="C53" t="s">
        <v>259</v>
      </c>
      <c r="D53" t="s">
        <v>26</v>
      </c>
      <c r="E53" t="s">
        <v>187</v>
      </c>
      <c r="F53" t="s">
        <v>188</v>
      </c>
      <c r="G53">
        <v>50</v>
      </c>
      <c r="H53">
        <v>100</v>
      </c>
      <c r="I53">
        <v>0</v>
      </c>
      <c r="J53">
        <v>0</v>
      </c>
      <c r="K53">
        <v>-98.9</v>
      </c>
      <c r="L53">
        <v>0</v>
      </c>
      <c r="M53">
        <v>-98.9</v>
      </c>
      <c r="N53">
        <v>0</v>
      </c>
      <c r="O53">
        <v>0</v>
      </c>
      <c r="P53">
        <v>0</v>
      </c>
      <c r="Q53">
        <v>0</v>
      </c>
      <c r="R53">
        <v>0</v>
      </c>
      <c r="S53">
        <v>50</v>
      </c>
      <c r="T53">
        <v>10</v>
      </c>
      <c r="U53">
        <v>0</v>
      </c>
    </row>
    <row r="54" spans="1:21">
      <c r="A54" t="s">
        <v>42</v>
      </c>
      <c r="B54" t="s">
        <v>260</v>
      </c>
      <c r="C54" t="s">
        <v>259</v>
      </c>
      <c r="D54" t="s">
        <v>26</v>
      </c>
      <c r="E54" t="s">
        <v>571</v>
      </c>
      <c r="F54" t="s">
        <v>572</v>
      </c>
      <c r="G54">
        <v>50</v>
      </c>
      <c r="H54">
        <v>100</v>
      </c>
      <c r="I54">
        <v>0</v>
      </c>
      <c r="J54">
        <v>0</v>
      </c>
      <c r="K54">
        <v>-98.9</v>
      </c>
      <c r="L54">
        <v>0</v>
      </c>
      <c r="M54">
        <v>-98.9</v>
      </c>
      <c r="N54">
        <v>0</v>
      </c>
      <c r="O54">
        <v>0</v>
      </c>
      <c r="P54">
        <v>50</v>
      </c>
      <c r="Q54">
        <v>0</v>
      </c>
      <c r="R54">
        <v>0</v>
      </c>
      <c r="S54">
        <v>0</v>
      </c>
      <c r="T54">
        <v>10</v>
      </c>
      <c r="U54">
        <v>0</v>
      </c>
    </row>
    <row r="55" spans="1:21">
      <c r="A55" t="s">
        <v>42</v>
      </c>
      <c r="B55" t="s">
        <v>392</v>
      </c>
      <c r="C55" t="s">
        <v>391</v>
      </c>
      <c r="D55" t="s">
        <v>26</v>
      </c>
      <c r="E55" t="s">
        <v>579</v>
      </c>
      <c r="F55" t="s">
        <v>580</v>
      </c>
      <c r="G55">
        <v>10</v>
      </c>
      <c r="H55">
        <v>10</v>
      </c>
      <c r="I55">
        <v>0</v>
      </c>
      <c r="J55">
        <v>0</v>
      </c>
      <c r="K55">
        <v>-6.1</v>
      </c>
      <c r="L55">
        <v>3.2</v>
      </c>
      <c r="M55">
        <v>-9.3000000000000007</v>
      </c>
      <c r="N55">
        <v>0</v>
      </c>
      <c r="O55">
        <v>0</v>
      </c>
      <c r="P55">
        <v>10</v>
      </c>
      <c r="Q55">
        <v>0</v>
      </c>
      <c r="R55">
        <v>0</v>
      </c>
      <c r="S55">
        <v>0</v>
      </c>
      <c r="T55">
        <v>0</v>
      </c>
      <c r="U55">
        <v>0</v>
      </c>
    </row>
    <row r="56" spans="1:21">
      <c r="A56" t="s">
        <v>42</v>
      </c>
      <c r="B56" t="s">
        <v>502</v>
      </c>
      <c r="C56" t="s">
        <v>501</v>
      </c>
      <c r="D56" t="s">
        <v>26</v>
      </c>
      <c r="E56" t="s">
        <v>569</v>
      </c>
      <c r="F56" t="s">
        <v>570</v>
      </c>
      <c r="G56">
        <v>20</v>
      </c>
      <c r="H56">
        <v>20</v>
      </c>
      <c r="I56">
        <v>0</v>
      </c>
      <c r="J56">
        <v>0</v>
      </c>
      <c r="K56">
        <v>-18.8</v>
      </c>
      <c r="L56">
        <v>39</v>
      </c>
      <c r="M56">
        <v>-57.8</v>
      </c>
      <c r="N56">
        <v>0</v>
      </c>
      <c r="O56">
        <v>0</v>
      </c>
      <c r="P56">
        <v>20</v>
      </c>
      <c r="Q56">
        <v>0</v>
      </c>
      <c r="R56">
        <v>0</v>
      </c>
      <c r="S56">
        <v>0</v>
      </c>
      <c r="T56">
        <v>1</v>
      </c>
      <c r="U56">
        <v>0</v>
      </c>
    </row>
    <row r="57" spans="1:21">
      <c r="A57" t="s">
        <v>42</v>
      </c>
      <c r="B57" t="s">
        <v>236</v>
      </c>
      <c r="C57" t="s">
        <v>235</v>
      </c>
      <c r="D57" t="s">
        <v>26</v>
      </c>
      <c r="E57" t="s">
        <v>47</v>
      </c>
      <c r="F57" t="s">
        <v>48</v>
      </c>
      <c r="G57">
        <v>1</v>
      </c>
      <c r="H57">
        <v>1</v>
      </c>
      <c r="I57">
        <v>0</v>
      </c>
      <c r="J57">
        <v>0</v>
      </c>
      <c r="K57">
        <v>-1</v>
      </c>
      <c r="L57">
        <v>0</v>
      </c>
      <c r="M57">
        <v>-1</v>
      </c>
      <c r="N57">
        <v>0</v>
      </c>
      <c r="O57">
        <v>0</v>
      </c>
      <c r="P57">
        <v>0</v>
      </c>
      <c r="Q57">
        <v>0</v>
      </c>
      <c r="R57">
        <v>0</v>
      </c>
      <c r="S57">
        <v>1</v>
      </c>
      <c r="T57">
        <v>0</v>
      </c>
      <c r="U57">
        <v>0</v>
      </c>
    </row>
    <row r="58" spans="1:21">
      <c r="A58" t="s">
        <v>42</v>
      </c>
      <c r="B58" t="s">
        <v>83</v>
      </c>
      <c r="C58" t="s">
        <v>82</v>
      </c>
      <c r="D58" t="s">
        <v>26</v>
      </c>
      <c r="E58" t="s">
        <v>561</v>
      </c>
      <c r="F58" t="s">
        <v>562</v>
      </c>
      <c r="G58">
        <v>5</v>
      </c>
      <c r="H58">
        <v>5</v>
      </c>
      <c r="I58">
        <v>0</v>
      </c>
      <c r="J58">
        <v>0</v>
      </c>
      <c r="K58">
        <v>-7</v>
      </c>
      <c r="L58">
        <v>0.7</v>
      </c>
      <c r="M58">
        <v>-7.7</v>
      </c>
      <c r="N58">
        <v>0</v>
      </c>
      <c r="O58">
        <v>0</v>
      </c>
      <c r="P58">
        <v>5</v>
      </c>
      <c r="Q58">
        <v>0</v>
      </c>
      <c r="R58">
        <v>0</v>
      </c>
      <c r="S58">
        <v>0</v>
      </c>
      <c r="T58">
        <v>0</v>
      </c>
      <c r="U58">
        <v>0</v>
      </c>
    </row>
    <row r="59" spans="1:21">
      <c r="A59" t="s">
        <v>42</v>
      </c>
      <c r="B59" t="s">
        <v>492</v>
      </c>
      <c r="C59" t="s">
        <v>491</v>
      </c>
      <c r="D59" t="s">
        <v>26</v>
      </c>
      <c r="E59" t="s">
        <v>555</v>
      </c>
      <c r="F59" t="s">
        <v>556</v>
      </c>
      <c r="G59">
        <v>20</v>
      </c>
      <c r="H59">
        <v>20</v>
      </c>
      <c r="I59">
        <v>0</v>
      </c>
      <c r="J59">
        <v>0</v>
      </c>
      <c r="K59">
        <v>-8</v>
      </c>
      <c r="L59">
        <v>0</v>
      </c>
      <c r="M59">
        <v>-8</v>
      </c>
      <c r="N59">
        <v>0</v>
      </c>
      <c r="O59">
        <v>0</v>
      </c>
      <c r="P59">
        <v>20</v>
      </c>
      <c r="Q59">
        <v>0</v>
      </c>
      <c r="R59">
        <v>0</v>
      </c>
      <c r="S59">
        <v>0</v>
      </c>
      <c r="T59">
        <v>0</v>
      </c>
      <c r="U59">
        <v>0</v>
      </c>
    </row>
    <row r="60" spans="1:21">
      <c r="A60" t="s">
        <v>42</v>
      </c>
      <c r="B60" t="s">
        <v>326</v>
      </c>
      <c r="C60" t="s">
        <v>325</v>
      </c>
      <c r="D60" t="s">
        <v>26</v>
      </c>
      <c r="E60" t="s">
        <v>561</v>
      </c>
      <c r="F60" t="s">
        <v>562</v>
      </c>
      <c r="G60">
        <v>3</v>
      </c>
      <c r="H60">
        <v>3</v>
      </c>
      <c r="I60">
        <v>0</v>
      </c>
      <c r="J60">
        <v>0</v>
      </c>
      <c r="K60">
        <v>-3</v>
      </c>
      <c r="L60">
        <v>3.3</v>
      </c>
      <c r="M60">
        <v>-6.3</v>
      </c>
      <c r="N60">
        <v>0</v>
      </c>
      <c r="O60">
        <v>0</v>
      </c>
      <c r="P60">
        <v>3</v>
      </c>
      <c r="Q60">
        <v>0</v>
      </c>
      <c r="R60">
        <v>0</v>
      </c>
      <c r="S60">
        <v>0</v>
      </c>
      <c r="T60">
        <v>0</v>
      </c>
      <c r="U60">
        <v>0</v>
      </c>
    </row>
    <row r="61" spans="1:21">
      <c r="A61" t="s">
        <v>42</v>
      </c>
      <c r="B61" t="s">
        <v>436</v>
      </c>
      <c r="C61" t="s">
        <v>435</v>
      </c>
      <c r="D61" t="s">
        <v>26</v>
      </c>
      <c r="E61" t="s">
        <v>581</v>
      </c>
      <c r="F61" t="s">
        <v>582</v>
      </c>
      <c r="G61">
        <v>10</v>
      </c>
      <c r="H61">
        <v>10</v>
      </c>
      <c r="I61">
        <v>0</v>
      </c>
      <c r="J61">
        <v>0</v>
      </c>
      <c r="K61">
        <v>-3</v>
      </c>
      <c r="L61">
        <v>6</v>
      </c>
      <c r="M61">
        <v>-9</v>
      </c>
      <c r="N61">
        <v>10</v>
      </c>
      <c r="O61">
        <v>0</v>
      </c>
      <c r="P61">
        <v>0</v>
      </c>
      <c r="Q61">
        <v>0</v>
      </c>
      <c r="R61">
        <v>0</v>
      </c>
      <c r="S61">
        <v>0</v>
      </c>
      <c r="T61">
        <v>5</v>
      </c>
      <c r="U61">
        <v>0</v>
      </c>
    </row>
    <row r="62" spans="1:21">
      <c r="A62" t="s">
        <v>42</v>
      </c>
      <c r="B62" t="s">
        <v>117</v>
      </c>
      <c r="C62" t="s">
        <v>116</v>
      </c>
      <c r="D62" t="s">
        <v>26</v>
      </c>
      <c r="E62" t="s">
        <v>43</v>
      </c>
      <c r="F62" t="s">
        <v>44</v>
      </c>
      <c r="G62">
        <v>1</v>
      </c>
      <c r="H62">
        <v>1</v>
      </c>
      <c r="I62">
        <v>0</v>
      </c>
      <c r="J62">
        <v>0</v>
      </c>
      <c r="K62">
        <v>-1</v>
      </c>
      <c r="L62">
        <v>0</v>
      </c>
      <c r="M62">
        <v>-1</v>
      </c>
      <c r="N62">
        <v>0</v>
      </c>
      <c r="O62">
        <v>0</v>
      </c>
      <c r="P62">
        <v>0</v>
      </c>
      <c r="Q62">
        <v>0</v>
      </c>
      <c r="R62">
        <v>0</v>
      </c>
      <c r="S62">
        <v>1</v>
      </c>
      <c r="T62">
        <v>0</v>
      </c>
      <c r="U62">
        <v>0</v>
      </c>
    </row>
    <row r="63" spans="1:21">
      <c r="A63" t="s">
        <v>42</v>
      </c>
      <c r="B63" t="s">
        <v>93</v>
      </c>
      <c r="C63" t="s">
        <v>92</v>
      </c>
      <c r="D63" t="s">
        <v>26</v>
      </c>
      <c r="E63" t="s">
        <v>27</v>
      </c>
      <c r="F63" t="s">
        <v>28</v>
      </c>
      <c r="G63">
        <v>5</v>
      </c>
      <c r="H63">
        <v>5</v>
      </c>
      <c r="I63">
        <v>0</v>
      </c>
      <c r="J63">
        <v>0</v>
      </c>
      <c r="K63">
        <v>-5.5</v>
      </c>
      <c r="L63">
        <v>0</v>
      </c>
      <c r="M63">
        <v>-5.5</v>
      </c>
      <c r="N63">
        <v>0</v>
      </c>
      <c r="O63">
        <v>0</v>
      </c>
      <c r="P63">
        <v>0</v>
      </c>
      <c r="Q63">
        <v>0</v>
      </c>
      <c r="R63">
        <v>0</v>
      </c>
      <c r="S63">
        <v>5</v>
      </c>
      <c r="T63">
        <v>0</v>
      </c>
      <c r="U63">
        <v>0</v>
      </c>
    </row>
    <row r="64" spans="1:21">
      <c r="A64" t="s">
        <v>42</v>
      </c>
      <c r="B64" t="s">
        <v>222</v>
      </c>
      <c r="C64" t="s">
        <v>221</v>
      </c>
      <c r="D64" t="s">
        <v>26</v>
      </c>
      <c r="E64" t="s">
        <v>193</v>
      </c>
      <c r="F64" t="s">
        <v>194</v>
      </c>
      <c r="G64">
        <v>0.5</v>
      </c>
      <c r="H64">
        <v>0.5</v>
      </c>
      <c r="I64">
        <v>0</v>
      </c>
      <c r="J64">
        <v>0</v>
      </c>
      <c r="K64">
        <v>-0.5</v>
      </c>
      <c r="L64">
        <v>0</v>
      </c>
      <c r="M64">
        <v>-0.5</v>
      </c>
      <c r="N64">
        <v>0</v>
      </c>
      <c r="O64">
        <v>0</v>
      </c>
      <c r="P64">
        <v>0</v>
      </c>
      <c r="Q64">
        <v>0</v>
      </c>
      <c r="R64">
        <v>0</v>
      </c>
      <c r="S64">
        <v>0.5</v>
      </c>
      <c r="T64">
        <v>0</v>
      </c>
      <c r="U64">
        <v>0</v>
      </c>
    </row>
    <row r="65" spans="1:21">
      <c r="A65" t="s">
        <v>42</v>
      </c>
      <c r="B65" t="s">
        <v>107</v>
      </c>
      <c r="C65" t="s">
        <v>106</v>
      </c>
      <c r="D65" t="s">
        <v>26</v>
      </c>
      <c r="E65" t="s">
        <v>561</v>
      </c>
      <c r="F65" t="s">
        <v>562</v>
      </c>
      <c r="G65">
        <v>3</v>
      </c>
      <c r="H65">
        <v>3</v>
      </c>
      <c r="I65">
        <v>0</v>
      </c>
      <c r="J65">
        <v>0</v>
      </c>
      <c r="K65">
        <v>-5.6</v>
      </c>
      <c r="L65">
        <v>2.5</v>
      </c>
      <c r="M65">
        <v>-8.1</v>
      </c>
      <c r="N65">
        <v>0</v>
      </c>
      <c r="O65">
        <v>0</v>
      </c>
      <c r="P65">
        <v>3</v>
      </c>
      <c r="Q65">
        <v>0</v>
      </c>
      <c r="R65">
        <v>0</v>
      </c>
      <c r="S65">
        <v>0</v>
      </c>
      <c r="T65">
        <v>10</v>
      </c>
      <c r="U65">
        <v>0</v>
      </c>
    </row>
    <row r="66" spans="1:21">
      <c r="A66" t="s">
        <v>42</v>
      </c>
      <c r="B66" t="s">
        <v>396</v>
      </c>
      <c r="C66" t="s">
        <v>395</v>
      </c>
      <c r="D66" t="s">
        <v>26</v>
      </c>
      <c r="E66" t="s">
        <v>94</v>
      </c>
      <c r="F66" t="s">
        <v>95</v>
      </c>
      <c r="G66">
        <v>7.3</v>
      </c>
      <c r="H66">
        <v>7.3</v>
      </c>
      <c r="I66">
        <v>0</v>
      </c>
      <c r="J66">
        <v>0</v>
      </c>
      <c r="K66">
        <v>-7.3</v>
      </c>
      <c r="L66">
        <v>0</v>
      </c>
      <c r="M66">
        <v>-7.3</v>
      </c>
      <c r="N66">
        <v>0</v>
      </c>
      <c r="O66">
        <v>0</v>
      </c>
      <c r="P66">
        <v>0</v>
      </c>
      <c r="Q66">
        <v>0</v>
      </c>
      <c r="R66">
        <v>0</v>
      </c>
      <c r="S66">
        <v>7.3</v>
      </c>
      <c r="T66">
        <v>2</v>
      </c>
      <c r="U66">
        <v>0</v>
      </c>
    </row>
    <row r="67" spans="1:21">
      <c r="A67" t="s">
        <v>42</v>
      </c>
      <c r="B67" t="s">
        <v>232</v>
      </c>
      <c r="C67" t="s">
        <v>231</v>
      </c>
      <c r="D67" t="s">
        <v>26</v>
      </c>
      <c r="E67" t="s">
        <v>189</v>
      </c>
      <c r="F67" t="s">
        <v>190</v>
      </c>
      <c r="G67">
        <v>0.3</v>
      </c>
      <c r="H67">
        <v>0.3</v>
      </c>
      <c r="I67">
        <v>0</v>
      </c>
      <c r="J67">
        <v>0</v>
      </c>
      <c r="K67">
        <v>-0.3</v>
      </c>
      <c r="L67">
        <v>0</v>
      </c>
      <c r="M67">
        <v>-0.3</v>
      </c>
      <c r="N67">
        <v>0</v>
      </c>
      <c r="O67">
        <v>0</v>
      </c>
      <c r="P67">
        <v>0</v>
      </c>
      <c r="Q67">
        <v>0</v>
      </c>
      <c r="R67">
        <v>0</v>
      </c>
      <c r="S67">
        <v>0.3</v>
      </c>
      <c r="T67">
        <v>0</v>
      </c>
      <c r="U67">
        <v>0</v>
      </c>
    </row>
    <row r="68" spans="1:21">
      <c r="A68" t="s">
        <v>42</v>
      </c>
      <c r="B68" t="s">
        <v>316</v>
      </c>
      <c r="C68" t="s">
        <v>315</v>
      </c>
      <c r="D68" t="s">
        <v>197</v>
      </c>
      <c r="E68" t="s">
        <v>47</v>
      </c>
      <c r="F68" t="s">
        <v>48</v>
      </c>
      <c r="G68">
        <v>3</v>
      </c>
      <c r="H68">
        <v>3</v>
      </c>
      <c r="I68">
        <v>0</v>
      </c>
      <c r="J68">
        <v>0</v>
      </c>
      <c r="K68">
        <v>-3</v>
      </c>
      <c r="L68">
        <v>0</v>
      </c>
      <c r="M68">
        <v>-3</v>
      </c>
      <c r="N68">
        <v>0</v>
      </c>
      <c r="O68">
        <v>0</v>
      </c>
      <c r="P68">
        <v>0</v>
      </c>
      <c r="Q68">
        <v>0</v>
      </c>
      <c r="R68">
        <v>0</v>
      </c>
      <c r="S68">
        <v>3</v>
      </c>
      <c r="T68">
        <v>0</v>
      </c>
      <c r="U68">
        <v>0</v>
      </c>
    </row>
    <row r="69" spans="1:21">
      <c r="A69" t="s">
        <v>42</v>
      </c>
      <c r="B69" t="s">
        <v>238</v>
      </c>
      <c r="C69" t="s">
        <v>237</v>
      </c>
      <c r="D69" t="s">
        <v>26</v>
      </c>
      <c r="E69" t="s">
        <v>47</v>
      </c>
      <c r="F69" t="s">
        <v>48</v>
      </c>
      <c r="G69">
        <v>1</v>
      </c>
      <c r="H69">
        <v>1</v>
      </c>
      <c r="I69">
        <v>0</v>
      </c>
      <c r="J69">
        <v>0</v>
      </c>
      <c r="K69">
        <v>-1</v>
      </c>
      <c r="L69">
        <v>0</v>
      </c>
      <c r="M69">
        <v>-1</v>
      </c>
      <c r="N69">
        <v>0</v>
      </c>
      <c r="O69">
        <v>0</v>
      </c>
      <c r="P69">
        <v>0</v>
      </c>
      <c r="Q69">
        <v>0</v>
      </c>
      <c r="R69">
        <v>0</v>
      </c>
      <c r="S69">
        <v>1</v>
      </c>
      <c r="T69">
        <v>0</v>
      </c>
      <c r="U69">
        <v>0</v>
      </c>
    </row>
    <row r="70" spans="1:21">
      <c r="A70" t="s">
        <v>42</v>
      </c>
      <c r="B70" t="s">
        <v>508</v>
      </c>
      <c r="C70" t="s">
        <v>507</v>
      </c>
      <c r="D70" t="s">
        <v>26</v>
      </c>
      <c r="E70" t="s">
        <v>583</v>
      </c>
      <c r="F70" t="s">
        <v>584</v>
      </c>
      <c r="G70">
        <v>56</v>
      </c>
      <c r="H70">
        <v>56</v>
      </c>
      <c r="I70">
        <v>0</v>
      </c>
      <c r="J70">
        <v>0</v>
      </c>
      <c r="K70">
        <v>-22</v>
      </c>
      <c r="L70">
        <v>13.9</v>
      </c>
      <c r="M70">
        <v>-35.9</v>
      </c>
      <c r="N70">
        <v>0</v>
      </c>
      <c r="O70">
        <v>0</v>
      </c>
      <c r="P70">
        <v>0</v>
      </c>
      <c r="Q70">
        <v>0</v>
      </c>
      <c r="R70">
        <v>0</v>
      </c>
      <c r="S70">
        <v>56</v>
      </c>
      <c r="T70">
        <v>0</v>
      </c>
      <c r="U70">
        <v>0</v>
      </c>
    </row>
    <row r="71" spans="1:21">
      <c r="A71" t="s">
        <v>42</v>
      </c>
      <c r="B71" t="s">
        <v>212</v>
      </c>
      <c r="C71" t="s">
        <v>211</v>
      </c>
      <c r="D71" t="s">
        <v>26</v>
      </c>
      <c r="E71" t="s">
        <v>198</v>
      </c>
      <c r="F71" t="s">
        <v>199</v>
      </c>
      <c r="G71">
        <v>0.2</v>
      </c>
      <c r="H71">
        <v>0.2</v>
      </c>
      <c r="I71">
        <v>0</v>
      </c>
      <c r="J71">
        <v>0</v>
      </c>
      <c r="K71">
        <v>-0.2</v>
      </c>
      <c r="L71">
        <v>0</v>
      </c>
      <c r="M71">
        <v>-0.2</v>
      </c>
      <c r="N71">
        <v>0</v>
      </c>
      <c r="O71">
        <v>0</v>
      </c>
      <c r="P71">
        <v>0</v>
      </c>
      <c r="Q71">
        <v>0</v>
      </c>
      <c r="R71">
        <v>0</v>
      </c>
      <c r="S71">
        <v>0.2</v>
      </c>
      <c r="T71">
        <v>0</v>
      </c>
      <c r="U71">
        <v>0</v>
      </c>
    </row>
    <row r="72" spans="1:21">
      <c r="A72" t="s">
        <v>42</v>
      </c>
      <c r="B72" t="s">
        <v>46</v>
      </c>
      <c r="C72" t="s">
        <v>45</v>
      </c>
      <c r="D72" t="s">
        <v>26</v>
      </c>
      <c r="E72" t="s">
        <v>43</v>
      </c>
      <c r="F72" t="s">
        <v>44</v>
      </c>
      <c r="G72">
        <v>1</v>
      </c>
      <c r="H72">
        <v>1</v>
      </c>
      <c r="I72">
        <v>0</v>
      </c>
      <c r="J72">
        <v>0</v>
      </c>
      <c r="K72">
        <v>-9</v>
      </c>
      <c r="L72">
        <v>0</v>
      </c>
      <c r="M72">
        <v>-9</v>
      </c>
      <c r="N72">
        <v>0</v>
      </c>
      <c r="O72">
        <v>0</v>
      </c>
      <c r="P72">
        <v>0</v>
      </c>
      <c r="Q72">
        <v>0</v>
      </c>
      <c r="R72">
        <v>0</v>
      </c>
      <c r="S72">
        <v>1</v>
      </c>
      <c r="T72">
        <v>0</v>
      </c>
      <c r="U72">
        <v>0</v>
      </c>
    </row>
    <row r="73" spans="1:21">
      <c r="A73" t="s">
        <v>42</v>
      </c>
      <c r="B73" t="s">
        <v>296</v>
      </c>
      <c r="C73" t="s">
        <v>295</v>
      </c>
      <c r="D73" t="s">
        <v>26</v>
      </c>
      <c r="E73" t="s">
        <v>76</v>
      </c>
      <c r="F73" t="s">
        <v>77</v>
      </c>
      <c r="G73">
        <v>2</v>
      </c>
      <c r="H73">
        <v>2</v>
      </c>
      <c r="I73">
        <v>0</v>
      </c>
      <c r="J73">
        <v>0</v>
      </c>
      <c r="K73">
        <v>-1.8</v>
      </c>
      <c r="L73">
        <v>0</v>
      </c>
      <c r="M73">
        <v>-1.8</v>
      </c>
      <c r="N73">
        <v>0</v>
      </c>
      <c r="O73">
        <v>0</v>
      </c>
      <c r="P73">
        <v>0</v>
      </c>
      <c r="Q73">
        <v>0</v>
      </c>
      <c r="R73">
        <v>0</v>
      </c>
      <c r="S73">
        <v>2</v>
      </c>
      <c r="T73">
        <v>0</v>
      </c>
      <c r="U73">
        <v>0</v>
      </c>
    </row>
    <row r="74" spans="1:21">
      <c r="A74" t="s">
        <v>42</v>
      </c>
      <c r="B74" t="s">
        <v>119</v>
      </c>
      <c r="C74" t="s">
        <v>118</v>
      </c>
      <c r="D74" t="s">
        <v>26</v>
      </c>
      <c r="E74" t="s">
        <v>53</v>
      </c>
      <c r="F74" t="s">
        <v>54</v>
      </c>
      <c r="G74">
        <v>4.2</v>
      </c>
      <c r="H74">
        <v>4.2</v>
      </c>
      <c r="I74">
        <v>0</v>
      </c>
      <c r="J74">
        <v>0</v>
      </c>
      <c r="K74">
        <v>-5.0999999999999996</v>
      </c>
      <c r="L74">
        <v>0.9</v>
      </c>
      <c r="M74">
        <v>-6</v>
      </c>
      <c r="N74">
        <v>0</v>
      </c>
      <c r="O74">
        <v>0</v>
      </c>
      <c r="P74">
        <v>0</v>
      </c>
      <c r="Q74">
        <v>0</v>
      </c>
      <c r="R74">
        <v>0</v>
      </c>
      <c r="S74">
        <v>4.2</v>
      </c>
      <c r="T74">
        <v>10</v>
      </c>
      <c r="U74">
        <v>0</v>
      </c>
    </row>
    <row r="75" spans="1:21">
      <c r="A75" t="s">
        <v>42</v>
      </c>
      <c r="B75" t="s">
        <v>60</v>
      </c>
      <c r="C75" t="s">
        <v>59</v>
      </c>
      <c r="D75" t="s">
        <v>26</v>
      </c>
      <c r="E75" t="s">
        <v>561</v>
      </c>
      <c r="F75" t="s">
        <v>562</v>
      </c>
      <c r="G75">
        <v>50</v>
      </c>
      <c r="H75">
        <v>50</v>
      </c>
      <c r="I75">
        <v>0</v>
      </c>
      <c r="J75">
        <v>0</v>
      </c>
      <c r="K75">
        <v>-70.2</v>
      </c>
      <c r="L75">
        <v>13.5</v>
      </c>
      <c r="M75">
        <v>-83.7</v>
      </c>
      <c r="N75">
        <v>0</v>
      </c>
      <c r="O75">
        <v>0</v>
      </c>
      <c r="P75">
        <v>50</v>
      </c>
      <c r="Q75">
        <v>0</v>
      </c>
      <c r="R75">
        <v>0</v>
      </c>
      <c r="S75">
        <v>0</v>
      </c>
      <c r="T75">
        <v>10</v>
      </c>
      <c r="U75">
        <v>0</v>
      </c>
    </row>
    <row r="76" spans="1:21">
      <c r="A76" t="s">
        <v>42</v>
      </c>
      <c r="B76" t="s">
        <v>496</v>
      </c>
      <c r="C76" t="s">
        <v>495</v>
      </c>
      <c r="D76" t="s">
        <v>26</v>
      </c>
      <c r="E76" t="s">
        <v>583</v>
      </c>
      <c r="F76" t="s">
        <v>584</v>
      </c>
      <c r="G76">
        <v>24.5</v>
      </c>
      <c r="H76">
        <v>24.5</v>
      </c>
      <c r="I76">
        <v>0</v>
      </c>
      <c r="J76">
        <v>0</v>
      </c>
      <c r="K76">
        <v>-6.05</v>
      </c>
      <c r="L76">
        <v>17</v>
      </c>
      <c r="M76">
        <v>-23.05</v>
      </c>
      <c r="N76">
        <v>0</v>
      </c>
      <c r="O76">
        <v>0</v>
      </c>
      <c r="P76">
        <v>0</v>
      </c>
      <c r="Q76">
        <v>0</v>
      </c>
      <c r="R76">
        <v>0</v>
      </c>
      <c r="S76">
        <v>24.5</v>
      </c>
      <c r="T76">
        <v>0</v>
      </c>
      <c r="U76">
        <v>0</v>
      </c>
    </row>
    <row r="77" spans="1:21">
      <c r="A77" t="s">
        <v>42</v>
      </c>
      <c r="B77" t="s">
        <v>121</v>
      </c>
      <c r="C77" t="s">
        <v>120</v>
      </c>
      <c r="D77" t="s">
        <v>26</v>
      </c>
      <c r="E77" t="s">
        <v>43</v>
      </c>
      <c r="F77" t="s">
        <v>44</v>
      </c>
      <c r="G77">
        <v>0.5</v>
      </c>
      <c r="H77">
        <v>0.5</v>
      </c>
      <c r="I77">
        <v>0</v>
      </c>
      <c r="J77">
        <v>0</v>
      </c>
      <c r="K77">
        <v>-0.5</v>
      </c>
      <c r="L77">
        <v>0</v>
      </c>
      <c r="M77">
        <v>-0.5</v>
      </c>
      <c r="N77">
        <v>0</v>
      </c>
      <c r="O77">
        <v>0</v>
      </c>
      <c r="P77">
        <v>0</v>
      </c>
      <c r="Q77">
        <v>0</v>
      </c>
      <c r="R77">
        <v>0</v>
      </c>
      <c r="S77">
        <v>0.5</v>
      </c>
      <c r="T77">
        <v>0</v>
      </c>
      <c r="U77">
        <v>0</v>
      </c>
    </row>
    <row r="78" spans="1:21">
      <c r="A78" t="s">
        <v>42</v>
      </c>
      <c r="B78" t="s">
        <v>304</v>
      </c>
      <c r="C78" t="s">
        <v>303</v>
      </c>
      <c r="D78" t="s">
        <v>26</v>
      </c>
      <c r="E78" t="s">
        <v>94</v>
      </c>
      <c r="F78" t="s">
        <v>95</v>
      </c>
      <c r="G78">
        <v>2.2999999999999998</v>
      </c>
      <c r="H78">
        <v>2.2999999999999998</v>
      </c>
      <c r="I78">
        <v>0</v>
      </c>
      <c r="J78">
        <v>0</v>
      </c>
      <c r="K78">
        <v>-2.2999999999999998</v>
      </c>
      <c r="L78">
        <v>0</v>
      </c>
      <c r="M78">
        <v>-2.2999999999999998</v>
      </c>
      <c r="N78">
        <v>0</v>
      </c>
      <c r="O78">
        <v>0</v>
      </c>
      <c r="P78">
        <v>0</v>
      </c>
      <c r="Q78">
        <v>0</v>
      </c>
      <c r="R78">
        <v>0</v>
      </c>
      <c r="S78">
        <v>2.2999999999999998</v>
      </c>
      <c r="T78">
        <v>1</v>
      </c>
      <c r="U78">
        <v>0</v>
      </c>
    </row>
    <row r="79" spans="1:21">
      <c r="A79" t="s">
        <v>42</v>
      </c>
      <c r="B79" t="s">
        <v>101</v>
      </c>
      <c r="C79" t="s">
        <v>100</v>
      </c>
      <c r="D79" t="s">
        <v>26</v>
      </c>
      <c r="E79" t="s">
        <v>37</v>
      </c>
      <c r="F79" t="s">
        <v>38</v>
      </c>
      <c r="G79">
        <v>0.5</v>
      </c>
      <c r="H79">
        <v>0.5</v>
      </c>
      <c r="I79">
        <v>0</v>
      </c>
      <c r="J79">
        <v>0</v>
      </c>
      <c r="K79">
        <v>-0.7</v>
      </c>
      <c r="L79">
        <v>0</v>
      </c>
      <c r="M79">
        <v>-0.7</v>
      </c>
      <c r="N79">
        <v>0</v>
      </c>
      <c r="O79">
        <v>0</v>
      </c>
      <c r="P79">
        <v>0</v>
      </c>
      <c r="Q79">
        <v>0</v>
      </c>
      <c r="R79">
        <v>0</v>
      </c>
      <c r="S79">
        <v>0.5</v>
      </c>
      <c r="T79">
        <v>0</v>
      </c>
      <c r="U79">
        <v>0</v>
      </c>
    </row>
    <row r="80" spans="1:21">
      <c r="A80" t="s">
        <v>42</v>
      </c>
      <c r="B80" t="s">
        <v>50</v>
      </c>
      <c r="C80" t="s">
        <v>49</v>
      </c>
      <c r="D80" t="s">
        <v>26</v>
      </c>
      <c r="E80" t="s">
        <v>47</v>
      </c>
      <c r="F80" t="s">
        <v>48</v>
      </c>
      <c r="G80">
        <v>9</v>
      </c>
      <c r="H80">
        <v>9</v>
      </c>
      <c r="I80">
        <v>0</v>
      </c>
      <c r="J80">
        <v>0</v>
      </c>
      <c r="K80">
        <v>-17</v>
      </c>
      <c r="L80">
        <v>0</v>
      </c>
      <c r="M80">
        <v>-17</v>
      </c>
      <c r="N80">
        <v>0</v>
      </c>
      <c r="O80">
        <v>0</v>
      </c>
      <c r="P80">
        <v>0</v>
      </c>
      <c r="Q80">
        <v>0</v>
      </c>
      <c r="R80">
        <v>0</v>
      </c>
      <c r="S80">
        <v>9</v>
      </c>
      <c r="T80">
        <v>0</v>
      </c>
      <c r="U80">
        <v>0</v>
      </c>
    </row>
    <row r="81" spans="1:21">
      <c r="A81" t="s">
        <v>42</v>
      </c>
      <c r="B81" t="s">
        <v>52</v>
      </c>
      <c r="C81" t="s">
        <v>51</v>
      </c>
      <c r="D81" t="s">
        <v>26</v>
      </c>
      <c r="E81" t="s">
        <v>43</v>
      </c>
      <c r="F81" t="s">
        <v>44</v>
      </c>
      <c r="G81">
        <v>38</v>
      </c>
      <c r="H81">
        <v>38</v>
      </c>
      <c r="I81">
        <v>0</v>
      </c>
      <c r="J81">
        <v>0</v>
      </c>
      <c r="K81">
        <v>-46</v>
      </c>
      <c r="L81">
        <v>0</v>
      </c>
      <c r="M81">
        <v>-46</v>
      </c>
      <c r="N81">
        <v>0</v>
      </c>
      <c r="O81">
        <v>0</v>
      </c>
      <c r="P81">
        <v>0</v>
      </c>
      <c r="Q81">
        <v>0</v>
      </c>
      <c r="R81">
        <v>0</v>
      </c>
      <c r="S81">
        <v>38</v>
      </c>
      <c r="T81">
        <v>0</v>
      </c>
      <c r="U81">
        <v>0</v>
      </c>
    </row>
    <row r="82" spans="1:21">
      <c r="A82" t="s">
        <v>42</v>
      </c>
      <c r="B82" t="s">
        <v>270</v>
      </c>
      <c r="C82" t="s">
        <v>269</v>
      </c>
      <c r="D82" t="s">
        <v>26</v>
      </c>
      <c r="E82" t="s">
        <v>189</v>
      </c>
      <c r="F82" t="s">
        <v>190</v>
      </c>
      <c r="G82">
        <v>1</v>
      </c>
      <c r="H82">
        <v>1</v>
      </c>
      <c r="I82">
        <v>0</v>
      </c>
      <c r="J82">
        <v>0</v>
      </c>
      <c r="K82">
        <v>-1</v>
      </c>
      <c r="L82">
        <v>0</v>
      </c>
      <c r="M82">
        <v>-1</v>
      </c>
      <c r="N82">
        <v>0</v>
      </c>
      <c r="O82">
        <v>0</v>
      </c>
      <c r="P82">
        <v>0</v>
      </c>
      <c r="Q82">
        <v>0</v>
      </c>
      <c r="R82">
        <v>0</v>
      </c>
      <c r="S82">
        <v>1</v>
      </c>
      <c r="T82">
        <v>0</v>
      </c>
      <c r="U82">
        <v>0</v>
      </c>
    </row>
    <row r="83" spans="1:21">
      <c r="A83" t="s">
        <v>42</v>
      </c>
      <c r="B83" t="s">
        <v>123</v>
      </c>
      <c r="C83" t="s">
        <v>122</v>
      </c>
      <c r="D83" t="s">
        <v>124</v>
      </c>
      <c r="E83" t="s">
        <v>27</v>
      </c>
      <c r="F83" t="s">
        <v>28</v>
      </c>
      <c r="G83">
        <v>14</v>
      </c>
      <c r="H83">
        <v>14</v>
      </c>
      <c r="I83">
        <v>0</v>
      </c>
      <c r="J83">
        <v>0</v>
      </c>
      <c r="K83">
        <v>-14</v>
      </c>
      <c r="L83">
        <v>0</v>
      </c>
      <c r="M83">
        <v>-14</v>
      </c>
      <c r="N83">
        <v>0</v>
      </c>
      <c r="O83">
        <v>0</v>
      </c>
      <c r="P83">
        <v>0</v>
      </c>
      <c r="Q83">
        <v>0</v>
      </c>
      <c r="R83">
        <v>0</v>
      </c>
      <c r="S83">
        <v>14</v>
      </c>
      <c r="T83">
        <v>0</v>
      </c>
      <c r="U83">
        <v>0</v>
      </c>
    </row>
    <row r="84" spans="1:21">
      <c r="A84" t="s">
        <v>42</v>
      </c>
      <c r="B84" t="s">
        <v>266</v>
      </c>
      <c r="C84" t="s">
        <v>265</v>
      </c>
      <c r="D84" t="s">
        <v>26</v>
      </c>
      <c r="E84" t="s">
        <v>567</v>
      </c>
      <c r="F84" t="s">
        <v>568</v>
      </c>
      <c r="G84">
        <v>3</v>
      </c>
      <c r="H84">
        <v>3</v>
      </c>
      <c r="I84">
        <v>0</v>
      </c>
      <c r="J84">
        <v>0</v>
      </c>
      <c r="K84">
        <v>-2.2000000000000002</v>
      </c>
      <c r="L84">
        <v>0.5</v>
      </c>
      <c r="M84">
        <v>-2.7</v>
      </c>
      <c r="N84">
        <v>0</v>
      </c>
      <c r="O84">
        <v>0</v>
      </c>
      <c r="P84">
        <v>3</v>
      </c>
      <c r="Q84">
        <v>0</v>
      </c>
      <c r="R84">
        <v>0</v>
      </c>
      <c r="S84">
        <v>0</v>
      </c>
      <c r="T84">
        <v>0</v>
      </c>
      <c r="U84">
        <v>0</v>
      </c>
    </row>
    <row r="85" spans="1:21">
      <c r="A85" t="s">
        <v>42</v>
      </c>
      <c r="B85" t="s">
        <v>214</v>
      </c>
      <c r="C85" t="s">
        <v>213</v>
      </c>
      <c r="D85" t="s">
        <v>26</v>
      </c>
      <c r="E85" t="s">
        <v>74</v>
      </c>
      <c r="F85" t="s">
        <v>75</v>
      </c>
      <c r="G85">
        <v>0.5</v>
      </c>
      <c r="H85">
        <v>0.5</v>
      </c>
      <c r="I85">
        <v>0</v>
      </c>
      <c r="J85">
        <v>0</v>
      </c>
      <c r="K85">
        <v>-0.3</v>
      </c>
      <c r="L85">
        <v>0</v>
      </c>
      <c r="M85">
        <v>-0.3</v>
      </c>
      <c r="N85">
        <v>0</v>
      </c>
      <c r="O85">
        <v>0</v>
      </c>
      <c r="P85">
        <v>0</v>
      </c>
      <c r="Q85">
        <v>0</v>
      </c>
      <c r="R85">
        <v>0</v>
      </c>
      <c r="S85">
        <v>0.5</v>
      </c>
      <c r="T85">
        <v>0</v>
      </c>
      <c r="U85">
        <v>0</v>
      </c>
    </row>
    <row r="86" spans="1:21">
      <c r="A86" t="s">
        <v>42</v>
      </c>
      <c r="B86" t="s">
        <v>286</v>
      </c>
      <c r="C86" t="s">
        <v>285</v>
      </c>
      <c r="D86" t="s">
        <v>208</v>
      </c>
      <c r="E86" t="s">
        <v>94</v>
      </c>
      <c r="F86" t="s">
        <v>95</v>
      </c>
      <c r="G86">
        <v>2</v>
      </c>
      <c r="H86">
        <v>2</v>
      </c>
      <c r="I86">
        <v>0</v>
      </c>
      <c r="J86">
        <v>0</v>
      </c>
      <c r="K86">
        <v>-2</v>
      </c>
      <c r="L86">
        <v>0</v>
      </c>
      <c r="M86">
        <v>-2</v>
      </c>
      <c r="N86">
        <v>0</v>
      </c>
      <c r="O86">
        <v>0</v>
      </c>
      <c r="P86">
        <v>0</v>
      </c>
      <c r="Q86">
        <v>0</v>
      </c>
      <c r="R86">
        <v>0</v>
      </c>
      <c r="S86">
        <v>2</v>
      </c>
      <c r="T86">
        <v>0</v>
      </c>
      <c r="U86">
        <v>0</v>
      </c>
    </row>
    <row r="87" spans="1:21">
      <c r="A87" t="s">
        <v>42</v>
      </c>
      <c r="B87" t="s">
        <v>216</v>
      </c>
      <c r="C87" t="s">
        <v>215</v>
      </c>
      <c r="D87" t="s">
        <v>26</v>
      </c>
      <c r="E87" t="s">
        <v>37</v>
      </c>
      <c r="F87" t="s">
        <v>38</v>
      </c>
      <c r="G87">
        <v>0.2</v>
      </c>
      <c r="H87">
        <v>0.2</v>
      </c>
      <c r="I87">
        <v>0</v>
      </c>
      <c r="J87">
        <v>0</v>
      </c>
      <c r="K87">
        <v>-0.2</v>
      </c>
      <c r="L87">
        <v>0</v>
      </c>
      <c r="M87">
        <v>-0.2</v>
      </c>
      <c r="N87">
        <v>0</v>
      </c>
      <c r="O87">
        <v>0</v>
      </c>
      <c r="P87">
        <v>0</v>
      </c>
      <c r="Q87">
        <v>0</v>
      </c>
      <c r="R87">
        <v>0</v>
      </c>
      <c r="S87">
        <v>0.2</v>
      </c>
      <c r="T87">
        <v>0</v>
      </c>
      <c r="U87">
        <v>0</v>
      </c>
    </row>
    <row r="88" spans="1:21">
      <c r="A88" t="s">
        <v>42</v>
      </c>
      <c r="B88" t="s">
        <v>240</v>
      </c>
      <c r="C88" t="s">
        <v>239</v>
      </c>
      <c r="D88" t="s">
        <v>26</v>
      </c>
      <c r="E88" t="s">
        <v>191</v>
      </c>
      <c r="F88" t="s">
        <v>192</v>
      </c>
      <c r="G88">
        <v>0.8</v>
      </c>
      <c r="H88">
        <v>0.8</v>
      </c>
      <c r="I88">
        <v>0</v>
      </c>
      <c r="J88">
        <v>0</v>
      </c>
      <c r="K88">
        <v>-0.9</v>
      </c>
      <c r="L88">
        <v>0.1</v>
      </c>
      <c r="M88">
        <v>-1</v>
      </c>
      <c r="N88">
        <v>0</v>
      </c>
      <c r="O88">
        <v>0</v>
      </c>
      <c r="P88">
        <v>0</v>
      </c>
      <c r="Q88">
        <v>0</v>
      </c>
      <c r="R88">
        <v>0</v>
      </c>
      <c r="S88">
        <v>0.8</v>
      </c>
      <c r="T88">
        <v>0</v>
      </c>
      <c r="U88">
        <v>0</v>
      </c>
    </row>
    <row r="89" spans="1:21">
      <c r="A89" t="s">
        <v>42</v>
      </c>
      <c r="B89" t="s">
        <v>126</v>
      </c>
      <c r="C89" t="s">
        <v>125</v>
      </c>
      <c r="D89" t="s">
        <v>26</v>
      </c>
      <c r="E89" t="s">
        <v>102</v>
      </c>
      <c r="F89" t="s">
        <v>103</v>
      </c>
      <c r="G89">
        <v>3.2</v>
      </c>
      <c r="H89">
        <v>3.2</v>
      </c>
      <c r="I89">
        <v>0</v>
      </c>
      <c r="J89">
        <v>0</v>
      </c>
      <c r="K89">
        <v>-3.2</v>
      </c>
      <c r="L89">
        <v>0</v>
      </c>
      <c r="M89">
        <v>-3.2</v>
      </c>
      <c r="N89">
        <v>0</v>
      </c>
      <c r="O89">
        <v>0</v>
      </c>
      <c r="P89">
        <v>0</v>
      </c>
      <c r="Q89">
        <v>0</v>
      </c>
      <c r="R89">
        <v>0</v>
      </c>
      <c r="S89">
        <v>3.2</v>
      </c>
      <c r="T89">
        <v>0</v>
      </c>
      <c r="U89">
        <v>0</v>
      </c>
    </row>
    <row r="90" spans="1:21">
      <c r="A90" t="s">
        <v>42</v>
      </c>
      <c r="B90" t="s">
        <v>218</v>
      </c>
      <c r="C90" t="s">
        <v>217</v>
      </c>
      <c r="D90" t="s">
        <v>26</v>
      </c>
      <c r="E90" t="s">
        <v>27</v>
      </c>
      <c r="F90" t="s">
        <v>28</v>
      </c>
      <c r="G90">
        <v>3</v>
      </c>
      <c r="H90">
        <v>3</v>
      </c>
      <c r="I90">
        <v>0</v>
      </c>
      <c r="J90">
        <v>0</v>
      </c>
      <c r="K90">
        <v>-2.8</v>
      </c>
      <c r="L90">
        <v>0</v>
      </c>
      <c r="M90">
        <v>-2.8</v>
      </c>
      <c r="N90">
        <v>0</v>
      </c>
      <c r="O90">
        <v>0</v>
      </c>
      <c r="P90">
        <v>0</v>
      </c>
      <c r="Q90">
        <v>0</v>
      </c>
      <c r="R90">
        <v>0</v>
      </c>
      <c r="S90">
        <v>3</v>
      </c>
      <c r="T90">
        <v>1</v>
      </c>
      <c r="U90">
        <v>0</v>
      </c>
    </row>
    <row r="91" spans="1:21">
      <c r="A91" t="s">
        <v>42</v>
      </c>
      <c r="B91" t="s">
        <v>242</v>
      </c>
      <c r="C91" t="s">
        <v>241</v>
      </c>
      <c r="D91" t="s">
        <v>26</v>
      </c>
      <c r="E91" t="s">
        <v>63</v>
      </c>
      <c r="F91" t="s">
        <v>64</v>
      </c>
      <c r="G91">
        <v>10</v>
      </c>
      <c r="H91">
        <v>10</v>
      </c>
      <c r="I91">
        <v>0</v>
      </c>
      <c r="J91">
        <v>0</v>
      </c>
      <c r="K91">
        <v>-14</v>
      </c>
      <c r="L91">
        <v>5</v>
      </c>
      <c r="M91">
        <v>-19</v>
      </c>
      <c r="N91">
        <v>0</v>
      </c>
      <c r="O91">
        <v>0</v>
      </c>
      <c r="P91">
        <v>0</v>
      </c>
      <c r="Q91">
        <v>0</v>
      </c>
      <c r="R91">
        <v>0</v>
      </c>
      <c r="S91">
        <v>10</v>
      </c>
      <c r="T91">
        <v>0</v>
      </c>
      <c r="U91">
        <v>0</v>
      </c>
    </row>
    <row r="92" spans="1:21">
      <c r="A92" t="s">
        <v>42</v>
      </c>
      <c r="B92" t="s">
        <v>128</v>
      </c>
      <c r="C92" t="s">
        <v>127</v>
      </c>
      <c r="D92" t="s">
        <v>26</v>
      </c>
      <c r="E92" t="s">
        <v>43</v>
      </c>
      <c r="F92" t="s">
        <v>44</v>
      </c>
      <c r="G92">
        <v>3</v>
      </c>
      <c r="H92">
        <v>3</v>
      </c>
      <c r="I92">
        <v>0</v>
      </c>
      <c r="J92">
        <v>0</v>
      </c>
      <c r="K92">
        <v>-3</v>
      </c>
      <c r="L92">
        <v>0</v>
      </c>
      <c r="M92">
        <v>-3</v>
      </c>
      <c r="N92">
        <v>0</v>
      </c>
      <c r="O92">
        <v>0</v>
      </c>
      <c r="P92">
        <v>0</v>
      </c>
      <c r="Q92">
        <v>0</v>
      </c>
      <c r="R92">
        <v>0</v>
      </c>
      <c r="S92">
        <v>3</v>
      </c>
      <c r="T92">
        <v>0</v>
      </c>
      <c r="U92">
        <v>0</v>
      </c>
    </row>
    <row r="93" spans="1:21">
      <c r="A93" t="s">
        <v>42</v>
      </c>
      <c r="B93" t="s">
        <v>244</v>
      </c>
      <c r="C93" t="s">
        <v>243</v>
      </c>
      <c r="D93" t="s">
        <v>26</v>
      </c>
      <c r="E93" t="s">
        <v>191</v>
      </c>
      <c r="F93" t="s">
        <v>192</v>
      </c>
      <c r="G93">
        <v>1</v>
      </c>
      <c r="H93">
        <v>1</v>
      </c>
      <c r="I93">
        <v>0</v>
      </c>
      <c r="J93">
        <v>0</v>
      </c>
      <c r="K93">
        <v>-1</v>
      </c>
      <c r="L93">
        <v>0</v>
      </c>
      <c r="M93">
        <v>-1</v>
      </c>
      <c r="N93">
        <v>0</v>
      </c>
      <c r="O93">
        <v>0</v>
      </c>
      <c r="P93">
        <v>0</v>
      </c>
      <c r="Q93">
        <v>0</v>
      </c>
      <c r="R93">
        <v>0</v>
      </c>
      <c r="S93">
        <v>1</v>
      </c>
      <c r="T93">
        <v>1</v>
      </c>
      <c r="U93">
        <v>0</v>
      </c>
    </row>
    <row r="94" spans="1:21">
      <c r="A94" t="s">
        <v>42</v>
      </c>
      <c r="B94" t="s">
        <v>498</v>
      </c>
      <c r="C94" t="s">
        <v>497</v>
      </c>
      <c r="D94" t="s">
        <v>26</v>
      </c>
      <c r="E94" t="s">
        <v>195</v>
      </c>
      <c r="F94" t="s">
        <v>196</v>
      </c>
      <c r="G94">
        <v>36</v>
      </c>
      <c r="H94">
        <v>36</v>
      </c>
      <c r="I94">
        <v>0</v>
      </c>
      <c r="J94">
        <v>0</v>
      </c>
      <c r="K94">
        <v>-35.5</v>
      </c>
      <c r="L94">
        <v>0</v>
      </c>
      <c r="M94">
        <v>-35.5</v>
      </c>
      <c r="N94">
        <v>0</v>
      </c>
      <c r="O94">
        <v>0</v>
      </c>
      <c r="P94">
        <v>0</v>
      </c>
      <c r="Q94">
        <v>0</v>
      </c>
      <c r="R94">
        <v>0</v>
      </c>
      <c r="S94">
        <v>36</v>
      </c>
      <c r="T94">
        <v>20</v>
      </c>
      <c r="U94">
        <v>0</v>
      </c>
    </row>
    <row r="95" spans="1:21">
      <c r="A95" t="s">
        <v>42</v>
      </c>
      <c r="B95" t="s">
        <v>494</v>
      </c>
      <c r="C95" t="s">
        <v>493</v>
      </c>
      <c r="D95" t="s">
        <v>26</v>
      </c>
      <c r="E95" t="s">
        <v>567</v>
      </c>
      <c r="F95" t="s">
        <v>568</v>
      </c>
      <c r="G95">
        <v>40</v>
      </c>
      <c r="H95">
        <v>40</v>
      </c>
      <c r="I95">
        <v>0</v>
      </c>
      <c r="J95">
        <v>0</v>
      </c>
      <c r="K95">
        <v>-15</v>
      </c>
      <c r="L95">
        <v>10</v>
      </c>
      <c r="M95">
        <v>-25</v>
      </c>
      <c r="N95">
        <v>0</v>
      </c>
      <c r="O95">
        <v>0</v>
      </c>
      <c r="P95">
        <v>40</v>
      </c>
      <c r="Q95">
        <v>0</v>
      </c>
      <c r="R95">
        <v>0</v>
      </c>
      <c r="S95">
        <v>0</v>
      </c>
      <c r="T95">
        <v>10</v>
      </c>
      <c r="U95">
        <v>0</v>
      </c>
    </row>
    <row r="96" spans="1:21">
      <c r="A96" t="s">
        <v>42</v>
      </c>
      <c r="B96" t="s">
        <v>130</v>
      </c>
      <c r="C96" t="s">
        <v>129</v>
      </c>
      <c r="D96" t="s">
        <v>131</v>
      </c>
      <c r="E96" t="s">
        <v>47</v>
      </c>
      <c r="F96" t="s">
        <v>48</v>
      </c>
      <c r="G96">
        <v>0.5</v>
      </c>
      <c r="H96">
        <v>0.5</v>
      </c>
      <c r="I96">
        <v>0</v>
      </c>
      <c r="J96">
        <v>0</v>
      </c>
      <c r="K96">
        <v>-0.5</v>
      </c>
      <c r="L96">
        <v>0</v>
      </c>
      <c r="M96">
        <v>-0.5</v>
      </c>
      <c r="N96">
        <v>0</v>
      </c>
      <c r="O96">
        <v>0</v>
      </c>
      <c r="P96">
        <v>0</v>
      </c>
      <c r="Q96">
        <v>0</v>
      </c>
      <c r="R96">
        <v>0</v>
      </c>
      <c r="S96">
        <v>0.5</v>
      </c>
      <c r="T96">
        <v>0</v>
      </c>
      <c r="U96">
        <v>0</v>
      </c>
    </row>
    <row r="97" spans="1:21">
      <c r="A97" t="s">
        <v>42</v>
      </c>
      <c r="B97" t="s">
        <v>510</v>
      </c>
      <c r="C97" t="s">
        <v>509</v>
      </c>
      <c r="D97" t="s">
        <v>26</v>
      </c>
      <c r="E97" t="s">
        <v>583</v>
      </c>
      <c r="F97" t="s">
        <v>584</v>
      </c>
      <c r="G97">
        <v>80</v>
      </c>
      <c r="H97">
        <v>80</v>
      </c>
      <c r="I97">
        <v>0</v>
      </c>
      <c r="J97">
        <v>0</v>
      </c>
      <c r="K97">
        <v>-31.5</v>
      </c>
      <c r="L97">
        <v>0</v>
      </c>
      <c r="M97">
        <v>-31.5</v>
      </c>
      <c r="N97">
        <v>0</v>
      </c>
      <c r="O97">
        <v>0</v>
      </c>
      <c r="P97">
        <v>0</v>
      </c>
      <c r="Q97">
        <v>0</v>
      </c>
      <c r="R97">
        <v>0</v>
      </c>
      <c r="S97">
        <v>80</v>
      </c>
      <c r="T97">
        <v>0</v>
      </c>
      <c r="U97">
        <v>0</v>
      </c>
    </row>
    <row r="98" spans="1:21">
      <c r="A98" t="s">
        <v>42</v>
      </c>
      <c r="B98" t="s">
        <v>246</v>
      </c>
      <c r="C98" t="s">
        <v>245</v>
      </c>
      <c r="D98" t="s">
        <v>26</v>
      </c>
      <c r="E98" t="s">
        <v>200</v>
      </c>
      <c r="F98" t="s">
        <v>201</v>
      </c>
      <c r="G98">
        <v>1</v>
      </c>
      <c r="H98">
        <v>1</v>
      </c>
      <c r="I98">
        <v>0</v>
      </c>
      <c r="J98">
        <v>0</v>
      </c>
      <c r="K98">
        <v>-1</v>
      </c>
      <c r="L98">
        <v>0</v>
      </c>
      <c r="M98">
        <v>-1</v>
      </c>
      <c r="N98">
        <v>0</v>
      </c>
      <c r="O98">
        <v>0</v>
      </c>
      <c r="P98">
        <v>0</v>
      </c>
      <c r="Q98">
        <v>0</v>
      </c>
      <c r="R98">
        <v>0</v>
      </c>
      <c r="S98">
        <v>1</v>
      </c>
      <c r="T98">
        <v>0</v>
      </c>
      <c r="U98">
        <v>0</v>
      </c>
    </row>
    <row r="99" spans="1:21">
      <c r="A99" t="s">
        <v>42</v>
      </c>
      <c r="B99" t="s">
        <v>288</v>
      </c>
      <c r="C99" t="s">
        <v>287</v>
      </c>
      <c r="D99" t="s">
        <v>26</v>
      </c>
      <c r="E99" t="s">
        <v>577</v>
      </c>
      <c r="F99" t="s">
        <v>578</v>
      </c>
      <c r="G99">
        <v>10</v>
      </c>
      <c r="H99">
        <v>10</v>
      </c>
      <c r="I99">
        <v>0</v>
      </c>
      <c r="J99">
        <v>0</v>
      </c>
      <c r="K99">
        <v>-8.3000000000000007</v>
      </c>
      <c r="L99">
        <v>0.3</v>
      </c>
      <c r="M99">
        <v>-8.6</v>
      </c>
      <c r="N99">
        <v>10</v>
      </c>
      <c r="O99">
        <v>0</v>
      </c>
      <c r="P99">
        <v>0</v>
      </c>
      <c r="Q99">
        <v>0</v>
      </c>
      <c r="R99">
        <v>0</v>
      </c>
      <c r="S99">
        <v>0</v>
      </c>
      <c r="T99">
        <v>5</v>
      </c>
      <c r="U99">
        <v>0</v>
      </c>
    </row>
    <row r="100" spans="1:21">
      <c r="A100" t="s">
        <v>42</v>
      </c>
      <c r="B100" t="s">
        <v>410</v>
      </c>
      <c r="C100" t="s">
        <v>409</v>
      </c>
      <c r="D100" t="s">
        <v>26</v>
      </c>
      <c r="E100" t="s">
        <v>585</v>
      </c>
      <c r="F100" t="s">
        <v>586</v>
      </c>
      <c r="G100">
        <v>7</v>
      </c>
      <c r="H100">
        <v>7</v>
      </c>
      <c r="I100">
        <v>0</v>
      </c>
      <c r="J100">
        <v>0</v>
      </c>
      <c r="K100">
        <v>-2</v>
      </c>
      <c r="L100">
        <v>4.5</v>
      </c>
      <c r="M100">
        <v>-6.5</v>
      </c>
      <c r="N100">
        <v>7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</row>
    <row r="101" spans="1:21">
      <c r="A101" t="s">
        <v>42</v>
      </c>
      <c r="B101" t="s">
        <v>133</v>
      </c>
      <c r="C101" t="s">
        <v>132</v>
      </c>
      <c r="D101" t="s">
        <v>26</v>
      </c>
      <c r="E101" t="s">
        <v>43</v>
      </c>
      <c r="F101" t="s">
        <v>44</v>
      </c>
      <c r="G101">
        <v>2</v>
      </c>
      <c r="H101">
        <v>2</v>
      </c>
      <c r="I101">
        <v>0</v>
      </c>
      <c r="J101">
        <v>0</v>
      </c>
      <c r="K101">
        <v>-2</v>
      </c>
      <c r="L101">
        <v>0</v>
      </c>
      <c r="M101">
        <v>-2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2</v>
      </c>
      <c r="T101">
        <v>0</v>
      </c>
      <c r="U101">
        <v>0</v>
      </c>
    </row>
    <row r="102" spans="1:21">
      <c r="A102" t="s">
        <v>42</v>
      </c>
      <c r="B102" t="s">
        <v>135</v>
      </c>
      <c r="C102" t="s">
        <v>134</v>
      </c>
      <c r="D102" t="s">
        <v>26</v>
      </c>
      <c r="E102" t="s">
        <v>102</v>
      </c>
      <c r="F102" t="s">
        <v>103</v>
      </c>
      <c r="G102">
        <v>5.8</v>
      </c>
      <c r="H102">
        <v>5.8</v>
      </c>
      <c r="I102">
        <v>0</v>
      </c>
      <c r="J102">
        <v>0</v>
      </c>
      <c r="K102">
        <v>-5.8</v>
      </c>
      <c r="L102">
        <v>0</v>
      </c>
      <c r="M102">
        <v>-5.8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5.8</v>
      </c>
      <c r="T102">
        <v>0.01</v>
      </c>
      <c r="U102">
        <v>0</v>
      </c>
    </row>
    <row r="103" spans="1:21">
      <c r="A103" t="s">
        <v>42</v>
      </c>
      <c r="B103" t="s">
        <v>290</v>
      </c>
      <c r="C103" t="s">
        <v>289</v>
      </c>
      <c r="D103" t="s">
        <v>26</v>
      </c>
      <c r="E103" t="s">
        <v>74</v>
      </c>
      <c r="F103" t="s">
        <v>75</v>
      </c>
      <c r="G103">
        <v>2</v>
      </c>
      <c r="H103">
        <v>2</v>
      </c>
      <c r="I103">
        <v>0</v>
      </c>
      <c r="J103">
        <v>0</v>
      </c>
      <c r="K103">
        <v>-2</v>
      </c>
      <c r="L103">
        <v>0</v>
      </c>
      <c r="M103">
        <v>-2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2</v>
      </c>
      <c r="T103">
        <v>0</v>
      </c>
      <c r="U103">
        <v>0</v>
      </c>
    </row>
    <row r="104" spans="1:21">
      <c r="A104" t="s">
        <v>42</v>
      </c>
      <c r="B104" t="s">
        <v>248</v>
      </c>
      <c r="C104" t="s">
        <v>247</v>
      </c>
      <c r="D104" t="s">
        <v>26</v>
      </c>
      <c r="E104" t="s">
        <v>43</v>
      </c>
      <c r="F104" t="s">
        <v>44</v>
      </c>
      <c r="G104">
        <v>1</v>
      </c>
      <c r="H104">
        <v>1</v>
      </c>
      <c r="I104">
        <v>0</v>
      </c>
      <c r="J104">
        <v>0</v>
      </c>
      <c r="K104">
        <v>-5</v>
      </c>
      <c r="L104">
        <v>0</v>
      </c>
      <c r="M104">
        <v>-5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1</v>
      </c>
      <c r="T104">
        <v>0</v>
      </c>
      <c r="U104">
        <v>0</v>
      </c>
    </row>
    <row r="105" spans="1:21">
      <c r="A105" t="s">
        <v>42</v>
      </c>
      <c r="B105" t="s">
        <v>390</v>
      </c>
      <c r="C105" t="s">
        <v>389</v>
      </c>
      <c r="D105" t="s">
        <v>26</v>
      </c>
      <c r="E105" t="s">
        <v>94</v>
      </c>
      <c r="F105" t="s">
        <v>95</v>
      </c>
      <c r="G105">
        <v>6</v>
      </c>
      <c r="H105">
        <v>6</v>
      </c>
      <c r="I105">
        <v>0</v>
      </c>
      <c r="J105">
        <v>0</v>
      </c>
      <c r="K105">
        <v>-5.0999999999999996</v>
      </c>
      <c r="L105">
        <v>0</v>
      </c>
      <c r="M105">
        <v>-5.0999999999999996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6</v>
      </c>
      <c r="T105">
        <v>1</v>
      </c>
      <c r="U105">
        <v>0</v>
      </c>
    </row>
    <row r="106" spans="1:21">
      <c r="A106" t="s">
        <v>42</v>
      </c>
      <c r="B106" t="s">
        <v>250</v>
      </c>
      <c r="C106" t="s">
        <v>249</v>
      </c>
      <c r="D106" t="s">
        <v>26</v>
      </c>
      <c r="E106" t="s">
        <v>189</v>
      </c>
      <c r="F106" t="s">
        <v>190</v>
      </c>
      <c r="G106">
        <v>0.6</v>
      </c>
      <c r="H106">
        <v>0.6</v>
      </c>
      <c r="I106">
        <v>0</v>
      </c>
      <c r="J106">
        <v>0</v>
      </c>
      <c r="K106">
        <v>-1</v>
      </c>
      <c r="L106">
        <v>0.4</v>
      </c>
      <c r="M106">
        <v>-1.4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0.6</v>
      </c>
      <c r="T106">
        <v>0</v>
      </c>
      <c r="U106">
        <v>0</v>
      </c>
    </row>
    <row r="107" spans="1:21">
      <c r="A107" t="s">
        <v>42</v>
      </c>
      <c r="B107" t="s">
        <v>109</v>
      </c>
      <c r="C107" t="s">
        <v>108</v>
      </c>
      <c r="D107" t="s">
        <v>26</v>
      </c>
      <c r="E107" t="s">
        <v>66</v>
      </c>
      <c r="F107" t="s">
        <v>67</v>
      </c>
      <c r="G107">
        <v>2</v>
      </c>
      <c r="H107">
        <v>2</v>
      </c>
      <c r="I107">
        <v>0</v>
      </c>
      <c r="J107">
        <v>0</v>
      </c>
      <c r="K107">
        <v>-2.1</v>
      </c>
      <c r="L107">
        <v>0</v>
      </c>
      <c r="M107">
        <v>-2.1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2</v>
      </c>
      <c r="T107">
        <v>25</v>
      </c>
      <c r="U107">
        <v>0</v>
      </c>
    </row>
    <row r="108" spans="1:21">
      <c r="A108" t="s">
        <v>42</v>
      </c>
      <c r="B108" t="s">
        <v>262</v>
      </c>
      <c r="C108" t="s">
        <v>261</v>
      </c>
      <c r="D108" t="s">
        <v>26</v>
      </c>
      <c r="E108" t="s">
        <v>577</v>
      </c>
      <c r="F108" t="s">
        <v>578</v>
      </c>
      <c r="G108">
        <v>5</v>
      </c>
      <c r="H108">
        <v>5</v>
      </c>
      <c r="I108">
        <v>0</v>
      </c>
      <c r="J108">
        <v>0</v>
      </c>
      <c r="K108">
        <v>-8.8000000000000007</v>
      </c>
      <c r="L108">
        <v>5</v>
      </c>
      <c r="M108">
        <v>-13.8</v>
      </c>
      <c r="N108">
        <v>5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1</v>
      </c>
      <c r="U108">
        <v>0</v>
      </c>
    </row>
    <row r="109" spans="1:21">
      <c r="A109" t="s">
        <v>42</v>
      </c>
      <c r="B109" t="s">
        <v>374</v>
      </c>
      <c r="C109" t="s">
        <v>373</v>
      </c>
      <c r="D109" t="s">
        <v>26</v>
      </c>
      <c r="E109" t="s">
        <v>47</v>
      </c>
      <c r="F109" t="s">
        <v>48</v>
      </c>
      <c r="G109">
        <v>3</v>
      </c>
      <c r="H109">
        <v>3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3</v>
      </c>
      <c r="T109">
        <v>0</v>
      </c>
      <c r="U109">
        <v>0</v>
      </c>
    </row>
    <row r="110" spans="1:21">
      <c r="A110" t="s">
        <v>42</v>
      </c>
      <c r="B110" t="s">
        <v>105</v>
      </c>
      <c r="C110" t="s">
        <v>104</v>
      </c>
      <c r="D110" t="s">
        <v>26</v>
      </c>
      <c r="E110" t="s">
        <v>102</v>
      </c>
      <c r="F110" t="s">
        <v>103</v>
      </c>
      <c r="G110">
        <v>4</v>
      </c>
      <c r="H110">
        <v>4</v>
      </c>
      <c r="I110">
        <v>0</v>
      </c>
      <c r="J110">
        <v>0</v>
      </c>
      <c r="K110">
        <v>-4.2</v>
      </c>
      <c r="L110">
        <v>0</v>
      </c>
      <c r="M110">
        <v>-4.2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4</v>
      </c>
      <c r="T110">
        <v>0</v>
      </c>
      <c r="U110">
        <v>0</v>
      </c>
    </row>
    <row r="111" spans="1:21">
      <c r="A111" t="s">
        <v>42</v>
      </c>
      <c r="B111" t="s">
        <v>137</v>
      </c>
      <c r="C111" t="s">
        <v>136</v>
      </c>
      <c r="D111" t="s">
        <v>26</v>
      </c>
      <c r="E111" t="s">
        <v>80</v>
      </c>
      <c r="F111" t="s">
        <v>81</v>
      </c>
      <c r="G111">
        <v>1.7</v>
      </c>
      <c r="H111">
        <v>1.7</v>
      </c>
      <c r="I111">
        <v>0</v>
      </c>
      <c r="J111">
        <v>0</v>
      </c>
      <c r="K111">
        <v>-9.6999999999999993</v>
      </c>
      <c r="L111">
        <v>8</v>
      </c>
      <c r="M111">
        <v>-17.7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1.7</v>
      </c>
      <c r="T111">
        <v>0</v>
      </c>
      <c r="U111">
        <v>0</v>
      </c>
    </row>
    <row r="112" spans="1:21">
      <c r="A112" t="s">
        <v>42</v>
      </c>
      <c r="B112" t="s">
        <v>366</v>
      </c>
      <c r="C112" t="s">
        <v>365</v>
      </c>
      <c r="D112" t="s">
        <v>26</v>
      </c>
      <c r="E112" t="s">
        <v>189</v>
      </c>
      <c r="F112" t="s">
        <v>190</v>
      </c>
      <c r="G112">
        <v>5</v>
      </c>
      <c r="H112">
        <v>5</v>
      </c>
      <c r="I112">
        <v>0</v>
      </c>
      <c r="J112">
        <v>0</v>
      </c>
      <c r="K112">
        <v>-5</v>
      </c>
      <c r="L112">
        <v>0</v>
      </c>
      <c r="M112">
        <v>-5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5</v>
      </c>
      <c r="T112">
        <v>0</v>
      </c>
      <c r="U112">
        <v>0</v>
      </c>
    </row>
    <row r="113" spans="1:21">
      <c r="A113" t="s">
        <v>42</v>
      </c>
      <c r="B113" t="s">
        <v>318</v>
      </c>
      <c r="C113" t="s">
        <v>317</v>
      </c>
      <c r="D113" t="s">
        <v>26</v>
      </c>
      <c r="E113" t="s">
        <v>198</v>
      </c>
      <c r="F113" t="s">
        <v>199</v>
      </c>
      <c r="G113">
        <v>3</v>
      </c>
      <c r="H113">
        <v>3</v>
      </c>
      <c r="I113">
        <v>0</v>
      </c>
      <c r="J113">
        <v>0</v>
      </c>
      <c r="K113">
        <v>-3</v>
      </c>
      <c r="L113">
        <v>0</v>
      </c>
      <c r="M113">
        <v>-3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3</v>
      </c>
      <c r="T113">
        <v>0</v>
      </c>
      <c r="U113">
        <v>0</v>
      </c>
    </row>
    <row r="114" spans="1:21">
      <c r="A114" t="s">
        <v>42</v>
      </c>
      <c r="B114" t="s">
        <v>342</v>
      </c>
      <c r="C114" t="s">
        <v>341</v>
      </c>
      <c r="D114" t="s">
        <v>26</v>
      </c>
      <c r="E114" t="s">
        <v>193</v>
      </c>
      <c r="F114" t="s">
        <v>194</v>
      </c>
      <c r="G114">
        <v>2</v>
      </c>
      <c r="H114">
        <v>2</v>
      </c>
      <c r="I114">
        <v>0</v>
      </c>
      <c r="J114">
        <v>0</v>
      </c>
      <c r="K114">
        <v>-3.1</v>
      </c>
      <c r="L114">
        <v>3</v>
      </c>
      <c r="M114">
        <v>-6.1</v>
      </c>
      <c r="N114">
        <v>0</v>
      </c>
      <c r="O114">
        <v>0</v>
      </c>
      <c r="P114">
        <v>0</v>
      </c>
      <c r="Q114">
        <v>0</v>
      </c>
      <c r="R114">
        <v>2</v>
      </c>
      <c r="S114">
        <v>0</v>
      </c>
      <c r="T114">
        <v>5</v>
      </c>
      <c r="U114">
        <v>0</v>
      </c>
    </row>
    <row r="115" spans="1:21">
      <c r="A115" t="s">
        <v>42</v>
      </c>
      <c r="B115" t="s">
        <v>522</v>
      </c>
      <c r="C115" t="s">
        <v>521</v>
      </c>
      <c r="D115" t="s">
        <v>89</v>
      </c>
      <c r="E115" t="s">
        <v>583</v>
      </c>
      <c r="F115" t="s">
        <v>584</v>
      </c>
      <c r="G115">
        <v>48</v>
      </c>
      <c r="H115">
        <v>48</v>
      </c>
      <c r="I115">
        <v>0</v>
      </c>
      <c r="J115">
        <v>0</v>
      </c>
      <c r="K115">
        <v>-30</v>
      </c>
      <c r="L115">
        <v>116</v>
      </c>
      <c r="M115">
        <v>-146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48</v>
      </c>
      <c r="T115">
        <v>0</v>
      </c>
      <c r="U115">
        <v>0</v>
      </c>
    </row>
    <row r="116" spans="1:21">
      <c r="A116" t="s">
        <v>42</v>
      </c>
      <c r="B116" t="s">
        <v>139</v>
      </c>
      <c r="C116" t="s">
        <v>138</v>
      </c>
      <c r="D116" t="s">
        <v>26</v>
      </c>
      <c r="E116" t="s">
        <v>43</v>
      </c>
      <c r="F116" t="s">
        <v>44</v>
      </c>
      <c r="G116">
        <v>8</v>
      </c>
      <c r="H116">
        <v>8</v>
      </c>
      <c r="I116">
        <v>0</v>
      </c>
      <c r="J116">
        <v>0</v>
      </c>
      <c r="K116">
        <v>-8</v>
      </c>
      <c r="L116">
        <v>0</v>
      </c>
      <c r="M116">
        <v>-8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8</v>
      </c>
      <c r="T116">
        <v>0</v>
      </c>
      <c r="U116">
        <v>0</v>
      </c>
    </row>
    <row r="117" spans="1:21">
      <c r="A117" t="s">
        <v>42</v>
      </c>
      <c r="B117" t="s">
        <v>524</v>
      </c>
      <c r="C117" t="s">
        <v>523</v>
      </c>
      <c r="D117" t="s">
        <v>89</v>
      </c>
      <c r="E117" t="s">
        <v>583</v>
      </c>
      <c r="F117" t="s">
        <v>584</v>
      </c>
      <c r="G117">
        <v>96</v>
      </c>
      <c r="H117">
        <v>96</v>
      </c>
      <c r="I117">
        <v>0</v>
      </c>
      <c r="J117">
        <v>0</v>
      </c>
      <c r="K117">
        <v>-23</v>
      </c>
      <c r="L117">
        <v>63</v>
      </c>
      <c r="M117">
        <v>-86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96</v>
      </c>
      <c r="T117">
        <v>0</v>
      </c>
      <c r="U117">
        <v>0</v>
      </c>
    </row>
    <row r="118" spans="1:21">
      <c r="A118" t="s">
        <v>42</v>
      </c>
      <c r="B118" t="s">
        <v>484</v>
      </c>
      <c r="C118" t="s">
        <v>483</v>
      </c>
      <c r="D118" t="s">
        <v>26</v>
      </c>
      <c r="E118" t="s">
        <v>569</v>
      </c>
      <c r="F118" t="s">
        <v>570</v>
      </c>
      <c r="G118">
        <v>60</v>
      </c>
      <c r="H118">
        <v>60</v>
      </c>
      <c r="I118">
        <v>0</v>
      </c>
      <c r="J118">
        <v>0</v>
      </c>
      <c r="K118">
        <v>-42.5</v>
      </c>
      <c r="L118">
        <v>12</v>
      </c>
      <c r="M118">
        <v>-54.5</v>
      </c>
      <c r="N118">
        <v>0</v>
      </c>
      <c r="O118">
        <v>0</v>
      </c>
      <c r="P118">
        <v>60</v>
      </c>
      <c r="Q118">
        <v>0</v>
      </c>
      <c r="R118">
        <v>0</v>
      </c>
      <c r="S118">
        <v>0</v>
      </c>
      <c r="T118">
        <v>10</v>
      </c>
      <c r="U118">
        <v>0</v>
      </c>
    </row>
    <row r="119" spans="1:21">
      <c r="A119" t="s">
        <v>42</v>
      </c>
      <c r="B119" t="s">
        <v>354</v>
      </c>
      <c r="C119" t="s">
        <v>353</v>
      </c>
      <c r="D119" t="s">
        <v>26</v>
      </c>
      <c r="E119" t="s">
        <v>581</v>
      </c>
      <c r="F119" t="s">
        <v>582</v>
      </c>
      <c r="G119">
        <v>50</v>
      </c>
      <c r="H119">
        <v>50</v>
      </c>
      <c r="I119">
        <v>0</v>
      </c>
      <c r="J119">
        <v>0</v>
      </c>
      <c r="K119">
        <v>-45.3</v>
      </c>
      <c r="L119">
        <v>0</v>
      </c>
      <c r="M119">
        <v>-45.3</v>
      </c>
      <c r="N119">
        <v>50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15</v>
      </c>
      <c r="U119">
        <v>0</v>
      </c>
    </row>
    <row r="120" spans="1:21">
      <c r="A120" t="s">
        <v>42</v>
      </c>
      <c r="B120" t="s">
        <v>334</v>
      </c>
      <c r="C120" t="s">
        <v>333</v>
      </c>
      <c r="D120" t="s">
        <v>26</v>
      </c>
      <c r="E120" t="s">
        <v>587</v>
      </c>
      <c r="F120" t="s">
        <v>588</v>
      </c>
      <c r="G120">
        <v>15</v>
      </c>
      <c r="H120">
        <v>15</v>
      </c>
      <c r="I120">
        <v>0</v>
      </c>
      <c r="J120">
        <v>0</v>
      </c>
      <c r="K120">
        <v>-12</v>
      </c>
      <c r="L120">
        <v>0.7</v>
      </c>
      <c r="M120">
        <v>-12.7</v>
      </c>
      <c r="N120">
        <v>0</v>
      </c>
      <c r="O120">
        <v>0</v>
      </c>
      <c r="P120">
        <v>15</v>
      </c>
      <c r="Q120">
        <v>0</v>
      </c>
      <c r="R120">
        <v>0</v>
      </c>
      <c r="S120">
        <v>0</v>
      </c>
      <c r="T120">
        <v>5</v>
      </c>
      <c r="U120">
        <v>0</v>
      </c>
    </row>
    <row r="121" spans="1:21">
      <c r="A121" t="s">
        <v>42</v>
      </c>
      <c r="B121" t="s">
        <v>468</v>
      </c>
      <c r="C121" t="s">
        <v>467</v>
      </c>
      <c r="D121" t="s">
        <v>65</v>
      </c>
      <c r="E121" t="s">
        <v>94</v>
      </c>
      <c r="F121" t="s">
        <v>95</v>
      </c>
      <c r="G121">
        <v>16</v>
      </c>
      <c r="H121">
        <v>16</v>
      </c>
      <c r="I121">
        <v>0</v>
      </c>
      <c r="J121">
        <v>0</v>
      </c>
      <c r="K121">
        <v>-14</v>
      </c>
      <c r="L121">
        <v>0</v>
      </c>
      <c r="M121">
        <v>-14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16</v>
      </c>
      <c r="T121">
        <v>5</v>
      </c>
      <c r="U121">
        <v>0</v>
      </c>
    </row>
    <row r="122" spans="1:21">
      <c r="A122" t="s">
        <v>42</v>
      </c>
      <c r="B122" t="s">
        <v>141</v>
      </c>
      <c r="C122" t="s">
        <v>140</v>
      </c>
      <c r="D122" t="s">
        <v>26</v>
      </c>
      <c r="E122" t="s">
        <v>74</v>
      </c>
      <c r="F122" t="s">
        <v>75</v>
      </c>
      <c r="G122">
        <v>15.3</v>
      </c>
      <c r="H122">
        <v>15.3</v>
      </c>
      <c r="I122">
        <v>0</v>
      </c>
      <c r="J122">
        <v>0</v>
      </c>
      <c r="K122">
        <v>-15.3</v>
      </c>
      <c r="L122">
        <v>0</v>
      </c>
      <c r="M122">
        <v>-15.3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15.3</v>
      </c>
      <c r="T122">
        <v>0</v>
      </c>
      <c r="U122">
        <v>0</v>
      </c>
    </row>
    <row r="123" spans="1:21">
      <c r="A123" t="s">
        <v>42</v>
      </c>
      <c r="B123" t="s">
        <v>143</v>
      </c>
      <c r="C123" t="s">
        <v>142</v>
      </c>
      <c r="D123" t="s">
        <v>26</v>
      </c>
      <c r="E123" t="s">
        <v>27</v>
      </c>
      <c r="F123" t="s">
        <v>28</v>
      </c>
      <c r="G123">
        <v>0.8</v>
      </c>
      <c r="H123">
        <v>0.8</v>
      </c>
      <c r="I123">
        <v>0</v>
      </c>
      <c r="J123">
        <v>0</v>
      </c>
      <c r="K123">
        <v>-0.9</v>
      </c>
      <c r="L123">
        <v>0.1</v>
      </c>
      <c r="M123">
        <v>-1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0.8</v>
      </c>
      <c r="T123">
        <v>0</v>
      </c>
      <c r="U123">
        <v>0</v>
      </c>
    </row>
    <row r="124" spans="1:21">
      <c r="A124" t="s">
        <v>42</v>
      </c>
      <c r="B124" t="s">
        <v>298</v>
      </c>
      <c r="C124" t="s">
        <v>297</v>
      </c>
      <c r="D124" t="s">
        <v>26</v>
      </c>
      <c r="E124" t="s">
        <v>561</v>
      </c>
      <c r="F124" t="s">
        <v>562</v>
      </c>
      <c r="G124">
        <v>1</v>
      </c>
      <c r="H124">
        <v>1</v>
      </c>
      <c r="I124">
        <v>0</v>
      </c>
      <c r="J124">
        <v>0</v>
      </c>
      <c r="K124">
        <v>-0.4</v>
      </c>
      <c r="L124">
        <v>0.7</v>
      </c>
      <c r="M124">
        <v>-1.1000000000000001</v>
      </c>
      <c r="N124">
        <v>0</v>
      </c>
      <c r="O124">
        <v>0</v>
      </c>
      <c r="P124">
        <v>1</v>
      </c>
      <c r="Q124">
        <v>0</v>
      </c>
      <c r="R124">
        <v>0</v>
      </c>
      <c r="S124">
        <v>0</v>
      </c>
      <c r="T124">
        <v>0</v>
      </c>
      <c r="U124">
        <v>0</v>
      </c>
    </row>
    <row r="125" spans="1:21">
      <c r="A125" t="s">
        <v>42</v>
      </c>
      <c r="B125" t="s">
        <v>145</v>
      </c>
      <c r="C125" t="s">
        <v>144</v>
      </c>
      <c r="D125" t="s">
        <v>124</v>
      </c>
      <c r="E125" t="s">
        <v>27</v>
      </c>
      <c r="F125" t="s">
        <v>28</v>
      </c>
      <c r="G125">
        <v>60</v>
      </c>
      <c r="H125">
        <v>60</v>
      </c>
      <c r="I125">
        <v>0</v>
      </c>
      <c r="J125">
        <v>0</v>
      </c>
      <c r="K125">
        <v>-60</v>
      </c>
      <c r="L125">
        <v>0</v>
      </c>
      <c r="M125">
        <v>-60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60</v>
      </c>
      <c r="T125">
        <v>0</v>
      </c>
      <c r="U125">
        <v>0</v>
      </c>
    </row>
    <row r="126" spans="1:21">
      <c r="A126" t="s">
        <v>42</v>
      </c>
      <c r="B126" t="s">
        <v>147</v>
      </c>
      <c r="C126" t="s">
        <v>146</v>
      </c>
      <c r="D126" t="s">
        <v>26</v>
      </c>
      <c r="E126" t="s">
        <v>47</v>
      </c>
      <c r="F126" t="s">
        <v>48</v>
      </c>
      <c r="G126">
        <v>2.5</v>
      </c>
      <c r="H126">
        <v>2.5</v>
      </c>
      <c r="I126">
        <v>0</v>
      </c>
      <c r="J126">
        <v>0</v>
      </c>
      <c r="K126">
        <v>-2.5</v>
      </c>
      <c r="L126">
        <v>0</v>
      </c>
      <c r="M126">
        <v>-2.5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2.5</v>
      </c>
      <c r="T126">
        <v>0</v>
      </c>
      <c r="U126">
        <v>0</v>
      </c>
    </row>
    <row r="127" spans="1:21">
      <c r="A127" t="s">
        <v>42</v>
      </c>
      <c r="B127" t="s">
        <v>292</v>
      </c>
      <c r="C127" t="s">
        <v>291</v>
      </c>
      <c r="D127" t="s">
        <v>26</v>
      </c>
      <c r="E127" t="s">
        <v>94</v>
      </c>
      <c r="F127" t="s">
        <v>95</v>
      </c>
      <c r="G127">
        <v>2</v>
      </c>
      <c r="H127">
        <v>2</v>
      </c>
      <c r="I127">
        <v>0</v>
      </c>
      <c r="J127">
        <v>0</v>
      </c>
      <c r="K127">
        <v>-2</v>
      </c>
      <c r="L127">
        <v>0</v>
      </c>
      <c r="M127">
        <v>-2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2</v>
      </c>
      <c r="T127">
        <v>5</v>
      </c>
      <c r="U127">
        <v>0</v>
      </c>
    </row>
    <row r="128" spans="1:21">
      <c r="A128" t="s">
        <v>42</v>
      </c>
      <c r="B128" t="s">
        <v>149</v>
      </c>
      <c r="C128" t="s">
        <v>148</v>
      </c>
      <c r="D128" t="s">
        <v>26</v>
      </c>
      <c r="E128" t="s">
        <v>80</v>
      </c>
      <c r="F128" t="s">
        <v>81</v>
      </c>
      <c r="G128">
        <v>0.6</v>
      </c>
      <c r="H128">
        <v>0.6</v>
      </c>
      <c r="I128">
        <v>0</v>
      </c>
      <c r="J128">
        <v>0</v>
      </c>
      <c r="K128">
        <v>-0.6</v>
      </c>
      <c r="L128">
        <v>0</v>
      </c>
      <c r="M128">
        <v>-0.6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0.6</v>
      </c>
      <c r="T128">
        <v>10</v>
      </c>
      <c r="U128">
        <v>0</v>
      </c>
    </row>
    <row r="129" spans="1:21">
      <c r="A129" t="s">
        <v>42</v>
      </c>
      <c r="B129" t="s">
        <v>464</v>
      </c>
      <c r="C129" t="s">
        <v>463</v>
      </c>
      <c r="D129" t="s">
        <v>26</v>
      </c>
      <c r="E129" t="s">
        <v>567</v>
      </c>
      <c r="F129" t="s">
        <v>568</v>
      </c>
      <c r="G129">
        <v>20</v>
      </c>
      <c r="H129">
        <v>20</v>
      </c>
      <c r="I129">
        <v>0</v>
      </c>
      <c r="J129">
        <v>0</v>
      </c>
      <c r="K129">
        <v>-3</v>
      </c>
      <c r="L129">
        <v>0</v>
      </c>
      <c r="M129">
        <v>-3</v>
      </c>
      <c r="N129">
        <v>0</v>
      </c>
      <c r="O129">
        <v>0</v>
      </c>
      <c r="P129">
        <v>20</v>
      </c>
      <c r="Q129">
        <v>0</v>
      </c>
      <c r="R129">
        <v>0</v>
      </c>
      <c r="S129">
        <v>0</v>
      </c>
      <c r="T129">
        <v>0</v>
      </c>
      <c r="U129">
        <v>0</v>
      </c>
    </row>
    <row r="130" spans="1:21">
      <c r="A130" t="s">
        <v>42</v>
      </c>
      <c r="B130" t="s">
        <v>420</v>
      </c>
      <c r="C130" t="s">
        <v>419</v>
      </c>
      <c r="D130" t="s">
        <v>26</v>
      </c>
      <c r="E130" t="s">
        <v>565</v>
      </c>
      <c r="F130" t="s">
        <v>566</v>
      </c>
      <c r="G130">
        <v>59</v>
      </c>
      <c r="H130">
        <v>59</v>
      </c>
      <c r="I130">
        <v>0</v>
      </c>
      <c r="J130">
        <v>0</v>
      </c>
      <c r="K130">
        <v>-48.9</v>
      </c>
      <c r="L130">
        <v>0</v>
      </c>
      <c r="M130">
        <v>-48.9</v>
      </c>
      <c r="N130">
        <v>59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10</v>
      </c>
      <c r="U130">
        <v>0</v>
      </c>
    </row>
    <row r="131" spans="1:21">
      <c r="A131" t="s">
        <v>42</v>
      </c>
      <c r="B131" t="s">
        <v>151</v>
      </c>
      <c r="C131" t="s">
        <v>150</v>
      </c>
      <c r="D131" t="s">
        <v>26</v>
      </c>
      <c r="E131" t="s">
        <v>96</v>
      </c>
      <c r="F131" t="s">
        <v>97</v>
      </c>
      <c r="G131">
        <v>1</v>
      </c>
      <c r="H131">
        <v>1</v>
      </c>
      <c r="I131">
        <v>0</v>
      </c>
      <c r="J131">
        <v>0</v>
      </c>
      <c r="K131">
        <v>-1</v>
      </c>
      <c r="L131">
        <v>0</v>
      </c>
      <c r="M131">
        <v>-1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1</v>
      </c>
      <c r="T131">
        <v>10</v>
      </c>
      <c r="U131">
        <v>0</v>
      </c>
    </row>
    <row r="132" spans="1:21">
      <c r="A132" t="s">
        <v>42</v>
      </c>
      <c r="B132" t="s">
        <v>426</v>
      </c>
      <c r="C132" t="s">
        <v>425</v>
      </c>
      <c r="D132" t="s">
        <v>26</v>
      </c>
      <c r="E132" t="s">
        <v>587</v>
      </c>
      <c r="F132" t="s">
        <v>588</v>
      </c>
      <c r="G132">
        <v>10</v>
      </c>
      <c r="H132">
        <v>10</v>
      </c>
      <c r="I132">
        <v>0</v>
      </c>
      <c r="J132">
        <v>0</v>
      </c>
      <c r="K132">
        <v>-10.06</v>
      </c>
      <c r="L132">
        <v>11.6</v>
      </c>
      <c r="M132">
        <v>-21.66</v>
      </c>
      <c r="N132">
        <v>0</v>
      </c>
      <c r="O132">
        <v>0</v>
      </c>
      <c r="P132">
        <v>10</v>
      </c>
      <c r="Q132">
        <v>0</v>
      </c>
      <c r="R132">
        <v>0</v>
      </c>
      <c r="S132">
        <v>0</v>
      </c>
      <c r="T132">
        <v>20</v>
      </c>
      <c r="U132">
        <v>0</v>
      </c>
    </row>
    <row r="133" spans="1:21">
      <c r="A133" t="s">
        <v>42</v>
      </c>
      <c r="B133" t="s">
        <v>224</v>
      </c>
      <c r="C133" t="s">
        <v>223</v>
      </c>
      <c r="D133" t="s">
        <v>26</v>
      </c>
      <c r="E133" t="s">
        <v>43</v>
      </c>
      <c r="F133" t="s">
        <v>44</v>
      </c>
      <c r="G133">
        <v>0.5</v>
      </c>
      <c r="H133">
        <v>0.5</v>
      </c>
      <c r="I133">
        <v>0</v>
      </c>
      <c r="J133">
        <v>0</v>
      </c>
      <c r="K133">
        <v>-0.5</v>
      </c>
      <c r="L133">
        <v>0</v>
      </c>
      <c r="M133">
        <v>-0.5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0.5</v>
      </c>
      <c r="T133">
        <v>0</v>
      </c>
      <c r="U133">
        <v>0</v>
      </c>
    </row>
    <row r="134" spans="1:21">
      <c r="A134" t="s">
        <v>42</v>
      </c>
      <c r="B134" t="s">
        <v>384</v>
      </c>
      <c r="C134" t="s">
        <v>383</v>
      </c>
      <c r="D134" t="s">
        <v>26</v>
      </c>
      <c r="E134" t="s">
        <v>193</v>
      </c>
      <c r="F134" t="s">
        <v>194</v>
      </c>
      <c r="G134">
        <v>4</v>
      </c>
      <c r="H134">
        <v>4</v>
      </c>
      <c r="I134">
        <v>0</v>
      </c>
      <c r="J134">
        <v>0</v>
      </c>
      <c r="K134">
        <v>-4</v>
      </c>
      <c r="L134">
        <v>2</v>
      </c>
      <c r="M134">
        <v>-6</v>
      </c>
      <c r="N134">
        <v>0</v>
      </c>
      <c r="O134">
        <v>0</v>
      </c>
      <c r="P134">
        <v>0</v>
      </c>
      <c r="Q134">
        <v>0</v>
      </c>
      <c r="R134">
        <v>4</v>
      </c>
      <c r="S134">
        <v>0</v>
      </c>
      <c r="T134">
        <v>0</v>
      </c>
      <c r="U134">
        <v>0</v>
      </c>
    </row>
    <row r="135" spans="1:21">
      <c r="A135" t="s">
        <v>42</v>
      </c>
      <c r="B135" t="s">
        <v>228</v>
      </c>
      <c r="C135" t="s">
        <v>227</v>
      </c>
      <c r="D135" t="s">
        <v>26</v>
      </c>
      <c r="E135" t="s">
        <v>53</v>
      </c>
      <c r="F135" t="s">
        <v>54</v>
      </c>
      <c r="G135">
        <v>9</v>
      </c>
      <c r="H135">
        <v>9</v>
      </c>
      <c r="I135">
        <v>0</v>
      </c>
      <c r="J135">
        <v>0</v>
      </c>
      <c r="K135">
        <v>-8.8000000000000007</v>
      </c>
      <c r="L135">
        <v>0.5</v>
      </c>
      <c r="M135">
        <v>-9.3000000000000007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9</v>
      </c>
      <c r="T135">
        <v>20</v>
      </c>
      <c r="U135">
        <v>0</v>
      </c>
    </row>
    <row r="136" spans="1:21">
      <c r="A136" t="s">
        <v>42</v>
      </c>
      <c r="B136" t="s">
        <v>276</v>
      </c>
      <c r="C136" t="s">
        <v>275</v>
      </c>
      <c r="D136" t="s">
        <v>26</v>
      </c>
      <c r="E136" t="s">
        <v>193</v>
      </c>
      <c r="F136" t="s">
        <v>194</v>
      </c>
      <c r="G136">
        <v>1.5</v>
      </c>
      <c r="H136">
        <v>1.5</v>
      </c>
      <c r="I136">
        <v>0</v>
      </c>
      <c r="J136">
        <v>0</v>
      </c>
      <c r="K136">
        <v>-1.5</v>
      </c>
      <c r="L136">
        <v>0</v>
      </c>
      <c r="M136">
        <v>-1.5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1.5</v>
      </c>
      <c r="T136">
        <v>0</v>
      </c>
      <c r="U136">
        <v>0</v>
      </c>
    </row>
    <row r="137" spans="1:21">
      <c r="A137" t="s">
        <v>42</v>
      </c>
      <c r="B137" t="s">
        <v>442</v>
      </c>
      <c r="C137" t="s">
        <v>441</v>
      </c>
      <c r="D137" t="s">
        <v>26</v>
      </c>
      <c r="E137" t="s">
        <v>581</v>
      </c>
      <c r="F137" t="s">
        <v>582</v>
      </c>
      <c r="G137">
        <v>17</v>
      </c>
      <c r="H137">
        <v>17</v>
      </c>
      <c r="I137">
        <v>0</v>
      </c>
      <c r="J137">
        <v>0</v>
      </c>
      <c r="K137">
        <v>-13.3</v>
      </c>
      <c r="L137">
        <v>10.199999999999999</v>
      </c>
      <c r="M137">
        <v>-23.5</v>
      </c>
      <c r="N137">
        <v>17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10</v>
      </c>
      <c r="U137">
        <v>0</v>
      </c>
    </row>
    <row r="138" spans="1:21">
      <c r="A138" t="s">
        <v>42</v>
      </c>
      <c r="B138" t="s">
        <v>480</v>
      </c>
      <c r="C138" t="s">
        <v>479</v>
      </c>
      <c r="D138" t="s">
        <v>89</v>
      </c>
      <c r="E138" t="s">
        <v>27</v>
      </c>
      <c r="F138" t="s">
        <v>28</v>
      </c>
      <c r="G138">
        <v>28</v>
      </c>
      <c r="H138">
        <v>28</v>
      </c>
      <c r="I138">
        <v>0</v>
      </c>
      <c r="J138">
        <v>0</v>
      </c>
      <c r="K138">
        <v>-28</v>
      </c>
      <c r="L138">
        <v>0</v>
      </c>
      <c r="M138">
        <v>-28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28</v>
      </c>
      <c r="T138">
        <v>0</v>
      </c>
      <c r="U138">
        <v>0</v>
      </c>
    </row>
    <row r="139" spans="1:21">
      <c r="A139" t="s">
        <v>42</v>
      </c>
      <c r="B139" t="s">
        <v>153</v>
      </c>
      <c r="C139" t="s">
        <v>152</v>
      </c>
      <c r="D139" t="s">
        <v>41</v>
      </c>
      <c r="E139" t="s">
        <v>39</v>
      </c>
      <c r="F139" t="s">
        <v>40</v>
      </c>
      <c r="G139">
        <v>283</v>
      </c>
      <c r="H139">
        <v>283</v>
      </c>
      <c r="I139">
        <v>0</v>
      </c>
      <c r="J139">
        <v>0</v>
      </c>
      <c r="K139">
        <v>-283</v>
      </c>
      <c r="L139">
        <v>0</v>
      </c>
      <c r="M139">
        <v>-283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283</v>
      </c>
      <c r="T139">
        <v>0</v>
      </c>
      <c r="U139">
        <v>0</v>
      </c>
    </row>
    <row r="140" spans="1:21">
      <c r="A140" t="s">
        <v>42</v>
      </c>
      <c r="B140" t="s">
        <v>520</v>
      </c>
      <c r="C140" t="s">
        <v>519</v>
      </c>
      <c r="D140" t="s">
        <v>26</v>
      </c>
      <c r="E140" t="s">
        <v>198</v>
      </c>
      <c r="F140" t="s">
        <v>199</v>
      </c>
      <c r="G140">
        <v>100</v>
      </c>
      <c r="H140">
        <v>100</v>
      </c>
      <c r="I140">
        <v>0</v>
      </c>
      <c r="J140">
        <v>0</v>
      </c>
      <c r="K140">
        <v>-109.1</v>
      </c>
      <c r="L140">
        <v>0.5</v>
      </c>
      <c r="M140">
        <v>-109.6</v>
      </c>
      <c r="N140">
        <v>0</v>
      </c>
      <c r="O140">
        <v>0</v>
      </c>
      <c r="P140">
        <v>0</v>
      </c>
      <c r="Q140">
        <v>0</v>
      </c>
      <c r="R140">
        <v>100</v>
      </c>
      <c r="S140">
        <v>0</v>
      </c>
      <c r="T140">
        <v>20</v>
      </c>
      <c r="U140">
        <v>0</v>
      </c>
    </row>
    <row r="141" spans="1:21">
      <c r="A141" t="s">
        <v>42</v>
      </c>
      <c r="B141" t="s">
        <v>404</v>
      </c>
      <c r="C141" t="s">
        <v>403</v>
      </c>
      <c r="D141" t="s">
        <v>26</v>
      </c>
      <c r="E141" t="s">
        <v>187</v>
      </c>
      <c r="F141" t="s">
        <v>188</v>
      </c>
      <c r="G141">
        <v>10</v>
      </c>
      <c r="H141">
        <v>10</v>
      </c>
      <c r="I141">
        <v>0</v>
      </c>
      <c r="J141">
        <v>0</v>
      </c>
      <c r="K141">
        <v>-5.4</v>
      </c>
      <c r="L141">
        <v>4</v>
      </c>
      <c r="M141">
        <v>-9.4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10</v>
      </c>
      <c r="T141">
        <v>20</v>
      </c>
      <c r="U141">
        <v>0</v>
      </c>
    </row>
    <row r="142" spans="1:21">
      <c r="A142" t="s">
        <v>42</v>
      </c>
      <c r="B142" t="s">
        <v>56</v>
      </c>
      <c r="C142" t="s">
        <v>55</v>
      </c>
      <c r="D142" t="s">
        <v>26</v>
      </c>
      <c r="E142" t="s">
        <v>581</v>
      </c>
      <c r="F142" t="s">
        <v>582</v>
      </c>
      <c r="G142">
        <v>23</v>
      </c>
      <c r="H142">
        <v>23</v>
      </c>
      <c r="I142">
        <v>0</v>
      </c>
      <c r="J142">
        <v>0</v>
      </c>
      <c r="K142">
        <v>-30.5</v>
      </c>
      <c r="L142">
        <v>0</v>
      </c>
      <c r="M142">
        <v>-30.5</v>
      </c>
      <c r="N142">
        <v>23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5</v>
      </c>
      <c r="U142">
        <v>0</v>
      </c>
    </row>
    <row r="143" spans="1:21">
      <c r="A143" t="s">
        <v>42</v>
      </c>
      <c r="B143" t="s">
        <v>466</v>
      </c>
      <c r="C143" t="s">
        <v>465</v>
      </c>
      <c r="D143" t="s">
        <v>26</v>
      </c>
      <c r="E143" t="s">
        <v>200</v>
      </c>
      <c r="F143" t="s">
        <v>201</v>
      </c>
      <c r="G143">
        <v>10</v>
      </c>
      <c r="H143">
        <v>10</v>
      </c>
      <c r="I143">
        <v>0</v>
      </c>
      <c r="J143">
        <v>0</v>
      </c>
      <c r="K143">
        <v>-8</v>
      </c>
      <c r="L143">
        <v>5</v>
      </c>
      <c r="M143">
        <v>-13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10</v>
      </c>
      <c r="T143">
        <v>1</v>
      </c>
      <c r="U143">
        <v>0</v>
      </c>
    </row>
    <row r="144" spans="1:21">
      <c r="A144" t="s">
        <v>42</v>
      </c>
      <c r="B144" t="s">
        <v>470</v>
      </c>
      <c r="C144" t="s">
        <v>469</v>
      </c>
      <c r="D144" t="s">
        <v>26</v>
      </c>
      <c r="E144" t="s">
        <v>37</v>
      </c>
      <c r="F144" t="s">
        <v>38</v>
      </c>
      <c r="G144">
        <v>10</v>
      </c>
      <c r="H144">
        <v>10</v>
      </c>
      <c r="I144">
        <v>0</v>
      </c>
      <c r="J144">
        <v>0</v>
      </c>
      <c r="K144">
        <v>-2</v>
      </c>
      <c r="L144">
        <v>0</v>
      </c>
      <c r="M144">
        <v>-2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10</v>
      </c>
      <c r="T144">
        <v>0</v>
      </c>
      <c r="U144">
        <v>0</v>
      </c>
    </row>
    <row r="145" spans="1:21">
      <c r="A145" t="s">
        <v>42</v>
      </c>
      <c r="B145" t="s">
        <v>424</v>
      </c>
      <c r="C145" t="s">
        <v>423</v>
      </c>
      <c r="D145" t="s">
        <v>26</v>
      </c>
      <c r="E145" t="s">
        <v>206</v>
      </c>
      <c r="F145" t="s">
        <v>207</v>
      </c>
      <c r="G145">
        <v>11</v>
      </c>
      <c r="H145">
        <v>11</v>
      </c>
      <c r="I145">
        <v>0</v>
      </c>
      <c r="J145">
        <v>0</v>
      </c>
      <c r="K145">
        <v>-12.5</v>
      </c>
      <c r="L145">
        <v>1.8</v>
      </c>
      <c r="M145">
        <v>-14.3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11</v>
      </c>
      <c r="T145">
        <v>1</v>
      </c>
      <c r="U145">
        <v>0</v>
      </c>
    </row>
    <row r="146" spans="1:21">
      <c r="A146" t="s">
        <v>42</v>
      </c>
      <c r="B146" t="s">
        <v>394</v>
      </c>
      <c r="C146" t="s">
        <v>393</v>
      </c>
      <c r="D146" t="s">
        <v>26</v>
      </c>
      <c r="E146" t="s">
        <v>567</v>
      </c>
      <c r="F146" t="s">
        <v>568</v>
      </c>
      <c r="G146">
        <v>10</v>
      </c>
      <c r="H146">
        <v>10</v>
      </c>
      <c r="I146">
        <v>0</v>
      </c>
      <c r="J146">
        <v>0</v>
      </c>
      <c r="K146">
        <v>-2.8</v>
      </c>
      <c r="L146">
        <v>0</v>
      </c>
      <c r="M146">
        <v>-2.8</v>
      </c>
      <c r="N146">
        <v>0</v>
      </c>
      <c r="O146">
        <v>0</v>
      </c>
      <c r="P146">
        <v>10</v>
      </c>
      <c r="Q146">
        <v>0</v>
      </c>
      <c r="R146">
        <v>0</v>
      </c>
      <c r="S146">
        <v>0</v>
      </c>
      <c r="T146">
        <v>10</v>
      </c>
      <c r="U146">
        <v>0</v>
      </c>
    </row>
    <row r="147" spans="1:21">
      <c r="A147" t="s">
        <v>42</v>
      </c>
      <c r="B147" t="s">
        <v>340</v>
      </c>
      <c r="C147" t="s">
        <v>339</v>
      </c>
      <c r="D147" t="s">
        <v>26</v>
      </c>
      <c r="E147" t="s">
        <v>94</v>
      </c>
      <c r="F147" t="s">
        <v>95</v>
      </c>
      <c r="G147">
        <v>3.8</v>
      </c>
      <c r="H147">
        <v>3.8</v>
      </c>
      <c r="I147">
        <v>0</v>
      </c>
      <c r="J147">
        <v>0</v>
      </c>
      <c r="K147">
        <v>-3.8</v>
      </c>
      <c r="L147">
        <v>0</v>
      </c>
      <c r="M147">
        <v>-3.8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3.8</v>
      </c>
      <c r="T147">
        <v>2</v>
      </c>
      <c r="U147">
        <v>0</v>
      </c>
    </row>
    <row r="148" spans="1:21">
      <c r="A148" t="s">
        <v>42</v>
      </c>
      <c r="B148" t="s">
        <v>336</v>
      </c>
      <c r="C148" t="s">
        <v>335</v>
      </c>
      <c r="D148" t="s">
        <v>26</v>
      </c>
      <c r="E148" t="s">
        <v>581</v>
      </c>
      <c r="F148" t="s">
        <v>582</v>
      </c>
      <c r="G148">
        <v>50</v>
      </c>
      <c r="H148">
        <v>50</v>
      </c>
      <c r="I148">
        <v>0</v>
      </c>
      <c r="J148">
        <v>0</v>
      </c>
      <c r="K148">
        <v>-47.3</v>
      </c>
      <c r="L148">
        <v>1</v>
      </c>
      <c r="M148">
        <v>-48.3</v>
      </c>
      <c r="N148">
        <v>50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10</v>
      </c>
      <c r="U148">
        <v>0</v>
      </c>
    </row>
    <row r="149" spans="1:21">
      <c r="A149" t="s">
        <v>42</v>
      </c>
      <c r="B149" t="s">
        <v>376</v>
      </c>
      <c r="C149" t="s">
        <v>375</v>
      </c>
      <c r="D149" t="s">
        <v>26</v>
      </c>
      <c r="E149" t="s">
        <v>74</v>
      </c>
      <c r="F149" t="s">
        <v>75</v>
      </c>
      <c r="G149">
        <v>20</v>
      </c>
      <c r="H149">
        <v>20</v>
      </c>
      <c r="I149">
        <v>0</v>
      </c>
      <c r="J149">
        <v>0</v>
      </c>
      <c r="K149">
        <v>-29.9</v>
      </c>
      <c r="L149">
        <v>16</v>
      </c>
      <c r="M149">
        <v>-45.9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20</v>
      </c>
      <c r="T149">
        <v>0</v>
      </c>
      <c r="U149">
        <v>0</v>
      </c>
    </row>
    <row r="150" spans="1:21">
      <c r="A150" t="s">
        <v>42</v>
      </c>
      <c r="B150" t="s">
        <v>155</v>
      </c>
      <c r="C150" t="s">
        <v>154</v>
      </c>
      <c r="D150" t="s">
        <v>26</v>
      </c>
      <c r="E150" t="s">
        <v>47</v>
      </c>
      <c r="F150" t="s">
        <v>48</v>
      </c>
      <c r="G150">
        <v>3.5</v>
      </c>
      <c r="H150">
        <v>3.5</v>
      </c>
      <c r="I150">
        <v>0</v>
      </c>
      <c r="J150">
        <v>0</v>
      </c>
      <c r="K150">
        <v>-4</v>
      </c>
      <c r="L150">
        <v>0.5</v>
      </c>
      <c r="M150">
        <v>-4.5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3.5</v>
      </c>
      <c r="T150">
        <v>0</v>
      </c>
      <c r="U150">
        <v>0</v>
      </c>
    </row>
    <row r="151" spans="1:21">
      <c r="A151" t="s">
        <v>42</v>
      </c>
      <c r="B151" t="s">
        <v>157</v>
      </c>
      <c r="C151" t="s">
        <v>156</v>
      </c>
      <c r="D151" t="s">
        <v>26</v>
      </c>
      <c r="E151" t="s">
        <v>80</v>
      </c>
      <c r="F151" t="s">
        <v>81</v>
      </c>
      <c r="G151">
        <v>22.8</v>
      </c>
      <c r="H151">
        <v>22.8</v>
      </c>
      <c r="I151">
        <v>0</v>
      </c>
      <c r="J151">
        <v>0</v>
      </c>
      <c r="K151">
        <v>-22.8</v>
      </c>
      <c r="L151">
        <v>0</v>
      </c>
      <c r="M151">
        <v>-22.8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22.8</v>
      </c>
      <c r="T151">
        <v>0</v>
      </c>
      <c r="U151">
        <v>0</v>
      </c>
    </row>
    <row r="152" spans="1:21">
      <c r="A152" t="s">
        <v>42</v>
      </c>
      <c r="B152" t="s">
        <v>284</v>
      </c>
      <c r="C152" t="s">
        <v>283</v>
      </c>
      <c r="D152" t="s">
        <v>26</v>
      </c>
      <c r="E152" t="s">
        <v>189</v>
      </c>
      <c r="F152" t="s">
        <v>190</v>
      </c>
      <c r="G152">
        <v>1.5</v>
      </c>
      <c r="H152">
        <v>1.5</v>
      </c>
      <c r="I152">
        <v>0</v>
      </c>
      <c r="J152">
        <v>0</v>
      </c>
      <c r="K152">
        <v>-1.5</v>
      </c>
      <c r="L152">
        <v>0</v>
      </c>
      <c r="M152">
        <v>-1.5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1.5</v>
      </c>
      <c r="T152">
        <v>0</v>
      </c>
      <c r="U152">
        <v>0</v>
      </c>
    </row>
    <row r="153" spans="1:21">
      <c r="A153" t="s">
        <v>42</v>
      </c>
      <c r="B153" t="s">
        <v>302</v>
      </c>
      <c r="C153" t="s">
        <v>301</v>
      </c>
      <c r="D153" t="s">
        <v>26</v>
      </c>
      <c r="E153" t="s">
        <v>587</v>
      </c>
      <c r="F153" t="s">
        <v>588</v>
      </c>
      <c r="G153">
        <v>5</v>
      </c>
      <c r="H153">
        <v>5</v>
      </c>
      <c r="I153">
        <v>0</v>
      </c>
      <c r="J153">
        <v>0</v>
      </c>
      <c r="K153">
        <v>-2.6</v>
      </c>
      <c r="L153">
        <v>0</v>
      </c>
      <c r="M153">
        <v>-2.6</v>
      </c>
      <c r="N153">
        <v>0</v>
      </c>
      <c r="O153">
        <v>0</v>
      </c>
      <c r="P153">
        <v>5</v>
      </c>
      <c r="Q153">
        <v>0</v>
      </c>
      <c r="R153">
        <v>0</v>
      </c>
      <c r="S153">
        <v>0</v>
      </c>
      <c r="T153">
        <v>10</v>
      </c>
      <c r="U153">
        <v>0</v>
      </c>
    </row>
    <row r="154" spans="1:21">
      <c r="A154" t="s">
        <v>42</v>
      </c>
      <c r="B154" t="s">
        <v>450</v>
      </c>
      <c r="C154" t="s">
        <v>449</v>
      </c>
      <c r="D154" t="s">
        <v>26</v>
      </c>
      <c r="E154" t="s">
        <v>565</v>
      </c>
      <c r="F154" t="s">
        <v>566</v>
      </c>
      <c r="G154">
        <v>30</v>
      </c>
      <c r="H154">
        <v>30</v>
      </c>
      <c r="I154">
        <v>0</v>
      </c>
      <c r="J154">
        <v>0</v>
      </c>
      <c r="K154">
        <v>-31.4</v>
      </c>
      <c r="L154">
        <v>16.5</v>
      </c>
      <c r="M154">
        <v>-47.9</v>
      </c>
      <c r="N154">
        <v>30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</row>
    <row r="155" spans="1:21">
      <c r="A155" t="s">
        <v>42</v>
      </c>
      <c r="B155" t="s">
        <v>482</v>
      </c>
      <c r="C155" t="s">
        <v>481</v>
      </c>
      <c r="D155" t="s">
        <v>26</v>
      </c>
      <c r="E155" t="s">
        <v>589</v>
      </c>
      <c r="F155" t="s">
        <v>590</v>
      </c>
      <c r="G155">
        <v>30</v>
      </c>
      <c r="H155">
        <v>30</v>
      </c>
      <c r="I155">
        <v>0</v>
      </c>
      <c r="J155">
        <v>0</v>
      </c>
      <c r="K155">
        <v>-1</v>
      </c>
      <c r="L155">
        <v>0.3</v>
      </c>
      <c r="M155">
        <v>-1.3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30</v>
      </c>
      <c r="T155">
        <v>0</v>
      </c>
      <c r="U155">
        <v>0</v>
      </c>
    </row>
    <row r="156" spans="1:21">
      <c r="A156" t="s">
        <v>42</v>
      </c>
      <c r="B156" t="s">
        <v>320</v>
      </c>
      <c r="C156" t="s">
        <v>319</v>
      </c>
      <c r="D156" t="s">
        <v>65</v>
      </c>
      <c r="E156" t="s">
        <v>94</v>
      </c>
      <c r="F156" t="s">
        <v>95</v>
      </c>
      <c r="G156">
        <v>3</v>
      </c>
      <c r="H156">
        <v>3</v>
      </c>
      <c r="I156">
        <v>0</v>
      </c>
      <c r="J156">
        <v>0</v>
      </c>
      <c r="K156">
        <v>-3</v>
      </c>
      <c r="L156">
        <v>0</v>
      </c>
      <c r="M156">
        <v>-3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3</v>
      </c>
      <c r="T156">
        <v>0</v>
      </c>
      <c r="U156">
        <v>0</v>
      </c>
    </row>
    <row r="157" spans="1:21">
      <c r="A157" t="s">
        <v>42</v>
      </c>
      <c r="B157" t="s">
        <v>412</v>
      </c>
      <c r="C157" t="s">
        <v>411</v>
      </c>
      <c r="D157" t="s">
        <v>26</v>
      </c>
      <c r="E157" t="s">
        <v>94</v>
      </c>
      <c r="F157" t="s">
        <v>95</v>
      </c>
      <c r="G157">
        <v>9</v>
      </c>
      <c r="H157">
        <v>9</v>
      </c>
      <c r="I157">
        <v>0</v>
      </c>
      <c r="J157">
        <v>0</v>
      </c>
      <c r="K157">
        <v>-8.4</v>
      </c>
      <c r="L157">
        <v>0</v>
      </c>
      <c r="M157">
        <v>-8.4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9</v>
      </c>
      <c r="T157">
        <v>30</v>
      </c>
      <c r="U157">
        <v>0</v>
      </c>
    </row>
    <row r="158" spans="1:21">
      <c r="A158" t="s">
        <v>42</v>
      </c>
      <c r="B158" t="s">
        <v>472</v>
      </c>
      <c r="C158" t="s">
        <v>471</v>
      </c>
      <c r="D158" t="s">
        <v>26</v>
      </c>
      <c r="E158" t="s">
        <v>37</v>
      </c>
      <c r="F158" t="s">
        <v>38</v>
      </c>
      <c r="G158">
        <v>10</v>
      </c>
      <c r="H158">
        <v>10</v>
      </c>
      <c r="I158">
        <v>0</v>
      </c>
      <c r="J158">
        <v>0</v>
      </c>
      <c r="K158">
        <v>-0.2</v>
      </c>
      <c r="L158">
        <v>0</v>
      </c>
      <c r="M158">
        <v>-0.2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10</v>
      </c>
      <c r="T158">
        <v>0</v>
      </c>
      <c r="U158">
        <v>0</v>
      </c>
    </row>
    <row r="159" spans="1:21">
      <c r="A159" t="s">
        <v>42</v>
      </c>
      <c r="B159" t="s">
        <v>462</v>
      </c>
      <c r="C159" t="s">
        <v>461</v>
      </c>
      <c r="D159" t="s">
        <v>26</v>
      </c>
      <c r="E159" t="s">
        <v>591</v>
      </c>
      <c r="F159" t="s">
        <v>592</v>
      </c>
      <c r="G159">
        <v>40</v>
      </c>
      <c r="H159">
        <v>40</v>
      </c>
      <c r="I159">
        <v>0</v>
      </c>
      <c r="J159">
        <v>0</v>
      </c>
      <c r="K159">
        <v>-29.2</v>
      </c>
      <c r="L159">
        <v>6</v>
      </c>
      <c r="M159">
        <v>-35.200000000000003</v>
      </c>
      <c r="N159">
        <v>0</v>
      </c>
      <c r="O159">
        <v>0</v>
      </c>
      <c r="P159">
        <v>40</v>
      </c>
      <c r="Q159">
        <v>0</v>
      </c>
      <c r="R159">
        <v>0</v>
      </c>
      <c r="S159">
        <v>0</v>
      </c>
      <c r="T159">
        <v>0</v>
      </c>
      <c r="U159">
        <v>0</v>
      </c>
    </row>
    <row r="160" spans="1:21">
      <c r="A160" t="s">
        <v>42</v>
      </c>
      <c r="B160" t="s">
        <v>330</v>
      </c>
      <c r="C160" t="s">
        <v>329</v>
      </c>
      <c r="D160" t="s">
        <v>26</v>
      </c>
      <c r="E160" t="s">
        <v>37</v>
      </c>
      <c r="F160" t="s">
        <v>38</v>
      </c>
      <c r="G160">
        <v>4.5</v>
      </c>
      <c r="H160">
        <v>4.5</v>
      </c>
      <c r="I160">
        <v>0</v>
      </c>
      <c r="J160">
        <v>0</v>
      </c>
      <c r="K160">
        <v>-5.5</v>
      </c>
      <c r="L160">
        <v>0</v>
      </c>
      <c r="M160">
        <v>-5.5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4.5</v>
      </c>
      <c r="T160">
        <v>0</v>
      </c>
      <c r="U160">
        <v>0</v>
      </c>
    </row>
    <row r="161" spans="1:21">
      <c r="A161" t="s">
        <v>42</v>
      </c>
      <c r="B161" t="s">
        <v>272</v>
      </c>
      <c r="C161" t="s">
        <v>271</v>
      </c>
      <c r="D161" t="s">
        <v>26</v>
      </c>
      <c r="E161" t="s">
        <v>185</v>
      </c>
      <c r="F161" t="s">
        <v>186</v>
      </c>
      <c r="G161">
        <v>0.9</v>
      </c>
      <c r="H161">
        <v>0.9</v>
      </c>
      <c r="I161">
        <v>0</v>
      </c>
      <c r="J161">
        <v>0</v>
      </c>
      <c r="K161">
        <v>-0.6</v>
      </c>
      <c r="L161">
        <v>0.2</v>
      </c>
      <c r="M161">
        <v>-0.8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0.9</v>
      </c>
      <c r="T161">
        <v>0</v>
      </c>
      <c r="U161">
        <v>0</v>
      </c>
    </row>
    <row r="162" spans="1:21">
      <c r="A162" t="s">
        <v>42</v>
      </c>
      <c r="B162" t="s">
        <v>99</v>
      </c>
      <c r="C162" t="s">
        <v>98</v>
      </c>
      <c r="D162" t="s">
        <v>26</v>
      </c>
      <c r="E162" t="s">
        <v>96</v>
      </c>
      <c r="F162" t="s">
        <v>97</v>
      </c>
      <c r="G162">
        <v>4.5</v>
      </c>
      <c r="H162">
        <v>4.5</v>
      </c>
      <c r="I162">
        <v>0</v>
      </c>
      <c r="J162">
        <v>0</v>
      </c>
      <c r="K162">
        <v>-5</v>
      </c>
      <c r="L162">
        <v>0.2</v>
      </c>
      <c r="M162">
        <v>-5.2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4.5</v>
      </c>
      <c r="T162">
        <v>20</v>
      </c>
      <c r="U162">
        <v>0</v>
      </c>
    </row>
    <row r="163" spans="1:21">
      <c r="A163" t="s">
        <v>42</v>
      </c>
      <c r="B163" t="s">
        <v>476</v>
      </c>
      <c r="C163" t="s">
        <v>475</v>
      </c>
      <c r="D163" t="s">
        <v>26</v>
      </c>
      <c r="E163" t="s">
        <v>577</v>
      </c>
      <c r="F163" t="s">
        <v>578</v>
      </c>
      <c r="G163">
        <v>50</v>
      </c>
      <c r="H163">
        <v>50</v>
      </c>
      <c r="I163">
        <v>0</v>
      </c>
      <c r="J163">
        <v>0</v>
      </c>
      <c r="K163">
        <v>-31.3</v>
      </c>
      <c r="L163">
        <v>1.5</v>
      </c>
      <c r="M163">
        <v>-32.799999999999997</v>
      </c>
      <c r="N163">
        <v>50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</row>
    <row r="164" spans="1:21">
      <c r="A164" t="s">
        <v>42</v>
      </c>
      <c r="B164" t="s">
        <v>252</v>
      </c>
      <c r="C164" t="s">
        <v>251</v>
      </c>
      <c r="D164" t="s">
        <v>26</v>
      </c>
      <c r="E164" t="s">
        <v>189</v>
      </c>
      <c r="F164" t="s">
        <v>190</v>
      </c>
      <c r="G164">
        <v>0.8</v>
      </c>
      <c r="H164">
        <v>0.8</v>
      </c>
      <c r="I164">
        <v>0</v>
      </c>
      <c r="J164">
        <v>0</v>
      </c>
      <c r="K164">
        <v>-0.8</v>
      </c>
      <c r="L164">
        <v>0</v>
      </c>
      <c r="M164">
        <v>-0.8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0.8</v>
      </c>
      <c r="T164">
        <v>0</v>
      </c>
      <c r="U164">
        <v>0</v>
      </c>
    </row>
    <row r="165" spans="1:21">
      <c r="A165" t="s">
        <v>42</v>
      </c>
      <c r="B165" t="s">
        <v>254</v>
      </c>
      <c r="C165" t="s">
        <v>253</v>
      </c>
      <c r="D165" t="s">
        <v>26</v>
      </c>
      <c r="E165" t="s">
        <v>189</v>
      </c>
      <c r="F165" t="s">
        <v>190</v>
      </c>
      <c r="G165">
        <v>0.5</v>
      </c>
      <c r="H165">
        <v>0.5</v>
      </c>
      <c r="I165">
        <v>0</v>
      </c>
      <c r="J165">
        <v>0</v>
      </c>
      <c r="K165">
        <v>-0.5</v>
      </c>
      <c r="L165">
        <v>0</v>
      </c>
      <c r="M165">
        <v>-0.5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0.5</v>
      </c>
      <c r="T165">
        <v>1</v>
      </c>
      <c r="U165">
        <v>0</v>
      </c>
    </row>
    <row r="166" spans="1:21">
      <c r="A166" t="s">
        <v>42</v>
      </c>
      <c r="B166" t="s">
        <v>478</v>
      </c>
      <c r="C166" t="s">
        <v>477</v>
      </c>
      <c r="D166" t="s">
        <v>26</v>
      </c>
      <c r="E166" t="s">
        <v>37</v>
      </c>
      <c r="F166" t="s">
        <v>38</v>
      </c>
      <c r="G166">
        <v>22</v>
      </c>
      <c r="H166">
        <v>22</v>
      </c>
      <c r="I166">
        <v>0</v>
      </c>
      <c r="J166">
        <v>0</v>
      </c>
      <c r="K166">
        <v>-22.3</v>
      </c>
      <c r="L166">
        <v>0</v>
      </c>
      <c r="M166">
        <v>-22.3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22</v>
      </c>
      <c r="T166">
        <v>0</v>
      </c>
      <c r="U166">
        <v>0</v>
      </c>
    </row>
    <row r="167" spans="1:21">
      <c r="A167" t="s">
        <v>42</v>
      </c>
      <c r="B167" t="s">
        <v>85</v>
      </c>
      <c r="C167" t="s">
        <v>84</v>
      </c>
      <c r="D167" t="s">
        <v>26</v>
      </c>
      <c r="E167" t="s">
        <v>573</v>
      </c>
      <c r="F167" t="s">
        <v>574</v>
      </c>
      <c r="G167">
        <v>10</v>
      </c>
      <c r="H167">
        <v>10</v>
      </c>
      <c r="I167">
        <v>0</v>
      </c>
      <c r="J167">
        <v>0</v>
      </c>
      <c r="K167">
        <v>-18.600000000000001</v>
      </c>
      <c r="L167">
        <v>7.5</v>
      </c>
      <c r="M167">
        <v>-26.1</v>
      </c>
      <c r="N167">
        <v>0</v>
      </c>
      <c r="O167">
        <v>0</v>
      </c>
      <c r="P167">
        <v>10</v>
      </c>
      <c r="Q167">
        <v>0</v>
      </c>
      <c r="R167">
        <v>0</v>
      </c>
      <c r="S167">
        <v>0</v>
      </c>
      <c r="T167">
        <v>10</v>
      </c>
      <c r="U167">
        <v>0</v>
      </c>
    </row>
    <row r="168" spans="1:21">
      <c r="A168" t="s">
        <v>42</v>
      </c>
      <c r="B168" t="s">
        <v>210</v>
      </c>
      <c r="C168" t="s">
        <v>209</v>
      </c>
      <c r="D168" t="s">
        <v>26</v>
      </c>
      <c r="E168" t="s">
        <v>96</v>
      </c>
      <c r="F168" t="s">
        <v>97</v>
      </c>
      <c r="G168">
        <v>0.1</v>
      </c>
      <c r="H168">
        <v>0.1</v>
      </c>
      <c r="I168">
        <v>0</v>
      </c>
      <c r="J168">
        <v>0</v>
      </c>
      <c r="K168">
        <v>-5.0999999999999996</v>
      </c>
      <c r="L168">
        <v>5</v>
      </c>
      <c r="M168">
        <v>-10.1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0.1</v>
      </c>
      <c r="T168">
        <v>0</v>
      </c>
      <c r="U168">
        <v>0</v>
      </c>
    </row>
    <row r="169" spans="1:21">
      <c r="A169" t="s">
        <v>42</v>
      </c>
      <c r="B169" t="s">
        <v>294</v>
      </c>
      <c r="C169" t="s">
        <v>293</v>
      </c>
      <c r="D169" t="s">
        <v>26</v>
      </c>
      <c r="E169" t="s">
        <v>94</v>
      </c>
      <c r="F169" t="s">
        <v>95</v>
      </c>
      <c r="G169">
        <v>2</v>
      </c>
      <c r="H169">
        <v>2</v>
      </c>
      <c r="I169">
        <v>0</v>
      </c>
      <c r="J169">
        <v>0</v>
      </c>
      <c r="K169">
        <v>-2</v>
      </c>
      <c r="L169">
        <v>0</v>
      </c>
      <c r="M169">
        <v>-2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2</v>
      </c>
      <c r="T169">
        <v>0</v>
      </c>
      <c r="U169">
        <v>0</v>
      </c>
    </row>
    <row r="170" spans="1:21">
      <c r="A170" t="s">
        <v>42</v>
      </c>
      <c r="B170" t="s">
        <v>278</v>
      </c>
      <c r="C170" t="s">
        <v>277</v>
      </c>
      <c r="D170" t="s">
        <v>26</v>
      </c>
      <c r="E170" t="s">
        <v>47</v>
      </c>
      <c r="F170" t="s">
        <v>48</v>
      </c>
      <c r="G170">
        <v>1.5</v>
      </c>
      <c r="H170">
        <v>1.5</v>
      </c>
      <c r="I170">
        <v>0</v>
      </c>
      <c r="J170">
        <v>0</v>
      </c>
      <c r="K170">
        <v>-1.5</v>
      </c>
      <c r="L170">
        <v>0</v>
      </c>
      <c r="M170">
        <v>-1.5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1.5</v>
      </c>
      <c r="T170">
        <v>0</v>
      </c>
      <c r="U170">
        <v>0</v>
      </c>
    </row>
    <row r="171" spans="1:21">
      <c r="A171" t="s">
        <v>42</v>
      </c>
      <c r="B171" t="s">
        <v>438</v>
      </c>
      <c r="C171" t="s">
        <v>437</v>
      </c>
      <c r="D171" t="s">
        <v>26</v>
      </c>
      <c r="E171" t="s">
        <v>591</v>
      </c>
      <c r="F171" t="s">
        <v>592</v>
      </c>
      <c r="G171">
        <v>10</v>
      </c>
      <c r="H171">
        <v>10</v>
      </c>
      <c r="I171">
        <v>0</v>
      </c>
      <c r="J171">
        <v>0</v>
      </c>
      <c r="K171">
        <v>-16.899999999999999</v>
      </c>
      <c r="L171">
        <v>20</v>
      </c>
      <c r="M171">
        <v>-36.9</v>
      </c>
      <c r="N171">
        <v>0</v>
      </c>
      <c r="O171">
        <v>0</v>
      </c>
      <c r="P171">
        <v>10</v>
      </c>
      <c r="Q171">
        <v>0</v>
      </c>
      <c r="R171">
        <v>0</v>
      </c>
      <c r="S171">
        <v>0</v>
      </c>
      <c r="T171">
        <v>0</v>
      </c>
      <c r="U171">
        <v>0</v>
      </c>
    </row>
    <row r="172" spans="1:21">
      <c r="A172" t="s">
        <v>42</v>
      </c>
      <c r="B172" t="s">
        <v>474</v>
      </c>
      <c r="C172" t="s">
        <v>473</v>
      </c>
      <c r="D172" t="s">
        <v>36</v>
      </c>
      <c r="E172" t="s">
        <v>32</v>
      </c>
      <c r="F172" t="s">
        <v>33</v>
      </c>
      <c r="G172">
        <v>20</v>
      </c>
      <c r="H172">
        <v>20</v>
      </c>
      <c r="I172">
        <v>0</v>
      </c>
      <c r="J172">
        <v>0</v>
      </c>
      <c r="K172">
        <v>-20</v>
      </c>
      <c r="L172">
        <v>0</v>
      </c>
      <c r="M172">
        <v>-20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20</v>
      </c>
      <c r="T172">
        <v>0</v>
      </c>
      <c r="U172">
        <v>0</v>
      </c>
    </row>
    <row r="173" spans="1:21">
      <c r="A173" t="s">
        <v>42</v>
      </c>
      <c r="B173" t="s">
        <v>360</v>
      </c>
      <c r="C173" t="s">
        <v>359</v>
      </c>
      <c r="D173" t="s">
        <v>26</v>
      </c>
      <c r="E173" t="s">
        <v>63</v>
      </c>
      <c r="F173" t="s">
        <v>64</v>
      </c>
      <c r="G173">
        <v>10</v>
      </c>
      <c r="H173">
        <v>10</v>
      </c>
      <c r="I173">
        <v>0</v>
      </c>
      <c r="J173">
        <v>0</v>
      </c>
      <c r="K173">
        <v>-5</v>
      </c>
      <c r="L173">
        <v>0</v>
      </c>
      <c r="M173">
        <v>-5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10</v>
      </c>
      <c r="T173">
        <v>0</v>
      </c>
      <c r="U173">
        <v>0</v>
      </c>
    </row>
    <row r="174" spans="1:21">
      <c r="A174" t="s">
        <v>42</v>
      </c>
      <c r="B174" t="s">
        <v>362</v>
      </c>
      <c r="C174" t="s">
        <v>361</v>
      </c>
      <c r="D174" t="s">
        <v>26</v>
      </c>
      <c r="E174" t="s">
        <v>47</v>
      </c>
      <c r="F174" t="s">
        <v>48</v>
      </c>
      <c r="G174">
        <v>5</v>
      </c>
      <c r="H174">
        <v>5</v>
      </c>
      <c r="I174">
        <v>0</v>
      </c>
      <c r="J174">
        <v>0</v>
      </c>
      <c r="K174">
        <v>-5</v>
      </c>
      <c r="L174">
        <v>0</v>
      </c>
      <c r="M174">
        <v>-5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5</v>
      </c>
      <c r="T174">
        <v>0</v>
      </c>
      <c r="U174">
        <v>0</v>
      </c>
    </row>
    <row r="175" spans="1:21">
      <c r="A175" t="s">
        <v>42</v>
      </c>
      <c r="B175" t="s">
        <v>458</v>
      </c>
      <c r="C175" t="s">
        <v>457</v>
      </c>
      <c r="D175" t="s">
        <v>26</v>
      </c>
      <c r="E175" t="s">
        <v>567</v>
      </c>
      <c r="F175" t="s">
        <v>568</v>
      </c>
      <c r="G175">
        <v>10</v>
      </c>
      <c r="H175">
        <v>10</v>
      </c>
      <c r="I175">
        <v>0</v>
      </c>
      <c r="J175">
        <v>0</v>
      </c>
      <c r="K175">
        <v>-9.1</v>
      </c>
      <c r="L175">
        <v>15</v>
      </c>
      <c r="M175">
        <v>-24.1</v>
      </c>
      <c r="N175">
        <v>0</v>
      </c>
      <c r="O175">
        <v>0</v>
      </c>
      <c r="P175">
        <v>10</v>
      </c>
      <c r="Q175">
        <v>0</v>
      </c>
      <c r="R175">
        <v>0</v>
      </c>
      <c r="S175">
        <v>0</v>
      </c>
      <c r="T175">
        <v>0</v>
      </c>
      <c r="U175">
        <v>0</v>
      </c>
    </row>
    <row r="176" spans="1:21">
      <c r="A176" t="s">
        <v>42</v>
      </c>
      <c r="B176" t="s">
        <v>159</v>
      </c>
      <c r="C176" t="s">
        <v>158</v>
      </c>
      <c r="D176" t="s">
        <v>160</v>
      </c>
      <c r="E176" t="s">
        <v>47</v>
      </c>
      <c r="F176" t="s">
        <v>48</v>
      </c>
      <c r="G176">
        <v>20</v>
      </c>
      <c r="H176">
        <v>20</v>
      </c>
      <c r="I176">
        <v>0</v>
      </c>
      <c r="J176">
        <v>0</v>
      </c>
      <c r="K176">
        <v>-20</v>
      </c>
      <c r="L176">
        <v>0</v>
      </c>
      <c r="M176">
        <v>-20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20</v>
      </c>
      <c r="T176">
        <v>0</v>
      </c>
      <c r="U176">
        <v>0</v>
      </c>
    </row>
    <row r="177" spans="1:21">
      <c r="A177" t="s">
        <v>42</v>
      </c>
      <c r="B177" t="s">
        <v>256</v>
      </c>
      <c r="C177" t="s">
        <v>255</v>
      </c>
      <c r="D177" t="s">
        <v>26</v>
      </c>
      <c r="E177" t="s">
        <v>27</v>
      </c>
      <c r="F177" t="s">
        <v>28</v>
      </c>
      <c r="G177">
        <v>1</v>
      </c>
      <c r="H177">
        <v>1</v>
      </c>
      <c r="I177">
        <v>0</v>
      </c>
      <c r="J177">
        <v>0</v>
      </c>
      <c r="K177">
        <v>-1</v>
      </c>
      <c r="L177">
        <v>0</v>
      </c>
      <c r="M177">
        <v>-1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1</v>
      </c>
      <c r="T177">
        <v>0</v>
      </c>
      <c r="U177">
        <v>0</v>
      </c>
    </row>
    <row r="178" spans="1:21">
      <c r="A178" t="s">
        <v>42</v>
      </c>
      <c r="B178" t="s">
        <v>452</v>
      </c>
      <c r="C178" t="s">
        <v>451</v>
      </c>
      <c r="D178" t="s">
        <v>26</v>
      </c>
      <c r="E178" t="s">
        <v>200</v>
      </c>
      <c r="F178" t="s">
        <v>201</v>
      </c>
      <c r="G178">
        <v>20</v>
      </c>
      <c r="H178">
        <v>20</v>
      </c>
      <c r="I178">
        <v>0</v>
      </c>
      <c r="J178">
        <v>0</v>
      </c>
      <c r="K178">
        <v>-28.1</v>
      </c>
      <c r="L178">
        <v>3.2</v>
      </c>
      <c r="M178">
        <v>-31.3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20</v>
      </c>
      <c r="T178">
        <v>10</v>
      </c>
      <c r="U178">
        <v>0</v>
      </c>
    </row>
    <row r="179" spans="1:21">
      <c r="A179" t="s">
        <v>42</v>
      </c>
      <c r="B179" t="s">
        <v>164</v>
      </c>
      <c r="C179" t="s">
        <v>163</v>
      </c>
      <c r="D179" t="s">
        <v>36</v>
      </c>
      <c r="E179" t="s">
        <v>161</v>
      </c>
      <c r="F179" t="s">
        <v>162</v>
      </c>
      <c r="G179">
        <v>32</v>
      </c>
      <c r="H179">
        <v>32</v>
      </c>
      <c r="I179">
        <v>0</v>
      </c>
      <c r="J179">
        <v>0</v>
      </c>
      <c r="K179">
        <v>-32</v>
      </c>
      <c r="L179">
        <v>0</v>
      </c>
      <c r="M179">
        <v>-32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32</v>
      </c>
      <c r="T179">
        <v>0</v>
      </c>
      <c r="U179">
        <v>0</v>
      </c>
    </row>
    <row r="180" spans="1:21">
      <c r="A180" t="s">
        <v>42</v>
      </c>
      <c r="B180" t="s">
        <v>166</v>
      </c>
      <c r="C180" t="s">
        <v>165</v>
      </c>
      <c r="D180" t="s">
        <v>26</v>
      </c>
      <c r="E180" t="s">
        <v>47</v>
      </c>
      <c r="F180" t="s">
        <v>48</v>
      </c>
      <c r="G180">
        <v>1</v>
      </c>
      <c r="H180">
        <v>1</v>
      </c>
      <c r="I180">
        <v>0</v>
      </c>
      <c r="J180">
        <v>0</v>
      </c>
      <c r="K180">
        <v>-1</v>
      </c>
      <c r="L180">
        <v>0</v>
      </c>
      <c r="M180">
        <v>-1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1</v>
      </c>
      <c r="T180">
        <v>0</v>
      </c>
      <c r="U180">
        <v>0</v>
      </c>
    </row>
    <row r="181" spans="1:21">
      <c r="A181" t="s">
        <v>42</v>
      </c>
      <c r="B181" t="s">
        <v>386</v>
      </c>
      <c r="C181" t="s">
        <v>385</v>
      </c>
      <c r="D181" t="s">
        <v>26</v>
      </c>
      <c r="E181" t="s">
        <v>204</v>
      </c>
      <c r="F181" t="s">
        <v>205</v>
      </c>
      <c r="G181">
        <v>6</v>
      </c>
      <c r="H181">
        <v>6</v>
      </c>
      <c r="I181">
        <v>0</v>
      </c>
      <c r="J181">
        <v>0</v>
      </c>
      <c r="K181">
        <v>-5.2</v>
      </c>
      <c r="L181">
        <v>0</v>
      </c>
      <c r="M181">
        <v>-5.2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6</v>
      </c>
      <c r="T181">
        <v>0</v>
      </c>
      <c r="U181">
        <v>0</v>
      </c>
    </row>
    <row r="182" spans="1:21">
      <c r="A182" t="s">
        <v>42</v>
      </c>
      <c r="B182" t="s">
        <v>430</v>
      </c>
      <c r="C182" t="s">
        <v>429</v>
      </c>
      <c r="D182" t="s">
        <v>26</v>
      </c>
      <c r="E182" t="s">
        <v>204</v>
      </c>
      <c r="F182" t="s">
        <v>205</v>
      </c>
      <c r="G182">
        <v>12.5</v>
      </c>
      <c r="H182">
        <v>12.5</v>
      </c>
      <c r="I182">
        <v>0</v>
      </c>
      <c r="J182">
        <v>0</v>
      </c>
      <c r="K182">
        <v>-12.5</v>
      </c>
      <c r="L182">
        <v>0</v>
      </c>
      <c r="M182">
        <v>-12.5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12.5</v>
      </c>
      <c r="T182">
        <v>0</v>
      </c>
      <c r="U182">
        <v>0</v>
      </c>
    </row>
    <row r="183" spans="1:21">
      <c r="A183" t="s">
        <v>42</v>
      </c>
      <c r="B183" t="s">
        <v>530</v>
      </c>
      <c r="C183" t="s">
        <v>529</v>
      </c>
      <c r="D183" t="s">
        <v>36</v>
      </c>
      <c r="E183" t="s">
        <v>593</v>
      </c>
      <c r="F183" t="s">
        <v>594</v>
      </c>
      <c r="G183">
        <v>300</v>
      </c>
      <c r="H183">
        <v>300</v>
      </c>
      <c r="I183">
        <v>0</v>
      </c>
      <c r="J183">
        <v>0</v>
      </c>
      <c r="K183">
        <v>-240</v>
      </c>
      <c r="L183">
        <v>220</v>
      </c>
      <c r="M183">
        <v>-460</v>
      </c>
      <c r="N183">
        <v>300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20</v>
      </c>
      <c r="U183">
        <v>0</v>
      </c>
    </row>
    <row r="184" spans="1:21">
      <c r="A184" t="s">
        <v>42</v>
      </c>
      <c r="B184" t="s">
        <v>310</v>
      </c>
      <c r="C184" t="s">
        <v>309</v>
      </c>
      <c r="D184" t="s">
        <v>26</v>
      </c>
      <c r="E184" t="s">
        <v>561</v>
      </c>
      <c r="F184" t="s">
        <v>562</v>
      </c>
      <c r="G184">
        <v>5</v>
      </c>
      <c r="H184">
        <v>5</v>
      </c>
      <c r="I184">
        <v>0</v>
      </c>
      <c r="J184">
        <v>0</v>
      </c>
      <c r="K184">
        <v>-2.2999999999999998</v>
      </c>
      <c r="L184">
        <v>0</v>
      </c>
      <c r="M184">
        <v>-2.2999999999999998</v>
      </c>
      <c r="N184">
        <v>0</v>
      </c>
      <c r="O184">
        <v>0</v>
      </c>
      <c r="P184">
        <v>5</v>
      </c>
      <c r="Q184">
        <v>0</v>
      </c>
      <c r="R184">
        <v>0</v>
      </c>
      <c r="S184">
        <v>0</v>
      </c>
      <c r="T184">
        <v>0</v>
      </c>
      <c r="U184">
        <v>0</v>
      </c>
    </row>
    <row r="185" spans="1:21">
      <c r="A185" t="s">
        <v>42</v>
      </c>
      <c r="B185" t="s">
        <v>314</v>
      </c>
      <c r="C185" t="s">
        <v>313</v>
      </c>
      <c r="D185" t="s">
        <v>26</v>
      </c>
      <c r="E185" t="s">
        <v>94</v>
      </c>
      <c r="F185" t="s">
        <v>95</v>
      </c>
      <c r="G185">
        <v>3</v>
      </c>
      <c r="H185">
        <v>3</v>
      </c>
      <c r="I185">
        <v>0</v>
      </c>
      <c r="J185">
        <v>0</v>
      </c>
      <c r="K185">
        <v>-8</v>
      </c>
      <c r="L185">
        <v>5</v>
      </c>
      <c r="M185">
        <v>-13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3</v>
      </c>
      <c r="T185">
        <v>0</v>
      </c>
      <c r="U185">
        <v>0</v>
      </c>
    </row>
    <row r="186" spans="1:21">
      <c r="A186" t="s">
        <v>42</v>
      </c>
      <c r="B186" t="s">
        <v>280</v>
      </c>
      <c r="C186" t="s">
        <v>279</v>
      </c>
      <c r="D186" t="s">
        <v>26</v>
      </c>
      <c r="E186" t="s">
        <v>53</v>
      </c>
      <c r="F186" t="s">
        <v>54</v>
      </c>
      <c r="G186">
        <v>1.5</v>
      </c>
      <c r="H186">
        <v>1.5</v>
      </c>
      <c r="I186">
        <v>0</v>
      </c>
      <c r="J186">
        <v>0</v>
      </c>
      <c r="K186">
        <v>-1.5</v>
      </c>
      <c r="L186">
        <v>0</v>
      </c>
      <c r="M186">
        <v>-1.5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1.5</v>
      </c>
      <c r="T186">
        <v>10</v>
      </c>
      <c r="U186">
        <v>0</v>
      </c>
    </row>
    <row r="187" spans="1:21">
      <c r="A187" t="s">
        <v>42</v>
      </c>
      <c r="B187" t="s">
        <v>350</v>
      </c>
      <c r="C187" t="s">
        <v>349</v>
      </c>
      <c r="D187" t="s">
        <v>26</v>
      </c>
      <c r="E187" t="s">
        <v>567</v>
      </c>
      <c r="F187" t="s">
        <v>568</v>
      </c>
      <c r="G187">
        <v>10</v>
      </c>
      <c r="H187">
        <v>10</v>
      </c>
      <c r="I187">
        <v>0</v>
      </c>
      <c r="J187">
        <v>0</v>
      </c>
      <c r="K187">
        <v>-5.5</v>
      </c>
      <c r="L187">
        <v>0</v>
      </c>
      <c r="M187">
        <v>-5.5</v>
      </c>
      <c r="N187">
        <v>0</v>
      </c>
      <c r="O187">
        <v>0</v>
      </c>
      <c r="P187">
        <v>10</v>
      </c>
      <c r="Q187">
        <v>0</v>
      </c>
      <c r="R187">
        <v>0</v>
      </c>
      <c r="S187">
        <v>0</v>
      </c>
      <c r="T187">
        <v>0</v>
      </c>
      <c r="U187">
        <v>0</v>
      </c>
    </row>
    <row r="188" spans="1:21">
      <c r="A188" t="s">
        <v>42</v>
      </c>
      <c r="B188" t="s">
        <v>434</v>
      </c>
      <c r="C188" t="s">
        <v>433</v>
      </c>
      <c r="D188" t="s">
        <v>26</v>
      </c>
      <c r="E188" t="s">
        <v>559</v>
      </c>
      <c r="F188" t="s">
        <v>560</v>
      </c>
      <c r="G188">
        <v>10</v>
      </c>
      <c r="H188">
        <v>10</v>
      </c>
      <c r="I188">
        <v>0</v>
      </c>
      <c r="J188">
        <v>0</v>
      </c>
      <c r="K188">
        <v>-7.2</v>
      </c>
      <c r="L188">
        <v>0</v>
      </c>
      <c r="M188">
        <v>-7.2</v>
      </c>
      <c r="N188">
        <v>0</v>
      </c>
      <c r="O188">
        <v>0</v>
      </c>
      <c r="P188">
        <v>10</v>
      </c>
      <c r="Q188">
        <v>0</v>
      </c>
      <c r="R188">
        <v>0</v>
      </c>
      <c r="S188">
        <v>0</v>
      </c>
      <c r="T188">
        <v>10</v>
      </c>
      <c r="U188">
        <v>0</v>
      </c>
    </row>
    <row r="189" spans="1:21">
      <c r="A189" t="s">
        <v>42</v>
      </c>
      <c r="B189" t="s">
        <v>73</v>
      </c>
      <c r="C189" t="s">
        <v>72</v>
      </c>
      <c r="D189" t="s">
        <v>26</v>
      </c>
      <c r="E189" t="s">
        <v>53</v>
      </c>
      <c r="F189" t="s">
        <v>54</v>
      </c>
      <c r="G189">
        <v>13.5</v>
      </c>
      <c r="H189">
        <v>13.5</v>
      </c>
      <c r="I189">
        <v>0</v>
      </c>
      <c r="J189">
        <v>0</v>
      </c>
      <c r="K189">
        <v>-15</v>
      </c>
      <c r="L189">
        <v>0</v>
      </c>
      <c r="M189">
        <v>-15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13.5</v>
      </c>
      <c r="T189">
        <v>10</v>
      </c>
      <c r="U189">
        <v>0</v>
      </c>
    </row>
    <row r="190" spans="1:21">
      <c r="A190" t="s">
        <v>42</v>
      </c>
      <c r="B190" t="s">
        <v>332</v>
      </c>
      <c r="C190" t="s">
        <v>331</v>
      </c>
      <c r="D190" t="s">
        <v>26</v>
      </c>
      <c r="E190" t="s">
        <v>561</v>
      </c>
      <c r="F190" t="s">
        <v>562</v>
      </c>
      <c r="G190">
        <v>2</v>
      </c>
      <c r="H190">
        <v>2</v>
      </c>
      <c r="I190">
        <v>0</v>
      </c>
      <c r="J190">
        <v>0</v>
      </c>
      <c r="K190">
        <v>-0.5</v>
      </c>
      <c r="L190">
        <v>0</v>
      </c>
      <c r="M190">
        <v>-0.5</v>
      </c>
      <c r="N190">
        <v>0</v>
      </c>
      <c r="O190">
        <v>0</v>
      </c>
      <c r="P190">
        <v>2</v>
      </c>
      <c r="Q190">
        <v>0</v>
      </c>
      <c r="R190">
        <v>0</v>
      </c>
      <c r="S190">
        <v>0</v>
      </c>
      <c r="T190">
        <v>0</v>
      </c>
      <c r="U190">
        <v>0</v>
      </c>
    </row>
    <row r="191" spans="1:21">
      <c r="A191" t="s">
        <v>42</v>
      </c>
      <c r="B191" t="s">
        <v>378</v>
      </c>
      <c r="C191" t="s">
        <v>377</v>
      </c>
      <c r="D191" t="s">
        <v>26</v>
      </c>
      <c r="E191" t="s">
        <v>567</v>
      </c>
      <c r="F191" t="s">
        <v>568</v>
      </c>
      <c r="G191">
        <v>10</v>
      </c>
      <c r="H191">
        <v>10</v>
      </c>
      <c r="I191">
        <v>0</v>
      </c>
      <c r="J191">
        <v>0</v>
      </c>
      <c r="K191">
        <v>-3.5</v>
      </c>
      <c r="L191">
        <v>0</v>
      </c>
      <c r="M191">
        <v>-3.5</v>
      </c>
      <c r="N191">
        <v>0</v>
      </c>
      <c r="O191">
        <v>0</v>
      </c>
      <c r="P191">
        <v>10</v>
      </c>
      <c r="Q191">
        <v>0</v>
      </c>
      <c r="R191">
        <v>0</v>
      </c>
      <c r="S191">
        <v>0</v>
      </c>
      <c r="T191">
        <v>10</v>
      </c>
      <c r="U191">
        <v>0</v>
      </c>
    </row>
    <row r="192" spans="1:21">
      <c r="A192" t="s">
        <v>42</v>
      </c>
      <c r="B192" t="s">
        <v>168</v>
      </c>
      <c r="C192" t="s">
        <v>167</v>
      </c>
      <c r="D192" t="s">
        <v>26</v>
      </c>
      <c r="E192" t="s">
        <v>96</v>
      </c>
      <c r="F192" t="s">
        <v>97</v>
      </c>
      <c r="G192">
        <v>2.5</v>
      </c>
      <c r="H192">
        <v>2.5</v>
      </c>
      <c r="I192">
        <v>0</v>
      </c>
      <c r="J192">
        <v>0</v>
      </c>
      <c r="K192">
        <v>-2.5</v>
      </c>
      <c r="L192">
        <v>0</v>
      </c>
      <c r="M192">
        <v>-2.5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2.5</v>
      </c>
      <c r="T192">
        <v>5</v>
      </c>
      <c r="U192">
        <v>0</v>
      </c>
    </row>
    <row r="193" spans="1:21">
      <c r="A193" t="s">
        <v>42</v>
      </c>
      <c r="B193" t="s">
        <v>170</v>
      </c>
      <c r="C193" t="s">
        <v>169</v>
      </c>
      <c r="D193" t="s">
        <v>26</v>
      </c>
      <c r="E193" t="s">
        <v>74</v>
      </c>
      <c r="F193" t="s">
        <v>75</v>
      </c>
      <c r="G193">
        <v>0.1</v>
      </c>
      <c r="H193">
        <v>0.1</v>
      </c>
      <c r="I193">
        <v>0</v>
      </c>
      <c r="J193">
        <v>0</v>
      </c>
      <c r="K193">
        <v>-0.1</v>
      </c>
      <c r="L193">
        <v>0</v>
      </c>
      <c r="M193">
        <v>-0.1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0.1</v>
      </c>
      <c r="T193">
        <v>0</v>
      </c>
      <c r="U193">
        <v>0</v>
      </c>
    </row>
    <row r="194" spans="1:21">
      <c r="A194" t="s">
        <v>42</v>
      </c>
      <c r="B194" t="s">
        <v>370</v>
      </c>
      <c r="C194" t="s">
        <v>369</v>
      </c>
      <c r="D194" t="s">
        <v>26</v>
      </c>
      <c r="E194" t="s">
        <v>195</v>
      </c>
      <c r="F194" t="s">
        <v>196</v>
      </c>
      <c r="G194">
        <v>5.5</v>
      </c>
      <c r="H194">
        <v>5.5</v>
      </c>
      <c r="I194">
        <v>0</v>
      </c>
      <c r="J194">
        <v>0</v>
      </c>
      <c r="K194">
        <v>-5.5</v>
      </c>
      <c r="L194">
        <v>0</v>
      </c>
      <c r="M194">
        <v>-5.5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5.5</v>
      </c>
      <c r="T194">
        <v>0</v>
      </c>
      <c r="U194">
        <v>0</v>
      </c>
    </row>
    <row r="195" spans="1:21">
      <c r="A195" t="s">
        <v>42</v>
      </c>
      <c r="B195" t="s">
        <v>234</v>
      </c>
      <c r="C195" t="s">
        <v>233</v>
      </c>
      <c r="D195" t="s">
        <v>26</v>
      </c>
      <c r="E195" t="s">
        <v>94</v>
      </c>
      <c r="F195" t="s">
        <v>95</v>
      </c>
      <c r="G195">
        <v>1</v>
      </c>
      <c r="H195">
        <v>1</v>
      </c>
      <c r="I195">
        <v>0</v>
      </c>
      <c r="J195">
        <v>0</v>
      </c>
      <c r="K195">
        <v>-1.1000000000000001</v>
      </c>
      <c r="L195">
        <v>0</v>
      </c>
      <c r="M195">
        <v>-1.1000000000000001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1</v>
      </c>
      <c r="T195">
        <v>1</v>
      </c>
      <c r="U195">
        <v>0</v>
      </c>
    </row>
    <row r="196" spans="1:21">
      <c r="A196" t="s">
        <v>42</v>
      </c>
      <c r="B196" t="s">
        <v>258</v>
      </c>
      <c r="C196" t="s">
        <v>257</v>
      </c>
      <c r="D196" t="s">
        <v>26</v>
      </c>
      <c r="E196" t="s">
        <v>74</v>
      </c>
      <c r="F196" t="s">
        <v>75</v>
      </c>
      <c r="G196">
        <v>2</v>
      </c>
      <c r="H196">
        <v>2</v>
      </c>
      <c r="I196">
        <v>0</v>
      </c>
      <c r="J196">
        <v>0</v>
      </c>
      <c r="K196">
        <v>-2</v>
      </c>
      <c r="L196">
        <v>1</v>
      </c>
      <c r="M196">
        <v>-3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2</v>
      </c>
      <c r="T196">
        <v>0</v>
      </c>
      <c r="U196">
        <v>0</v>
      </c>
    </row>
    <row r="197" spans="1:21">
      <c r="A197" t="s">
        <v>42</v>
      </c>
      <c r="B197" t="s">
        <v>454</v>
      </c>
      <c r="C197" t="s">
        <v>453</v>
      </c>
      <c r="D197" t="s">
        <v>26</v>
      </c>
      <c r="E197" t="s">
        <v>551</v>
      </c>
      <c r="F197" t="s">
        <v>552</v>
      </c>
      <c r="G197">
        <v>20</v>
      </c>
      <c r="H197">
        <v>20</v>
      </c>
      <c r="I197">
        <v>0</v>
      </c>
      <c r="J197">
        <v>0</v>
      </c>
      <c r="K197">
        <v>-13</v>
      </c>
      <c r="L197">
        <v>8.4</v>
      </c>
      <c r="M197">
        <v>-21.4</v>
      </c>
      <c r="N197">
        <v>20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</row>
    <row r="198" spans="1:21">
      <c r="A198" t="s">
        <v>42</v>
      </c>
      <c r="B198" t="s">
        <v>432</v>
      </c>
      <c r="C198" t="s">
        <v>431</v>
      </c>
      <c r="D198" t="s">
        <v>26</v>
      </c>
      <c r="E198" t="s">
        <v>585</v>
      </c>
      <c r="F198" t="s">
        <v>586</v>
      </c>
      <c r="G198">
        <v>5</v>
      </c>
      <c r="H198">
        <v>5</v>
      </c>
      <c r="I198">
        <v>0</v>
      </c>
      <c r="J198">
        <v>0</v>
      </c>
      <c r="K198">
        <v>-3</v>
      </c>
      <c r="L198">
        <v>10.5</v>
      </c>
      <c r="M198">
        <v>-13.5</v>
      </c>
      <c r="N198">
        <v>5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</row>
    <row r="199" spans="1:21">
      <c r="A199" t="s">
        <v>42</v>
      </c>
      <c r="B199" t="s">
        <v>172</v>
      </c>
      <c r="C199" t="s">
        <v>171</v>
      </c>
      <c r="D199" t="s">
        <v>26</v>
      </c>
      <c r="E199" t="s">
        <v>47</v>
      </c>
      <c r="F199" t="s">
        <v>48</v>
      </c>
      <c r="G199">
        <v>1.5</v>
      </c>
      <c r="H199">
        <v>1.5</v>
      </c>
      <c r="I199">
        <v>0</v>
      </c>
      <c r="J199">
        <v>0</v>
      </c>
      <c r="K199">
        <v>-1.5</v>
      </c>
      <c r="L199">
        <v>0</v>
      </c>
      <c r="M199">
        <v>-1.5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1.5</v>
      </c>
      <c r="T199">
        <v>0</v>
      </c>
      <c r="U199">
        <v>0</v>
      </c>
    </row>
    <row r="200" spans="1:21">
      <c r="A200" t="s">
        <v>42</v>
      </c>
      <c r="B200" t="s">
        <v>504</v>
      </c>
      <c r="C200" t="s">
        <v>503</v>
      </c>
      <c r="D200" t="s">
        <v>26</v>
      </c>
      <c r="E200" t="s">
        <v>200</v>
      </c>
      <c r="F200" t="s">
        <v>201</v>
      </c>
      <c r="G200">
        <v>30</v>
      </c>
      <c r="H200">
        <v>30</v>
      </c>
      <c r="I200">
        <v>0</v>
      </c>
      <c r="J200">
        <v>0</v>
      </c>
      <c r="K200">
        <v>-19.2</v>
      </c>
      <c r="L200">
        <v>0</v>
      </c>
      <c r="M200">
        <v>-19.2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30</v>
      </c>
      <c r="T200">
        <v>10</v>
      </c>
      <c r="U200">
        <v>0</v>
      </c>
    </row>
    <row r="201" spans="1:21">
      <c r="A201" t="s">
        <v>42</v>
      </c>
      <c r="B201" t="s">
        <v>174</v>
      </c>
      <c r="C201" t="s">
        <v>173</v>
      </c>
      <c r="D201" t="s">
        <v>26</v>
      </c>
      <c r="E201" t="s">
        <v>43</v>
      </c>
      <c r="F201" t="s">
        <v>44</v>
      </c>
      <c r="G201">
        <v>2</v>
      </c>
      <c r="H201">
        <v>2</v>
      </c>
      <c r="I201">
        <v>0</v>
      </c>
      <c r="J201">
        <v>0</v>
      </c>
      <c r="K201">
        <v>-2</v>
      </c>
      <c r="L201">
        <v>0</v>
      </c>
      <c r="M201">
        <v>-2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2</v>
      </c>
      <c r="T201">
        <v>0</v>
      </c>
      <c r="U201">
        <v>0</v>
      </c>
    </row>
    <row r="202" spans="1:21">
      <c r="A202" t="s">
        <v>42</v>
      </c>
      <c r="B202" t="s">
        <v>230</v>
      </c>
      <c r="C202" t="s">
        <v>229</v>
      </c>
      <c r="D202" t="s">
        <v>26</v>
      </c>
      <c r="E202" t="s">
        <v>587</v>
      </c>
      <c r="F202" t="s">
        <v>588</v>
      </c>
      <c r="G202">
        <v>10</v>
      </c>
      <c r="H202">
        <v>10</v>
      </c>
      <c r="I202">
        <v>0</v>
      </c>
      <c r="J202">
        <v>0</v>
      </c>
      <c r="K202">
        <v>-10.199999999999999</v>
      </c>
      <c r="L202">
        <v>1</v>
      </c>
      <c r="M202">
        <v>-11.2</v>
      </c>
      <c r="N202">
        <v>0</v>
      </c>
      <c r="O202">
        <v>0</v>
      </c>
      <c r="P202">
        <v>10</v>
      </c>
      <c r="Q202">
        <v>0</v>
      </c>
      <c r="R202">
        <v>0</v>
      </c>
      <c r="S202">
        <v>0</v>
      </c>
      <c r="T202">
        <v>5</v>
      </c>
      <c r="U202">
        <v>0</v>
      </c>
    </row>
    <row r="203" spans="1:21">
      <c r="A203" t="s">
        <v>42</v>
      </c>
      <c r="B203" t="s">
        <v>346</v>
      </c>
      <c r="C203" t="s">
        <v>345</v>
      </c>
      <c r="D203" t="s">
        <v>26</v>
      </c>
      <c r="E203" t="s">
        <v>193</v>
      </c>
      <c r="F203" t="s">
        <v>194</v>
      </c>
      <c r="G203">
        <v>3.5</v>
      </c>
      <c r="H203">
        <v>3.5</v>
      </c>
      <c r="I203">
        <v>0</v>
      </c>
      <c r="J203">
        <v>0</v>
      </c>
      <c r="K203">
        <v>-4.0999999999999996</v>
      </c>
      <c r="L203">
        <v>1.2</v>
      </c>
      <c r="M203">
        <v>-5.3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3.5</v>
      </c>
      <c r="T203">
        <v>25</v>
      </c>
      <c r="U203">
        <v>0</v>
      </c>
    </row>
    <row r="204" spans="1:21">
      <c r="A204" t="s">
        <v>42</v>
      </c>
      <c r="B204" t="s">
        <v>328</v>
      </c>
      <c r="C204" t="s">
        <v>327</v>
      </c>
      <c r="D204" t="s">
        <v>26</v>
      </c>
      <c r="E204" t="s">
        <v>561</v>
      </c>
      <c r="F204" t="s">
        <v>562</v>
      </c>
      <c r="G204">
        <v>5</v>
      </c>
      <c r="H204">
        <v>5</v>
      </c>
      <c r="I204">
        <v>0</v>
      </c>
      <c r="J204">
        <v>0</v>
      </c>
      <c r="K204">
        <v>-5</v>
      </c>
      <c r="L204">
        <v>3.3</v>
      </c>
      <c r="M204">
        <v>-8.3000000000000007</v>
      </c>
      <c r="N204">
        <v>0</v>
      </c>
      <c r="O204">
        <v>0</v>
      </c>
      <c r="P204">
        <v>5</v>
      </c>
      <c r="Q204">
        <v>0</v>
      </c>
      <c r="R204">
        <v>0</v>
      </c>
      <c r="S204">
        <v>0</v>
      </c>
      <c r="T204">
        <v>10</v>
      </c>
      <c r="U204">
        <v>0</v>
      </c>
    </row>
    <row r="205" spans="1:21">
      <c r="A205" t="s">
        <v>42</v>
      </c>
      <c r="B205" t="s">
        <v>300</v>
      </c>
      <c r="C205" t="s">
        <v>299</v>
      </c>
      <c r="D205" t="s">
        <v>26</v>
      </c>
      <c r="E205" t="s">
        <v>94</v>
      </c>
      <c r="F205" t="s">
        <v>95</v>
      </c>
      <c r="G205">
        <v>2.2999999999999998</v>
      </c>
      <c r="H205">
        <v>2.2999999999999998</v>
      </c>
      <c r="I205">
        <v>0</v>
      </c>
      <c r="J205">
        <v>0</v>
      </c>
      <c r="K205">
        <v>-2.2999999999999998</v>
      </c>
      <c r="L205">
        <v>0</v>
      </c>
      <c r="M205">
        <v>-2.2999999999999998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2.2999999999999998</v>
      </c>
      <c r="T205">
        <v>0</v>
      </c>
      <c r="U205">
        <v>0</v>
      </c>
    </row>
    <row r="206" spans="1:21">
      <c r="A206" t="s">
        <v>42</v>
      </c>
      <c r="B206" t="s">
        <v>388</v>
      </c>
      <c r="C206" t="s">
        <v>387</v>
      </c>
      <c r="D206" t="s">
        <v>26</v>
      </c>
      <c r="E206" t="s">
        <v>553</v>
      </c>
      <c r="F206" t="s">
        <v>554</v>
      </c>
      <c r="G206">
        <v>10</v>
      </c>
      <c r="H206">
        <v>10</v>
      </c>
      <c r="I206">
        <v>0</v>
      </c>
      <c r="J206">
        <v>0</v>
      </c>
      <c r="K206">
        <v>-4.2</v>
      </c>
      <c r="L206">
        <v>1</v>
      </c>
      <c r="M206">
        <v>-5.2</v>
      </c>
      <c r="N206">
        <v>0</v>
      </c>
      <c r="O206">
        <v>0</v>
      </c>
      <c r="P206">
        <v>10</v>
      </c>
      <c r="Q206">
        <v>0</v>
      </c>
      <c r="R206">
        <v>0</v>
      </c>
      <c r="S206">
        <v>0</v>
      </c>
      <c r="T206">
        <v>10</v>
      </c>
      <c r="U206">
        <v>0</v>
      </c>
    </row>
    <row r="207" spans="1:21">
      <c r="A207" t="s">
        <v>42</v>
      </c>
      <c r="B207" t="s">
        <v>382</v>
      </c>
      <c r="C207" t="s">
        <v>381</v>
      </c>
      <c r="D207" t="s">
        <v>26</v>
      </c>
      <c r="E207" t="s">
        <v>96</v>
      </c>
      <c r="F207" t="s">
        <v>97</v>
      </c>
      <c r="G207">
        <v>6.6</v>
      </c>
      <c r="H207">
        <v>6.6</v>
      </c>
      <c r="I207">
        <v>0</v>
      </c>
      <c r="J207">
        <v>0</v>
      </c>
      <c r="K207">
        <v>-7</v>
      </c>
      <c r="L207">
        <v>0.4</v>
      </c>
      <c r="M207">
        <v>-7.4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6.6</v>
      </c>
      <c r="T207">
        <v>15</v>
      </c>
      <c r="U207">
        <v>0</v>
      </c>
    </row>
    <row r="208" spans="1:21">
      <c r="A208" t="s">
        <v>42</v>
      </c>
      <c r="B208" t="s">
        <v>414</v>
      </c>
      <c r="C208" t="s">
        <v>413</v>
      </c>
      <c r="D208" t="s">
        <v>26</v>
      </c>
      <c r="E208" t="s">
        <v>565</v>
      </c>
      <c r="F208" t="s">
        <v>566</v>
      </c>
      <c r="G208">
        <v>20</v>
      </c>
      <c r="H208">
        <v>20</v>
      </c>
      <c r="I208">
        <v>0</v>
      </c>
      <c r="J208">
        <v>0</v>
      </c>
      <c r="K208">
        <v>-27.3</v>
      </c>
      <c r="L208">
        <v>17</v>
      </c>
      <c r="M208">
        <v>-44.3</v>
      </c>
      <c r="N208">
        <v>20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</row>
    <row r="209" spans="1:21">
      <c r="A209" t="s">
        <v>42</v>
      </c>
      <c r="B209" t="s">
        <v>176</v>
      </c>
      <c r="C209" t="s">
        <v>175</v>
      </c>
      <c r="D209" t="s">
        <v>36</v>
      </c>
      <c r="E209" t="s">
        <v>161</v>
      </c>
      <c r="F209" t="s">
        <v>162</v>
      </c>
      <c r="G209">
        <v>6</v>
      </c>
      <c r="H209">
        <v>6</v>
      </c>
      <c r="I209">
        <v>0</v>
      </c>
      <c r="J209">
        <v>0</v>
      </c>
      <c r="K209">
        <v>-6</v>
      </c>
      <c r="L209">
        <v>0</v>
      </c>
      <c r="M209">
        <v>-6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6</v>
      </c>
      <c r="T209">
        <v>0</v>
      </c>
      <c r="U209">
        <v>0</v>
      </c>
    </row>
    <row r="210" spans="1:21">
      <c r="A210" t="s">
        <v>42</v>
      </c>
      <c r="B210" t="s">
        <v>380</v>
      </c>
      <c r="C210" t="s">
        <v>379</v>
      </c>
      <c r="D210" t="s">
        <v>26</v>
      </c>
      <c r="E210" t="s">
        <v>587</v>
      </c>
      <c r="F210" t="s">
        <v>588</v>
      </c>
      <c r="G210">
        <v>20</v>
      </c>
      <c r="H210">
        <v>20</v>
      </c>
      <c r="I210">
        <v>0</v>
      </c>
      <c r="J210">
        <v>0</v>
      </c>
      <c r="K210">
        <v>-13.8</v>
      </c>
      <c r="L210">
        <v>0.3</v>
      </c>
      <c r="M210">
        <v>-14.1</v>
      </c>
      <c r="N210">
        <v>0</v>
      </c>
      <c r="O210">
        <v>0</v>
      </c>
      <c r="P210">
        <v>20</v>
      </c>
      <c r="Q210">
        <v>0</v>
      </c>
      <c r="R210">
        <v>0</v>
      </c>
      <c r="S210">
        <v>0</v>
      </c>
      <c r="T210">
        <v>15</v>
      </c>
      <c r="U210">
        <v>0</v>
      </c>
    </row>
    <row r="211" spans="1:21">
      <c r="A211" t="s">
        <v>42</v>
      </c>
      <c r="B211" t="s">
        <v>408</v>
      </c>
      <c r="C211" t="s">
        <v>407</v>
      </c>
      <c r="D211" t="s">
        <v>89</v>
      </c>
      <c r="E211" t="s">
        <v>27</v>
      </c>
      <c r="F211" t="s">
        <v>28</v>
      </c>
      <c r="G211">
        <v>14</v>
      </c>
      <c r="H211">
        <v>14</v>
      </c>
      <c r="I211">
        <v>0</v>
      </c>
      <c r="J211">
        <v>0</v>
      </c>
      <c r="K211">
        <v>-5</v>
      </c>
      <c r="L211">
        <v>0</v>
      </c>
      <c r="M211">
        <v>-5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14</v>
      </c>
      <c r="T211">
        <v>0</v>
      </c>
      <c r="U211">
        <v>0</v>
      </c>
    </row>
    <row r="212" spans="1:21">
      <c r="A212" t="s">
        <v>42</v>
      </c>
      <c r="B212" t="s">
        <v>178</v>
      </c>
      <c r="C212" t="s">
        <v>177</v>
      </c>
      <c r="D212" t="s">
        <v>26</v>
      </c>
      <c r="E212" t="s">
        <v>43</v>
      </c>
      <c r="F212" t="s">
        <v>44</v>
      </c>
      <c r="G212">
        <v>13</v>
      </c>
      <c r="H212">
        <v>13</v>
      </c>
      <c r="I212">
        <v>0</v>
      </c>
      <c r="J212">
        <v>0</v>
      </c>
      <c r="K212">
        <v>-13</v>
      </c>
      <c r="L212">
        <v>0</v>
      </c>
      <c r="M212">
        <v>-13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13</v>
      </c>
      <c r="T212">
        <v>0</v>
      </c>
      <c r="U212">
        <v>0</v>
      </c>
    </row>
    <row r="213" spans="1:21">
      <c r="A213" t="s">
        <v>42</v>
      </c>
      <c r="B213" t="s">
        <v>306</v>
      </c>
      <c r="C213" t="s">
        <v>305</v>
      </c>
      <c r="D213" t="s">
        <v>26</v>
      </c>
      <c r="E213" t="s">
        <v>96</v>
      </c>
      <c r="F213" t="s">
        <v>97</v>
      </c>
      <c r="G213">
        <v>3</v>
      </c>
      <c r="H213">
        <v>3</v>
      </c>
      <c r="I213">
        <v>0</v>
      </c>
      <c r="J213">
        <v>0</v>
      </c>
      <c r="K213">
        <v>-3.5</v>
      </c>
      <c r="L213">
        <v>0</v>
      </c>
      <c r="M213">
        <v>-3.5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3</v>
      </c>
      <c r="T213">
        <v>1</v>
      </c>
      <c r="U213">
        <v>0</v>
      </c>
    </row>
    <row r="214" spans="1:21">
      <c r="A214" t="s">
        <v>42</v>
      </c>
      <c r="B214" t="s">
        <v>180</v>
      </c>
      <c r="C214" t="s">
        <v>179</v>
      </c>
      <c r="D214" t="s">
        <v>26</v>
      </c>
      <c r="E214" t="s">
        <v>47</v>
      </c>
      <c r="F214" t="s">
        <v>48</v>
      </c>
      <c r="G214">
        <v>5</v>
      </c>
      <c r="H214">
        <v>5</v>
      </c>
      <c r="I214">
        <v>0</v>
      </c>
      <c r="J214">
        <v>0</v>
      </c>
      <c r="K214">
        <v>-5</v>
      </c>
      <c r="L214">
        <v>0</v>
      </c>
      <c r="M214">
        <v>-5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5</v>
      </c>
      <c r="T214">
        <v>0</v>
      </c>
      <c r="U214">
        <v>0</v>
      </c>
    </row>
    <row r="215" spans="1:21">
      <c r="A215" t="s">
        <v>42</v>
      </c>
      <c r="B215" t="s">
        <v>422</v>
      </c>
      <c r="C215" t="s">
        <v>421</v>
      </c>
      <c r="D215" t="s">
        <v>26</v>
      </c>
      <c r="E215" t="s">
        <v>573</v>
      </c>
      <c r="F215" t="s">
        <v>574</v>
      </c>
      <c r="G215">
        <v>5</v>
      </c>
      <c r="H215">
        <v>5</v>
      </c>
      <c r="I215">
        <v>0</v>
      </c>
      <c r="J215">
        <v>0</v>
      </c>
      <c r="K215">
        <v>0</v>
      </c>
      <c r="L215">
        <v>1.2</v>
      </c>
      <c r="M215">
        <v>-1.2</v>
      </c>
      <c r="N215">
        <v>0</v>
      </c>
      <c r="O215">
        <v>0</v>
      </c>
      <c r="P215">
        <v>5</v>
      </c>
      <c r="Q215">
        <v>0</v>
      </c>
      <c r="R215">
        <v>0</v>
      </c>
      <c r="S215">
        <v>0</v>
      </c>
      <c r="T215">
        <v>0</v>
      </c>
      <c r="U215">
        <v>0</v>
      </c>
    </row>
    <row r="216" spans="1:21">
      <c r="A216" t="s">
        <v>42</v>
      </c>
      <c r="B216" t="s">
        <v>428</v>
      </c>
      <c r="C216" t="s">
        <v>427</v>
      </c>
      <c r="D216" t="s">
        <v>26</v>
      </c>
      <c r="E216" t="s">
        <v>94</v>
      </c>
      <c r="F216" t="s">
        <v>95</v>
      </c>
      <c r="G216">
        <v>10</v>
      </c>
      <c r="H216">
        <v>10</v>
      </c>
      <c r="I216">
        <v>0</v>
      </c>
      <c r="J216">
        <v>0</v>
      </c>
      <c r="K216">
        <v>-8</v>
      </c>
      <c r="L216">
        <v>0</v>
      </c>
      <c r="M216">
        <v>-8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10</v>
      </c>
      <c r="T216">
        <v>10</v>
      </c>
      <c r="U216">
        <v>0</v>
      </c>
    </row>
    <row r="217" spans="1:21">
      <c r="A217" t="s">
        <v>42</v>
      </c>
      <c r="B217" t="s">
        <v>264</v>
      </c>
      <c r="C217" t="s">
        <v>263</v>
      </c>
      <c r="D217" t="s">
        <v>26</v>
      </c>
      <c r="E217" t="s">
        <v>561</v>
      </c>
      <c r="F217" t="s">
        <v>562</v>
      </c>
      <c r="G217">
        <v>1.3</v>
      </c>
      <c r="H217">
        <v>1.3</v>
      </c>
      <c r="I217">
        <v>0</v>
      </c>
      <c r="J217">
        <v>0</v>
      </c>
      <c r="K217">
        <v>-0.8</v>
      </c>
      <c r="L217">
        <v>0.7</v>
      </c>
      <c r="M217">
        <v>-1.5</v>
      </c>
      <c r="N217">
        <v>0</v>
      </c>
      <c r="O217">
        <v>0</v>
      </c>
      <c r="P217">
        <v>1.3</v>
      </c>
      <c r="Q217">
        <v>0</v>
      </c>
      <c r="R217">
        <v>0</v>
      </c>
      <c r="S217">
        <v>0</v>
      </c>
      <c r="T217">
        <v>10</v>
      </c>
      <c r="U217">
        <v>0</v>
      </c>
    </row>
    <row r="218" spans="1:21">
      <c r="A218" t="s">
        <v>42</v>
      </c>
      <c r="B218" t="s">
        <v>344</v>
      </c>
      <c r="C218" t="s">
        <v>343</v>
      </c>
      <c r="D218" t="s">
        <v>26</v>
      </c>
      <c r="E218" t="s">
        <v>191</v>
      </c>
      <c r="F218" t="s">
        <v>192</v>
      </c>
      <c r="G218">
        <v>4</v>
      </c>
      <c r="H218">
        <v>4</v>
      </c>
      <c r="I218">
        <v>0</v>
      </c>
      <c r="J218">
        <v>0</v>
      </c>
      <c r="K218">
        <v>-4</v>
      </c>
      <c r="L218">
        <v>0</v>
      </c>
      <c r="M218">
        <v>-4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4</v>
      </c>
      <c r="T218">
        <v>0</v>
      </c>
      <c r="U218">
        <v>0</v>
      </c>
    </row>
    <row r="219" spans="1:21">
      <c r="A219" t="s">
        <v>42</v>
      </c>
      <c r="B219" t="s">
        <v>406</v>
      </c>
      <c r="C219" t="s">
        <v>405</v>
      </c>
      <c r="D219" t="s">
        <v>26</v>
      </c>
      <c r="E219" t="s">
        <v>595</v>
      </c>
      <c r="F219" t="s">
        <v>596</v>
      </c>
      <c r="G219">
        <v>10</v>
      </c>
      <c r="H219">
        <v>10</v>
      </c>
      <c r="I219">
        <v>0</v>
      </c>
      <c r="J219">
        <v>0</v>
      </c>
      <c r="K219">
        <v>-4.8</v>
      </c>
      <c r="L219">
        <v>3.6</v>
      </c>
      <c r="M219">
        <v>-8.4</v>
      </c>
      <c r="N219">
        <v>0</v>
      </c>
      <c r="O219">
        <v>0</v>
      </c>
      <c r="P219">
        <v>10</v>
      </c>
      <c r="Q219">
        <v>0</v>
      </c>
      <c r="R219">
        <v>0</v>
      </c>
      <c r="S219">
        <v>0</v>
      </c>
      <c r="T219">
        <v>0</v>
      </c>
      <c r="U219">
        <v>0</v>
      </c>
    </row>
    <row r="220" spans="1:21">
      <c r="A220" t="s">
        <v>42</v>
      </c>
      <c r="B220" t="s">
        <v>348</v>
      </c>
      <c r="C220" t="s">
        <v>347</v>
      </c>
      <c r="D220" t="s">
        <v>26</v>
      </c>
      <c r="E220" t="s">
        <v>189</v>
      </c>
      <c r="F220" t="s">
        <v>190</v>
      </c>
      <c r="G220">
        <v>4</v>
      </c>
      <c r="H220">
        <v>4</v>
      </c>
      <c r="I220">
        <v>0</v>
      </c>
      <c r="J220">
        <v>0</v>
      </c>
      <c r="K220">
        <v>-4</v>
      </c>
      <c r="L220">
        <v>0</v>
      </c>
      <c r="M220">
        <v>-4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4</v>
      </c>
      <c r="T220">
        <v>0</v>
      </c>
      <c r="U220">
        <v>0</v>
      </c>
    </row>
    <row r="221" spans="1:21">
      <c r="A221" t="s">
        <v>42</v>
      </c>
      <c r="B221" t="s">
        <v>226</v>
      </c>
      <c r="C221" t="s">
        <v>225</v>
      </c>
      <c r="D221" t="s">
        <v>26</v>
      </c>
      <c r="E221" t="s">
        <v>189</v>
      </c>
      <c r="F221" t="s">
        <v>190</v>
      </c>
      <c r="G221">
        <v>0.1</v>
      </c>
      <c r="H221">
        <v>0.1</v>
      </c>
      <c r="I221">
        <v>0</v>
      </c>
      <c r="J221">
        <v>0</v>
      </c>
      <c r="K221">
        <v>-0.1</v>
      </c>
      <c r="L221">
        <v>0</v>
      </c>
      <c r="M221">
        <v>-0.1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0.1</v>
      </c>
      <c r="T221">
        <v>0</v>
      </c>
      <c r="U221">
        <v>0</v>
      </c>
    </row>
    <row r="222" spans="1:21">
      <c r="A222" t="s">
        <v>42</v>
      </c>
      <c r="B222" t="s">
        <v>182</v>
      </c>
      <c r="C222" t="s">
        <v>181</v>
      </c>
      <c r="D222" t="s">
        <v>26</v>
      </c>
      <c r="E222" t="s">
        <v>27</v>
      </c>
      <c r="F222" t="s">
        <v>28</v>
      </c>
      <c r="G222">
        <v>1.5</v>
      </c>
      <c r="H222">
        <v>1.5</v>
      </c>
      <c r="I222">
        <v>0</v>
      </c>
      <c r="J222">
        <v>0</v>
      </c>
      <c r="K222">
        <v>-1.5</v>
      </c>
      <c r="L222">
        <v>0</v>
      </c>
      <c r="M222">
        <v>-1.5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1.5</v>
      </c>
      <c r="T222">
        <v>0</v>
      </c>
      <c r="U222">
        <v>0</v>
      </c>
    </row>
    <row r="223" spans="1:21">
      <c r="A223" t="s">
        <v>42</v>
      </c>
      <c r="B223" t="s">
        <v>268</v>
      </c>
      <c r="C223" t="s">
        <v>267</v>
      </c>
      <c r="D223" t="s">
        <v>26</v>
      </c>
      <c r="E223" t="s">
        <v>195</v>
      </c>
      <c r="F223" t="s">
        <v>196</v>
      </c>
      <c r="G223">
        <v>1.3</v>
      </c>
      <c r="H223">
        <v>1.3</v>
      </c>
      <c r="I223">
        <v>0</v>
      </c>
      <c r="J223">
        <v>0</v>
      </c>
      <c r="K223">
        <v>-1.3</v>
      </c>
      <c r="L223">
        <v>0</v>
      </c>
      <c r="M223">
        <v>-1.3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1.3</v>
      </c>
      <c r="T223">
        <v>0</v>
      </c>
      <c r="U223">
        <v>0</v>
      </c>
    </row>
    <row r="224" spans="1:21">
      <c r="A224" t="s">
        <v>42</v>
      </c>
      <c r="B224" t="s">
        <v>220</v>
      </c>
      <c r="C224" t="s">
        <v>219</v>
      </c>
      <c r="D224" t="s">
        <v>26</v>
      </c>
      <c r="E224" t="s">
        <v>557</v>
      </c>
      <c r="F224" t="s">
        <v>558</v>
      </c>
      <c r="G224">
        <v>10</v>
      </c>
      <c r="H224">
        <v>10</v>
      </c>
      <c r="I224">
        <v>0</v>
      </c>
      <c r="J224">
        <v>0</v>
      </c>
      <c r="K224">
        <v>-19.8</v>
      </c>
      <c r="L224">
        <v>10</v>
      </c>
      <c r="M224">
        <v>-29.8</v>
      </c>
      <c r="N224">
        <v>10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5</v>
      </c>
      <c r="U224">
        <v>0</v>
      </c>
    </row>
    <row r="225" spans="1:21">
      <c r="A225" t="s">
        <v>42</v>
      </c>
      <c r="B225" t="s">
        <v>486</v>
      </c>
      <c r="C225" t="s">
        <v>485</v>
      </c>
      <c r="D225" t="s">
        <v>26</v>
      </c>
      <c r="E225" t="s">
        <v>597</v>
      </c>
      <c r="F225" t="s">
        <v>598</v>
      </c>
      <c r="G225">
        <v>40</v>
      </c>
      <c r="H225">
        <v>40</v>
      </c>
      <c r="I225">
        <v>0</v>
      </c>
      <c r="J225">
        <v>0</v>
      </c>
      <c r="K225">
        <v>-28.5</v>
      </c>
      <c r="L225">
        <v>18</v>
      </c>
      <c r="M225">
        <v>-46.5</v>
      </c>
      <c r="N225">
        <v>0</v>
      </c>
      <c r="O225">
        <v>0</v>
      </c>
      <c r="P225">
        <v>40</v>
      </c>
      <c r="Q225">
        <v>0</v>
      </c>
      <c r="R225">
        <v>0</v>
      </c>
      <c r="S225">
        <v>0</v>
      </c>
      <c r="T225">
        <v>0</v>
      </c>
      <c r="U225">
        <v>0</v>
      </c>
    </row>
    <row r="226" spans="1:21">
      <c r="A226" t="s">
        <v>42</v>
      </c>
      <c r="B226" t="s">
        <v>322</v>
      </c>
      <c r="C226" t="s">
        <v>321</v>
      </c>
      <c r="D226" t="s">
        <v>26</v>
      </c>
      <c r="E226" t="s">
        <v>599</v>
      </c>
      <c r="F226" t="s">
        <v>600</v>
      </c>
      <c r="G226">
        <v>20</v>
      </c>
      <c r="H226">
        <v>20</v>
      </c>
      <c r="I226">
        <v>0</v>
      </c>
      <c r="J226">
        <v>0</v>
      </c>
      <c r="K226">
        <v>-22</v>
      </c>
      <c r="L226">
        <v>5</v>
      </c>
      <c r="M226">
        <v>-27</v>
      </c>
      <c r="N226">
        <v>0</v>
      </c>
      <c r="O226">
        <v>0</v>
      </c>
      <c r="P226">
        <v>20</v>
      </c>
      <c r="Q226">
        <v>0</v>
      </c>
      <c r="R226">
        <v>0</v>
      </c>
      <c r="S226">
        <v>0</v>
      </c>
      <c r="T226">
        <v>0</v>
      </c>
      <c r="U226">
        <v>0</v>
      </c>
    </row>
    <row r="227" spans="1:21">
      <c r="A227" t="s">
        <v>42</v>
      </c>
      <c r="B227" t="s">
        <v>87</v>
      </c>
      <c r="C227" t="s">
        <v>86</v>
      </c>
      <c r="D227" t="s">
        <v>88</v>
      </c>
      <c r="E227" t="s">
        <v>585</v>
      </c>
      <c r="F227" t="s">
        <v>586</v>
      </c>
      <c r="G227">
        <v>1</v>
      </c>
      <c r="H227">
        <v>1</v>
      </c>
      <c r="I227">
        <v>0</v>
      </c>
      <c r="J227">
        <v>0</v>
      </c>
      <c r="K227">
        <v>-2</v>
      </c>
      <c r="L227">
        <v>0</v>
      </c>
      <c r="M227">
        <v>-2</v>
      </c>
      <c r="N227">
        <v>1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</row>
    <row r="228" spans="1:21">
      <c r="A228" t="s">
        <v>42</v>
      </c>
      <c r="B228" t="s">
        <v>516</v>
      </c>
      <c r="C228" t="s">
        <v>515</v>
      </c>
      <c r="D228" t="s">
        <v>26</v>
      </c>
      <c r="E228" t="s">
        <v>37</v>
      </c>
      <c r="F228" t="s">
        <v>38</v>
      </c>
      <c r="G228">
        <v>30</v>
      </c>
      <c r="H228">
        <v>30</v>
      </c>
      <c r="I228">
        <v>0</v>
      </c>
      <c r="J228">
        <v>0</v>
      </c>
      <c r="K228">
        <v>-5.4</v>
      </c>
      <c r="L228">
        <v>28</v>
      </c>
      <c r="M228">
        <v>-33.4</v>
      </c>
      <c r="N228">
        <v>0</v>
      </c>
      <c r="O228">
        <v>0</v>
      </c>
      <c r="P228">
        <v>0</v>
      </c>
      <c r="Q228">
        <v>0</v>
      </c>
      <c r="R228">
        <v>30</v>
      </c>
      <c r="S228">
        <v>0</v>
      </c>
      <c r="T228">
        <v>0</v>
      </c>
      <c r="U228">
        <v>0</v>
      </c>
    </row>
    <row r="229" spans="1:21">
      <c r="A229" t="s">
        <v>42</v>
      </c>
      <c r="B229" t="s">
        <v>446</v>
      </c>
      <c r="C229" t="s">
        <v>445</v>
      </c>
      <c r="D229" t="s">
        <v>26</v>
      </c>
      <c r="E229" t="s">
        <v>37</v>
      </c>
      <c r="F229" t="s">
        <v>38</v>
      </c>
      <c r="G229">
        <v>10</v>
      </c>
      <c r="H229">
        <v>10</v>
      </c>
      <c r="I229">
        <v>0</v>
      </c>
      <c r="J229">
        <v>0</v>
      </c>
      <c r="K229">
        <v>-9.5</v>
      </c>
      <c r="L229">
        <v>4</v>
      </c>
      <c r="M229">
        <v>-13.5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10</v>
      </c>
      <c r="T229">
        <v>0</v>
      </c>
      <c r="U229">
        <v>0</v>
      </c>
    </row>
    <row r="230" spans="1:21">
      <c r="A230" t="s">
        <v>42</v>
      </c>
      <c r="B230" t="s">
        <v>69</v>
      </c>
      <c r="C230" t="s">
        <v>68</v>
      </c>
      <c r="D230" t="s">
        <v>26</v>
      </c>
      <c r="E230" t="s">
        <v>587</v>
      </c>
      <c r="F230" t="s">
        <v>588</v>
      </c>
      <c r="G230">
        <v>15</v>
      </c>
      <c r="H230">
        <v>15</v>
      </c>
      <c r="I230">
        <v>0</v>
      </c>
      <c r="J230">
        <v>0</v>
      </c>
      <c r="K230">
        <v>-17.899999999999999</v>
      </c>
      <c r="L230">
        <v>0.8</v>
      </c>
      <c r="M230">
        <v>-18.7</v>
      </c>
      <c r="N230">
        <v>0</v>
      </c>
      <c r="O230">
        <v>0</v>
      </c>
      <c r="P230">
        <v>15</v>
      </c>
      <c r="Q230">
        <v>0</v>
      </c>
      <c r="R230">
        <v>0</v>
      </c>
      <c r="S230">
        <v>0</v>
      </c>
      <c r="T230">
        <v>10</v>
      </c>
      <c r="U230">
        <v>0</v>
      </c>
    </row>
    <row r="231" spans="1:21">
      <c r="A231" t="s">
        <v>42</v>
      </c>
      <c r="B231" t="s">
        <v>518</v>
      </c>
      <c r="C231" t="s">
        <v>517</v>
      </c>
      <c r="D231" t="s">
        <v>26</v>
      </c>
      <c r="E231" t="s">
        <v>70</v>
      </c>
      <c r="F231" t="s">
        <v>71</v>
      </c>
      <c r="G231">
        <v>68</v>
      </c>
      <c r="H231">
        <v>68</v>
      </c>
      <c r="I231">
        <v>0</v>
      </c>
      <c r="J231">
        <v>0</v>
      </c>
      <c r="K231">
        <v>-54.4</v>
      </c>
      <c r="L231">
        <v>6.5</v>
      </c>
      <c r="M231">
        <v>-60.9</v>
      </c>
      <c r="N231">
        <v>0</v>
      </c>
      <c r="O231">
        <v>0</v>
      </c>
      <c r="P231">
        <v>0</v>
      </c>
      <c r="Q231">
        <v>0</v>
      </c>
      <c r="R231">
        <v>68</v>
      </c>
      <c r="S231">
        <v>0</v>
      </c>
      <c r="T231">
        <v>10</v>
      </c>
      <c r="U231">
        <v>0</v>
      </c>
    </row>
    <row r="232" spans="1:21">
      <c r="A232" t="s">
        <v>42</v>
      </c>
      <c r="B232" t="s">
        <v>312</v>
      </c>
      <c r="C232" t="s">
        <v>311</v>
      </c>
      <c r="D232" t="s">
        <v>26</v>
      </c>
      <c r="E232" t="s">
        <v>189</v>
      </c>
      <c r="F232" t="s">
        <v>190</v>
      </c>
      <c r="G232">
        <v>2.2999999999999998</v>
      </c>
      <c r="H232">
        <v>2.2999999999999998</v>
      </c>
      <c r="I232">
        <v>0</v>
      </c>
      <c r="J232">
        <v>0</v>
      </c>
      <c r="K232">
        <v>-3</v>
      </c>
      <c r="L232">
        <v>0.7</v>
      </c>
      <c r="M232">
        <v>-3.7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2.2999999999999998</v>
      </c>
      <c r="T232">
        <v>0</v>
      </c>
      <c r="U232">
        <v>0</v>
      </c>
    </row>
    <row r="233" spans="1:21">
      <c r="A233" t="s">
        <v>42</v>
      </c>
      <c r="B233" t="s">
        <v>364</v>
      </c>
      <c r="C233" t="s">
        <v>363</v>
      </c>
      <c r="D233" t="s">
        <v>26</v>
      </c>
      <c r="E233" t="s">
        <v>189</v>
      </c>
      <c r="F233" t="s">
        <v>190</v>
      </c>
      <c r="G233">
        <v>5</v>
      </c>
      <c r="H233">
        <v>5</v>
      </c>
      <c r="I233">
        <v>0</v>
      </c>
      <c r="J233">
        <v>0</v>
      </c>
      <c r="K233">
        <v>-7</v>
      </c>
      <c r="L233">
        <v>2</v>
      </c>
      <c r="M233">
        <v>-9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5</v>
      </c>
      <c r="T233">
        <v>0</v>
      </c>
      <c r="U233">
        <v>0</v>
      </c>
    </row>
    <row r="234" spans="1:21">
      <c r="A234" t="s">
        <v>42</v>
      </c>
      <c r="B234" t="s">
        <v>352</v>
      </c>
      <c r="C234" t="s">
        <v>351</v>
      </c>
      <c r="D234" t="s">
        <v>26</v>
      </c>
      <c r="E234" t="s">
        <v>189</v>
      </c>
      <c r="F234" t="s">
        <v>190</v>
      </c>
      <c r="G234">
        <v>4</v>
      </c>
      <c r="H234">
        <v>4</v>
      </c>
      <c r="I234">
        <v>0</v>
      </c>
      <c r="J234">
        <v>0</v>
      </c>
      <c r="K234">
        <v>-4</v>
      </c>
      <c r="L234">
        <v>0</v>
      </c>
      <c r="M234">
        <v>-4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4</v>
      </c>
      <c r="T234">
        <v>0</v>
      </c>
      <c r="U234">
        <v>0</v>
      </c>
    </row>
    <row r="235" spans="1:21">
      <c r="A235" t="s">
        <v>42</v>
      </c>
      <c r="B235" t="s">
        <v>324</v>
      </c>
      <c r="C235" t="s">
        <v>323</v>
      </c>
      <c r="D235" t="s">
        <v>26</v>
      </c>
      <c r="E235" t="s">
        <v>189</v>
      </c>
      <c r="F235" t="s">
        <v>190</v>
      </c>
      <c r="G235">
        <v>3</v>
      </c>
      <c r="H235">
        <v>3</v>
      </c>
      <c r="I235">
        <v>0</v>
      </c>
      <c r="J235">
        <v>0</v>
      </c>
      <c r="K235">
        <v>-3</v>
      </c>
      <c r="L235">
        <v>0</v>
      </c>
      <c r="M235">
        <v>-3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3</v>
      </c>
      <c r="T235">
        <v>0</v>
      </c>
      <c r="U235">
        <v>0</v>
      </c>
    </row>
    <row r="236" spans="1:21">
      <c r="A236" t="s">
        <v>42</v>
      </c>
      <c r="B236" t="s">
        <v>358</v>
      </c>
      <c r="C236" t="s">
        <v>357</v>
      </c>
      <c r="D236" t="s">
        <v>26</v>
      </c>
      <c r="E236" t="s">
        <v>189</v>
      </c>
      <c r="F236" t="s">
        <v>190</v>
      </c>
      <c r="G236">
        <v>4</v>
      </c>
      <c r="H236">
        <v>4</v>
      </c>
      <c r="I236">
        <v>0</v>
      </c>
      <c r="J236">
        <v>0</v>
      </c>
      <c r="K236">
        <v>-4</v>
      </c>
      <c r="L236">
        <v>0</v>
      </c>
      <c r="M236">
        <v>-4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4</v>
      </c>
      <c r="T236">
        <v>0</v>
      </c>
      <c r="U236">
        <v>0</v>
      </c>
    </row>
    <row r="237" spans="1:21">
      <c r="A237" t="s">
        <v>42</v>
      </c>
      <c r="B237" t="s">
        <v>372</v>
      </c>
      <c r="C237" t="s">
        <v>371</v>
      </c>
      <c r="D237" t="s">
        <v>26</v>
      </c>
      <c r="E237" t="s">
        <v>189</v>
      </c>
      <c r="F237" t="s">
        <v>190</v>
      </c>
      <c r="G237">
        <v>6</v>
      </c>
      <c r="H237">
        <v>6</v>
      </c>
      <c r="I237">
        <v>0</v>
      </c>
      <c r="J237">
        <v>0</v>
      </c>
      <c r="K237">
        <v>-6</v>
      </c>
      <c r="L237">
        <v>0</v>
      </c>
      <c r="M237">
        <v>-6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6</v>
      </c>
      <c r="T237">
        <v>0</v>
      </c>
      <c r="U237">
        <v>0</v>
      </c>
    </row>
    <row r="238" spans="1:21">
      <c r="A238" t="s">
        <v>42</v>
      </c>
      <c r="B238" t="s">
        <v>500</v>
      </c>
      <c r="C238" t="s">
        <v>499</v>
      </c>
      <c r="D238" t="s">
        <v>26</v>
      </c>
      <c r="E238" t="s">
        <v>559</v>
      </c>
      <c r="F238" t="s">
        <v>560</v>
      </c>
      <c r="G238">
        <v>30</v>
      </c>
      <c r="H238">
        <v>30</v>
      </c>
      <c r="I238">
        <v>0</v>
      </c>
      <c r="J238">
        <v>0</v>
      </c>
      <c r="K238">
        <v>-20.5</v>
      </c>
      <c r="L238">
        <v>0.3</v>
      </c>
      <c r="M238">
        <v>-20.8</v>
      </c>
      <c r="N238">
        <v>0</v>
      </c>
      <c r="O238">
        <v>0</v>
      </c>
      <c r="P238">
        <v>30</v>
      </c>
      <c r="Q238">
        <v>0</v>
      </c>
      <c r="R238">
        <v>0</v>
      </c>
      <c r="S238">
        <v>0</v>
      </c>
      <c r="T238">
        <v>5</v>
      </c>
      <c r="U238">
        <v>0</v>
      </c>
    </row>
    <row r="239" spans="1:21">
      <c r="A239" t="s">
        <v>42</v>
      </c>
      <c r="B239" t="s">
        <v>488</v>
      </c>
      <c r="C239" t="s">
        <v>487</v>
      </c>
      <c r="D239" t="s">
        <v>26</v>
      </c>
      <c r="E239" t="s">
        <v>70</v>
      </c>
      <c r="F239" t="s">
        <v>71</v>
      </c>
      <c r="G239">
        <v>18</v>
      </c>
      <c r="H239">
        <v>18</v>
      </c>
      <c r="I239">
        <v>0</v>
      </c>
      <c r="J239">
        <v>0</v>
      </c>
      <c r="K239">
        <v>-17</v>
      </c>
      <c r="L239">
        <v>11</v>
      </c>
      <c r="M239">
        <v>-28</v>
      </c>
      <c r="N239">
        <v>0</v>
      </c>
      <c r="O239">
        <v>0</v>
      </c>
      <c r="P239">
        <v>0</v>
      </c>
      <c r="Q239">
        <v>0</v>
      </c>
      <c r="R239">
        <v>18</v>
      </c>
      <c r="S239">
        <v>0</v>
      </c>
      <c r="T239">
        <v>10</v>
      </c>
      <c r="U239">
        <v>0</v>
      </c>
    </row>
    <row r="240" spans="1:21">
      <c r="A240" t="s">
        <v>42</v>
      </c>
      <c r="B240" t="s">
        <v>506</v>
      </c>
      <c r="C240" t="s">
        <v>505</v>
      </c>
      <c r="D240" t="s">
        <v>26</v>
      </c>
      <c r="E240" t="s">
        <v>565</v>
      </c>
      <c r="F240" t="s">
        <v>566</v>
      </c>
      <c r="G240">
        <v>50</v>
      </c>
      <c r="H240">
        <v>50</v>
      </c>
      <c r="I240">
        <v>0</v>
      </c>
      <c r="J240">
        <v>0</v>
      </c>
      <c r="K240">
        <v>-34.799999999999997</v>
      </c>
      <c r="L240">
        <v>29</v>
      </c>
      <c r="M240">
        <v>-63.8</v>
      </c>
      <c r="N240">
        <v>50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1</v>
      </c>
      <c r="U240">
        <v>0</v>
      </c>
    </row>
    <row r="241" spans="1:21">
      <c r="A241" t="s">
        <v>42</v>
      </c>
      <c r="B241" t="s">
        <v>184</v>
      </c>
      <c r="C241" t="s">
        <v>183</v>
      </c>
      <c r="D241" t="s">
        <v>26</v>
      </c>
      <c r="E241" t="s">
        <v>27</v>
      </c>
      <c r="F241" t="s">
        <v>28</v>
      </c>
      <c r="G241">
        <v>1</v>
      </c>
      <c r="H241">
        <v>1</v>
      </c>
      <c r="I241">
        <v>0</v>
      </c>
      <c r="J241">
        <v>0</v>
      </c>
      <c r="K241">
        <v>-1.5</v>
      </c>
      <c r="L241">
        <v>0.5</v>
      </c>
      <c r="M241">
        <v>-2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1</v>
      </c>
      <c r="T241">
        <v>0</v>
      </c>
      <c r="U241">
        <v>0</v>
      </c>
    </row>
  </sheetData>
  <pageMargins left="0.7" right="0.7" top="0.75" bottom="0.75" header="0.3" footer="0.3"/>
  <ignoredErrors>
    <ignoredError sqref="A1:U24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Hao</dc:creator>
  <cp:lastModifiedBy>hao mai</cp:lastModifiedBy>
  <dcterms:created xsi:type="dcterms:W3CDTF">2026-04-06T07:25:22Z</dcterms:created>
  <dcterms:modified xsi:type="dcterms:W3CDTF">2026-04-06T21:49:21Z</dcterms:modified>
</cp:coreProperties>
</file>