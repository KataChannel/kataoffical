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RẦN GIA\"/>
    </mc:Choice>
  </mc:AlternateContent>
  <xr:revisionPtr revIDLastSave="0" documentId="13_ncr:1_{11D413AA-0F32-43A9-ADB7-199CBDA7EC8D}" xr6:coauthVersionLast="47" xr6:coauthVersionMax="47" xr10:uidLastSave="{00000000-0000-0000-0000-000000000000}"/>
  <bookViews>
    <workbookView xWindow="-120" yWindow="-120" windowWidth="20730" windowHeight="11160" activeTab="4" xr2:uid="{B49B3B16-352A-42EC-BCBF-B7BD397010B9}"/>
  </bookViews>
  <sheets>
    <sheet name="Phiếu thu" sheetId="7" r:id="rId1"/>
    <sheet name="Phiếu chi" sheetId="1" r:id="rId2"/>
    <sheet name="Phiếu nhập kho" sheetId="2" r:id="rId3"/>
    <sheet name="Phiếu xuất kho" sheetId="4" r:id="rId4"/>
    <sheet name="Thu chi ngân hàng-khác" sheetId="6" r:id="rId5"/>
  </sheets>
  <externalReferences>
    <externalReference r:id="rId6"/>
  </externalReferences>
  <definedNames>
    <definedName name="á">'[1]Phiếu thu'!$M$7:$M$8</definedName>
    <definedName name="_xlnm.Print_Area" localSheetId="1">'Phiếu chi'!$A$1:$K$26</definedName>
    <definedName name="_xlnm.Print_Area" localSheetId="2">'Phiếu nhập kho'!$A$1:$Y$36</definedName>
    <definedName name="_xlnm.Print_Area" localSheetId="0">'Phiếu thu'!$A$1:$K$26</definedName>
    <definedName name="_xlnm.Print_Area" localSheetId="3">'Phiếu xuất kho'!$A$1:$AB$127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" i="1" l="1"/>
  <c r="J15" i="7"/>
  <c r="P1" i="7"/>
  <c r="Q9" i="7" s="1"/>
  <c r="C13" i="1"/>
  <c r="P1" i="1"/>
  <c r="Q1" i="7" l="1"/>
  <c r="Q1" i="1"/>
  <c r="AB2" i="7" l="1"/>
  <c r="X2" i="7"/>
  <c r="T2" i="7"/>
  <c r="AC2" i="7"/>
  <c r="AC5" i="7" s="1"/>
  <c r="Y2" i="7"/>
  <c r="U2" i="7"/>
  <c r="AA2" i="7"/>
  <c r="W2" i="7"/>
  <c r="S2" i="7"/>
  <c r="Z2" i="7"/>
  <c r="V2" i="7"/>
  <c r="R2" i="7"/>
  <c r="AC2" i="1"/>
  <c r="AC5" i="1" s="1"/>
  <c r="Y2" i="1"/>
  <c r="U2" i="1"/>
  <c r="R2" i="1"/>
  <c r="AB2" i="1"/>
  <c r="X2" i="1"/>
  <c r="T2" i="1"/>
  <c r="AA2" i="1"/>
  <c r="W2" i="1"/>
  <c r="S2" i="1"/>
  <c r="Z2" i="1"/>
  <c r="V2" i="1"/>
  <c r="V7" i="7" l="1"/>
  <c r="V5" i="7"/>
  <c r="AA7" i="7"/>
  <c r="AA5" i="7"/>
  <c r="AB3" i="7"/>
  <c r="AC3" i="7"/>
  <c r="AA3" i="7"/>
  <c r="T5" i="7"/>
  <c r="T3" i="7"/>
  <c r="T7" i="7" s="1"/>
  <c r="R7" i="7"/>
  <c r="R5" i="7"/>
  <c r="S3" i="7"/>
  <c r="R3" i="7"/>
  <c r="Z5" i="7"/>
  <c r="U7" i="7"/>
  <c r="U5" i="7"/>
  <c r="U3" i="7"/>
  <c r="W3" i="7"/>
  <c r="W7" i="7" s="1"/>
  <c r="V3" i="7"/>
  <c r="X3" i="7"/>
  <c r="X7" i="7"/>
  <c r="X5" i="7"/>
  <c r="Y3" i="7"/>
  <c r="Z3" i="7"/>
  <c r="Z7" i="7" s="1"/>
  <c r="W5" i="7"/>
  <c r="S7" i="7"/>
  <c r="S5" i="7"/>
  <c r="Y7" i="7"/>
  <c r="Y5" i="7"/>
  <c r="AB7" i="7"/>
  <c r="AB5" i="7"/>
  <c r="AB5" i="1"/>
  <c r="AB7" i="1"/>
  <c r="V7" i="1"/>
  <c r="V5" i="1"/>
  <c r="AA7" i="1"/>
  <c r="AC3" i="1"/>
  <c r="AA5" i="1"/>
  <c r="AB3" i="1"/>
  <c r="AA3" i="1"/>
  <c r="R3" i="1"/>
  <c r="R7" i="1"/>
  <c r="T3" i="1"/>
  <c r="T7" i="1" s="1"/>
  <c r="S3" i="1"/>
  <c r="R5" i="1"/>
  <c r="Z5" i="1"/>
  <c r="T5" i="1"/>
  <c r="U3" i="1"/>
  <c r="W3" i="1"/>
  <c r="W7" i="1" s="1"/>
  <c r="V3" i="1"/>
  <c r="U7" i="1"/>
  <c r="U5" i="1"/>
  <c r="S7" i="1"/>
  <c r="S5" i="1"/>
  <c r="X5" i="1"/>
  <c r="Y3" i="1"/>
  <c r="X3" i="1"/>
  <c r="X7" i="1"/>
  <c r="Z3" i="1"/>
  <c r="Z7" i="1" s="1"/>
  <c r="Y7" i="1"/>
  <c r="Y5" i="1"/>
  <c r="W5" i="1"/>
  <c r="Q9" i="1" l="1"/>
</calcChain>
</file>

<file path=xl/sharedStrings.xml><?xml version="1.0" encoding="utf-8"?>
<sst xmlns="http://schemas.openxmlformats.org/spreadsheetml/2006/main" count="319" uniqueCount="125">
  <si>
    <t xml:space="preserve">Mẫu số 02 - TT </t>
  </si>
  <si>
    <t>Ban hành theo Thông tư số 200/2014/TT-BTC</t>
  </si>
  <si>
    <t>Ngày 22/12/2014 của Bộ Tài Chính</t>
  </si>
  <si>
    <t>PHIẾU CHI</t>
  </si>
  <si>
    <t>Số:</t>
  </si>
  <si>
    <t>PC110</t>
  </si>
  <si>
    <t>đồng.</t>
  </si>
  <si>
    <t xml:space="preserve">Họ và tên người nhận tiền:  </t>
  </si>
  <si>
    <t>Địa chỉ:</t>
  </si>
  <si>
    <t>Lý do chi:</t>
  </si>
  <si>
    <t>Số tiền:</t>
  </si>
  <si>
    <t>Đồng.</t>
  </si>
  <si>
    <t>Viết bằng chữ:</t>
  </si>
  <si>
    <t>Kèm theo:</t>
  </si>
  <si>
    <t>chứng từ gốc.</t>
  </si>
  <si>
    <t>Giám đốc</t>
  </si>
  <si>
    <t>Kế toán trưởng</t>
  </si>
  <si>
    <t>Người nhận tiền</t>
  </si>
  <si>
    <t>(Ký, họ tên, đóng dấu)</t>
  </si>
  <si>
    <t>(Ký, họ tên)</t>
  </si>
  <si>
    <t>Đã nhận đủ số tiền ( Viết bằng chữ):…………………………………………………………………………………...………………………….</t>
  </si>
  <si>
    <t>………………………………………………………………………………………………………………………………………………………….</t>
  </si>
  <si>
    <t>Tỷ giá ngoại tê: (Vàng, bạc, đá quý):…………………………………………………………………………………………………………….</t>
  </si>
  <si>
    <t>Số tiền quy đổi:……………………………………………………………………………………………………………………………………..</t>
  </si>
  <si>
    <t/>
  </si>
  <si>
    <t>Người lập phiếu</t>
  </si>
  <si>
    <t>Nợ:</t>
  </si>
  <si>
    <t>Có:</t>
  </si>
  <si>
    <t>KT thanh toán</t>
  </si>
  <si>
    <t>Thủ Quỹ</t>
  </si>
  <si>
    <t>CÔNG TY CỔ PHẦN NHÀ MÁY THIẾT BỊ Y HỌC VÀ VẬT LIỆU SINH HỌC</t>
  </si>
  <si>
    <t>Mẫu số: 01 - VT</t>
  </si>
  <si>
    <t>(Ban hành theo Thông tư số 200/2014/TT-BTC
Ngày 22/12/2014 của Bộ Tài chính)</t>
  </si>
  <si>
    <t>I-4B-2.1, Đường N3, Khu công nghệ cao, Phường Long Thạnh Mỹ, Thành phố Thủ Đức, Thành phố Hồ Chí Minh, Việt Nam</t>
  </si>
  <si>
    <t>Mã số thuế:0313478235</t>
  </si>
  <si>
    <t>PHIẾU NHẬP KHO</t>
  </si>
  <si>
    <t>Ngày 18 tháng 11 năm 2025</t>
  </si>
  <si>
    <t>Số: NK293/2025</t>
  </si>
  <si>
    <t>- Họ và tên người giao:</t>
  </si>
  <si>
    <t>- Nhập tại kho:</t>
  </si>
  <si>
    <t>Địa điểm:</t>
  </si>
  <si>
    <t>STT</t>
  </si>
  <si>
    <t>Tên, nhãn hiệu, quy cách, phẩm chất vật tư, dụng cụ sản phẩm, hàng hóa</t>
  </si>
  <si>
    <t>Mã số</t>
  </si>
  <si>
    <t>Đơn vị tính</t>
  </si>
  <si>
    <t>Số lượng</t>
  </si>
  <si>
    <t>Đơn giá</t>
  </si>
  <si>
    <t>Thành tiền</t>
  </si>
  <si>
    <t>Theo chứng từ</t>
  </si>
  <si>
    <t>Thực nhập</t>
  </si>
  <si>
    <t>A</t>
  </si>
  <si>
    <t>B</t>
  </si>
  <si>
    <t>C</t>
  </si>
  <si>
    <t>D</t>
  </si>
  <si>
    <t>1</t>
  </si>
  <si>
    <t>2</t>
  </si>
  <si>
    <t>3</t>
  </si>
  <si>
    <t>4</t>
  </si>
  <si>
    <t>Cộng</t>
  </si>
  <si>
    <t>- Tổng số tiền (Viết bằng chữ):</t>
  </si>
  <si>
    <t>Tổng số tiền (Viết bằng chữ):</t>
  </si>
  <si>
    <t>- Số chứng từ gốc kèm theo:</t>
  </si>
  <si>
    <t>Ngày ..... tháng ..... năm .........</t>
  </si>
  <si>
    <t>Người giao hàng</t>
  </si>
  <si>
    <t>Thủ kho</t>
  </si>
  <si>
    <t>(Hoặc bộ phận có nhu cầu nhập)</t>
  </si>
  <si>
    <t>MISA SME</t>
  </si>
  <si>
    <t xml:space="preserve">CÔNG TY TNHH NÔNG SẢN THỰC PHẨM TRẦN GIA
</t>
  </si>
  <si>
    <t>An Phú Plaza, 117-119 Lý Chính Thắng,
Phường Xuân Hòa, Thành phố Hồ Chí Minh, Việt Nam.</t>
  </si>
  <si>
    <t>CÔNG TY TNHH NÔNG SẢN THỰC PHẨM TRẦN GIA</t>
  </si>
  <si>
    <t>An Phú Plaza, 117-119 Lý Chính Thắng, Phường Xuân Hòa, Thành phố Hồ Chí Minh</t>
  </si>
  <si>
    <t>- Theo hóa đơn số …...  ngày …... của …..</t>
  </si>
  <si>
    <t>Diễn giải</t>
  </si>
  <si>
    <t>Ghi chú:</t>
  </si>
  <si>
    <t>Tổng Giám Đốc</t>
  </si>
  <si>
    <t>Mẫu số: 02 - VT</t>
  </si>
  <si>
    <t>PHIẾU XUẤT KHO</t>
  </si>
  <si>
    <t>Liên 1: Kế toán lưu</t>
  </si>
  <si>
    <t>6322</t>
  </si>
  <si>
    <t>Ngày 10 tháng 12 năm 2025</t>
  </si>
  <si>
    <t>155111</t>
  </si>
  <si>
    <t>Số: XK319/2025</t>
  </si>
  <si>
    <t>- Họ tên người nhận hàng:  CÔNG TY TNHH TM - DV THUẬN NGHĨA</t>
  </si>
  <si>
    <t>- Địa chỉ (bộ phận):  108 Trần Đình Xu, Phường Cầu Ông Lãnh, Thành phố Hồ Chí Minh, Việt Nam</t>
  </si>
  <si>
    <t>- Lý do xuất kho:  Xuất kho bán hàng CÔNG TY TNHH TM - DV THUẬN NGHĨA theo hóa đơn 00000057</t>
  </si>
  <si>
    <t>-</t>
  </si>
  <si>
    <t>Xuất tại kho (ngăn lô):</t>
  </si>
  <si>
    <t>Kho Thành Phẩm</t>
  </si>
  <si>
    <t>Yêu cầu</t>
  </si>
  <si>
    <t>Thực xuất</t>
  </si>
  <si>
    <t>Thủy tinh thể nhân tạo đơn tiêu cự Hydrophobic Acrylic không màu MEDEP MECYL</t>
  </si>
  <si>
    <t>MC-01</t>
  </si>
  <si>
    <t>Cái</t>
  </si>
  <si>
    <t>Thủy tinh thể nhân tạo đơn tiêu cự Hydrophilic Acrylic màu vàng MEDEP PURETIC</t>
  </si>
  <si>
    <t>PT-01</t>
  </si>
  <si>
    <t>Xuất theo PL3 ngày 01/03/2025</t>
  </si>
  <si>
    <t>HKM</t>
  </si>
  <si>
    <t>Người nhận hàng</t>
  </si>
  <si>
    <t>Liên 2: Người nhận hàng lưu</t>
  </si>
  <si>
    <t>Liên 3: Thủ kho lưu</t>
  </si>
  <si>
    <t xml:space="preserve">- Họ tên người nhận hàng:  </t>
  </si>
  <si>
    <t xml:space="preserve">- Địa chỉ (bộ phận):  </t>
  </si>
  <si>
    <t>Ghi chú</t>
  </si>
  <si>
    <t>- Lý do xuất kho:  Xuất kho bán hàng/xuất sử dụng/xuất tiêu huỷ …. theo hóa đơn/PO/phiếu đề nghị</t>
  </si>
  <si>
    <t>Kho HCM/…</t>
  </si>
  <si>
    <r>
      <rPr>
        <b/>
        <sz val="16"/>
        <color theme="1"/>
        <rFont val="Times New Roman"/>
        <family val="2"/>
      </rPr>
      <t>CHỨNG TỪ KẾ TOÁN</t>
    </r>
  </si>
  <si>
    <t>Tên: HỆ THỐNG BIA TUYẾT</t>
  </si>
  <si>
    <t>Địa chỉ: 36 Đặng Văn Bi, P.Bình Thọ, Thủ Đức</t>
  </si>
  <si>
    <t>Diễn giải: Thu tiền của HỆ THỐNG BIA TUYẾT</t>
  </si>
  <si>
    <t>Ghi nợ</t>
  </si>
  <si>
    <t>Ghi có</t>
  </si>
  <si>
    <t>Thu tiền của HỆ THỐNG BIA TUYẾT</t>
  </si>
  <si>
    <t>1121</t>
  </si>
  <si>
    <t>131</t>
  </si>
  <si>
    <r>
      <rPr>
        <sz val="13"/>
        <color theme="1"/>
        <rFont val="Times New Roman"/>
        <family val="2"/>
      </rPr>
      <t xml:space="preserve">Thành tiền bằng chữ: </t>
    </r>
    <r>
      <rPr>
        <b/>
        <i/>
        <sz val="13"/>
        <color theme="1"/>
        <rFont val="Times New Roman"/>
        <family val="2"/>
      </rPr>
      <t>Một trăm nghìn đồng.</t>
    </r>
  </si>
  <si>
    <t>Tòa nhà An Phú Plaza, 117-119 Lý Chính Thắng, Phường Xuân Hòa, Thành phố Hồ Chí Minh, Việt Nam.</t>
  </si>
  <si>
    <t xml:space="preserve">Số: </t>
  </si>
  <si>
    <t>Giám đốc kho</t>
  </si>
  <si>
    <t xml:space="preserve">Ngày: </t>
  </si>
  <si>
    <t>Người lập phếu</t>
  </si>
  <si>
    <t>PHIẾU THU</t>
  </si>
  <si>
    <t>Ngày   25   tháng  11  năm   2025</t>
  </si>
  <si>
    <t>Lý do nộp:</t>
  </si>
  <si>
    <t>Người nộp tiền</t>
  </si>
  <si>
    <t xml:space="preserve">Mẫu số 01 - TT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</si>
</sst>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&quot;Ngày&quot;\ \ \ dd\ \ \ &quot;tháng&quot;\ \ mm\ \ &quot;năm&quot;\ \ \ yyyy"/>
    <numFmt numFmtId="166" formatCode="#,##0.00;\(#,##0.00\);"/>
    <numFmt numFmtId="167" formatCode="#,##0;\(#,##0\);"/>
  </numFmts>
  <fonts count="46">
    <font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u/>
      <sz val="13"/>
      <color theme="10"/>
      <name val="Times New Roman"/>
      <family val="2"/>
    </font>
    <font>
      <u/>
      <sz val="13"/>
      <color theme="1"/>
      <name val="Times New Roman"/>
      <family val="1"/>
    </font>
    <font>
      <sz val="13"/>
      <color theme="1"/>
      <name val="Times New Roman"/>
      <family val="1"/>
    </font>
    <font>
      <sz val="10"/>
      <name val="VNI-Times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name val="Times New Roman"/>
      <family val="1"/>
    </font>
    <font>
      <sz val="12"/>
      <color rgb="FFFF0000"/>
      <name val="Times New Roman"/>
      <family val="1"/>
    </font>
    <font>
      <sz val="10"/>
      <name val=".VnArial"/>
      <family val="2"/>
    </font>
    <font>
      <b/>
      <sz val="12"/>
      <color theme="1"/>
      <name val="Times New Roman"/>
      <family val="1"/>
    </font>
    <font>
      <b/>
      <sz val="11"/>
      <color rgb="FF030303"/>
      <name val="Arial"/>
      <family val="2"/>
    </font>
    <font>
      <b/>
      <sz val="11"/>
      <color theme="1"/>
      <name val="Times New Roman"/>
      <family val="1"/>
    </font>
    <font>
      <sz val="10"/>
      <color rgb="FF000000"/>
      <name val="Arial"/>
      <charset val="1"/>
    </font>
    <font>
      <sz val="11"/>
      <color rgb="FF000000"/>
      <name val="Times New Roman"/>
      <charset val="1"/>
    </font>
    <font>
      <b/>
      <sz val="12"/>
      <color rgb="FF000000"/>
      <name val="Times New Roman"/>
      <charset val="1"/>
    </font>
    <font>
      <i/>
      <sz val="10"/>
      <color rgb="FF000000"/>
      <name val="Times New Roman"/>
      <charset val="1"/>
    </font>
    <font>
      <b/>
      <sz val="16"/>
      <color rgb="FF000000"/>
      <name val="Times New Roman"/>
      <charset val="1"/>
    </font>
    <font>
      <b/>
      <i/>
      <sz val="12"/>
      <color rgb="FF000000"/>
      <name val="Times New Roman"/>
      <charset val="1"/>
    </font>
    <font>
      <sz val="12"/>
      <color rgb="FF000000"/>
      <name val="Times New Roman"/>
      <charset val="1"/>
    </font>
    <font>
      <b/>
      <sz val="11"/>
      <color rgb="FF000000"/>
      <name val="Times New Roman"/>
      <charset val="1"/>
    </font>
    <font>
      <sz val="10"/>
      <color rgb="FF000000"/>
      <name val="Times New Roman"/>
      <charset val="1"/>
    </font>
    <font>
      <sz val="9"/>
      <color rgb="FF000000"/>
      <name val="Arial Narrow"/>
      <charset val="1"/>
    </font>
    <font>
      <b/>
      <sz val="10"/>
      <color rgb="FF000000"/>
      <name val="Times New Roman"/>
      <charset val="1"/>
    </font>
    <font>
      <b/>
      <sz val="9"/>
      <color rgb="FF000000"/>
      <name val="Arial Narrow"/>
      <charset val="1"/>
    </font>
    <font>
      <b/>
      <i/>
      <sz val="11"/>
      <color rgb="FF000000"/>
      <name val="Times New Roman"/>
      <charset val="1"/>
    </font>
    <font>
      <i/>
      <sz val="11"/>
      <color rgb="FF000000"/>
      <name val="Times New Roman"/>
      <charset val="1"/>
    </font>
    <font>
      <sz val="5"/>
      <color rgb="FF808080"/>
      <name val="Times New Roman"/>
      <charset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Times New Roman"/>
      <family val="2"/>
    </font>
    <font>
      <b/>
      <sz val="16"/>
      <color theme="1"/>
      <name val="Times New Roman"/>
      <family val="2"/>
    </font>
    <font>
      <b/>
      <sz val="10"/>
      <color theme="1"/>
      <name val="Times New Roman"/>
      <family val="2"/>
    </font>
    <font>
      <sz val="10"/>
      <color theme="1"/>
      <name val="Times New Roman"/>
      <family val="2"/>
    </font>
    <font>
      <b/>
      <sz val="9"/>
      <color theme="1"/>
      <name val="Times New Roman"/>
      <family val="2"/>
    </font>
    <font>
      <b/>
      <i/>
      <sz val="13"/>
      <color theme="1"/>
      <name val="Times New Roman"/>
      <family val="2"/>
    </font>
    <font>
      <b/>
      <sz val="12"/>
      <color theme="1"/>
      <name val="Times New Roman"/>
      <family val="2"/>
    </font>
    <font>
      <i/>
      <sz val="11"/>
      <color theme="1"/>
      <name val="Times New Roman"/>
      <family val="2"/>
    </font>
    <font>
      <i/>
      <sz val="12"/>
      <color rgb="FF000000"/>
      <name val="Times New Roman"/>
      <family val="1"/>
    </font>
    <font>
      <b/>
      <sz val="13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0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/>
    <xf numFmtId="0" fontId="13" fillId="0" borderId="0"/>
    <xf numFmtId="0" fontId="17" fillId="0" borderId="0"/>
    <xf numFmtId="0" fontId="33" fillId="0" borderId="0"/>
    <xf numFmtId="0" fontId="1" fillId="0" borderId="0">
      <alignment vertical="center" wrapText="1"/>
    </xf>
  </cellStyleXfs>
  <cellXfs count="198">
    <xf numFmtId="0" fontId="0" fillId="0" borderId="0" xfId="0"/>
    <xf numFmtId="0" fontId="2" fillId="0" borderId="0" xfId="0" applyFont="1" applyAlignment="1">
      <alignment vertical="center"/>
    </xf>
    <xf numFmtId="164" fontId="3" fillId="0" borderId="0" xfId="1" applyNumberFormat="1" applyFont="1" applyBorder="1" applyAlignment="1">
      <alignment horizontal="center" vertical="center"/>
    </xf>
    <xf numFmtId="0" fontId="6" fillId="0" borderId="0" xfId="0" applyFont="1"/>
    <xf numFmtId="164" fontId="6" fillId="0" borderId="0" xfId="0" applyNumberFormat="1" applyFont="1"/>
    <xf numFmtId="0" fontId="8" fillId="3" borderId="0" xfId="3" applyFont="1" applyFill="1" applyAlignment="1" applyProtection="1">
      <alignment horizontal="center"/>
      <protection hidden="1"/>
    </xf>
    <xf numFmtId="0" fontId="8" fillId="4" borderId="0" xfId="3" applyFont="1" applyFill="1" applyAlignment="1" applyProtection="1">
      <alignment horizontal="center"/>
      <protection hidden="1"/>
    </xf>
    <xf numFmtId="0" fontId="8" fillId="5" borderId="0" xfId="3" applyFont="1" applyFill="1" applyAlignment="1" applyProtection="1">
      <alignment horizontal="center"/>
      <protection hidden="1"/>
    </xf>
    <xf numFmtId="0" fontId="8" fillId="6" borderId="0" xfId="3" applyFont="1" applyFill="1" applyAlignment="1" applyProtection="1">
      <alignment horizontal="center"/>
      <protection hidden="1"/>
    </xf>
    <xf numFmtId="0" fontId="8" fillId="7" borderId="0" xfId="3" applyFont="1" applyFill="1" applyAlignment="1" applyProtection="1">
      <alignment horizontal="center"/>
      <protection hidden="1"/>
    </xf>
    <xf numFmtId="164" fontId="9" fillId="0" borderId="0" xfId="1" applyNumberFormat="1" applyFont="1" applyBorder="1" applyAlignment="1">
      <alignment vertical="center"/>
    </xf>
    <xf numFmtId="0" fontId="11" fillId="3" borderId="0" xfId="3" applyFont="1" applyFill="1" applyProtection="1">
      <protection hidden="1"/>
    </xf>
    <xf numFmtId="0" fontId="11" fillId="4" borderId="0" xfId="3" applyFont="1" applyFill="1" applyProtection="1">
      <protection hidden="1"/>
    </xf>
    <xf numFmtId="0" fontId="11" fillId="5" borderId="0" xfId="3" applyFont="1" applyFill="1" applyProtection="1">
      <protection hidden="1"/>
    </xf>
    <xf numFmtId="0" fontId="11" fillId="6" borderId="0" xfId="3" applyFont="1" applyFill="1" applyProtection="1">
      <protection hidden="1"/>
    </xf>
    <xf numFmtId="0" fontId="11" fillId="7" borderId="0" xfId="3" applyFont="1" applyFill="1" applyProtection="1">
      <protection hidden="1"/>
    </xf>
    <xf numFmtId="164" fontId="3" fillId="0" borderId="0" xfId="1" applyNumberFormat="1" applyFont="1" applyBorder="1" applyAlignment="1"/>
    <xf numFmtId="165" fontId="3" fillId="0" borderId="0" xfId="1" applyNumberFormat="1" applyFont="1" applyBorder="1" applyAlignment="1">
      <alignment horizontal="center" vertical="center"/>
    </xf>
    <xf numFmtId="164" fontId="12" fillId="0" borderId="0" xfId="1" applyNumberFormat="1" applyFont="1" applyBorder="1" applyAlignment="1" applyProtection="1">
      <alignment horizontal="left"/>
      <protection locked="0"/>
    </xf>
    <xf numFmtId="14" fontId="6" fillId="0" borderId="0" xfId="0" applyNumberFormat="1" applyFont="1"/>
    <xf numFmtId="0" fontId="11" fillId="4" borderId="0" xfId="4" applyFont="1" applyFill="1" applyAlignment="1" applyProtection="1">
      <alignment horizontal="center"/>
      <protection hidden="1"/>
    </xf>
    <xf numFmtId="0" fontId="11" fillId="5" borderId="0" xfId="4" applyFont="1" applyFill="1" applyAlignment="1" applyProtection="1">
      <alignment horizontal="center"/>
      <protection hidden="1"/>
    </xf>
    <xf numFmtId="0" fontId="11" fillId="6" borderId="0" xfId="4" applyFont="1" applyFill="1" applyAlignment="1" applyProtection="1">
      <alignment horizontal="center"/>
      <protection hidden="1"/>
    </xf>
    <xf numFmtId="0" fontId="11" fillId="7" borderId="0" xfId="4" applyFont="1" applyFill="1" applyAlignment="1" applyProtection="1">
      <alignment horizontal="center"/>
      <protection hidden="1"/>
    </xf>
    <xf numFmtId="164" fontId="3" fillId="0" borderId="0" xfId="1" applyNumberFormat="1" applyFont="1" applyBorder="1" applyAlignment="1">
      <alignment vertical="center"/>
    </xf>
    <xf numFmtId="0" fontId="3" fillId="0" borderId="0" xfId="1" quotePrefix="1" applyNumberFormat="1" applyFont="1" applyBorder="1" applyAlignment="1">
      <alignment horizontal="left" vertical="center"/>
    </xf>
    <xf numFmtId="0" fontId="3" fillId="0" borderId="0" xfId="1" applyNumberFormat="1" applyFont="1" applyBorder="1" applyAlignment="1">
      <alignment vertical="center"/>
    </xf>
    <xf numFmtId="49" fontId="6" fillId="0" borderId="0" xfId="0" applyNumberFormat="1" applyFont="1"/>
    <xf numFmtId="0" fontId="11" fillId="4" borderId="0" xfId="3" applyFont="1" applyFill="1" applyAlignment="1" applyProtection="1">
      <alignment horizontal="center"/>
      <protection hidden="1"/>
    </xf>
    <xf numFmtId="0" fontId="11" fillId="5" borderId="0" xfId="3" applyFont="1" applyFill="1" applyAlignment="1" applyProtection="1">
      <alignment horizontal="center"/>
      <protection hidden="1"/>
    </xf>
    <xf numFmtId="0" fontId="11" fillId="6" borderId="0" xfId="3" applyFont="1" applyFill="1" applyAlignment="1" applyProtection="1">
      <alignment horizontal="center"/>
      <protection hidden="1"/>
    </xf>
    <xf numFmtId="0" fontId="11" fillId="7" borderId="0" xfId="3" applyFont="1" applyFill="1" applyAlignment="1" applyProtection="1">
      <alignment horizontal="center"/>
      <protection hidden="1"/>
    </xf>
    <xf numFmtId="164" fontId="14" fillId="0" borderId="0" xfId="1" applyNumberFormat="1" applyFont="1" applyBorder="1" applyAlignment="1">
      <alignment horizontal="left" vertical="center"/>
    </xf>
    <xf numFmtId="164" fontId="14" fillId="0" borderId="0" xfId="1" applyNumberFormat="1" applyFont="1" applyBorder="1" applyAlignment="1">
      <alignment horizontal="center" vertical="center"/>
    </xf>
    <xf numFmtId="164" fontId="3" fillId="0" borderId="0" xfId="1" applyNumberFormat="1" applyFont="1" applyBorder="1" applyAlignment="1">
      <alignment horizontal="left" vertical="center"/>
    </xf>
    <xf numFmtId="0" fontId="11" fillId="0" borderId="0" xfId="3" applyFont="1" applyProtection="1">
      <protection hidden="1"/>
    </xf>
    <xf numFmtId="0" fontId="15" fillId="0" borderId="0" xfId="0" applyFont="1" applyAlignment="1">
      <alignment horizontal="left"/>
    </xf>
    <xf numFmtId="165" fontId="3" fillId="0" borderId="0" xfId="1" applyNumberFormat="1" applyFont="1" applyBorder="1" applyAlignment="1">
      <alignment horizontal="right" vertical="center"/>
    </xf>
    <xf numFmtId="0" fontId="16" fillId="0" borderId="0" xfId="0" applyFont="1" applyAlignment="1">
      <alignment horizontal="center"/>
    </xf>
    <xf numFmtId="0" fontId="16" fillId="0" borderId="0" xfId="0" applyFont="1"/>
    <xf numFmtId="164" fontId="16" fillId="0" borderId="0" xfId="0" applyNumberFormat="1" applyFont="1" applyAlignment="1">
      <alignment horizontal="center"/>
    </xf>
    <xf numFmtId="164" fontId="3" fillId="0" borderId="0" xfId="1" applyNumberFormat="1" applyFont="1" applyBorder="1" applyAlignment="1">
      <alignment horizontal="left"/>
    </xf>
    <xf numFmtId="164" fontId="3" fillId="0" borderId="2" xfId="1" applyNumberFormat="1" applyFont="1" applyBorder="1" applyAlignment="1">
      <alignment horizontal="left"/>
    </xf>
    <xf numFmtId="0" fontId="16" fillId="0" borderId="0" xfId="0" applyFont="1" applyAlignment="1">
      <alignment horizontal="center"/>
    </xf>
    <xf numFmtId="164" fontId="3" fillId="0" borderId="0" xfId="1" applyNumberFormat="1" applyFont="1" applyBorder="1" applyAlignment="1">
      <alignment horizontal="left" vertical="center"/>
    </xf>
    <xf numFmtId="164" fontId="10" fillId="0" borderId="0" xfId="1" applyNumberFormat="1" applyFont="1" applyBorder="1" applyAlignment="1">
      <alignment horizontal="center" vertical="center"/>
    </xf>
    <xf numFmtId="164" fontId="9" fillId="0" borderId="0" xfId="1" applyNumberFormat="1" applyFont="1" applyBorder="1" applyAlignment="1">
      <alignment horizontal="center" vertical="center"/>
    </xf>
    <xf numFmtId="164" fontId="3" fillId="0" borderId="0" xfId="1" applyNumberFormat="1" applyFont="1" applyBorder="1" applyAlignment="1">
      <alignment horizontal="center" vertical="center"/>
    </xf>
    <xf numFmtId="164" fontId="2" fillId="0" borderId="0" xfId="1" applyNumberFormat="1" applyFont="1" applyBorder="1" applyAlignment="1">
      <alignment horizontal="center" vertical="center"/>
    </xf>
    <xf numFmtId="164" fontId="14" fillId="0" borderId="0" xfId="1" applyNumberFormat="1" applyFont="1" applyBorder="1" applyAlignment="1">
      <alignment horizontal="center" vertical="center"/>
    </xf>
    <xf numFmtId="164" fontId="14" fillId="0" borderId="0" xfId="1" applyNumberFormat="1" applyFont="1" applyBorder="1" applyAlignment="1">
      <alignment horizontal="left" vertical="center"/>
    </xf>
    <xf numFmtId="164" fontId="3" fillId="0" borderId="0" xfId="1" applyNumberFormat="1" applyFont="1" applyBorder="1" applyAlignment="1">
      <alignment vertical="center"/>
    </xf>
    <xf numFmtId="0" fontId="5" fillId="2" borderId="1" xfId="2" quotePrefix="1" applyFont="1" applyFill="1" applyBorder="1" applyAlignment="1">
      <alignment horizontal="left" vertical="center"/>
    </xf>
    <xf numFmtId="0" fontId="5" fillId="2" borderId="0" xfId="2" quotePrefix="1" applyFont="1" applyFill="1" applyBorder="1" applyAlignment="1">
      <alignment horizontal="left" vertical="center"/>
    </xf>
    <xf numFmtId="0" fontId="16" fillId="0" borderId="0" xfId="0" applyFont="1" applyAlignment="1"/>
    <xf numFmtId="165" fontId="3" fillId="0" borderId="0" xfId="1" applyNumberFormat="1" applyFont="1" applyBorder="1" applyAlignment="1">
      <alignment vertical="center"/>
    </xf>
    <xf numFmtId="165" fontId="3" fillId="0" borderId="0" xfId="1" applyNumberFormat="1" applyFont="1" applyBorder="1" applyAlignment="1">
      <alignment horizontal="center"/>
    </xf>
    <xf numFmtId="0" fontId="18" fillId="0" borderId="0" xfId="5" applyFont="1" applyAlignment="1">
      <alignment horizontal="left" vertical="top" wrapText="1"/>
    </xf>
    <xf numFmtId="0" fontId="19" fillId="0" borderId="0" xfId="5" applyFont="1" applyAlignment="1">
      <alignment horizontal="center" vertical="center"/>
    </xf>
    <xf numFmtId="0" fontId="17" fillId="0" borderId="0" xfId="5" applyAlignment="1">
      <alignment horizontal="left"/>
    </xf>
    <xf numFmtId="0" fontId="20" fillId="0" borderId="0" xfId="5" applyFont="1" applyAlignment="1">
      <alignment horizontal="center" vertical="center" wrapText="1"/>
    </xf>
    <xf numFmtId="0" fontId="21" fillId="0" borderId="0" xfId="5" applyFont="1" applyAlignment="1">
      <alignment horizontal="center" vertical="center"/>
    </xf>
    <xf numFmtId="14" fontId="22" fillId="0" borderId="0" xfId="5" applyNumberFormat="1" applyFont="1" applyAlignment="1">
      <alignment horizontal="center" vertical="top" wrapText="1"/>
    </xf>
    <xf numFmtId="0" fontId="23" fillId="0" borderId="0" xfId="5" applyFont="1" applyAlignment="1">
      <alignment horizontal="left" vertical="top"/>
    </xf>
    <xf numFmtId="0" fontId="23" fillId="0" borderId="0" xfId="5" applyFont="1" applyAlignment="1">
      <alignment horizontal="left" vertical="top" wrapText="1"/>
    </xf>
    <xf numFmtId="0" fontId="23" fillId="0" borderId="0" xfId="5" applyFont="1" applyAlignment="1">
      <alignment horizontal="center" vertical="top" wrapText="1"/>
    </xf>
    <xf numFmtId="0" fontId="23" fillId="0" borderId="3" xfId="5" applyFont="1" applyBorder="1" applyAlignment="1">
      <alignment horizontal="left" vertical="top"/>
    </xf>
    <xf numFmtId="0" fontId="23" fillId="0" borderId="3" xfId="5" applyFont="1" applyBorder="1" applyAlignment="1">
      <alignment horizontal="left" vertical="top" wrapText="1"/>
    </xf>
    <xf numFmtId="0" fontId="23" fillId="0" borderId="4" xfId="5" applyFont="1" applyBorder="1" applyAlignment="1">
      <alignment horizontal="left" vertical="top" wrapText="1"/>
    </xf>
    <xf numFmtId="0" fontId="17" fillId="0" borderId="5" xfId="5" applyBorder="1" applyAlignment="1">
      <alignment horizontal="left"/>
    </xf>
    <xf numFmtId="0" fontId="24" fillId="0" borderId="6" xfId="5" applyFont="1" applyBorder="1" applyAlignment="1">
      <alignment horizontal="center" vertical="center"/>
    </xf>
    <xf numFmtId="0" fontId="24" fillId="0" borderId="7" xfId="5" applyFont="1" applyBorder="1" applyAlignment="1">
      <alignment horizontal="center" vertical="center"/>
    </xf>
    <xf numFmtId="0" fontId="24" fillId="0" borderId="8" xfId="5" applyFont="1" applyBorder="1" applyAlignment="1">
      <alignment horizontal="center" vertical="center"/>
    </xf>
    <xf numFmtId="0" fontId="24" fillId="0" borderId="6" xfId="5" applyFont="1" applyBorder="1" applyAlignment="1">
      <alignment horizontal="center" vertical="center" wrapText="1"/>
    </xf>
    <xf numFmtId="0" fontId="24" fillId="0" borderId="7" xfId="5" applyFont="1" applyBorder="1" applyAlignment="1">
      <alignment horizontal="center" vertical="center" wrapText="1"/>
    </xf>
    <xf numFmtId="0" fontId="24" fillId="0" borderId="8" xfId="5" applyFont="1" applyBorder="1" applyAlignment="1">
      <alignment horizontal="center" vertical="center" wrapText="1"/>
    </xf>
    <xf numFmtId="0" fontId="24" fillId="0" borderId="9" xfId="5" applyFont="1" applyBorder="1" applyAlignment="1">
      <alignment horizontal="center" vertical="center"/>
    </xf>
    <xf numFmtId="0" fontId="24" fillId="0" borderId="10" xfId="5" applyFont="1" applyBorder="1" applyAlignment="1">
      <alignment horizontal="center" vertical="center"/>
    </xf>
    <xf numFmtId="0" fontId="24" fillId="0" borderId="11" xfId="5" applyFont="1" applyBorder="1" applyAlignment="1">
      <alignment horizontal="center" vertical="center"/>
    </xf>
    <xf numFmtId="0" fontId="24" fillId="0" borderId="3" xfId="5" applyFont="1" applyBorder="1" applyAlignment="1">
      <alignment horizontal="center" vertical="center"/>
    </xf>
    <xf numFmtId="0" fontId="24" fillId="0" borderId="12" xfId="5" applyFont="1" applyBorder="1" applyAlignment="1">
      <alignment horizontal="center" vertical="center"/>
    </xf>
    <xf numFmtId="0" fontId="24" fillId="0" borderId="11" xfId="5" applyFont="1" applyBorder="1" applyAlignment="1">
      <alignment horizontal="center" vertical="center" wrapText="1"/>
    </xf>
    <xf numFmtId="0" fontId="24" fillId="0" borderId="3" xfId="5" applyFont="1" applyBorder="1" applyAlignment="1">
      <alignment horizontal="center" vertical="center" wrapText="1"/>
    </xf>
    <xf numFmtId="0" fontId="24" fillId="0" borderId="12" xfId="5" applyFont="1" applyBorder="1" applyAlignment="1">
      <alignment horizontal="center" vertical="center" wrapText="1"/>
    </xf>
    <xf numFmtId="0" fontId="24" fillId="0" borderId="13" xfId="5" applyFont="1" applyBorder="1" applyAlignment="1">
      <alignment horizontal="center" vertical="center"/>
    </xf>
    <xf numFmtId="0" fontId="24" fillId="0" borderId="9" xfId="5" applyFont="1" applyBorder="1" applyAlignment="1">
      <alignment horizontal="center" vertical="center" wrapText="1"/>
    </xf>
    <xf numFmtId="0" fontId="24" fillId="0" borderId="10" xfId="5" applyFont="1" applyBorder="1" applyAlignment="1">
      <alignment horizontal="center" vertical="center" wrapText="1"/>
    </xf>
    <xf numFmtId="0" fontId="24" fillId="0" borderId="6" xfId="5" applyFont="1" applyBorder="1" applyAlignment="1">
      <alignment horizontal="center" vertical="center"/>
    </xf>
    <xf numFmtId="0" fontId="17" fillId="0" borderId="7" xfId="5" applyBorder="1" applyAlignment="1">
      <alignment horizontal="left"/>
    </xf>
    <xf numFmtId="0" fontId="25" fillId="0" borderId="13" xfId="5" applyFont="1" applyBorder="1" applyAlignment="1">
      <alignment horizontal="center" vertical="center" wrapText="1"/>
    </xf>
    <xf numFmtId="0" fontId="25" fillId="0" borderId="3" xfId="5" applyFont="1" applyBorder="1" applyAlignment="1">
      <alignment horizontal="center" vertical="center" wrapText="1"/>
    </xf>
    <xf numFmtId="0" fontId="25" fillId="0" borderId="12" xfId="5" applyFont="1" applyBorder="1" applyAlignment="1">
      <alignment horizontal="center" vertical="center" wrapText="1"/>
    </xf>
    <xf numFmtId="0" fontId="25" fillId="0" borderId="13" xfId="5" applyFont="1" applyBorder="1" applyAlignment="1">
      <alignment horizontal="left" vertical="center" wrapText="1"/>
    </xf>
    <xf numFmtId="0" fontId="25" fillId="0" borderId="3" xfId="5" applyFont="1" applyBorder="1" applyAlignment="1">
      <alignment horizontal="left" vertical="center" wrapText="1"/>
    </xf>
    <xf numFmtId="0" fontId="25" fillId="0" borderId="12" xfId="5" applyFont="1" applyBorder="1" applyAlignment="1">
      <alignment horizontal="left" vertical="center" wrapText="1"/>
    </xf>
    <xf numFmtId="0" fontId="25" fillId="0" borderId="13" xfId="5" applyFont="1" applyBorder="1" applyAlignment="1">
      <alignment horizontal="left" vertical="center" wrapText="1"/>
    </xf>
    <xf numFmtId="166" fontId="26" fillId="0" borderId="13" xfId="5" applyNumberFormat="1" applyFont="1" applyBorder="1" applyAlignment="1">
      <alignment horizontal="right" vertical="center" wrapText="1"/>
    </xf>
    <xf numFmtId="166" fontId="26" fillId="0" borderId="3" xfId="5" applyNumberFormat="1" applyFont="1" applyBorder="1" applyAlignment="1">
      <alignment horizontal="right" vertical="center" wrapText="1"/>
    </xf>
    <xf numFmtId="166" fontId="26" fillId="0" borderId="12" xfId="5" applyNumberFormat="1" applyFont="1" applyBorder="1" applyAlignment="1">
      <alignment horizontal="right" vertical="center" wrapText="1"/>
    </xf>
    <xf numFmtId="167" fontId="26" fillId="0" borderId="13" xfId="5" applyNumberFormat="1" applyFont="1" applyBorder="1" applyAlignment="1">
      <alignment horizontal="right" vertical="center" wrapText="1"/>
    </xf>
    <xf numFmtId="0" fontId="26" fillId="0" borderId="6" xfId="5" applyFont="1" applyBorder="1" applyAlignment="1">
      <alignment horizontal="right" vertical="center" wrapText="1"/>
    </xf>
    <xf numFmtId="0" fontId="26" fillId="0" borderId="9" xfId="5" applyFont="1" applyBorder="1" applyAlignment="1">
      <alignment horizontal="right" vertical="center" wrapText="1"/>
    </xf>
    <xf numFmtId="0" fontId="26" fillId="0" borderId="10" xfId="5" applyFont="1" applyBorder="1" applyAlignment="1">
      <alignment horizontal="right" vertical="center" wrapText="1"/>
    </xf>
    <xf numFmtId="0" fontId="27" fillId="0" borderId="6" xfId="5" applyFont="1" applyBorder="1" applyAlignment="1">
      <alignment horizontal="center" vertical="center" wrapText="1"/>
    </xf>
    <xf numFmtId="0" fontId="27" fillId="0" borderId="9" xfId="5" applyFont="1" applyBorder="1" applyAlignment="1">
      <alignment horizontal="center" vertical="center" wrapText="1"/>
    </xf>
    <xf numFmtId="0" fontId="27" fillId="0" borderId="10" xfId="5" applyFont="1" applyBorder="1" applyAlignment="1">
      <alignment horizontal="center" vertical="center" wrapText="1"/>
    </xf>
    <xf numFmtId="0" fontId="25" fillId="0" borderId="6" xfId="5" applyFont="1" applyBorder="1" applyAlignment="1">
      <alignment horizontal="center" vertical="center" wrapText="1"/>
    </xf>
    <xf numFmtId="0" fontId="25" fillId="0" borderId="6" xfId="5" applyFont="1" applyBorder="1" applyAlignment="1">
      <alignment horizontal="center" vertical="center" wrapText="1"/>
    </xf>
    <xf numFmtId="0" fontId="25" fillId="0" borderId="10" xfId="5" applyFont="1" applyBorder="1" applyAlignment="1">
      <alignment horizontal="center" vertical="center" wrapText="1"/>
    </xf>
    <xf numFmtId="0" fontId="25" fillId="0" borderId="9" xfId="5" applyFont="1" applyBorder="1" applyAlignment="1">
      <alignment horizontal="center" vertical="center" wrapText="1"/>
    </xf>
    <xf numFmtId="166" fontId="25" fillId="0" borderId="6" xfId="5" applyNumberFormat="1" applyFont="1" applyBorder="1" applyAlignment="1">
      <alignment horizontal="center" vertical="center" wrapText="1"/>
    </xf>
    <xf numFmtId="166" fontId="25" fillId="0" borderId="9" xfId="5" applyNumberFormat="1" applyFont="1" applyBorder="1" applyAlignment="1">
      <alignment horizontal="center" vertical="center" wrapText="1"/>
    </xf>
    <xf numFmtId="166" fontId="25" fillId="0" borderId="10" xfId="5" applyNumberFormat="1" applyFont="1" applyBorder="1" applyAlignment="1">
      <alignment horizontal="center" vertical="center" wrapText="1"/>
    </xf>
    <xf numFmtId="167" fontId="28" fillId="0" borderId="6" xfId="5" applyNumberFormat="1" applyFont="1" applyBorder="1" applyAlignment="1">
      <alignment horizontal="right" vertical="center" wrapText="1"/>
    </xf>
    <xf numFmtId="0" fontId="29" fillId="0" borderId="0" xfId="5" applyFont="1" applyAlignment="1">
      <alignment horizontal="left" vertical="top" wrapText="1"/>
    </xf>
    <xf numFmtId="0" fontId="17" fillId="0" borderId="14" xfId="5" applyBorder="1" applyAlignment="1">
      <alignment horizontal="left"/>
    </xf>
    <xf numFmtId="0" fontId="30" fillId="0" borderId="0" xfId="5" applyFont="1" applyAlignment="1">
      <alignment horizontal="center" vertical="center"/>
    </xf>
    <xf numFmtId="0" fontId="31" fillId="0" borderId="0" xfId="5" applyFont="1" applyAlignment="1">
      <alignment horizontal="left" vertical="top" wrapText="1"/>
    </xf>
    <xf numFmtId="49" fontId="23" fillId="0" borderId="0" xfId="5" applyNumberFormat="1" applyFont="1" applyAlignment="1">
      <alignment horizontal="left" vertical="top" wrapText="1"/>
    </xf>
    <xf numFmtId="49" fontId="32" fillId="0" borderId="0" xfId="5" applyNumberFormat="1" applyFont="1" applyAlignment="1">
      <alignment horizontal="left" vertical="top" wrapText="1"/>
    </xf>
    <xf numFmtId="14" fontId="23" fillId="0" borderId="0" xfId="5" applyNumberFormat="1" applyFont="1" applyAlignment="1">
      <alignment horizontal="center" vertical="top" wrapText="1"/>
    </xf>
    <xf numFmtId="0" fontId="17" fillId="0" borderId="3" xfId="5" applyBorder="1" applyAlignment="1">
      <alignment horizontal="left"/>
    </xf>
    <xf numFmtId="0" fontId="24" fillId="0" borderId="13" xfId="5" applyFont="1" applyBorder="1" applyAlignment="1">
      <alignment horizontal="center" vertical="center" wrapText="1"/>
    </xf>
    <xf numFmtId="0" fontId="24" fillId="0" borderId="15" xfId="5" applyFont="1" applyBorder="1" applyAlignment="1">
      <alignment horizontal="center" vertical="center"/>
    </xf>
    <xf numFmtId="0" fontId="25" fillId="0" borderId="16" xfId="5" applyFont="1" applyBorder="1" applyAlignment="1">
      <alignment horizontal="center" vertical="center" wrapText="1"/>
    </xf>
    <xf numFmtId="0" fontId="25" fillId="0" borderId="17" xfId="5" applyFont="1" applyBorder="1" applyAlignment="1">
      <alignment horizontal="center" vertical="center" wrapText="1"/>
    </xf>
    <xf numFmtId="0" fontId="25" fillId="0" borderId="18" xfId="5" applyFont="1" applyBorder="1" applyAlignment="1">
      <alignment horizontal="center" vertical="center" wrapText="1"/>
    </xf>
    <xf numFmtId="0" fontId="25" fillId="0" borderId="16" xfId="5" applyFont="1" applyBorder="1" applyAlignment="1">
      <alignment horizontal="left" vertical="center" wrapText="1"/>
    </xf>
    <xf numFmtId="0" fontId="25" fillId="0" borderId="17" xfId="5" applyFont="1" applyBorder="1" applyAlignment="1">
      <alignment horizontal="left" vertical="center" wrapText="1"/>
    </xf>
    <xf numFmtId="0" fontId="25" fillId="0" borderId="18" xfId="5" applyFont="1" applyBorder="1" applyAlignment="1">
      <alignment horizontal="left" vertical="center" wrapText="1"/>
    </xf>
    <xf numFmtId="0" fontId="25" fillId="0" borderId="16" xfId="5" applyFont="1" applyBorder="1" applyAlignment="1">
      <alignment horizontal="left" vertical="center" wrapText="1"/>
    </xf>
    <xf numFmtId="166" fontId="26" fillId="0" borderId="16" xfId="5" applyNumberFormat="1" applyFont="1" applyBorder="1" applyAlignment="1">
      <alignment horizontal="right" vertical="center" wrapText="1"/>
    </xf>
    <xf numFmtId="166" fontId="26" fillId="0" borderId="17" xfId="5" applyNumberFormat="1" applyFont="1" applyBorder="1" applyAlignment="1">
      <alignment horizontal="right" vertical="center" wrapText="1"/>
    </xf>
    <xf numFmtId="166" fontId="26" fillId="0" borderId="18" xfId="5" applyNumberFormat="1" applyFont="1" applyBorder="1" applyAlignment="1">
      <alignment horizontal="right" vertical="center" wrapText="1"/>
    </xf>
    <xf numFmtId="167" fontId="26" fillId="0" borderId="16" xfId="5" applyNumberFormat="1" applyFont="1" applyBorder="1" applyAlignment="1">
      <alignment horizontal="right" vertical="center" wrapText="1"/>
    </xf>
    <xf numFmtId="167" fontId="26" fillId="0" borderId="18" xfId="5" applyNumberFormat="1" applyFont="1" applyBorder="1" applyAlignment="1">
      <alignment horizontal="right" vertical="center" wrapText="1"/>
    </xf>
    <xf numFmtId="0" fontId="25" fillId="0" borderId="19" xfId="5" applyFont="1" applyBorder="1" applyAlignment="1">
      <alignment horizontal="center" vertical="center" wrapText="1"/>
    </xf>
    <xf numFmtId="0" fontId="25" fillId="0" borderId="20" xfId="5" applyFont="1" applyBorder="1" applyAlignment="1">
      <alignment horizontal="center" vertical="center" wrapText="1"/>
    </xf>
    <xf numFmtId="0" fontId="25" fillId="0" borderId="21" xfId="5" applyFont="1" applyBorder="1" applyAlignment="1">
      <alignment horizontal="center" vertical="center" wrapText="1"/>
    </xf>
    <xf numFmtId="0" fontId="25" fillId="0" borderId="19" xfId="5" applyFont="1" applyBorder="1" applyAlignment="1">
      <alignment horizontal="left" vertical="center" wrapText="1"/>
    </xf>
    <xf numFmtId="0" fontId="25" fillId="0" borderId="20" xfId="5" applyFont="1" applyBorder="1" applyAlignment="1">
      <alignment horizontal="left" vertical="center" wrapText="1"/>
    </xf>
    <xf numFmtId="0" fontId="25" fillId="0" borderId="21" xfId="5" applyFont="1" applyBorder="1" applyAlignment="1">
      <alignment horizontal="left" vertical="center" wrapText="1"/>
    </xf>
    <xf numFmtId="0" fontId="25" fillId="0" borderId="19" xfId="5" applyFont="1" applyBorder="1" applyAlignment="1">
      <alignment horizontal="left" vertical="center" wrapText="1"/>
    </xf>
    <xf numFmtId="166" fontId="26" fillId="0" borderId="19" xfId="5" applyNumberFormat="1" applyFont="1" applyBorder="1" applyAlignment="1">
      <alignment horizontal="right" vertical="center" wrapText="1"/>
    </xf>
    <xf numFmtId="166" fontId="26" fillId="0" borderId="20" xfId="5" applyNumberFormat="1" applyFont="1" applyBorder="1" applyAlignment="1">
      <alignment horizontal="right" vertical="center" wrapText="1"/>
    </xf>
    <xf numFmtId="166" fontId="26" fillId="0" borderId="21" xfId="5" applyNumberFormat="1" applyFont="1" applyBorder="1" applyAlignment="1">
      <alignment horizontal="right" vertical="center" wrapText="1"/>
    </xf>
    <xf numFmtId="167" fontId="26" fillId="0" borderId="19" xfId="5" applyNumberFormat="1" applyFont="1" applyBorder="1" applyAlignment="1">
      <alignment horizontal="right" vertical="center" wrapText="1"/>
    </xf>
    <xf numFmtId="167" fontId="26" fillId="0" borderId="21" xfId="5" applyNumberFormat="1" applyFont="1" applyBorder="1" applyAlignment="1">
      <alignment horizontal="right" vertical="center" wrapText="1"/>
    </xf>
    <xf numFmtId="0" fontId="25" fillId="0" borderId="22" xfId="5" applyFont="1" applyBorder="1" applyAlignment="1">
      <alignment horizontal="center" vertical="center" wrapText="1"/>
    </xf>
    <xf numFmtId="0" fontId="25" fillId="0" borderId="5" xfId="5" applyFont="1" applyBorder="1" applyAlignment="1">
      <alignment horizontal="center" vertical="center" wrapText="1"/>
    </xf>
    <xf numFmtId="0" fontId="25" fillId="0" borderId="23" xfId="5" applyFont="1" applyBorder="1" applyAlignment="1">
      <alignment horizontal="center" vertical="center" wrapText="1"/>
    </xf>
    <xf numFmtId="0" fontId="25" fillId="0" borderId="22" xfId="5" applyFont="1" applyBorder="1" applyAlignment="1">
      <alignment horizontal="left" vertical="center" wrapText="1"/>
    </xf>
    <xf numFmtId="0" fontId="25" fillId="0" borderId="5" xfId="5" applyFont="1" applyBorder="1" applyAlignment="1">
      <alignment horizontal="left" vertical="center" wrapText="1"/>
    </xf>
    <xf numFmtId="0" fontId="25" fillId="0" borderId="23" xfId="5" applyFont="1" applyBorder="1" applyAlignment="1">
      <alignment horizontal="left" vertical="center" wrapText="1"/>
    </xf>
    <xf numFmtId="0" fontId="25" fillId="0" borderId="22" xfId="5" applyFont="1" applyBorder="1" applyAlignment="1">
      <alignment horizontal="left" vertical="center" wrapText="1"/>
    </xf>
    <xf numFmtId="166" fontId="26" fillId="0" borderId="22" xfId="5" applyNumberFormat="1" applyFont="1" applyBorder="1" applyAlignment="1">
      <alignment horizontal="right" vertical="center" wrapText="1"/>
    </xf>
    <xf numFmtId="166" fontId="26" fillId="0" borderId="5" xfId="5" applyNumberFormat="1" applyFont="1" applyBorder="1" applyAlignment="1">
      <alignment horizontal="right" vertical="center" wrapText="1"/>
    </xf>
    <xf numFmtId="166" fontId="26" fillId="0" borderId="23" xfId="5" applyNumberFormat="1" applyFont="1" applyBorder="1" applyAlignment="1">
      <alignment horizontal="right" vertical="center" wrapText="1"/>
    </xf>
    <xf numFmtId="167" fontId="26" fillId="0" borderId="22" xfId="5" applyNumberFormat="1" applyFont="1" applyBorder="1" applyAlignment="1">
      <alignment horizontal="right" vertical="center" wrapText="1"/>
    </xf>
    <xf numFmtId="167" fontId="26" fillId="0" borderId="23" xfId="5" applyNumberFormat="1" applyFont="1" applyBorder="1" applyAlignment="1">
      <alignment horizontal="right" vertical="center" wrapText="1"/>
    </xf>
    <xf numFmtId="167" fontId="28" fillId="0" borderId="6" xfId="5" applyNumberFormat="1" applyFont="1" applyBorder="1" applyAlignment="1">
      <alignment horizontal="right" vertical="center" wrapText="1"/>
    </xf>
    <xf numFmtId="167" fontId="28" fillId="0" borderId="10" xfId="5" applyNumberFormat="1" applyFont="1" applyBorder="1" applyAlignment="1">
      <alignment horizontal="right" vertical="center" wrapText="1"/>
    </xf>
    <xf numFmtId="0" fontId="19" fillId="0" borderId="0" xfId="5" applyFont="1" applyAlignment="1">
      <alignment horizontal="center" vertical="center" wrapText="1"/>
    </xf>
    <xf numFmtId="49" fontId="23" fillId="0" borderId="0" xfId="5" applyNumberFormat="1" applyFont="1" applyAlignment="1">
      <alignment horizontal="left" vertical="top"/>
    </xf>
    <xf numFmtId="49" fontId="23" fillId="0" borderId="4" xfId="5" applyNumberFormat="1" applyFont="1" applyBorder="1" applyAlignment="1">
      <alignment horizontal="left" vertical="top" wrapText="1"/>
    </xf>
    <xf numFmtId="49" fontId="17" fillId="0" borderId="14" xfId="5" applyNumberFormat="1" applyBorder="1" applyAlignment="1">
      <alignment horizontal="left"/>
    </xf>
    <xf numFmtId="0" fontId="24" fillId="0" borderId="8" xfId="5" applyFont="1" applyBorder="1" applyAlignment="1">
      <alignment horizontal="center" vertical="center"/>
    </xf>
    <xf numFmtId="0" fontId="24" fillId="0" borderId="3" xfId="5" applyFont="1" applyBorder="1" applyAlignment="1">
      <alignment horizontal="center" vertical="center"/>
    </xf>
    <xf numFmtId="0" fontId="24" fillId="0" borderId="10" xfId="5" applyFont="1" applyBorder="1" applyAlignment="1">
      <alignment horizontal="center" vertical="center"/>
    </xf>
    <xf numFmtId="166" fontId="26" fillId="0" borderId="18" xfId="5" applyNumberFormat="1" applyFont="1" applyBorder="1" applyAlignment="1">
      <alignment horizontal="right" vertical="center" wrapText="1"/>
    </xf>
    <xf numFmtId="166" fontId="26" fillId="0" borderId="21" xfId="5" applyNumberFormat="1" applyFont="1" applyBorder="1" applyAlignment="1">
      <alignment horizontal="right" vertical="center" wrapText="1"/>
    </xf>
    <xf numFmtId="166" fontId="26" fillId="0" borderId="23" xfId="5" applyNumberFormat="1" applyFont="1" applyBorder="1" applyAlignment="1">
      <alignment horizontal="right" vertical="center" wrapText="1"/>
    </xf>
    <xf numFmtId="166" fontId="25" fillId="0" borderId="10" xfId="5" applyNumberFormat="1" applyFont="1" applyBorder="1" applyAlignment="1">
      <alignment horizontal="center" vertical="center" wrapText="1"/>
    </xf>
    <xf numFmtId="0" fontId="34" fillId="0" borderId="24" xfId="5" applyFont="1" applyBorder="1" applyAlignment="1">
      <alignment horizontal="center" vertical="center"/>
    </xf>
    <xf numFmtId="0" fontId="34" fillId="0" borderId="6" xfId="5" applyFont="1" applyBorder="1" applyAlignment="1">
      <alignment horizontal="center" vertical="center"/>
    </xf>
    <xf numFmtId="0" fontId="36" fillId="0" borderId="0" xfId="7" applyFont="1">
      <alignment vertical="center" wrapText="1"/>
    </xf>
    <xf numFmtId="0" fontId="1" fillId="0" borderId="0" xfId="7">
      <alignment vertical="center" wrapText="1"/>
    </xf>
    <xf numFmtId="0" fontId="1" fillId="0" borderId="0" xfId="7">
      <alignment vertical="center" wrapText="1"/>
    </xf>
    <xf numFmtId="0" fontId="37" fillId="0" borderId="0" xfId="7" applyFont="1" applyAlignment="1">
      <alignment horizontal="center" vertical="center" wrapText="1"/>
    </xf>
    <xf numFmtId="0" fontId="38" fillId="0" borderId="25" xfId="7" applyFont="1" applyBorder="1" applyAlignment="1">
      <alignment horizontal="center" vertical="center" wrapText="1"/>
    </xf>
    <xf numFmtId="0" fontId="38" fillId="0" borderId="25" xfId="7" applyFont="1" applyBorder="1" applyAlignment="1">
      <alignment horizontal="center" vertical="center" wrapText="1"/>
    </xf>
    <xf numFmtId="0" fontId="1" fillId="0" borderId="25" xfId="7" applyBorder="1">
      <alignment vertical="center" wrapText="1"/>
    </xf>
    <xf numFmtId="0" fontId="39" fillId="0" borderId="25" xfId="7" applyFont="1" applyBorder="1" applyAlignment="1">
      <alignment horizontal="center" vertical="center" wrapText="1"/>
    </xf>
    <xf numFmtId="0" fontId="39" fillId="0" borderId="25" xfId="7" applyFont="1" applyBorder="1">
      <alignment vertical="center" wrapText="1"/>
    </xf>
    <xf numFmtId="0" fontId="39" fillId="0" borderId="25" xfId="7" applyFont="1" applyBorder="1">
      <alignment vertical="center" wrapText="1"/>
    </xf>
    <xf numFmtId="37" fontId="39" fillId="0" borderId="25" xfId="7" applyNumberFormat="1" applyFont="1" applyBorder="1" applyAlignment="1">
      <alignment horizontal="right" vertical="center" wrapText="1"/>
    </xf>
    <xf numFmtId="37" fontId="40" fillId="0" borderId="25" xfId="7" applyNumberFormat="1" applyFont="1" applyBorder="1" applyAlignment="1">
      <alignment horizontal="right" vertical="center" wrapText="1"/>
    </xf>
    <xf numFmtId="0" fontId="42" fillId="0" borderId="0" xfId="7" applyFont="1" applyAlignment="1">
      <alignment vertical="center" wrapText="1"/>
    </xf>
    <xf numFmtId="0" fontId="1" fillId="0" borderId="0" xfId="7" applyAlignment="1">
      <alignment vertical="center" wrapText="1"/>
    </xf>
    <xf numFmtId="0" fontId="43" fillId="0" borderId="0" xfId="7" applyFont="1" applyAlignment="1">
      <alignment vertical="center" wrapText="1"/>
    </xf>
    <xf numFmtId="0" fontId="44" fillId="0" borderId="0" xfId="5" applyFont="1" applyAlignment="1">
      <alignment horizontal="center" vertical="center"/>
    </xf>
    <xf numFmtId="0" fontId="35" fillId="0" borderId="0" xfId="5" applyFont="1" applyAlignment="1">
      <alignment horizontal="center" vertical="center"/>
    </xf>
    <xf numFmtId="0" fontId="19" fillId="0" borderId="0" xfId="5" applyFont="1" applyAlignment="1">
      <alignment vertical="center" wrapText="1"/>
    </xf>
    <xf numFmtId="0" fontId="44" fillId="0" borderId="0" xfId="5" applyFont="1" applyAlignment="1">
      <alignment horizontal="center" vertical="center" wrapText="1"/>
    </xf>
    <xf numFmtId="0" fontId="32" fillId="0" borderId="0" xfId="5" applyFont="1" applyAlignment="1">
      <alignment horizontal="center" vertical="top" wrapText="1"/>
    </xf>
    <xf numFmtId="0" fontId="45" fillId="0" borderId="0" xfId="7" applyFont="1" applyAlignment="1">
      <alignment vertical="center"/>
    </xf>
    <xf numFmtId="0" fontId="45" fillId="0" borderId="0" xfId="7" applyFont="1" applyAlignment="1">
      <alignment vertical="center" wrapText="1"/>
    </xf>
    <xf numFmtId="165" fontId="3" fillId="0" borderId="0" xfId="1" applyNumberFormat="1" applyFont="1" applyBorder="1" applyAlignment="1">
      <alignment horizontal="left" vertical="center"/>
    </xf>
  </cellXfs>
  <cellStyles count="8">
    <cellStyle name="Comma" xfId="1" builtinId="3"/>
    <cellStyle name="Hyperlink" xfId="2" builtinId="8"/>
    <cellStyle name="Normal" xfId="0" builtinId="0"/>
    <cellStyle name="Normal 2" xfId="5" xr:uid="{31CFF3BA-8AA9-4F26-908C-3410FF8FFF0A}"/>
    <cellStyle name="Normal 3" xfId="6" xr:uid="{C8F74A83-AE6E-4BE4-AEFC-8F16B3E44ED4}"/>
    <cellStyle name="Normal 4" xfId="7" xr:uid="{C0066BB9-82D8-4195-BCE4-BF3F081327DC}"/>
    <cellStyle name="Normal_Dichso" xfId="4" xr:uid="{16CA2DA3-D229-41C8-A52E-41BBBEB16390}"/>
    <cellStyle name="Normal_DocSoUnicode" xfId="3" xr:uid="{189ACC60-C085-43CE-92D6-341C48912B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152700f20fb5ff1/TRANGIA%20GROUP/MANAGER/TRANGIACO/TEAM%20MANAGEMENT/THUQUY/C&#244;ng%20Vi&#7879;c%20H&#224;ng%20Ng&#224;y/3.%20Theo%20D&#245;i%20Thu%20Chi%20Ti&#7873;n%20M&#7863;t%20-2025.xlsb" TargetMode="External"/><Relationship Id="rId1" Type="http://schemas.openxmlformats.org/officeDocument/2006/relationships/externalLinkPath" Target="https://d.docs.live.net/5152700f20fb5ff1/TRANGIA%20GROUP/MANAGER/TRANGIACO/TEAM%20MANAGEMENT/THUQUY/C&#244;ng%20Vi&#7879;c%20H&#224;ng%20Ng&#224;y/3.%20Theo%20D&#245;i%20Thu%20Chi%20Ti&#7873;n%20M&#7863;t%20-202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ông tin"/>
      <sheetName val="Chart1"/>
      <sheetName val="Tổng hợp"/>
      <sheetName val="Sheet3"/>
      <sheetName val="Sheet4"/>
      <sheetName val="Sheet2"/>
      <sheetName val="Phiếu thu"/>
      <sheetName val="Phiếu chi"/>
      <sheetName val="Phiếu đề suất"/>
      <sheetName val="THÁNG 01"/>
      <sheetName val="THÁNG 02"/>
      <sheetName val="THÁNG 03"/>
      <sheetName val="THÁNG 04"/>
      <sheetName val="THÁNG 05"/>
      <sheetName val="THÁNG 06"/>
      <sheetName val="THÁNG 07"/>
      <sheetName val="THÁNG 08"/>
      <sheetName val="THÁNG 09"/>
      <sheetName val="THÁNG 10"/>
      <sheetName val="THÁNG 11"/>
      <sheetName val="THÁNG 12"/>
      <sheetName val="Bảng tổng hợp chi tiết"/>
      <sheetName val="Kiểm kê quỹ"/>
      <sheetName val="Sheet1"/>
    </sheetNames>
    <sheetDataSet>
      <sheetData sheetId="0"/>
      <sheetData sheetId="1" refreshError="1"/>
      <sheetData sheetId="2">
        <row r="1">
          <cell r="B1" t="str">
            <v>Tên đơn vị: CÔNG TY TNHH NÔNG SẢN THỰC PHẨM TRẦN GIA</v>
          </cell>
        </row>
        <row r="15">
          <cell r="E15" t="str">
            <v/>
          </cell>
          <cell r="F15" t="str">
            <v>THU TIỀN ĐƠN THỦY PHAN 21/1/2025</v>
          </cell>
          <cell r="G15" t="str">
            <v>THU - K.LẺ (TM)</v>
          </cell>
          <cell r="H15">
            <v>595000</v>
          </cell>
          <cell r="J15">
            <v>7854000</v>
          </cell>
        </row>
        <row r="16">
          <cell r="E16" t="str">
            <v>PC1</v>
          </cell>
          <cell r="F16" t="str">
            <v>TT tiền văn phòng phẩm ngày 22/01/2025</v>
          </cell>
          <cell r="G16" t="str">
            <v>CHI - VĂN PHÒNG</v>
          </cell>
          <cell r="I16">
            <v>1690000</v>
          </cell>
          <cell r="J16">
            <v>6164000</v>
          </cell>
        </row>
        <row r="17">
          <cell r="E17" t="str">
            <v>PC2</v>
          </cell>
          <cell r="F17" t="str">
            <v>Xuất quỹ tiền mặt cho a Lãnh ngày 22/01/2025</v>
          </cell>
          <cell r="G17" t="str">
            <v>CHI - KHÁC</v>
          </cell>
          <cell r="I17">
            <v>5000000</v>
          </cell>
          <cell r="J17">
            <v>1164000</v>
          </cell>
        </row>
        <row r="18">
          <cell r="E18" t="str">
            <v/>
          </cell>
          <cell r="F18" t="str">
            <v>THU TIỀN ĐƠN CÔ GIÁO THẢO 3 23/1/2025</v>
          </cell>
          <cell r="G18" t="str">
            <v>THU - K.LẺ (TM)</v>
          </cell>
          <cell r="H18">
            <v>250000</v>
          </cell>
          <cell r="J18">
            <v>1414000</v>
          </cell>
        </row>
        <row r="19">
          <cell r="E19" t="str">
            <v>PC3</v>
          </cell>
          <cell r="F19" t="str">
            <v>TT tiền cô lao công tháng 1/2025</v>
          </cell>
          <cell r="G19" t="str">
            <v>CHI - LƯƠNG</v>
          </cell>
          <cell r="I19">
            <v>500000</v>
          </cell>
          <cell r="J19">
            <v>914000</v>
          </cell>
        </row>
        <row r="20">
          <cell r="E20" t="str">
            <v/>
          </cell>
          <cell r="F20" t="str">
            <v>THU TIỀN ĐƠN THỦY PHAN 4/2/2025</v>
          </cell>
          <cell r="G20" t="str">
            <v>THU - K.LẺ (TM)</v>
          </cell>
          <cell r="H20">
            <v>433000</v>
          </cell>
          <cell r="J20">
            <v>1347000</v>
          </cell>
        </row>
        <row r="21">
          <cell r="E21" t="str">
            <v/>
          </cell>
          <cell r="F21" t="str">
            <v>THU TIỀN ĐƠN CÔ GIÁO THẢO 3 4/2/2025</v>
          </cell>
          <cell r="G21" t="str">
            <v>THU - K.LẺ (TM)</v>
          </cell>
          <cell r="H21">
            <v>250000</v>
          </cell>
          <cell r="J21">
            <v>1597000</v>
          </cell>
        </row>
        <row r="22">
          <cell r="E22" t="str">
            <v/>
          </cell>
          <cell r="F22" t="str">
            <v>THU TIỀN ĐƠN MR.LỢI 3/2/2025</v>
          </cell>
          <cell r="G22" t="str">
            <v>THU - K.LẺ (TM)</v>
          </cell>
          <cell r="H22">
            <v>170000</v>
          </cell>
          <cell r="J22">
            <v>1767000</v>
          </cell>
        </row>
        <row r="23">
          <cell r="E23" t="str">
            <v/>
          </cell>
          <cell r="F23" t="str">
            <v>THU TIỀN ĐƠN SUN MALATANG 4/2/2025</v>
          </cell>
          <cell r="G23" t="str">
            <v>THU - K.SỈ (TM)</v>
          </cell>
          <cell r="H23">
            <v>770000</v>
          </cell>
          <cell r="J23">
            <v>2537000</v>
          </cell>
        </row>
        <row r="24">
          <cell r="E24" t="str">
            <v/>
          </cell>
          <cell r="F24" t="str">
            <v>THU TIỀN ĐƠN LÊ QUỐC HÙNG 6/2/2025</v>
          </cell>
          <cell r="G24" t="str">
            <v>THU - K.LẺ (TM)</v>
          </cell>
          <cell r="H24">
            <v>300000</v>
          </cell>
          <cell r="J24">
            <v>2837000</v>
          </cell>
        </row>
        <row r="25">
          <cell r="E25" t="str">
            <v/>
          </cell>
          <cell r="F25" t="str">
            <v>THU TIỀN ĐƠN TRIỆU VP 6/2/2025</v>
          </cell>
          <cell r="G25" t="str">
            <v>THU - K.LẺ (TM)</v>
          </cell>
          <cell r="H25">
            <v>10000</v>
          </cell>
          <cell r="J25">
            <v>2847000</v>
          </cell>
        </row>
        <row r="26">
          <cell r="E26" t="str">
            <v>PC4</v>
          </cell>
          <cell r="F26" t="str">
            <v>TT tiền gửi hồ sơ BHXH ngày 07/02/2025</v>
          </cell>
          <cell r="G26" t="str">
            <v>CHI - VĂN PHÒNG</v>
          </cell>
          <cell r="I26">
            <v>34000</v>
          </cell>
          <cell r="J26">
            <v>2813000</v>
          </cell>
        </row>
        <row r="27">
          <cell r="E27" t="str">
            <v>PC5</v>
          </cell>
          <cell r="F27" t="str">
            <v>TT tiền mua đồ ăn giúp a Lãnh ngày 23/1/2025 và tiền mua đồ cúng ngày 07/02/2025</v>
          </cell>
          <cell r="G27" t="str">
            <v>CHI - VĂN PHÒNG</v>
          </cell>
          <cell r="I27">
            <v>1845000</v>
          </cell>
          <cell r="J27">
            <v>968000</v>
          </cell>
        </row>
        <row r="28">
          <cell r="E28" t="str">
            <v/>
          </cell>
          <cell r="F28" t="str">
            <v>THU TIỀN ĐƠN TRIỆU VP 8/2/2025</v>
          </cell>
          <cell r="G28" t="str">
            <v>THU - K.LẺ (TM)</v>
          </cell>
          <cell r="H28">
            <v>70000</v>
          </cell>
          <cell r="J28">
            <v>1038000</v>
          </cell>
        </row>
        <row r="29">
          <cell r="E29" t="str">
            <v/>
          </cell>
          <cell r="F29" t="str">
            <v>THU TIỀN ĐƠN THỊNH VP 8/2/2025</v>
          </cell>
          <cell r="G29" t="str">
            <v>THU - K.LẺ (TM)</v>
          </cell>
          <cell r="H29">
            <v>33000</v>
          </cell>
          <cell r="J29">
            <v>1071000</v>
          </cell>
        </row>
        <row r="30">
          <cell r="E30" t="str">
            <v>PC6</v>
          </cell>
          <cell r="F30" t="str">
            <v>TT tiền gửi thư cho khách hàng ngày 09/02/2025</v>
          </cell>
          <cell r="G30" t="str">
            <v>CHI - VĂN PHÒNG</v>
          </cell>
          <cell r="I30">
            <v>33000</v>
          </cell>
          <cell r="J30">
            <v>1038000</v>
          </cell>
        </row>
        <row r="31">
          <cell r="E31" t="str">
            <v>PC7</v>
          </cell>
          <cell r="F31" t="str">
            <v>TT tiền mua miếng lót con dấu tên a Lãnh ngày 11/02/2025</v>
          </cell>
          <cell r="G31" t="str">
            <v>CHI - VĂN PHÒNG</v>
          </cell>
          <cell r="I31">
            <v>37000</v>
          </cell>
          <cell r="J31">
            <v>1001000</v>
          </cell>
        </row>
        <row r="32">
          <cell r="E32" t="str">
            <v>PC8</v>
          </cell>
          <cell r="F32" t="str">
            <v>TT tiền gửi thư cho khách hàng ngày 12/02/2025</v>
          </cell>
          <cell r="G32" t="str">
            <v>CHI - VĂN PHÒNG</v>
          </cell>
          <cell r="I32">
            <v>27000</v>
          </cell>
          <cell r="J32">
            <v>974000</v>
          </cell>
        </row>
        <row r="33">
          <cell r="E33" t="str">
            <v/>
          </cell>
          <cell r="F33" t="str">
            <v>THU TIỀN ĐƠN ANH SƠN 14/2/2025</v>
          </cell>
          <cell r="G33" t="str">
            <v>THU - K.LẺ (TM)</v>
          </cell>
          <cell r="H33">
            <v>23000</v>
          </cell>
          <cell r="J33">
            <v>997000</v>
          </cell>
        </row>
        <row r="34">
          <cell r="E34" t="str">
            <v/>
          </cell>
          <cell r="F34" t="str">
            <v>THU TIỀN ĐƠN THỦY PHAN 14/2/2025</v>
          </cell>
          <cell r="G34" t="str">
            <v>THU - K.LẺ (TM)</v>
          </cell>
          <cell r="H34">
            <v>437000</v>
          </cell>
          <cell r="J34">
            <v>1434000</v>
          </cell>
        </row>
        <row r="35">
          <cell r="E35" t="str">
            <v>PC9</v>
          </cell>
          <cell r="F35" t="str">
            <v>TT tiền nhận thư hồ sơ BHXH qua bưu điện ngày 14/02/2025</v>
          </cell>
          <cell r="G35" t="str">
            <v>CHI - VĂN PHÒNG</v>
          </cell>
          <cell r="I35">
            <v>14000</v>
          </cell>
          <cell r="J35">
            <v>1420000</v>
          </cell>
        </row>
        <row r="36">
          <cell r="E36" t="str">
            <v>PC10</v>
          </cell>
          <cell r="F36" t="str">
            <v>TT tiền gửi hồ sơ BHXH ngày 14/02/2025</v>
          </cell>
          <cell r="G36" t="str">
            <v>CHI - VĂN PHÒNG</v>
          </cell>
          <cell r="I36">
            <v>28000</v>
          </cell>
          <cell r="J36">
            <v>1392000</v>
          </cell>
        </row>
        <row r="37">
          <cell r="E37" t="str">
            <v>PC11</v>
          </cell>
          <cell r="F37" t="str">
            <v>TT tiền mua bóng đèn thay nhà vệ sinh ngày 13/02/2025</v>
          </cell>
          <cell r="G37" t="str">
            <v>CHI - KHÁC</v>
          </cell>
          <cell r="I37">
            <v>46000</v>
          </cell>
          <cell r="J37">
            <v>1346000</v>
          </cell>
        </row>
        <row r="38">
          <cell r="E38" t="str">
            <v/>
          </cell>
          <cell r="F38" t="str">
            <v>THU TIỀN ĐƠN LÊ TIẾN 17/2/2025</v>
          </cell>
          <cell r="G38" t="str">
            <v>THU - K.LẺ (TM)</v>
          </cell>
          <cell r="H38">
            <v>75000</v>
          </cell>
          <cell r="J38">
            <v>1421000</v>
          </cell>
        </row>
        <row r="39">
          <cell r="E39" t="str">
            <v/>
          </cell>
          <cell r="F39" t="str">
            <v>THU TIỀN ĐƠN CHAY TÂM AN 18/2/2025</v>
          </cell>
          <cell r="G39" t="str">
            <v>THU - K.SỈ (TM)</v>
          </cell>
          <cell r="H39">
            <v>736000</v>
          </cell>
          <cell r="J39">
            <v>2157000</v>
          </cell>
        </row>
        <row r="40">
          <cell r="E40" t="str">
            <v/>
          </cell>
          <cell r="F40" t="str">
            <v>THU TIỀN ĐƠN ANH SƠN 18/2/2025</v>
          </cell>
          <cell r="G40" t="str">
            <v>THU - K.LẺ (TM)</v>
          </cell>
          <cell r="H40">
            <v>150000</v>
          </cell>
          <cell r="J40">
            <v>2307000</v>
          </cell>
        </row>
        <row r="41">
          <cell r="E41" t="str">
            <v/>
          </cell>
          <cell r="F41" t="str">
            <v>THU TIỀN ĐƠN TRIỆU VP 19/2/2025</v>
          </cell>
          <cell r="G41" t="str">
            <v>THU - K.LẺ (TM)</v>
          </cell>
          <cell r="H41">
            <v>30000</v>
          </cell>
          <cell r="J41">
            <v>2337000</v>
          </cell>
        </row>
        <row r="42">
          <cell r="E42" t="str">
            <v>PC12</v>
          </cell>
          <cell r="F42" t="str">
            <v>TT đơn hàng nấm Hoàng Kim ngày 21/02/2025</v>
          </cell>
          <cell r="G42" t="str">
            <v>CHI - MUA HÀNG</v>
          </cell>
          <cell r="I42">
            <v>250000</v>
          </cell>
          <cell r="J42">
            <v>2087000</v>
          </cell>
        </row>
        <row r="43">
          <cell r="E43" t="str">
            <v/>
          </cell>
          <cell r="F43" t="str">
            <v>THU TIỀN ĐƠN HẰNG NHI 22/2/2025</v>
          </cell>
          <cell r="G43" t="str">
            <v>THU - K.LẺ (TM)</v>
          </cell>
          <cell r="H43">
            <v>110000</v>
          </cell>
          <cell r="J43">
            <v>2197000</v>
          </cell>
        </row>
        <row r="44">
          <cell r="E44" t="str">
            <v/>
          </cell>
          <cell r="F44" t="str">
            <v>THU TIỀN ĐƠN TIỆU VP 22/2/2025</v>
          </cell>
          <cell r="G44" t="str">
            <v>THU - K.LẺ (TM)</v>
          </cell>
          <cell r="H44">
            <v>51000</v>
          </cell>
          <cell r="J44">
            <v>2248000</v>
          </cell>
        </row>
        <row r="45">
          <cell r="E45" t="str">
            <v/>
          </cell>
          <cell r="F45" t="str">
            <v>THU TIỀN ĐƠN THỦY PHAN 23/2/2025</v>
          </cell>
          <cell r="G45" t="str">
            <v>THU - K.LẺ (TM)</v>
          </cell>
          <cell r="H45">
            <v>724000</v>
          </cell>
          <cell r="J45">
            <v>2972000</v>
          </cell>
        </row>
        <row r="46">
          <cell r="E46" t="str">
            <v/>
          </cell>
          <cell r="F46" t="str">
            <v>THU TIỀN ĐƠN TRIỆU VP 24/2/2025</v>
          </cell>
          <cell r="G46" t="str">
            <v>THU - K.LẺ (TM)</v>
          </cell>
          <cell r="H46">
            <v>17000</v>
          </cell>
          <cell r="J46">
            <v>2989000</v>
          </cell>
        </row>
        <row r="47">
          <cell r="E47" t="str">
            <v>PC13</v>
          </cell>
          <cell r="F47" t="str">
            <v>TT tiền bơm mực tháng 1,2/2025</v>
          </cell>
          <cell r="G47" t="str">
            <v>CHI - VĂN PHÒNG</v>
          </cell>
          <cell r="I47">
            <v>900000</v>
          </cell>
          <cell r="J47">
            <v>2089000</v>
          </cell>
        </row>
        <row r="48">
          <cell r="E48" t="str">
            <v/>
          </cell>
          <cell r="F48" t="str">
            <v>THU TIỀN ĐƠN CÔ GIÁO THẢO 3 24/2/2025</v>
          </cell>
          <cell r="G48" t="str">
            <v>THU - K.LẺ (TM)</v>
          </cell>
          <cell r="H48">
            <v>250000</v>
          </cell>
          <cell r="J48">
            <v>2339000</v>
          </cell>
        </row>
        <row r="49">
          <cell r="E49" t="str">
            <v/>
          </cell>
          <cell r="F49" t="str">
            <v>THU TIỀN ĐƠN TẠ THU LAN 25/2/2025</v>
          </cell>
          <cell r="G49" t="str">
            <v>THU - K.LẺ (TM)</v>
          </cell>
          <cell r="H49">
            <v>98000</v>
          </cell>
          <cell r="J49">
            <v>2437000</v>
          </cell>
        </row>
        <row r="50">
          <cell r="E50" t="str">
            <v>PC14</v>
          </cell>
          <cell r="F50" t="str">
            <v>TT tiền hoàn thiện lắp đặt internet ngày 25/02/2025</v>
          </cell>
          <cell r="G50" t="str">
            <v>CHI - VĂN PHÒNG</v>
          </cell>
          <cell r="I50">
            <v>2460000</v>
          </cell>
          <cell r="J50">
            <v>-23000</v>
          </cell>
        </row>
        <row r="51">
          <cell r="E51" t="str">
            <v/>
          </cell>
          <cell r="F51" t="str">
            <v>THU TIỀN ĐƠN DUY HƯNG 25/2/2025</v>
          </cell>
          <cell r="G51" t="str">
            <v>THU - K.LẺ (TM)</v>
          </cell>
          <cell r="H51">
            <v>105000</v>
          </cell>
          <cell r="J51">
            <v>82000</v>
          </cell>
        </row>
        <row r="52">
          <cell r="E52" t="str">
            <v/>
          </cell>
          <cell r="F52" t="str">
            <v>THU TIỀN ĐƠN MS.LAN 25/2/2025</v>
          </cell>
          <cell r="G52" t="str">
            <v>THU - K.LẺ (TM)</v>
          </cell>
          <cell r="H52">
            <v>105000</v>
          </cell>
          <cell r="J52">
            <v>187000</v>
          </cell>
        </row>
        <row r="53">
          <cell r="E53" t="str">
            <v/>
          </cell>
          <cell r="F53" t="str">
            <v>THU TIỀN ĐƠN SEPIA 26/2/2025</v>
          </cell>
          <cell r="G53" t="str">
            <v>THU - K.LẺ (TM)</v>
          </cell>
          <cell r="H53">
            <v>50000</v>
          </cell>
          <cell r="J53">
            <v>237000</v>
          </cell>
        </row>
        <row r="54">
          <cell r="E54" t="str">
            <v/>
          </cell>
          <cell r="F54" t="str">
            <v>THU TIỀN ĐƠN CHAY TÂM AN 26/2/2025</v>
          </cell>
          <cell r="G54" t="str">
            <v>THU - K.SỈ (TM)</v>
          </cell>
          <cell r="H54">
            <v>907000</v>
          </cell>
          <cell r="J54">
            <v>1144000</v>
          </cell>
        </row>
        <row r="55">
          <cell r="E55" t="str">
            <v>PC15</v>
          </cell>
          <cell r="F55" t="str">
            <v>TT tiền 20kg củ năng gọt vỏ trưa ngày 28/02/2025</v>
          </cell>
          <cell r="G55" t="str">
            <v>CHI - MUA HÀNG</v>
          </cell>
          <cell r="I55">
            <v>970000</v>
          </cell>
          <cell r="J55">
            <v>174000</v>
          </cell>
        </row>
        <row r="56">
          <cell r="E56" t="str">
            <v>PC16</v>
          </cell>
          <cell r="F56" t="str">
            <v>TT tiền làm chìa khóa văn phòng ngày 01/03/2025</v>
          </cell>
          <cell r="G56" t="str">
            <v>CHI - VĂN PHÒNG</v>
          </cell>
          <cell r="I56">
            <v>175000</v>
          </cell>
          <cell r="J56">
            <v>-1000</v>
          </cell>
        </row>
        <row r="57">
          <cell r="E57" t="str">
            <v/>
          </cell>
          <cell r="F57" t="str">
            <v>THU TIỀN ĐƠN CÔ GIÁO THẢO 3 1/3/2025</v>
          </cell>
          <cell r="G57" t="str">
            <v>THU - K.LẺ (TM)</v>
          </cell>
          <cell r="H57">
            <v>250000</v>
          </cell>
          <cell r="J57">
            <v>249000</v>
          </cell>
        </row>
        <row r="58">
          <cell r="E58" t="str">
            <v/>
          </cell>
          <cell r="F58" t="str">
            <v>THU TIỀN ĐƠN KIM THANH 28/2/2025</v>
          </cell>
          <cell r="G58" t="str">
            <v>THU - K.LẺ (TM)</v>
          </cell>
          <cell r="H58">
            <v>144000</v>
          </cell>
          <cell r="J58">
            <v>393000</v>
          </cell>
        </row>
        <row r="59">
          <cell r="E59" t="str">
            <v>PC17</v>
          </cell>
          <cell r="F59" t="str">
            <v>TT tiền ship lấy và gửi kim chi ngày 03/03/2025</v>
          </cell>
          <cell r="G59" t="str">
            <v>CHI - VĂN PHÒNG</v>
          </cell>
          <cell r="I59">
            <v>119000</v>
          </cell>
          <cell r="J59">
            <v>274000</v>
          </cell>
        </row>
        <row r="60">
          <cell r="E60" t="str">
            <v/>
          </cell>
          <cell r="F60" t="str">
            <v>THU TIỀN ĐƠN SEPIA 4/3/2025</v>
          </cell>
          <cell r="G60" t="str">
            <v>THU - K.SỈ (TM)</v>
          </cell>
          <cell r="H60">
            <v>200000</v>
          </cell>
          <cell r="J60">
            <v>474000</v>
          </cell>
        </row>
        <row r="61">
          <cell r="E61" t="str">
            <v/>
          </cell>
          <cell r="F61" t="str">
            <v>THU TIỀN ĐƠN KIM THANH 4/3/2025</v>
          </cell>
          <cell r="G61" t="str">
            <v>THU - K.LẺ (TM)</v>
          </cell>
          <cell r="H61">
            <v>227000</v>
          </cell>
          <cell r="J61">
            <v>701000</v>
          </cell>
        </row>
        <row r="62">
          <cell r="E62" t="str">
            <v/>
          </cell>
          <cell r="F62" t="str">
            <v>THU TIỀN ĐƠN HIỀN TRANG 6/3/2025</v>
          </cell>
          <cell r="G62" t="str">
            <v>THU - K.LẺ (TM)</v>
          </cell>
          <cell r="H62">
            <v>321000</v>
          </cell>
          <cell r="J62">
            <v>1022000</v>
          </cell>
        </row>
        <row r="63">
          <cell r="E63" t="str">
            <v>PC18</v>
          </cell>
          <cell r="F63" t="str">
            <v>TT tiền mua vật tư văn phòng</v>
          </cell>
          <cell r="G63" t="str">
            <v>CHI - VĂN PHÒNG</v>
          </cell>
          <cell r="I63">
            <v>198000</v>
          </cell>
          <cell r="J63">
            <v>824000</v>
          </cell>
        </row>
        <row r="64">
          <cell r="E64" t="str">
            <v/>
          </cell>
          <cell r="F64" t="str">
            <v>THU TIỀN ĐƠN TRẦN LONG 8/3/2025</v>
          </cell>
          <cell r="G64" t="str">
            <v>THU - K.LẺ (TM)</v>
          </cell>
          <cell r="H64">
            <v>165000</v>
          </cell>
          <cell r="J64">
            <v>989000</v>
          </cell>
        </row>
        <row r="65">
          <cell r="E65" t="str">
            <v/>
          </cell>
          <cell r="F65" t="str">
            <v>THU TIỀN ĐƠN TRẦN NHUỆ 9/3/2025</v>
          </cell>
          <cell r="G65" t="str">
            <v>THU - K.LẺ (TM)</v>
          </cell>
          <cell r="H65">
            <v>22000</v>
          </cell>
          <cell r="J65">
            <v>1011000</v>
          </cell>
        </row>
        <row r="66">
          <cell r="E66" t="str">
            <v>PC19</v>
          </cell>
          <cell r="F66" t="str">
            <v>TT gửi thư hồ sơ BHXH Cho c Hà, a Hiển ngày 10/3/2025</v>
          </cell>
          <cell r="G66" t="str">
            <v>CHI - VĂN PHÒNG</v>
          </cell>
          <cell r="I66">
            <v>36000</v>
          </cell>
          <cell r="J66">
            <v>975000</v>
          </cell>
        </row>
        <row r="67">
          <cell r="E67" t="str">
            <v/>
          </cell>
          <cell r="F67" t="str">
            <v>THU TIỀN ĐƠN SEPIA 9/3/2025</v>
          </cell>
          <cell r="G67" t="str">
            <v>THU - K.LẺ (TM)</v>
          </cell>
          <cell r="H67">
            <v>23000</v>
          </cell>
          <cell r="J67">
            <v>998000</v>
          </cell>
        </row>
        <row r="68">
          <cell r="E68" t="str">
            <v>PC20</v>
          </cell>
          <cell r="F68" t="str">
            <v>TT chi phí gửi thư ngày 10/3/2025</v>
          </cell>
          <cell r="G68" t="str">
            <v>CHI - VĂN PHÒNG</v>
          </cell>
          <cell r="I68">
            <v>50000</v>
          </cell>
          <cell r="J68">
            <v>948000</v>
          </cell>
        </row>
        <row r="69">
          <cell r="E69" t="str">
            <v>PC21</v>
          </cell>
          <cell r="F69" t="str">
            <v>TT phí gửi thư ra Hà Nội ngày 10/03/2025</v>
          </cell>
          <cell r="G69" t="str">
            <v>CHI - VĂN PHÒNG</v>
          </cell>
          <cell r="I69">
            <v>33000</v>
          </cell>
          <cell r="J69">
            <v>915000</v>
          </cell>
        </row>
        <row r="70">
          <cell r="E70" t="str">
            <v/>
          </cell>
          <cell r="F70" t="str">
            <v>THU TIỀN ĐƠN CHAY TÂM AN 6/3/2025</v>
          </cell>
          <cell r="G70" t="str">
            <v>THU - K.SỈ (TM)</v>
          </cell>
          <cell r="H70">
            <v>480000</v>
          </cell>
          <cell r="J70">
            <v>1395000</v>
          </cell>
        </row>
        <row r="71">
          <cell r="E71" t="str">
            <v/>
          </cell>
          <cell r="F71" t="str">
            <v>THU TIỀN ĐƠN SEPIA 8/3/2025</v>
          </cell>
          <cell r="G71" t="str">
            <v>THU - K.SỈ (TM)</v>
          </cell>
          <cell r="H71">
            <v>125000</v>
          </cell>
          <cell r="J71">
            <v>1520000</v>
          </cell>
        </row>
        <row r="72">
          <cell r="E72" t="str">
            <v/>
          </cell>
          <cell r="F72" t="str">
            <v>THU TIỀN ĐƠN SESAN 11/3/2025</v>
          </cell>
          <cell r="G72" t="str">
            <v>THU - K.SỈ (TM)</v>
          </cell>
          <cell r="H72">
            <v>125000</v>
          </cell>
          <cell r="J72">
            <v>1645000</v>
          </cell>
        </row>
        <row r="73">
          <cell r="E73" t="str">
            <v>PC22</v>
          </cell>
          <cell r="F73" t="str">
            <v>TT tiền mua đồ cúng văn phòng ngày 12/03/2025</v>
          </cell>
          <cell r="G73" t="str">
            <v>CHI - VĂN PHÒNG</v>
          </cell>
          <cell r="I73">
            <v>99000</v>
          </cell>
          <cell r="J73">
            <v>1546000</v>
          </cell>
        </row>
        <row r="74">
          <cell r="E74" t="str">
            <v>PC23</v>
          </cell>
          <cell r="F74" t="str">
            <v>TT tiền mua VPP đơn ngày 13/03/2025</v>
          </cell>
          <cell r="G74" t="str">
            <v>CHI - VĂN PHÒNG</v>
          </cell>
          <cell r="I74">
            <v>1443000</v>
          </cell>
          <cell r="J74">
            <v>103000</v>
          </cell>
        </row>
        <row r="75">
          <cell r="E75" t="str">
            <v/>
          </cell>
          <cell r="F75" t="str">
            <v>THU TIỀN ĐƠN CHAY TÂM AN 14/3/2025</v>
          </cell>
          <cell r="G75" t="str">
            <v>THU - K.SỈ (TM)</v>
          </cell>
          <cell r="H75">
            <v>663000</v>
          </cell>
          <cell r="J75">
            <v>766000</v>
          </cell>
        </row>
        <row r="76">
          <cell r="E76" t="str">
            <v>PC24</v>
          </cell>
          <cell r="F76" t="str">
            <v>TT tiền gửi thư ngày 13/3/2025</v>
          </cell>
          <cell r="G76" t="str">
            <v>CHI - VĂN PHÒNG</v>
          </cell>
          <cell r="I76">
            <v>58000</v>
          </cell>
          <cell r="J76">
            <v>708000</v>
          </cell>
        </row>
        <row r="77">
          <cell r="E77" t="str">
            <v>PC25</v>
          </cell>
          <cell r="F77" t="str">
            <v>TT tiền đăng tin tuyển dụng ngày 15/03/2025</v>
          </cell>
          <cell r="G77" t="str">
            <v>CHI - KHÁC</v>
          </cell>
          <cell r="I77">
            <v>108000</v>
          </cell>
          <cell r="J77">
            <v>600000</v>
          </cell>
        </row>
        <row r="78">
          <cell r="E78" t="str">
            <v>PC26</v>
          </cell>
          <cell r="F78" t="str">
            <v>TT tiền mua bàn phím số cho a Hảo ngày 18/03/2025</v>
          </cell>
          <cell r="G78" t="str">
            <v>CHI - VĂN PHÒNG</v>
          </cell>
          <cell r="I78">
            <v>57000</v>
          </cell>
          <cell r="J78">
            <v>543000</v>
          </cell>
        </row>
        <row r="79">
          <cell r="E79" t="str">
            <v>PC27</v>
          </cell>
          <cell r="F79" t="str">
            <v>TT tiền gửi thư ngày 18/03/2025 SVN</v>
          </cell>
          <cell r="G79" t="str">
            <v>CHI - VĂN PHÒNG</v>
          </cell>
          <cell r="I79">
            <v>33000</v>
          </cell>
          <cell r="J79">
            <v>510000</v>
          </cell>
        </row>
        <row r="80">
          <cell r="E80" t="str">
            <v/>
          </cell>
          <cell r="F80" t="str">
            <v>THU TIỀN ĐƠN NHƯ THẢO 18/3/2025</v>
          </cell>
          <cell r="G80" t="str">
            <v>THU - K.LẺ (TM)</v>
          </cell>
          <cell r="H80">
            <v>300000</v>
          </cell>
          <cell r="J80">
            <v>810000</v>
          </cell>
        </row>
        <row r="81">
          <cell r="E81" t="str">
            <v/>
          </cell>
          <cell r="F81" t="str">
            <v>THU TIỀN ĐƠN SEPIA 18/3/2025</v>
          </cell>
          <cell r="G81" t="str">
            <v>THU - K.SỈ (TM)</v>
          </cell>
          <cell r="H81">
            <v>75000</v>
          </cell>
          <cell r="J81">
            <v>885000</v>
          </cell>
        </row>
        <row r="82">
          <cell r="E82" t="str">
            <v/>
          </cell>
          <cell r="F82" t="str">
            <v>THU TIỀN ĐƠN CÔ GIÁO THẢO 3 17/3/2025</v>
          </cell>
          <cell r="G82" t="str">
            <v>THU - K.LẺ (TM)</v>
          </cell>
          <cell r="H82">
            <v>175000</v>
          </cell>
          <cell r="J82">
            <v>1060000</v>
          </cell>
        </row>
        <row r="83">
          <cell r="E83" t="str">
            <v>PC28</v>
          </cell>
          <cell r="F83" t="str">
            <v>TT tiền giặt màn cửa văn phòng a Lãnh ngày 20/03/2025</v>
          </cell>
          <cell r="G83" t="str">
            <v>CHI - KHÁC</v>
          </cell>
          <cell r="I83">
            <v>45000</v>
          </cell>
          <cell r="J83">
            <v>1015000</v>
          </cell>
        </row>
        <row r="84">
          <cell r="E84" t="str">
            <v/>
          </cell>
          <cell r="F84" t="str">
            <v>THU TIỀN ĐƠN CHỊ PHẤN 15/3/2025</v>
          </cell>
          <cell r="G84" t="str">
            <v>THU - K.LẺ (TM)</v>
          </cell>
          <cell r="H84">
            <v>200000</v>
          </cell>
          <cell r="J84">
            <v>1215000</v>
          </cell>
        </row>
        <row r="85">
          <cell r="E85" t="str">
            <v>PC29</v>
          </cell>
          <cell r="F85" t="str">
            <v>TT bảo trì kho mát vệ sinh và thây đồng hồ trước Tết ngày 21/03/2025</v>
          </cell>
          <cell r="G85" t="str">
            <v>CHI - KHO</v>
          </cell>
          <cell r="I85">
            <v>1000000</v>
          </cell>
          <cell r="J85">
            <v>215000</v>
          </cell>
        </row>
        <row r="86">
          <cell r="E86" t="str">
            <v>PC30</v>
          </cell>
          <cell r="F86" t="str">
            <v>TT tiền mua khăn giấy và gửi thư cho khách hàng ngày 25/03/2025</v>
          </cell>
          <cell r="G86" t="str">
            <v>CHI - VĂN PHÒNG</v>
          </cell>
          <cell r="I86">
            <v>117000</v>
          </cell>
          <cell r="J86">
            <v>98000</v>
          </cell>
        </row>
        <row r="87">
          <cell r="E87" t="str">
            <v>PC31</v>
          </cell>
          <cell r="F87" t="str">
            <v>TT chi phí đăng tuyển dụng shipper ngày 26/03/2025</v>
          </cell>
          <cell r="G87" t="str">
            <v>CHI - KHÁC</v>
          </cell>
          <cell r="I87">
            <v>108000</v>
          </cell>
          <cell r="J87">
            <v>-10000</v>
          </cell>
        </row>
        <row r="88">
          <cell r="E88" t="str">
            <v/>
          </cell>
          <cell r="F88" t="str">
            <v>THU TIỀN ĐƠN CHAY TÂM AN 26/3/2025</v>
          </cell>
          <cell r="G88" t="str">
            <v>THU - K.SỈ (TM)</v>
          </cell>
          <cell r="H88">
            <v>596000</v>
          </cell>
          <cell r="J88">
            <v>586000</v>
          </cell>
        </row>
        <row r="89">
          <cell r="E89" t="str">
            <v/>
          </cell>
          <cell r="F89" t="str">
            <v>THU TIỀN ĐƠN NHÀ HÀNG LAN ANH 27/3/2025</v>
          </cell>
          <cell r="G89" t="str">
            <v>THU - K.SỈ (TM)</v>
          </cell>
          <cell r="H89">
            <v>317000</v>
          </cell>
          <cell r="J89">
            <v>903000</v>
          </cell>
        </row>
        <row r="90">
          <cell r="E90" t="str">
            <v/>
          </cell>
          <cell r="F90" t="str">
            <v>THU TIỀN ĐƠN BÙI QUỐC LY 27/3/2025</v>
          </cell>
          <cell r="G90" t="str">
            <v>THU - K.LẺ (TM)</v>
          </cell>
          <cell r="H90">
            <v>340000</v>
          </cell>
          <cell r="J90">
            <v>1243000</v>
          </cell>
        </row>
        <row r="91">
          <cell r="E91" t="str">
            <v>PC32</v>
          </cell>
          <cell r="F91" t="str">
            <v>TT tiền trả FPT nối thêm dây mạng ngày 28/03/2025</v>
          </cell>
          <cell r="G91" t="str">
            <v>CHI - VĂN PHÒNG</v>
          </cell>
          <cell r="I91">
            <v>165000</v>
          </cell>
          <cell r="J91">
            <v>1078000</v>
          </cell>
        </row>
        <row r="92">
          <cell r="E92" t="str">
            <v/>
          </cell>
          <cell r="F92" t="str">
            <v>THU TIỀN ĐƠN CÔ GIÁO THẢO 3 26/3/2025</v>
          </cell>
          <cell r="G92" t="str">
            <v>THU - K.LẺ (TM)</v>
          </cell>
          <cell r="H92">
            <v>228000</v>
          </cell>
          <cell r="J92">
            <v>1306000</v>
          </cell>
        </row>
        <row r="93">
          <cell r="E93" t="str">
            <v/>
          </cell>
          <cell r="F93" t="str">
            <v>THU TIỀN ĐƠN NHÀ HÀNG LAN ANH 29/3/2025</v>
          </cell>
          <cell r="G93" t="str">
            <v>THU - K.SỈ (TM)</v>
          </cell>
          <cell r="H93">
            <v>555000</v>
          </cell>
          <cell r="J93">
            <v>1861000</v>
          </cell>
        </row>
        <row r="94">
          <cell r="E94" t="str">
            <v/>
          </cell>
          <cell r="F94" t="str">
            <v>THU TIỀN ĐƠN THANH THẢO 30/3/2025</v>
          </cell>
          <cell r="G94" t="str">
            <v>THU - K.LẺ (TM)</v>
          </cell>
          <cell r="H94">
            <v>321000</v>
          </cell>
          <cell r="J94">
            <v>2182000</v>
          </cell>
        </row>
        <row r="95">
          <cell r="E95" t="str">
            <v/>
          </cell>
          <cell r="F95" t="str">
            <v>THU TIỀN ĐƠN SEPIA 1/4/2025</v>
          </cell>
          <cell r="G95" t="str">
            <v>THU - K.SỈ (TM)</v>
          </cell>
          <cell r="H95">
            <v>189000</v>
          </cell>
          <cell r="J95">
            <v>2371000</v>
          </cell>
        </row>
        <row r="96">
          <cell r="E96" t="str">
            <v/>
          </cell>
          <cell r="F96" t="str">
            <v>THU TIỀN ĐƠN THỦY PHAN 3/4/2025</v>
          </cell>
          <cell r="G96" t="str">
            <v>THU - K.LẺ (TM)</v>
          </cell>
          <cell r="H96">
            <v>1056000</v>
          </cell>
          <cell r="J96">
            <v>3427000</v>
          </cell>
        </row>
        <row r="97">
          <cell r="E97" t="str">
            <v/>
          </cell>
          <cell r="F97" t="str">
            <v>THU TIỀN ĐƠN THANH TUYỀN 2/4/2025</v>
          </cell>
          <cell r="G97" t="str">
            <v>THU - K.LẺ (TM)</v>
          </cell>
          <cell r="H97">
            <v>159000</v>
          </cell>
          <cell r="J97">
            <v>3586000</v>
          </cell>
        </row>
        <row r="98">
          <cell r="E98" t="str">
            <v>PC33</v>
          </cell>
          <cell r="F98" t="str">
            <v>TT mua dụng cụ lắp kệ Văn Phòng ngày 03/04/2025</v>
          </cell>
          <cell r="G98" t="str">
            <v>CHI - VĂN PHÒNG</v>
          </cell>
          <cell r="I98">
            <v>260000</v>
          </cell>
          <cell r="J98">
            <v>3326000</v>
          </cell>
        </row>
        <row r="99">
          <cell r="E99" t="str">
            <v>PC34</v>
          </cell>
          <cell r="F99" t="str">
            <v>TT mua văn phòng phẩm ngày 04/04/2025</v>
          </cell>
          <cell r="G99" t="str">
            <v>CHI - VĂN PHÒNG</v>
          </cell>
          <cell r="I99">
            <v>1731000</v>
          </cell>
          <cell r="J99">
            <v>1595000</v>
          </cell>
        </row>
        <row r="100">
          <cell r="E100" t="str">
            <v/>
          </cell>
          <cell r="F100" t="str">
            <v>THU TIỀN ĐƠN CÔ GIÁO THẢO 3  4/4/2025</v>
          </cell>
          <cell r="G100" t="str">
            <v>THU - K.LẺ (TM)</v>
          </cell>
          <cell r="H100">
            <v>137000</v>
          </cell>
          <cell r="J100">
            <v>1732000</v>
          </cell>
        </row>
        <row r="101">
          <cell r="E101" t="str">
            <v/>
          </cell>
          <cell r="F101" t="str">
            <v>THU TIỀN ĐƠN SEPIA 4/4/2025</v>
          </cell>
          <cell r="G101" t="str">
            <v>THU - K.SỈ (TM)</v>
          </cell>
          <cell r="H101">
            <v>250000</v>
          </cell>
          <cell r="J101">
            <v>1982000</v>
          </cell>
        </row>
        <row r="102">
          <cell r="E102" t="str">
            <v/>
          </cell>
          <cell r="F102" t="str">
            <v>THU TIỀN ĐƠN NH LAN ANH 5/4/2025</v>
          </cell>
          <cell r="G102" t="str">
            <v>THU - K.SỈ (TM)</v>
          </cell>
          <cell r="H102">
            <v>678000</v>
          </cell>
          <cell r="J102">
            <v>2660000</v>
          </cell>
        </row>
        <row r="103">
          <cell r="E103" t="str">
            <v/>
          </cell>
          <cell r="F103" t="str">
            <v>THU TIỀN ĐƠN NH LAN ANH 7/4/2025</v>
          </cell>
          <cell r="G103" t="str">
            <v>THU - K.SỈ (TM)</v>
          </cell>
          <cell r="H103">
            <v>446000</v>
          </cell>
          <cell r="J103">
            <v>3106000</v>
          </cell>
        </row>
        <row r="104">
          <cell r="E104" t="str">
            <v/>
          </cell>
          <cell r="F104" t="str">
            <v>THU TIỀN ĐƠN SESAN 6/4/2025</v>
          </cell>
          <cell r="G104" t="str">
            <v>THU - K.SỈ (TM)</v>
          </cell>
          <cell r="H104">
            <v>125000</v>
          </cell>
          <cell r="J104">
            <v>3231000</v>
          </cell>
        </row>
        <row r="105">
          <cell r="E105" t="str">
            <v>PC35</v>
          </cell>
          <cell r="F105" t="str">
            <v>TT tiền bơm mực tháng 2,3/2025</v>
          </cell>
          <cell r="G105" t="str">
            <v>CHI - VĂN PHÒNG</v>
          </cell>
          <cell r="I105">
            <v>800000</v>
          </cell>
          <cell r="J105">
            <v>2431000</v>
          </cell>
        </row>
        <row r="106">
          <cell r="E106" t="str">
            <v/>
          </cell>
          <cell r="F106" t="str">
            <v>THU TIỀN ĐƠN CHAY TÂM AN 9/4/2025</v>
          </cell>
          <cell r="G106" t="str">
            <v>THU - K.SỈ (TM)</v>
          </cell>
          <cell r="H106">
            <v>636000</v>
          </cell>
          <cell r="J106">
            <v>3067000</v>
          </cell>
        </row>
        <row r="107">
          <cell r="E107" t="str">
            <v/>
          </cell>
          <cell r="F107" t="str">
            <v>THU TIỀN ĐƠN LƯU THÔN 10/4/2025</v>
          </cell>
          <cell r="G107" t="str">
            <v>THU - K.LẺ (TM)</v>
          </cell>
          <cell r="H107">
            <v>115000</v>
          </cell>
          <cell r="J107">
            <v>3182000</v>
          </cell>
        </row>
        <row r="108">
          <cell r="E108" t="str">
            <v/>
          </cell>
          <cell r="F108" t="str">
            <v>THU TIỀN ĐƠN CHỊ TÂM MALAYSIA 9/4/2025</v>
          </cell>
          <cell r="G108" t="str">
            <v>THU - K.LẺ (TM)</v>
          </cell>
          <cell r="H108">
            <v>450000</v>
          </cell>
          <cell r="J108">
            <v>3632000</v>
          </cell>
        </row>
        <row r="109">
          <cell r="E109" t="str">
            <v/>
          </cell>
          <cell r="F109" t="str">
            <v>THU TIỀN ĐƠN CHỊ NHUNG 8/4/2025</v>
          </cell>
          <cell r="G109" t="str">
            <v>THU - K.LẺ (TM)</v>
          </cell>
          <cell r="H109">
            <v>214000</v>
          </cell>
          <cell r="J109">
            <v>3846000</v>
          </cell>
        </row>
        <row r="110">
          <cell r="E110" t="str">
            <v/>
          </cell>
          <cell r="F110" t="str">
            <v>THU TIỀN ĐƠN SAI GON HOUSE 9/4/2025</v>
          </cell>
          <cell r="G110" t="str">
            <v>THU - K.SỈ (TM)</v>
          </cell>
          <cell r="H110">
            <v>394000</v>
          </cell>
          <cell r="J110">
            <v>4240000</v>
          </cell>
        </row>
        <row r="111">
          <cell r="E111" t="str">
            <v/>
          </cell>
          <cell r="F111" t="str">
            <v>THU TIỀN ĐƠN GIA BẢO 10/4/2025</v>
          </cell>
          <cell r="G111" t="str">
            <v>THU - K.LẺ (TM)</v>
          </cell>
          <cell r="H111">
            <v>157000</v>
          </cell>
          <cell r="J111">
            <v>4397000</v>
          </cell>
        </row>
        <row r="112">
          <cell r="E112" t="str">
            <v/>
          </cell>
          <cell r="F112" t="str">
            <v>THU TIỀN ĐƠN NGỌC HƯƠNG 11/4/2025</v>
          </cell>
          <cell r="G112" t="str">
            <v>THU - K.LẺ (TM)</v>
          </cell>
          <cell r="H112">
            <v>370000</v>
          </cell>
          <cell r="J112">
            <v>4767000</v>
          </cell>
        </row>
        <row r="113">
          <cell r="E113" t="str">
            <v/>
          </cell>
          <cell r="F113" t="str">
            <v>THU TIỀN ĐƠN NH LAN ANH 11/4/2025</v>
          </cell>
          <cell r="G113" t="str">
            <v>THU - K.SỈ (TM)</v>
          </cell>
          <cell r="H113">
            <v>313000</v>
          </cell>
          <cell r="J113">
            <v>5080000</v>
          </cell>
        </row>
        <row r="114">
          <cell r="E114" t="str">
            <v/>
          </cell>
          <cell r="F114" t="str">
            <v>THU TIỀN ĐƠN SAI GON HOUSE 11/4/2025</v>
          </cell>
          <cell r="G114" t="str">
            <v>THU - K.SỈ (TM)</v>
          </cell>
          <cell r="H114">
            <v>100000</v>
          </cell>
          <cell r="J114">
            <v>5180000</v>
          </cell>
        </row>
        <row r="115">
          <cell r="E115" t="str">
            <v/>
          </cell>
          <cell r="F115" t="str">
            <v>THU TIỀN ĐƠN CHỊ NHUNG 13/4/2025</v>
          </cell>
          <cell r="G115" t="str">
            <v>THU - K.LẺ (TM)</v>
          </cell>
          <cell r="H115">
            <v>193000</v>
          </cell>
          <cell r="J115">
            <v>5373000</v>
          </cell>
        </row>
        <row r="116">
          <cell r="E116" t="str">
            <v>PC36</v>
          </cell>
          <cell r="F116" t="str">
            <v>Mua sổ lò xo A5, sổ đen A4 cho bộ phận kho ngày 14/04/2025</v>
          </cell>
          <cell r="G116" t="str">
            <v>CHI - VĂN PHÒNG</v>
          </cell>
          <cell r="I116">
            <v>85000</v>
          </cell>
          <cell r="J116">
            <v>5288000</v>
          </cell>
        </row>
        <row r="117">
          <cell r="E117" t="str">
            <v>PC37</v>
          </cell>
          <cell r="F117" t="str">
            <v>TT tiền mua đồ cúng cho a Lãnh và mua bao tay y tế cho kho ngày 14/04/2025</v>
          </cell>
          <cell r="G117" t="str">
            <v>CHI - VĂN PHÒNG</v>
          </cell>
          <cell r="I117">
            <v>155000</v>
          </cell>
          <cell r="J117">
            <v>5133000</v>
          </cell>
        </row>
        <row r="118">
          <cell r="E118" t="str">
            <v>PC38</v>
          </cell>
          <cell r="F118" t="str">
            <v>TT tiền mua USB WIFI ngày 15/04/2025</v>
          </cell>
          <cell r="G118" t="str">
            <v>CHI - VĂN PHÒNG</v>
          </cell>
          <cell r="I118">
            <v>119000</v>
          </cell>
          <cell r="J118">
            <v>5014000</v>
          </cell>
        </row>
        <row r="119">
          <cell r="E119" t="str">
            <v>PC39</v>
          </cell>
          <cell r="F119" t="str">
            <v>TT mua usb wifi cho máy KTCN ngày 15/04/2025</v>
          </cell>
          <cell r="G119" t="str">
            <v>CHI - VĂN PHÒNG</v>
          </cell>
          <cell r="I119">
            <v>116000</v>
          </cell>
          <cell r="J119">
            <v>4898000</v>
          </cell>
        </row>
        <row r="120">
          <cell r="E120" t="str">
            <v/>
          </cell>
          <cell r="F120" t="str">
            <v>THU TIỀN ĐƠN CHAY TÂM AN 16/4/2025</v>
          </cell>
          <cell r="G120" t="str">
            <v>THU - K.SỈ (TM)</v>
          </cell>
          <cell r="H120">
            <v>681000</v>
          </cell>
          <cell r="J120">
            <v>5579000</v>
          </cell>
        </row>
        <row r="121">
          <cell r="E121" t="str">
            <v/>
          </cell>
          <cell r="F121" t="str">
            <v>THU TIỀN ĐƠN THANH BÌNH 14/4/2025</v>
          </cell>
          <cell r="G121" t="str">
            <v>THU - K.LẺ (TM)</v>
          </cell>
          <cell r="H121">
            <v>35000</v>
          </cell>
          <cell r="J121">
            <v>5614000</v>
          </cell>
        </row>
        <row r="122">
          <cell r="E122" t="str">
            <v/>
          </cell>
          <cell r="F122" t="str">
            <v>THU TIỀN ĐƠN MR.LẬP 16/4/2025</v>
          </cell>
          <cell r="G122" t="str">
            <v>THU - K.LẺ (TM)</v>
          </cell>
          <cell r="H122">
            <v>113000</v>
          </cell>
          <cell r="J122">
            <v>5727000</v>
          </cell>
        </row>
        <row r="123">
          <cell r="E123" t="str">
            <v/>
          </cell>
          <cell r="F123" t="str">
            <v>THU TIỀN THANH LÝ CAM, CAROT, ĐU ĐỦ</v>
          </cell>
          <cell r="G123" t="str">
            <v>THU - K.LẺ (TM)</v>
          </cell>
          <cell r="H123">
            <v>180000</v>
          </cell>
          <cell r="J123">
            <v>5907000</v>
          </cell>
        </row>
        <row r="124">
          <cell r="E124" t="str">
            <v>PC40</v>
          </cell>
          <cell r="F124" t="str">
            <v>TT phí gửi thư cho khách hàng ngày 21/04/2025</v>
          </cell>
          <cell r="G124" t="str">
            <v>CHI - VĂN PHÒNG</v>
          </cell>
          <cell r="I124">
            <v>36000</v>
          </cell>
          <cell r="J124">
            <v>5871000</v>
          </cell>
        </row>
        <row r="125">
          <cell r="E125" t="str">
            <v>PC41</v>
          </cell>
          <cell r="F125" t="str">
            <v>TT grab gửi thư cho khách hàng ngày 23/04/2025</v>
          </cell>
          <cell r="G125" t="str">
            <v>CHI - VĂN PHÒNG</v>
          </cell>
          <cell r="I125">
            <v>50000</v>
          </cell>
          <cell r="J125">
            <v>5821000</v>
          </cell>
        </row>
        <row r="126">
          <cell r="E126" t="str">
            <v/>
          </cell>
          <cell r="F126" t="str">
            <v>THU TIỀN ĐƠN THANH HƯƠNG 20/4/2025</v>
          </cell>
          <cell r="G126" t="str">
            <v>THU - K.LẺ (TM)</v>
          </cell>
          <cell r="H126">
            <v>185000</v>
          </cell>
          <cell r="J126">
            <v>6006000</v>
          </cell>
        </row>
        <row r="127">
          <cell r="E127" t="str">
            <v/>
          </cell>
          <cell r="F127" t="str">
            <v>THU TIỀN ĐƠN SAIGON HOUSE 19/4/2025</v>
          </cell>
          <cell r="G127" t="str">
            <v>THU - K.SỈ (TM)</v>
          </cell>
          <cell r="H127">
            <v>121000</v>
          </cell>
          <cell r="J127">
            <v>6127000</v>
          </cell>
        </row>
        <row r="128">
          <cell r="E128" t="str">
            <v/>
          </cell>
          <cell r="F128" t="str">
            <v>THU TIỀN ĐƠN ANNIE 23/4/2025</v>
          </cell>
          <cell r="G128" t="str">
            <v>THU - K.SỈ (TM)</v>
          </cell>
          <cell r="H128">
            <v>270000</v>
          </cell>
          <cell r="J128">
            <v>6397000</v>
          </cell>
        </row>
        <row r="129">
          <cell r="E129" t="str">
            <v>PC42</v>
          </cell>
          <cell r="F129" t="str">
            <v>Chi tiền mua linh kiện máy tính ngày 25/04/2025</v>
          </cell>
          <cell r="G129" t="str">
            <v>CHI - VĂN PHÒNG</v>
          </cell>
          <cell r="I129">
            <v>2740000</v>
          </cell>
          <cell r="J129">
            <v>3657000</v>
          </cell>
        </row>
        <row r="130">
          <cell r="E130" t="str">
            <v/>
          </cell>
          <cell r="F130" t="str">
            <v>THU TIỀN ĐƠN CHỊ THỊNH VP 15/4/2025</v>
          </cell>
          <cell r="G130" t="str">
            <v>THU - K.LẺ (TM)</v>
          </cell>
          <cell r="H130">
            <v>56000</v>
          </cell>
          <cell r="J130">
            <v>3713000</v>
          </cell>
        </row>
        <row r="131">
          <cell r="E131" t="str">
            <v/>
          </cell>
          <cell r="F131" t="str">
            <v>THU TIỀN ĐƠN CHỊ NHUNG 27/3/2025</v>
          </cell>
          <cell r="G131" t="str">
            <v>THU - K.LẺ (TM)</v>
          </cell>
          <cell r="H131">
            <v>380000</v>
          </cell>
          <cell r="J131">
            <v>4093000</v>
          </cell>
        </row>
        <row r="132">
          <cell r="E132" t="str">
            <v>PC43</v>
          </cell>
          <cell r="F132" t="str">
            <v>TT mua văn phòng phẩm ngày 28/04/2025</v>
          </cell>
          <cell r="G132" t="str">
            <v>CHI - VĂN PHÒNG</v>
          </cell>
          <cell r="I132">
            <v>1475000</v>
          </cell>
          <cell r="J132">
            <v>2618000</v>
          </cell>
        </row>
        <row r="133">
          <cell r="E133" t="str">
            <v>PC44</v>
          </cell>
          <cell r="F133" t="str">
            <v>TT phí gửi thư cho khách ngày 07/05/2025</v>
          </cell>
          <cell r="G133" t="str">
            <v>CHI - VĂN PHÒNG</v>
          </cell>
          <cell r="I133">
            <v>25000</v>
          </cell>
          <cell r="J133">
            <v>2593000</v>
          </cell>
        </row>
        <row r="134">
          <cell r="E134" t="str">
            <v>PC45</v>
          </cell>
          <cell r="F134" t="str">
            <v>TT bình gas nấu cải chua ngày 08/05/2025</v>
          </cell>
          <cell r="G134" t="str">
            <v>CHI - KHO</v>
          </cell>
          <cell r="I134">
            <v>350000</v>
          </cell>
          <cell r="J134">
            <v>2243000</v>
          </cell>
        </row>
        <row r="135">
          <cell r="E135" t="str">
            <v/>
          </cell>
          <cell r="F135" t="str">
            <v>THU TIỀN ĐƠN MẦM NON AN NHIÊN NGÀY 8/3, 16/3, 23/3</v>
          </cell>
          <cell r="G135" t="str">
            <v>THU - K.SỈ (TM)</v>
          </cell>
          <cell r="H135">
            <v>1363000</v>
          </cell>
          <cell r="J135">
            <v>3606000</v>
          </cell>
        </row>
        <row r="136">
          <cell r="E136" t="str">
            <v/>
          </cell>
          <cell r="F136" t="str">
            <v>THU TIỀN ĐƠN ANNIE NGÀY 24/2, 30/3, 9/4</v>
          </cell>
          <cell r="G136" t="str">
            <v>THU - K.LẺ (TM)</v>
          </cell>
          <cell r="H136">
            <v>1253000</v>
          </cell>
          <cell r="J136">
            <v>4859000</v>
          </cell>
        </row>
        <row r="137">
          <cell r="E137" t="str">
            <v/>
          </cell>
          <cell r="F137" t="str">
            <v>THU TIỀN ĐƠN NHÀ HÀNG LAN ANH NGÀY 2+3/4</v>
          </cell>
          <cell r="G137" t="str">
            <v>THU - K.SỈ (TM)</v>
          </cell>
          <cell r="H137">
            <v>596000</v>
          </cell>
          <cell r="J137">
            <v>5455000</v>
          </cell>
        </row>
        <row r="138">
          <cell r="E138" t="str">
            <v/>
          </cell>
          <cell r="F138" t="str">
            <v>THU TIỀN THANH LÝ CAM, BƠ</v>
          </cell>
          <cell r="G138" t="str">
            <v>THU - K.LẺ (TM)</v>
          </cell>
          <cell r="H138">
            <v>70000</v>
          </cell>
          <cell r="J138">
            <v>5525000</v>
          </cell>
        </row>
        <row r="139">
          <cell r="E139" t="str">
            <v>PC46</v>
          </cell>
          <cell r="F139" t="str">
            <v>TT mua bông 3 bó và bưởi (Mua cho a Lãnh) Ngày 15/4/2025</v>
          </cell>
          <cell r="G139" t="str">
            <v>CHI - KHO</v>
          </cell>
          <cell r="I139">
            <v>120000</v>
          </cell>
          <cell r="J139">
            <v>5405000</v>
          </cell>
        </row>
        <row r="140">
          <cell r="E140" t="str">
            <v>PC47</v>
          </cell>
          <cell r="F140" t="str">
            <v>TT mua bàn phím + 2 chuột máy tính cho bộ phận kho ngày 13/05/2025</v>
          </cell>
          <cell r="G140" t="str">
            <v>CHI - VĂN PHÒNG</v>
          </cell>
          <cell r="I140">
            <v>482000</v>
          </cell>
          <cell r="J140">
            <v>4923000</v>
          </cell>
        </row>
        <row r="141">
          <cell r="E141" t="str">
            <v>PC48</v>
          </cell>
          <cell r="F141" t="str">
            <v xml:space="preserve">TT mua dĩa cúng ông địa (40k), ly nước cúng ông địa (40k) và trái cây ( 20k) </v>
          </cell>
          <cell r="G141" t="str">
            <v>CHI - VĂN PHÒNG</v>
          </cell>
          <cell r="I141">
            <v>100000</v>
          </cell>
          <cell r="J141">
            <v>4823000</v>
          </cell>
        </row>
        <row r="142">
          <cell r="E142" t="str">
            <v>PC49</v>
          </cell>
          <cell r="F142" t="str">
            <v>TT phí gửi thư cho khách ngày 15/05/2025</v>
          </cell>
          <cell r="G142" t="str">
            <v>CHI - VĂN PHÒNG</v>
          </cell>
          <cell r="I142">
            <v>32000</v>
          </cell>
          <cell r="J142">
            <v>4791000</v>
          </cell>
        </row>
        <row r="143">
          <cell r="E143" t="str">
            <v>PC50</v>
          </cell>
          <cell r="F143" t="str">
            <v>TT mua bông cúng ông địa ngày 15/05.2025</v>
          </cell>
          <cell r="G143" t="str">
            <v>CHI - VĂN PHÒNG</v>
          </cell>
          <cell r="I143">
            <v>15000</v>
          </cell>
          <cell r="J143">
            <v>4776000</v>
          </cell>
        </row>
        <row r="144">
          <cell r="E144" t="str">
            <v>PC51</v>
          </cell>
          <cell r="F144" t="str">
            <v>TT phí gửi thư cho SVN ngày 22/05/2025</v>
          </cell>
          <cell r="G144" t="str">
            <v>CHI - VĂN PHÒNG</v>
          </cell>
          <cell r="I144">
            <v>36000</v>
          </cell>
          <cell r="J144">
            <v>4740000</v>
          </cell>
        </row>
        <row r="145">
          <cell r="E145" t="str">
            <v>PC52</v>
          </cell>
          <cell r="F145" t="str">
            <v>TT mua dây máy in HP văn phòng ngày 22/5/2025</v>
          </cell>
          <cell r="G145" t="str">
            <v>CHI - VĂN PHÒNG</v>
          </cell>
          <cell r="I145">
            <v>39000</v>
          </cell>
          <cell r="J145">
            <v>4701000</v>
          </cell>
        </row>
        <row r="146">
          <cell r="E146" t="str">
            <v>PC53</v>
          </cell>
          <cell r="F146" t="str">
            <v>TT văn phòng phẩm ngày 23/05/2025</v>
          </cell>
          <cell r="G146" t="str">
            <v>CHI - VĂN PHÒNG</v>
          </cell>
          <cell r="I146">
            <v>378000</v>
          </cell>
          <cell r="J146">
            <v>4323000</v>
          </cell>
        </row>
        <row r="147">
          <cell r="E147" t="str">
            <v>PC54</v>
          </cell>
          <cell r="F147" t="str">
            <v>TT làm dấu tên Địa chỉ MST Trần gia ngày 24/05/2025</v>
          </cell>
          <cell r="G147" t="str">
            <v>CHI - VĂN PHÒNG</v>
          </cell>
          <cell r="I147">
            <v>115000</v>
          </cell>
          <cell r="J147">
            <v>4208000</v>
          </cell>
        </row>
        <row r="148">
          <cell r="E148" t="str">
            <v/>
          </cell>
          <cell r="F148" t="str">
            <v>THU TIỀN ĐƠN CHAY TÂM AN 10/05/2025</v>
          </cell>
          <cell r="G148" t="str">
            <v>THU - K.SỈ (TM)</v>
          </cell>
          <cell r="H148">
            <v>1282000</v>
          </cell>
          <cell r="J148">
            <v>5490000</v>
          </cell>
        </row>
        <row r="149">
          <cell r="E149" t="str">
            <v/>
          </cell>
          <cell r="F149" t="str">
            <v>THU TIỀN ĐƠN MR.LẬP 22/05/2025</v>
          </cell>
          <cell r="G149" t="str">
            <v>THU - K.LẺ (TM)</v>
          </cell>
          <cell r="H149">
            <v>88000</v>
          </cell>
          <cell r="J149">
            <v>5578000</v>
          </cell>
        </row>
        <row r="150">
          <cell r="E150" t="str">
            <v/>
          </cell>
          <cell r="F150" t="str">
            <v>THU TIỀN ĐƠN HUỲNH NGA 27/05/2025</v>
          </cell>
          <cell r="G150" t="str">
            <v>THU - K.LẺ (TM)</v>
          </cell>
          <cell r="H150">
            <v>85000</v>
          </cell>
          <cell r="J150">
            <v>5663000</v>
          </cell>
        </row>
        <row r="151">
          <cell r="E151" t="str">
            <v/>
          </cell>
          <cell r="F151" t="str">
            <v>THU TIỀN ĐƠN VTH 26+27/05/2025</v>
          </cell>
          <cell r="G151" t="str">
            <v>THU - K.SỈ (TM)</v>
          </cell>
          <cell r="H151">
            <v>2932000</v>
          </cell>
          <cell r="J151">
            <v>8595000</v>
          </cell>
        </row>
        <row r="152">
          <cell r="E152" t="str">
            <v>PC55</v>
          </cell>
          <cell r="F152" t="str">
            <v>TT chi phí sửa vòi nước kho ngày 30/5/2025</v>
          </cell>
          <cell r="G152" t="str">
            <v>CHI - KHO</v>
          </cell>
          <cell r="I152">
            <v>600000</v>
          </cell>
          <cell r="J152">
            <v>7995000</v>
          </cell>
        </row>
        <row r="153">
          <cell r="E153" t="str">
            <v/>
          </cell>
          <cell r="F153" t="str">
            <v>THU TIỀN ĐƠN CÔ ÁNH 30/5/2025</v>
          </cell>
          <cell r="G153" t="str">
            <v>THU - K.LẺ (TM)</v>
          </cell>
          <cell r="H153">
            <v>509000</v>
          </cell>
          <cell r="J153">
            <v>8504000</v>
          </cell>
        </row>
        <row r="154">
          <cell r="E154" t="str">
            <v/>
          </cell>
          <cell r="F154" t="str">
            <v>THU TIỀN ĐƠN KS HUAZUA TÁCH 3/6/2025</v>
          </cell>
          <cell r="G154" t="str">
            <v>THU - K.SỈ (TM)</v>
          </cell>
          <cell r="H154">
            <v>75000</v>
          </cell>
          <cell r="J154">
            <v>8579000</v>
          </cell>
        </row>
        <row r="155">
          <cell r="E155" t="str">
            <v>PC56</v>
          </cell>
          <cell r="F155" t="str">
            <v>TT tiền mua 9 cái Pallet và chi tiền hỗ trợ bảo vệ tháng 4,5/2025 (700.000 + 2.000.000)</v>
          </cell>
          <cell r="G155" t="str">
            <v>CHI - KHO</v>
          </cell>
          <cell r="I155">
            <v>2700000</v>
          </cell>
          <cell r="J155">
            <v>5879000</v>
          </cell>
        </row>
        <row r="156">
          <cell r="E156" t="str">
            <v/>
          </cell>
          <cell r="F156" t="str">
            <v>THU TIỀN ĐƠN DUY HƯNG 1/6/2025</v>
          </cell>
          <cell r="G156" t="str">
            <v>THU - K.LẺ (TM)</v>
          </cell>
          <cell r="H156">
            <v>90000</v>
          </cell>
          <cell r="J156">
            <v>5969000</v>
          </cell>
        </row>
        <row r="157">
          <cell r="E157" t="str">
            <v/>
          </cell>
          <cell r="F157" t="str">
            <v>THU TIỀN ĐƠN MR.LẬP 30/5/2025</v>
          </cell>
          <cell r="G157" t="str">
            <v>THU - K.LẺ (TM)</v>
          </cell>
          <cell r="H157">
            <v>95000</v>
          </cell>
          <cell r="J157">
            <v>6064000</v>
          </cell>
        </row>
        <row r="158">
          <cell r="E158" t="str">
            <v/>
          </cell>
          <cell r="F158" t="str">
            <v>THU TIỀN ĐƠN LA CAFÉ 4/6/2025</v>
          </cell>
          <cell r="G158" t="str">
            <v>THU - K.SỈ (TM)</v>
          </cell>
          <cell r="H158">
            <v>160000</v>
          </cell>
          <cell r="J158">
            <v>6224000</v>
          </cell>
        </row>
        <row r="159">
          <cell r="E159" t="str">
            <v>PC57</v>
          </cell>
          <cell r="F159" t="str">
            <v>TT tiền vận chuyển băng keo ngày 04/06/2025</v>
          </cell>
          <cell r="G159" t="str">
            <v>CHI - KHÁC</v>
          </cell>
          <cell r="I159">
            <v>50000</v>
          </cell>
          <cell r="J159">
            <v>6174000</v>
          </cell>
        </row>
        <row r="160">
          <cell r="E160" t="str">
            <v>PC58</v>
          </cell>
          <cell r="F160" t="str">
            <v>TT tiền mua văn phòng phẩm ngày 04/06/2025</v>
          </cell>
          <cell r="G160" t="str">
            <v>CHI - VĂN PHÒNG</v>
          </cell>
          <cell r="I160">
            <v>1437000</v>
          </cell>
          <cell r="J160">
            <v>4737000</v>
          </cell>
        </row>
        <row r="161">
          <cell r="E161" t="str">
            <v/>
          </cell>
          <cell r="F161" t="str">
            <v>THU TIỀN ĐƠN THÚY VÂN 6/6/2025</v>
          </cell>
          <cell r="G161" t="str">
            <v>THU - K.LẺ (TM)</v>
          </cell>
          <cell r="H161">
            <v>95000</v>
          </cell>
          <cell r="J161">
            <v>4832000</v>
          </cell>
        </row>
        <row r="162">
          <cell r="E162" t="str">
            <v>PC59</v>
          </cell>
          <cell r="F162" t="str">
            <v>TT tiền bơm mực hóa đơn ngày 31/5/2025</v>
          </cell>
          <cell r="G162" t="str">
            <v>CHI - VĂN PHÒNG</v>
          </cell>
          <cell r="I162">
            <v>800000</v>
          </cell>
          <cell r="J162">
            <v>4032000</v>
          </cell>
        </row>
        <row r="163">
          <cell r="E163" t="str">
            <v/>
          </cell>
          <cell r="F163" t="str">
            <v>THU TIỀN ĐƠN HỒ TUẤN PHÚ 7/6/2025</v>
          </cell>
          <cell r="G163" t="str">
            <v>THU - K.LẺ (TM)</v>
          </cell>
          <cell r="H163">
            <v>88000</v>
          </cell>
          <cell r="J163">
            <v>4120000</v>
          </cell>
        </row>
        <row r="164">
          <cell r="E164" t="str">
            <v/>
          </cell>
          <cell r="F164" t="str">
            <v>THU TIỀN ĐƠN LÊ THỊ TƯỜNG VY 11/6/2025</v>
          </cell>
          <cell r="G164" t="str">
            <v>THU - K.LẺ (TM)</v>
          </cell>
          <cell r="H164">
            <v>115000</v>
          </cell>
          <cell r="J164">
            <v>4235000</v>
          </cell>
        </row>
        <row r="165">
          <cell r="E165" t="str">
            <v>PC60</v>
          </cell>
          <cell r="F165" t="str">
            <v>TT gửi thư cho khách hàng ngày 12/6/2025</v>
          </cell>
          <cell r="G165" t="str">
            <v>CHI - VĂN PHÒNG</v>
          </cell>
          <cell r="I165">
            <v>25000</v>
          </cell>
          <cell r="J165">
            <v>4210000</v>
          </cell>
        </row>
        <row r="166">
          <cell r="E166" t="str">
            <v>PC61</v>
          </cell>
          <cell r="F166" t="str">
            <v>TT gửi thư SVN ngày 11/6/2025</v>
          </cell>
          <cell r="G166" t="str">
            <v>CHI - VĂN PHÒNG</v>
          </cell>
          <cell r="I166">
            <v>33000</v>
          </cell>
          <cell r="J166">
            <v>4177000</v>
          </cell>
        </row>
        <row r="167">
          <cell r="E167" t="str">
            <v>PC62</v>
          </cell>
          <cell r="F167" t="str">
            <v>TT mua khăn giấy văn phòng loại lớn ngày 17/6/2025</v>
          </cell>
          <cell r="G167" t="str">
            <v>CHI - VĂN PHÒNG</v>
          </cell>
          <cell r="I167">
            <v>127000</v>
          </cell>
          <cell r="J167">
            <v>4050000</v>
          </cell>
        </row>
        <row r="168">
          <cell r="E168" t="str">
            <v>PC63</v>
          </cell>
          <cell r="F168" t="str">
            <v>TT mua usb wifi mới cho Máy tính PKD Thúy ngày 19/06/2025</v>
          </cell>
          <cell r="G168" t="str">
            <v>CHI - VĂN PHÒNG</v>
          </cell>
          <cell r="I168">
            <v>256000</v>
          </cell>
          <cell r="J168">
            <v>3794000</v>
          </cell>
        </row>
        <row r="169">
          <cell r="E169" t="str">
            <v/>
          </cell>
          <cell r="F169" t="str">
            <v>THU TIỀN ĐƠN MS.EAINT 19/6/2025</v>
          </cell>
          <cell r="G169" t="str">
            <v>THU - K.LẺ (TM)</v>
          </cell>
          <cell r="H169">
            <v>126000</v>
          </cell>
          <cell r="J169">
            <v>3920000</v>
          </cell>
        </row>
        <row r="170">
          <cell r="E170" t="str">
            <v/>
          </cell>
          <cell r="F170" t="str">
            <v>THU TIỀN ĐƠN ANH PHÚ 19/6/2025</v>
          </cell>
          <cell r="G170" t="str">
            <v>THU - K.LẺ (TM)</v>
          </cell>
          <cell r="H170">
            <v>280000</v>
          </cell>
          <cell r="J170">
            <v>4200000</v>
          </cell>
        </row>
        <row r="171">
          <cell r="E171" t="str">
            <v/>
          </cell>
          <cell r="F171" t="str">
            <v>THU TIỀN ĐƠN LÊ KHẢ TÚ 18/6/2025</v>
          </cell>
          <cell r="G171" t="str">
            <v>THU - K.LẺ (TM)</v>
          </cell>
          <cell r="H171">
            <v>433000</v>
          </cell>
          <cell r="J171">
            <v>4633000</v>
          </cell>
        </row>
        <row r="172">
          <cell r="E172" t="str">
            <v/>
          </cell>
          <cell r="F172" t="str">
            <v>THU TIỀN ĐƠN PHẠM NGHIÊM TRAI 19/6/2025</v>
          </cell>
          <cell r="G172" t="str">
            <v>THU - K.SỈ (TM)</v>
          </cell>
          <cell r="H172">
            <v>705000</v>
          </cell>
          <cell r="J172">
            <v>5338000</v>
          </cell>
        </row>
        <row r="173">
          <cell r="E173" t="str">
            <v>PC64</v>
          </cell>
          <cell r="F173" t="str">
            <v>TT mua trái cây và bông cúng VP 22 KVC ngày 25/06/2025</v>
          </cell>
          <cell r="G173" t="str">
            <v>CHI - VĂN PHÒNG</v>
          </cell>
          <cell r="I173">
            <v>70000</v>
          </cell>
          <cell r="J173">
            <v>5268000</v>
          </cell>
        </row>
        <row r="174">
          <cell r="E174" t="str">
            <v>PC65</v>
          </cell>
          <cell r="F174" t="str">
            <v>TT gửi thư hợp đông cho KamPong Hà nội ngày 23/06/2025</v>
          </cell>
          <cell r="G174" t="str">
            <v>CHI - VĂN PHÒNG</v>
          </cell>
          <cell r="I174">
            <v>38000</v>
          </cell>
          <cell r="J174">
            <v>5230000</v>
          </cell>
        </row>
        <row r="175">
          <cell r="E175" t="str">
            <v>PC66</v>
          </cell>
          <cell r="F175" t="str">
            <v>TT gửi thư cho khách ngày 19/06/2025</v>
          </cell>
          <cell r="G175" t="str">
            <v>CHI - VĂN PHÒNG</v>
          </cell>
          <cell r="I175">
            <v>32000</v>
          </cell>
          <cell r="J175">
            <v>5198000</v>
          </cell>
        </row>
        <row r="176">
          <cell r="E176" t="str">
            <v>PC67</v>
          </cell>
          <cell r="F176" t="str">
            <v>TT gửi thư cho bia tuyết 26/6/2025</v>
          </cell>
          <cell r="G176" t="str">
            <v>CHI - VĂN PHÒNG</v>
          </cell>
          <cell r="I176">
            <v>38000</v>
          </cell>
          <cell r="J176">
            <v>5160000</v>
          </cell>
        </row>
        <row r="177">
          <cell r="E177" t="str">
            <v>PC68</v>
          </cell>
          <cell r="F177" t="str">
            <v xml:space="preserve">TT mua vpp giấy a4 </v>
          </cell>
          <cell r="G177" t="str">
            <v>CHI - VĂN PHÒNG</v>
          </cell>
          <cell r="I177">
            <v>1405000</v>
          </cell>
          <cell r="J177">
            <v>3755000</v>
          </cell>
        </row>
        <row r="178">
          <cell r="E178" t="str">
            <v/>
          </cell>
          <cell r="F178" t="str">
            <v>THU TIỀN ĐƠN ANH PHÚ 26/6/2025</v>
          </cell>
          <cell r="G178" t="str">
            <v>THU - K.LẺ (TM)</v>
          </cell>
          <cell r="H178">
            <v>232000</v>
          </cell>
          <cell r="J178">
            <v>3987000</v>
          </cell>
        </row>
        <row r="179">
          <cell r="E179" t="str">
            <v/>
          </cell>
          <cell r="F179" t="str">
            <v>THU TIỀN ĐƠN ANH PHÚ 27/6/2025</v>
          </cell>
          <cell r="G179" t="str">
            <v>THU - K.LẺ (TM)</v>
          </cell>
          <cell r="H179">
            <v>342000</v>
          </cell>
          <cell r="J179">
            <v>4329000</v>
          </cell>
        </row>
        <row r="180">
          <cell r="E180" t="str">
            <v/>
          </cell>
          <cell r="F180" t="str">
            <v>THU TIỀN ĐƠN NHẬT ĐIỀN 30/6/2025</v>
          </cell>
          <cell r="G180" t="str">
            <v>THU - K.LẺ (TM)</v>
          </cell>
          <cell r="H180">
            <v>145000</v>
          </cell>
          <cell r="J180">
            <v>4474000</v>
          </cell>
        </row>
        <row r="181">
          <cell r="E181" t="str">
            <v/>
          </cell>
          <cell r="F181" t="str">
            <v>THU TIỀN ĐƠN TRIỆU VP 30/6/2025</v>
          </cell>
          <cell r="G181" t="str">
            <v>THU - K.LẺ (TM)</v>
          </cell>
          <cell r="H181">
            <v>25000</v>
          </cell>
          <cell r="J181">
            <v>4499000</v>
          </cell>
        </row>
        <row r="182">
          <cell r="E182" t="str">
            <v>PC69</v>
          </cell>
          <cell r="F182" t="str">
            <v>TT mua mực đỏ và xanh cho kho ngày 30/6/2025</v>
          </cell>
          <cell r="G182" t="str">
            <v>CHI - VĂN PHÒNG</v>
          </cell>
          <cell r="I182">
            <v>232000</v>
          </cell>
          <cell r="J182">
            <v>4267000</v>
          </cell>
        </row>
        <row r="183">
          <cell r="E183" t="str">
            <v>PC70</v>
          </cell>
          <cell r="F183" t="str">
            <v>Gửi thư cho a Lãnh ngày 30/06/2025</v>
          </cell>
          <cell r="G183" t="str">
            <v>CHI - VĂN PHÒNG</v>
          </cell>
          <cell r="I183">
            <v>22000</v>
          </cell>
          <cell r="J183">
            <v>4245000</v>
          </cell>
        </row>
        <row r="184">
          <cell r="E184" t="str">
            <v>PC71</v>
          </cell>
          <cell r="F184" t="str">
            <v>TT mua đồ tẩy rửa nhà vệ sinh ngày 25/6/2025</v>
          </cell>
          <cell r="G184" t="str">
            <v>CHI - VĂN PHÒNG</v>
          </cell>
          <cell r="I184">
            <v>72000</v>
          </cell>
          <cell r="J184">
            <v>4173000</v>
          </cell>
        </row>
        <row r="185">
          <cell r="E185" t="str">
            <v>PC72</v>
          </cell>
          <cell r="F185" t="str">
            <v>TT gửi thư Bia Tuyết ngày 26/6/2025</v>
          </cell>
          <cell r="G185" t="str">
            <v>CHI - VĂN PHÒNG</v>
          </cell>
          <cell r="I185">
            <v>38000</v>
          </cell>
          <cell r="J185">
            <v>4135000</v>
          </cell>
        </row>
        <row r="186">
          <cell r="E186" t="str">
            <v>PC73</v>
          </cell>
          <cell r="F186" t="str">
            <v>TT mua cơm mặn + cơm chay làm kim chi ngày 11/07/2025</v>
          </cell>
          <cell r="G186" t="str">
            <v>CHI - KHO</v>
          </cell>
          <cell r="I186">
            <v>150000</v>
          </cell>
          <cell r="J186">
            <v>3985000</v>
          </cell>
        </row>
        <row r="187">
          <cell r="E187" t="str">
            <v>PC74</v>
          </cell>
          <cell r="F187" t="str">
            <v>TT mua 2 cuốn sổ ghi cho kho ngày 12/07/2025</v>
          </cell>
          <cell r="G187" t="str">
            <v>CHI - KHO</v>
          </cell>
          <cell r="I187">
            <v>100000</v>
          </cell>
          <cell r="J187">
            <v>3885000</v>
          </cell>
        </row>
        <row r="188">
          <cell r="E188" t="str">
            <v>PC75</v>
          </cell>
          <cell r="F188" t="str">
            <v>TT chi phí gửi thư cho F.House, KamPong, SVN</v>
          </cell>
          <cell r="G188" t="str">
            <v>CHI - VĂN PHÒNG</v>
          </cell>
          <cell r="I188">
            <v>152000</v>
          </cell>
          <cell r="J188">
            <v>3733000</v>
          </cell>
        </row>
        <row r="189">
          <cell r="E189" t="str">
            <v/>
          </cell>
          <cell r="F189" t="str">
            <v>THU TIỀN CN NHÀ GỖ 9/6-16/6/2025</v>
          </cell>
          <cell r="G189" t="str">
            <v>THU - K.SỈ (TM)</v>
          </cell>
          <cell r="H189">
            <v>3977000</v>
          </cell>
          <cell r="J189">
            <v>7710000</v>
          </cell>
        </row>
        <row r="190">
          <cell r="E190" t="str">
            <v/>
          </cell>
          <cell r="F190" t="str">
            <v>THU TIỀN ĐƠN DUY HƯNG 13/7/2025</v>
          </cell>
          <cell r="G190" t="str">
            <v>THU - K.LẺ (TM)</v>
          </cell>
          <cell r="H190">
            <v>92000</v>
          </cell>
          <cell r="J190">
            <v>7802000</v>
          </cell>
        </row>
        <row r="191">
          <cell r="E191" t="str">
            <v/>
          </cell>
          <cell r="F191" t="str">
            <v>THU TIỀN ĐƠN BIỂN VIỆT 16/7/2025</v>
          </cell>
          <cell r="G191" t="str">
            <v>THU - K.LẺ (TM)</v>
          </cell>
          <cell r="H191">
            <v>227000</v>
          </cell>
          <cell r="J191">
            <v>8029000</v>
          </cell>
        </row>
        <row r="192">
          <cell r="E192" t="str">
            <v/>
          </cell>
          <cell r="F192" t="str">
            <v>THU TIỀN ĐƠN BIỂN VIỆT 18/7/2025</v>
          </cell>
          <cell r="G192" t="str">
            <v>THU - K.LẺ (TM)</v>
          </cell>
          <cell r="H192">
            <v>371000</v>
          </cell>
          <cell r="J192">
            <v>8400000</v>
          </cell>
        </row>
        <row r="193">
          <cell r="E193" t="str">
            <v/>
          </cell>
          <cell r="F193" t="str">
            <v>THU TIỀN ĐƠN MỸ PHƯƠNG 8/7/2025</v>
          </cell>
          <cell r="G193" t="str">
            <v>THU - K.LẺ (TM)</v>
          </cell>
          <cell r="H193">
            <v>135000</v>
          </cell>
          <cell r="J193">
            <v>8535000</v>
          </cell>
        </row>
        <row r="194">
          <cell r="E194" t="str">
            <v/>
          </cell>
          <cell r="F194" t="str">
            <v>THU TIỀN ĐƠN CÔ ÁNH 21/7/2025</v>
          </cell>
          <cell r="G194" t="str">
            <v>THU - K.LẺ (TM)</v>
          </cell>
          <cell r="H194">
            <v>295000</v>
          </cell>
          <cell r="J194">
            <v>8830000</v>
          </cell>
        </row>
        <row r="195">
          <cell r="E195" t="str">
            <v>PC76</v>
          </cell>
          <cell r="F195" t="str">
            <v>Chi tiền gửi thư 25/6, 5/7, 16/7,17/7,23/7/2025</v>
          </cell>
          <cell r="G195" t="str">
            <v>CHI - VĂN PHÒNG</v>
          </cell>
          <cell r="I195">
            <v>186000</v>
          </cell>
          <cell r="J195">
            <v>8644000</v>
          </cell>
        </row>
        <row r="196">
          <cell r="E196" t="str">
            <v>PC77</v>
          </cell>
          <cell r="F196" t="str">
            <v>Chii tiền mua nhang bàn thờ thổ địa 21/7/2025</v>
          </cell>
          <cell r="G196" t="str">
            <v>CHI - VĂN PHÒNG</v>
          </cell>
          <cell r="I196">
            <v>50000</v>
          </cell>
          <cell r="J196">
            <v>8594000</v>
          </cell>
        </row>
        <row r="197">
          <cell r="E197" t="str">
            <v>PC78</v>
          </cell>
          <cell r="F197" t="str">
            <v>Chi tiền mua vim vs, nước lau sàn, nước rửa tay 22/7/2025</v>
          </cell>
          <cell r="G197" t="str">
            <v>CHI - VĂN PHÒNG</v>
          </cell>
          <cell r="I197">
            <v>121000</v>
          </cell>
          <cell r="J197">
            <v>8473000</v>
          </cell>
        </row>
        <row r="198">
          <cell r="E198" t="str">
            <v>PC79</v>
          </cell>
          <cell r="F198" t="str">
            <v>CHI MUA GIẤY A4, BÚT LÔNG</v>
          </cell>
          <cell r="G198" t="str">
            <v>CHI - VĂN PHÒNG</v>
          </cell>
          <cell r="I198">
            <v>1516000</v>
          </cell>
          <cell r="J198">
            <v>6957000</v>
          </cell>
        </row>
        <row r="199">
          <cell r="E199" t="str">
            <v/>
          </cell>
          <cell r="F199" t="str">
            <v>THU TIỀN ĐƠN KHO MUA THƠM TRÁI</v>
          </cell>
          <cell r="G199" t="str">
            <v>THU - K.LẺ (TM)</v>
          </cell>
          <cell r="H199">
            <v>20000</v>
          </cell>
          <cell r="J199">
            <v>6977000</v>
          </cell>
        </row>
        <row r="200">
          <cell r="E200" t="str">
            <v/>
          </cell>
          <cell r="F200" t="str">
            <v>THU TIỀN ĐƠN TẠ THỊ LAN (NV)</v>
          </cell>
          <cell r="G200" t="str">
            <v>THU - K.LẺ (TM)</v>
          </cell>
          <cell r="H200">
            <v>30000</v>
          </cell>
          <cell r="J200">
            <v>7007000</v>
          </cell>
        </row>
        <row r="201">
          <cell r="E201" t="str">
            <v/>
          </cell>
          <cell r="F201" t="str">
            <v>THU TIỀN ĐƠN TRIỆU VP 03/08/2025</v>
          </cell>
          <cell r="G201" t="str">
            <v>THU - K.LẺ (TM)</v>
          </cell>
          <cell r="H201">
            <v>51000</v>
          </cell>
          <cell r="J201">
            <v>7058000</v>
          </cell>
        </row>
        <row r="202">
          <cell r="E202" t="str">
            <v>PC80</v>
          </cell>
          <cell r="F202" t="str">
            <v>TT gửi thư cho khách ở Hà Nội (3 khách)</v>
          </cell>
          <cell r="G202" t="str">
            <v>CHI - VĂN PHÒNG</v>
          </cell>
          <cell r="I202">
            <v>109000</v>
          </cell>
          <cell r="J202">
            <v>6949000</v>
          </cell>
        </row>
        <row r="203">
          <cell r="E203" t="str">
            <v>PC81</v>
          </cell>
          <cell r="F203" t="str">
            <v>Chi mua hoa cúng thần tài 8/8/2025</v>
          </cell>
          <cell r="G203" t="str">
            <v>CHI - VĂN PHÒNG</v>
          </cell>
          <cell r="I203">
            <v>90000</v>
          </cell>
          <cell r="J203">
            <v>6859000</v>
          </cell>
        </row>
        <row r="204">
          <cell r="E204" t="str">
            <v>PC82</v>
          </cell>
          <cell r="F204" t="str">
            <v>Chi tiền lương tháng 7/2025 thiếu</v>
          </cell>
          <cell r="G204" t="str">
            <v>CHI - LƯƠNG</v>
          </cell>
          <cell r="I204">
            <v>21000</v>
          </cell>
          <cell r="J204">
            <v>6838000</v>
          </cell>
        </row>
        <row r="205">
          <cell r="E205" t="str">
            <v>PC83</v>
          </cell>
          <cell r="F205" t="str">
            <v>Chi tiền bảo vệ kho 30 KVC tháng 7/2025</v>
          </cell>
          <cell r="G205" t="str">
            <v>CHI - CỐ ĐỊNH</v>
          </cell>
          <cell r="I205">
            <v>1000000</v>
          </cell>
          <cell r="J205">
            <v>5838000</v>
          </cell>
        </row>
        <row r="206">
          <cell r="E206" t="str">
            <v/>
          </cell>
          <cell r="F206" t="str">
            <v>THU TIỀN ĐƠN LÊ KHẢ TÚ 12/08/2025</v>
          </cell>
          <cell r="G206" t="str">
            <v>THU - K.LẺ (TM)</v>
          </cell>
          <cell r="H206">
            <v>505000</v>
          </cell>
          <cell r="J206">
            <v>6343000</v>
          </cell>
        </row>
        <row r="207">
          <cell r="E207" t="str">
            <v>PC84</v>
          </cell>
          <cell r="F207" t="str">
            <v>Chi mua vpp - kèm chứng từ</v>
          </cell>
          <cell r="G207" t="str">
            <v>CHI - VĂN PHÒNG</v>
          </cell>
          <cell r="I207">
            <v>1736000</v>
          </cell>
          <cell r="J207">
            <v>4607000</v>
          </cell>
        </row>
        <row r="208">
          <cell r="E208" t="str">
            <v>PC85</v>
          </cell>
          <cell r="F208" t="str">
            <v>Chi gửi thư KamPong ngày 13/08/2025</v>
          </cell>
          <cell r="G208" t="str">
            <v>CHI - VĂN PHÒNG</v>
          </cell>
          <cell r="I208">
            <v>39000</v>
          </cell>
          <cell r="J208">
            <v>4568000</v>
          </cell>
        </row>
        <row r="209">
          <cell r="E209" t="str">
            <v/>
          </cell>
          <cell r="F209" t="str">
            <v>THU TIỀN LA CHÂT NGÀY 6+7/8/2025</v>
          </cell>
          <cell r="G209" t="str">
            <v>THU - K.SỈ (TM)</v>
          </cell>
          <cell r="H209">
            <v>4564000</v>
          </cell>
          <cell r="J209">
            <v>9132000</v>
          </cell>
        </row>
        <row r="210">
          <cell r="E210" t="str">
            <v/>
          </cell>
          <cell r="F210" t="str">
            <v>THU TIỀN ĐƠN MỸ LINH 19/8/2025</v>
          </cell>
          <cell r="G210" t="str">
            <v>THU - K.LẺ (TM)</v>
          </cell>
          <cell r="H210">
            <v>455000</v>
          </cell>
          <cell r="J210">
            <v>9587000</v>
          </cell>
        </row>
        <row r="211">
          <cell r="E211" t="str">
            <v>PC86</v>
          </cell>
          <cell r="F211" t="str">
            <v>TT làm dấu chữ ký a thiện + dấu tên a LÃnh ngày 19/08/2025</v>
          </cell>
          <cell r="G211" t="str">
            <v>CHI - VĂN PHÒNG</v>
          </cell>
          <cell r="I211">
            <v>370000</v>
          </cell>
          <cell r="J211">
            <v>9217000</v>
          </cell>
        </row>
        <row r="212">
          <cell r="E212" t="str">
            <v>PC87</v>
          </cell>
          <cell r="F212" t="str">
            <v>Chi mua 10 bịch khăn giấy treo tường</v>
          </cell>
          <cell r="G212" t="str">
            <v>CHI - VĂN PHÒNG</v>
          </cell>
          <cell r="I212">
            <v>117000</v>
          </cell>
          <cell r="J212">
            <v>9100000</v>
          </cell>
        </row>
        <row r="213">
          <cell r="E213" t="str">
            <v>PC88</v>
          </cell>
          <cell r="F213" t="str">
            <v>Chi gửi thư cho F.housse 26/08/2025</v>
          </cell>
          <cell r="G213" t="str">
            <v>CHI - VĂN PHÒNG</v>
          </cell>
          <cell r="I213">
            <v>38000</v>
          </cell>
          <cell r="J213">
            <v>9062000</v>
          </cell>
          <cell r="M213" t="str">
            <v>Lê Thành Hoàng</v>
          </cell>
        </row>
        <row r="214">
          <cell r="E214" t="str">
            <v/>
          </cell>
          <cell r="F214" t="str">
            <v>THU TIỀN THANH LÝ BẮP</v>
          </cell>
          <cell r="G214" t="str">
            <v>THU - K.LẺ (TM)</v>
          </cell>
          <cell r="H214">
            <v>1450000</v>
          </cell>
          <cell r="J214">
            <v>10512000</v>
          </cell>
        </row>
        <row r="215">
          <cell r="E215" t="str">
            <v/>
          </cell>
          <cell r="F215" t="str">
            <v>THU TIỀN ĐƠN PACHI 27/8/2025</v>
          </cell>
          <cell r="G215" t="str">
            <v>THU - K.SỈ (TM)</v>
          </cell>
          <cell r="H215">
            <v>1429000</v>
          </cell>
          <cell r="J215">
            <v>11941000</v>
          </cell>
        </row>
        <row r="216">
          <cell r="E216" t="str">
            <v/>
          </cell>
          <cell r="F216" t="str">
            <v>THU TIỀN ĐƠN PACHI 28/8/2025</v>
          </cell>
          <cell r="G216" t="str">
            <v>THU - K.SỈ (TM)</v>
          </cell>
          <cell r="H216">
            <v>697000</v>
          </cell>
          <cell r="J216">
            <v>12638000</v>
          </cell>
          <cell r="M216" t="str">
            <v>Trần Hữu Lãnh</v>
          </cell>
        </row>
        <row r="217">
          <cell r="E217" t="str">
            <v/>
          </cell>
          <cell r="F217" t="str">
            <v>THU TIỀN ĐƠN PACHI 29/8/2025</v>
          </cell>
          <cell r="G217" t="str">
            <v>THU - K.SỈ (TM)</v>
          </cell>
          <cell r="H217">
            <v>763000</v>
          </cell>
          <cell r="J217">
            <v>13401000</v>
          </cell>
        </row>
        <row r="218">
          <cell r="E218" t="str">
            <v/>
          </cell>
          <cell r="F218" t="str">
            <v>THU TIỀN ĐƠN PACHI 31/8/2025</v>
          </cell>
          <cell r="G218" t="str">
            <v>THU - K.SỈ (TM)</v>
          </cell>
          <cell r="H218">
            <v>310000</v>
          </cell>
          <cell r="J218">
            <v>13711000</v>
          </cell>
        </row>
        <row r="219">
          <cell r="E219" t="str">
            <v/>
          </cell>
          <cell r="F219" t="str">
            <v>THU TIỀN ĐƠN PACHI 01/9/2025</v>
          </cell>
          <cell r="G219" t="str">
            <v>THU - K.SỈ (TM)</v>
          </cell>
          <cell r="H219">
            <v>572000</v>
          </cell>
          <cell r="J219">
            <v>14283000</v>
          </cell>
        </row>
        <row r="220">
          <cell r="E220" t="str">
            <v/>
          </cell>
          <cell r="F220" t="str">
            <v>THU TIỀN ĐƠN PACHI 02/9/2025</v>
          </cell>
          <cell r="G220" t="str">
            <v>THU - K.SỈ (TM)</v>
          </cell>
          <cell r="H220">
            <v>233000</v>
          </cell>
          <cell r="J220">
            <v>14516000</v>
          </cell>
        </row>
        <row r="221">
          <cell r="E221" t="str">
            <v/>
          </cell>
          <cell r="F221" t="str">
            <v>THU TIỀN ĐƠN PACHI 03/9/2025</v>
          </cell>
          <cell r="G221" t="str">
            <v>THU - K.SỈ (TM)</v>
          </cell>
          <cell r="H221">
            <v>770000</v>
          </cell>
          <cell r="J221">
            <v>15286000</v>
          </cell>
        </row>
        <row r="222">
          <cell r="E222" t="str">
            <v>PC89</v>
          </cell>
          <cell r="F222" t="str">
            <v>Chi mua 2 cái bàn văn phòng</v>
          </cell>
          <cell r="G222" t="str">
            <v>CHI - VĂN PHÒNG</v>
          </cell>
          <cell r="I222">
            <v>644000</v>
          </cell>
          <cell r="J222">
            <v>14642000</v>
          </cell>
        </row>
        <row r="223">
          <cell r="E223" t="str">
            <v>PC90</v>
          </cell>
          <cell r="F223" t="str">
            <v xml:space="preserve">Chi mua băng keo cuộn trong </v>
          </cell>
          <cell r="G223" t="str">
            <v>CHI - KHO</v>
          </cell>
          <cell r="I223">
            <v>2493000</v>
          </cell>
          <cell r="J223">
            <v>12149000</v>
          </cell>
        </row>
        <row r="224">
          <cell r="E224" t="str">
            <v>PC91</v>
          </cell>
          <cell r="F224" t="str">
            <v>Chi hỗ trợ tiền bảo vệ tháng 6+8/2025</v>
          </cell>
          <cell r="G224" t="str">
            <v>CHI - CỐ ĐỊNH</v>
          </cell>
          <cell r="I224">
            <v>2000000</v>
          </cell>
          <cell r="J224">
            <v>10149000</v>
          </cell>
        </row>
        <row r="225">
          <cell r="E225" t="str">
            <v>PC92</v>
          </cell>
          <cell r="F225" t="str">
            <v>Chi mua 1 kg nấm hoàng kim - nhà cung cấp Nấm Xanh ngày 12/9/2025</v>
          </cell>
          <cell r="G225" t="str">
            <v>CHI - MUA HÀNG</v>
          </cell>
          <cell r="I225">
            <v>170000</v>
          </cell>
          <cell r="J225">
            <v>9979000</v>
          </cell>
        </row>
        <row r="226">
          <cell r="E226" t="str">
            <v>PC93</v>
          </cell>
          <cell r="F226" t="str">
            <v>Chi tiền An toàn vệ sinh thực phẩm ngày 15/9/2025</v>
          </cell>
          <cell r="G226" t="str">
            <v>CHI - KHÁC</v>
          </cell>
          <cell r="I226">
            <v>2000000</v>
          </cell>
          <cell r="J226">
            <v>7979000</v>
          </cell>
        </row>
        <row r="227">
          <cell r="E227" t="str">
            <v>PC94</v>
          </cell>
          <cell r="F227" t="str">
            <v>Chi tiền An toàn vệ sinh thực phẩm ngày 15/9/2025 - lần 2</v>
          </cell>
          <cell r="G227" t="str">
            <v>CHI - KHÁC</v>
          </cell>
          <cell r="I227">
            <v>500000</v>
          </cell>
          <cell r="J227">
            <v>7479000</v>
          </cell>
        </row>
        <row r="228">
          <cell r="E228" t="str">
            <v>PC95</v>
          </cell>
          <cell r="F228" t="str">
            <v>Chi tiền An toàn vệ sinh thực phẩm ngày 15/9/2025 - lần 3</v>
          </cell>
          <cell r="G228" t="str">
            <v>CHI - KHÁC</v>
          </cell>
          <cell r="I228">
            <v>3500000</v>
          </cell>
          <cell r="J228">
            <v>3979000</v>
          </cell>
        </row>
        <row r="229">
          <cell r="E229" t="str">
            <v/>
          </cell>
          <cell r="F229" t="str">
            <v>THU TIỀN ĐƠN PACHI 08/9/2025</v>
          </cell>
          <cell r="G229" t="str">
            <v>THU - K.SỈ (TM)</v>
          </cell>
          <cell r="H229">
            <v>267000</v>
          </cell>
          <cell r="J229">
            <v>4246000</v>
          </cell>
        </row>
        <row r="230">
          <cell r="E230" t="str">
            <v/>
          </cell>
          <cell r="F230" t="str">
            <v>THU TIỀN ĐƠN PACHI 09/9/2025</v>
          </cell>
          <cell r="G230" t="str">
            <v>THU - K.SỈ (TM)</v>
          </cell>
          <cell r="H230">
            <v>503000</v>
          </cell>
          <cell r="J230">
            <v>4749000</v>
          </cell>
        </row>
        <row r="231">
          <cell r="F231" t="str">
            <v>THU TIỀN ĐƠN PACHI 16/9/2025</v>
          </cell>
          <cell r="G231" t="str">
            <v>THU - K.SỈ (TM)</v>
          </cell>
          <cell r="H231">
            <v>806000</v>
          </cell>
          <cell r="J231">
            <v>5555000</v>
          </cell>
        </row>
        <row r="232">
          <cell r="E232" t="str">
            <v>PC96</v>
          </cell>
          <cell r="F232" t="str">
            <v>Chi tiền gửi 2 bì thư cho khách (có kèm 2 chứng từ)</v>
          </cell>
          <cell r="G232" t="str">
            <v>CHI - VĂN PHÒNG</v>
          </cell>
          <cell r="I232">
            <v>71000</v>
          </cell>
          <cell r="J232">
            <v>5484000</v>
          </cell>
          <cell r="M232" t="str">
            <v>Lê Thành Hoàng</v>
          </cell>
        </row>
        <row r="233">
          <cell r="E233" t="str">
            <v>PC97</v>
          </cell>
          <cell r="F233" t="str">
            <v>Chi mua túi rác đen lốc 3 cuộn</v>
          </cell>
          <cell r="G233" t="str">
            <v>CHI - VĂN PHÒNG</v>
          </cell>
          <cell r="I233">
            <v>59000</v>
          </cell>
          <cell r="J233">
            <v>5425000</v>
          </cell>
          <cell r="M233" t="str">
            <v>Đỗ Mộng Chúc Anh</v>
          </cell>
        </row>
        <row r="234">
          <cell r="E234" t="str">
            <v/>
          </cell>
          <cell r="F234" t="str">
            <v>THU TIỀN ĐƠN TRIỆU VP 25/9/2025</v>
          </cell>
          <cell r="G234" t="str">
            <v>THU - K.LẺ (TM)</v>
          </cell>
          <cell r="H234">
            <v>25000</v>
          </cell>
          <cell r="J234">
            <v>5450000</v>
          </cell>
        </row>
        <row r="235">
          <cell r="E235" t="str">
            <v/>
          </cell>
          <cell r="F235" t="str">
            <v>THU TIỀN PACHI NGÀY 21+22+23/9/2025</v>
          </cell>
          <cell r="G235" t="str">
            <v>THU - K.SỈ (TM)</v>
          </cell>
          <cell r="H235">
            <v>1810000</v>
          </cell>
          <cell r="J235">
            <v>7260000</v>
          </cell>
        </row>
        <row r="236">
          <cell r="E236" t="str">
            <v/>
          </cell>
          <cell r="F236" t="str">
            <v>THU TIỀN ĐƠN TẠ THỊ LAN (NV) 28/9/2025</v>
          </cell>
          <cell r="G236" t="str">
            <v>THU - K.LẺ (TM)</v>
          </cell>
          <cell r="H236">
            <v>54000</v>
          </cell>
          <cell r="J236">
            <v>7314000</v>
          </cell>
        </row>
        <row r="237">
          <cell r="E237" t="str">
            <v/>
          </cell>
          <cell r="F237" t="str">
            <v>THU TIỀN ĐƠN YẾN NGUYỄN 19/9/2025</v>
          </cell>
          <cell r="G237" t="str">
            <v>THU - K.LẺ (TM)</v>
          </cell>
          <cell r="H237">
            <v>32000</v>
          </cell>
          <cell r="J237">
            <v>7346000</v>
          </cell>
        </row>
        <row r="238">
          <cell r="E238" t="str">
            <v/>
          </cell>
          <cell r="F238" t="str">
            <v>THU TIỀN ĐƠN HIẾU NGHĨA 24/9/2025</v>
          </cell>
          <cell r="G238" t="str">
            <v>THU - K.LẺ (TM)</v>
          </cell>
          <cell r="H238">
            <v>256000</v>
          </cell>
          <cell r="J238">
            <v>7602000</v>
          </cell>
        </row>
        <row r="239">
          <cell r="E239" t="str">
            <v/>
          </cell>
          <cell r="F239" t="str">
            <v>THU TIỀN ĐƠN THANH NHUỆ 30/9/2025</v>
          </cell>
          <cell r="G239" t="str">
            <v>THU - K.LẺ (TM)</v>
          </cell>
          <cell r="H239">
            <v>110000</v>
          </cell>
          <cell r="J239">
            <v>7712000</v>
          </cell>
        </row>
        <row r="240">
          <cell r="E240" t="str">
            <v/>
          </cell>
          <cell r="F240" t="str">
            <v>THU TIỀN ĐƠN MẠNH TOÀN 28/9/2025</v>
          </cell>
          <cell r="G240" t="str">
            <v>THU - K.LẺ (TM)</v>
          </cell>
          <cell r="H240">
            <v>265000</v>
          </cell>
          <cell r="J240">
            <v>7977000</v>
          </cell>
        </row>
        <row r="241">
          <cell r="E241" t="str">
            <v/>
          </cell>
          <cell r="F241" t="str">
            <v>THU TIỀN ĐƠN YẾN NGUYỄN 28/9/2025</v>
          </cell>
          <cell r="G241" t="str">
            <v>THU - K.LẺ (TM)</v>
          </cell>
          <cell r="H241">
            <v>184000</v>
          </cell>
          <cell r="J241">
            <v>8161000</v>
          </cell>
        </row>
        <row r="242">
          <cell r="E242" t="str">
            <v/>
          </cell>
          <cell r="F242" t="str">
            <v>THU TIỀN ĐƠN BỈNH HẢI 28/9/2025</v>
          </cell>
          <cell r="G242" t="str">
            <v>THU - K.LẺ (TM)</v>
          </cell>
          <cell r="H242">
            <v>169000</v>
          </cell>
          <cell r="J242">
            <v>8330000</v>
          </cell>
        </row>
        <row r="243">
          <cell r="E243" t="str">
            <v/>
          </cell>
          <cell r="F243" t="str">
            <v>THU TIỀN ĐƠN PACHI TỪ NGÀY 24/9 ĐẾN 28/9/2025</v>
          </cell>
          <cell r="G243" t="str">
            <v>THU - K.SỈ (TM)</v>
          </cell>
          <cell r="H243">
            <v>3052000</v>
          </cell>
          <cell r="J243">
            <v>11382000</v>
          </cell>
        </row>
        <row r="244">
          <cell r="E244" t="str">
            <v>PC98</v>
          </cell>
          <cell r="F244" t="str">
            <v>Chi gửi tiền làm hồ sơ ngân hàng</v>
          </cell>
          <cell r="G244" t="str">
            <v>CHI - KHÁC</v>
          </cell>
          <cell r="I244">
            <v>1000000</v>
          </cell>
          <cell r="J244">
            <v>10382000</v>
          </cell>
          <cell r="M244" t="str">
            <v>Trần Hữu Lãnh</v>
          </cell>
        </row>
        <row r="245">
          <cell r="E245" t="str">
            <v>PC99</v>
          </cell>
          <cell r="F245" t="str">
            <v>Chi tiền mua giấy A4 excel</v>
          </cell>
          <cell r="G245" t="str">
            <v>CHI - VĂN PHÒNG</v>
          </cell>
          <cell r="I245">
            <v>1405000</v>
          </cell>
          <cell r="J245">
            <v>8977000</v>
          </cell>
        </row>
        <row r="246">
          <cell r="E246" t="str">
            <v>PC100</v>
          </cell>
          <cell r="F246" t="str">
            <v xml:space="preserve">Chi tiền lương tháng 9/2025 </v>
          </cell>
          <cell r="G246" t="str">
            <v>CHI - LƯƠNG</v>
          </cell>
          <cell r="I246">
            <v>397000</v>
          </cell>
          <cell r="J246">
            <v>8580000</v>
          </cell>
          <cell r="M246" t="str">
            <v>Nguyễn Ngọc Tuyến</v>
          </cell>
        </row>
        <row r="247">
          <cell r="E247" t="str">
            <v/>
          </cell>
          <cell r="F247" t="str">
            <v>Nhập quỹ tiền mặt lương tháng 9/2025</v>
          </cell>
          <cell r="G247" t="str">
            <v>NHẬP QUỸ</v>
          </cell>
          <cell r="H247">
            <v>20000000</v>
          </cell>
          <cell r="J247">
            <v>28580000</v>
          </cell>
          <cell r="L247" t="str">
            <v>Trần Hữu Lãnh</v>
          </cell>
        </row>
        <row r="248">
          <cell r="E248" t="str">
            <v>PC101</v>
          </cell>
          <cell r="F248" t="str">
            <v>Chi lương tiền mặt tháng 9/2025 theo danh sách lương tiền mặt</v>
          </cell>
          <cell r="G248" t="str">
            <v>CHI - LƯƠNG</v>
          </cell>
          <cell r="I248">
            <v>22267000</v>
          </cell>
          <cell r="J248">
            <v>6313000</v>
          </cell>
          <cell r="M248" t="str">
            <v>Nhân viên kho</v>
          </cell>
        </row>
        <row r="249">
          <cell r="E249" t="str">
            <v>PC102</v>
          </cell>
          <cell r="F249" t="str">
            <v>Chi tiền gửi thư La Chât, F.house &amp; chuỗi nhà hàng SVN ngày 11/10/2025</v>
          </cell>
          <cell r="G249" t="str">
            <v>CHI - VĂN PHÒNG</v>
          </cell>
          <cell r="I249">
            <v>165000</v>
          </cell>
          <cell r="J249">
            <v>6148000</v>
          </cell>
          <cell r="M249" t="str">
            <v>Lê Thành Hoàng</v>
          </cell>
        </row>
        <row r="250">
          <cell r="E250" t="str">
            <v/>
          </cell>
          <cell r="F250" t="str">
            <v>THU TIỀN ĐƠN THANH THÚY VP 06/10/2025</v>
          </cell>
          <cell r="G250" t="str">
            <v>THU - K.LẺ (TM)</v>
          </cell>
          <cell r="H250">
            <v>7000</v>
          </cell>
          <cell r="J250">
            <v>6155000</v>
          </cell>
        </row>
        <row r="251">
          <cell r="E251" t="str">
            <v/>
          </cell>
          <cell r="F251" t="str">
            <v>THU TIỀN DANH SÁCH KHÁCH LẺ NHÂN GIỮ</v>
          </cell>
          <cell r="G251" t="str">
            <v>THU - K.LẺ (TM)</v>
          </cell>
          <cell r="H251">
            <v>4500000</v>
          </cell>
          <cell r="J251">
            <v>10655000</v>
          </cell>
        </row>
        <row r="252">
          <cell r="E252" t="str">
            <v/>
          </cell>
          <cell r="F252" t="str">
            <v>THU TIỀN ĐƠN ANH HUY 7/10/2025</v>
          </cell>
          <cell r="G252" t="str">
            <v>THU - K.LẺ (TM)</v>
          </cell>
          <cell r="H252">
            <v>37000</v>
          </cell>
          <cell r="J252">
            <v>10692000</v>
          </cell>
        </row>
        <row r="253">
          <cell r="E253" t="str">
            <v/>
          </cell>
          <cell r="F253" t="str">
            <v>THU TIỀN ĐƠN MẠNH TOÀN 8/10/2025</v>
          </cell>
          <cell r="G253" t="str">
            <v>THU - K.LẺ (TM)</v>
          </cell>
          <cell r="H253">
            <v>186000</v>
          </cell>
          <cell r="J253">
            <v>10878000</v>
          </cell>
        </row>
        <row r="254">
          <cell r="E254" t="str">
            <v/>
          </cell>
          <cell r="F254" t="str">
            <v>THU TIỀN ĐƠN CHỊ NHUNG 9/10/2025</v>
          </cell>
          <cell r="G254" t="str">
            <v>THU - K.LẺ (TM)</v>
          </cell>
          <cell r="H254">
            <v>335000</v>
          </cell>
          <cell r="J254">
            <v>11213000</v>
          </cell>
        </row>
        <row r="255">
          <cell r="E255" t="str">
            <v/>
          </cell>
          <cell r="F255" t="str">
            <v>THU TIỀN ĐƠN THANH NHUỆ 10/10/2025</v>
          </cell>
          <cell r="G255" t="str">
            <v>THU - K.LẺ (TM)</v>
          </cell>
          <cell r="H255">
            <v>66000</v>
          </cell>
          <cell r="J255">
            <v>11279000</v>
          </cell>
        </row>
        <row r="256">
          <cell r="E256" t="str">
            <v/>
          </cell>
          <cell r="F256" t="str">
            <v>THU TIỀN ĐƠN KIM CHI 11/10/2025</v>
          </cell>
          <cell r="G256" t="str">
            <v>THU - K.LẺ (TM)</v>
          </cell>
          <cell r="H256">
            <v>160000</v>
          </cell>
          <cell r="J256">
            <v>11439000</v>
          </cell>
        </row>
        <row r="257">
          <cell r="E257" t="str">
            <v/>
          </cell>
          <cell r="F257" t="str">
            <v>THU TIỀN ĐƠN PHẠM LOAN 11/10/2025</v>
          </cell>
          <cell r="G257" t="str">
            <v>THU - K.LẺ (TM)</v>
          </cell>
          <cell r="H257">
            <v>390000</v>
          </cell>
          <cell r="J257">
            <v>11829000</v>
          </cell>
        </row>
        <row r="258">
          <cell r="E258" t="str">
            <v/>
          </cell>
          <cell r="F258" t="str">
            <v>THU TIỀN ĐƠN DUY HƯNG 12/10/2025</v>
          </cell>
          <cell r="G258" t="str">
            <v>THU - K.LẺ (TM)</v>
          </cell>
          <cell r="H258">
            <v>80000</v>
          </cell>
          <cell r="J258">
            <v>11909000</v>
          </cell>
        </row>
        <row r="259">
          <cell r="E259" t="str">
            <v/>
          </cell>
          <cell r="F259" t="str">
            <v>THU TIỀN ĐƠN VƯƠNG TRANG 12/10/2025</v>
          </cell>
          <cell r="G259" t="str">
            <v>THU - K.LẺ (TM)</v>
          </cell>
          <cell r="H259">
            <v>275000</v>
          </cell>
          <cell r="J259">
            <v>12184000</v>
          </cell>
        </row>
        <row r="260">
          <cell r="E260" t="str">
            <v/>
          </cell>
          <cell r="F260" t="str">
            <v>THU TIỀN ĐƠN PACHI 6/10/2025</v>
          </cell>
          <cell r="G260" t="str">
            <v>THU - K.SỈ (TM)</v>
          </cell>
          <cell r="H260">
            <v>314000</v>
          </cell>
          <cell r="J260">
            <v>12498000</v>
          </cell>
        </row>
        <row r="261">
          <cell r="E261" t="str">
            <v/>
          </cell>
          <cell r="F261" t="str">
            <v>THU TIỀN ĐƠN PACHI 7/10/2025</v>
          </cell>
          <cell r="G261" t="str">
            <v>THU - K.SỈ (TM)</v>
          </cell>
          <cell r="H261">
            <v>823000</v>
          </cell>
          <cell r="J261">
            <v>13321000</v>
          </cell>
        </row>
        <row r="262">
          <cell r="E262" t="str">
            <v/>
          </cell>
          <cell r="F262" t="str">
            <v>THU TIỀN ĐƠN PACHI 8/10/2025</v>
          </cell>
          <cell r="G262" t="str">
            <v>THU - K.SỈ (TM)</v>
          </cell>
          <cell r="H262">
            <v>398000</v>
          </cell>
          <cell r="J262">
            <v>13719000</v>
          </cell>
        </row>
        <row r="263">
          <cell r="E263" t="str">
            <v/>
          </cell>
          <cell r="F263" t="str">
            <v>THU TIỀN ĐƠN PACHI 9/10/2025</v>
          </cell>
          <cell r="G263" t="str">
            <v>THU - K.SỈ (TM)</v>
          </cell>
          <cell r="H263">
            <v>403000</v>
          </cell>
          <cell r="J263">
            <v>14122000</v>
          </cell>
        </row>
        <row r="264">
          <cell r="E264" t="str">
            <v/>
          </cell>
          <cell r="F264" t="str">
            <v>THU TIỀN ĐƠN PACHI 10/10/2025</v>
          </cell>
          <cell r="G264" t="str">
            <v>THU - K.SỈ (TM)</v>
          </cell>
          <cell r="H264">
            <v>413000</v>
          </cell>
          <cell r="J264">
            <v>14535000</v>
          </cell>
        </row>
        <row r="265">
          <cell r="E265" t="str">
            <v/>
          </cell>
          <cell r="F265" t="str">
            <v>THU TIỀN ĐƠN PACHI 11/10/2025</v>
          </cell>
          <cell r="G265" t="str">
            <v>THU - K.SỈ (TM)</v>
          </cell>
          <cell r="H265">
            <v>393000</v>
          </cell>
          <cell r="J265">
            <v>14928000</v>
          </cell>
        </row>
        <row r="266">
          <cell r="E266" t="str">
            <v/>
          </cell>
          <cell r="F266" t="str">
            <v>THU TIỀN ĐƠN PACHI 13/10/2025</v>
          </cell>
          <cell r="G266" t="str">
            <v>THU - K.SỈ (TM)</v>
          </cell>
          <cell r="H266">
            <v>321000</v>
          </cell>
          <cell r="J266">
            <v>15249000</v>
          </cell>
        </row>
        <row r="267">
          <cell r="E267" t="str">
            <v/>
          </cell>
          <cell r="F267" t="str">
            <v>THU TIỀN ĐƠN PACHI 14/10/2025</v>
          </cell>
          <cell r="G267" t="str">
            <v>THU - K.SỈ (TM)</v>
          </cell>
          <cell r="H267">
            <v>412000</v>
          </cell>
          <cell r="J267">
            <v>15661000</v>
          </cell>
        </row>
        <row r="268">
          <cell r="E268" t="str">
            <v/>
          </cell>
          <cell r="F268" t="str">
            <v>THU TIỀN ĐƠN PACHI 15/10/2025</v>
          </cell>
          <cell r="G268" t="str">
            <v>THU - K.SỈ (TM)</v>
          </cell>
          <cell r="H268">
            <v>590000</v>
          </cell>
          <cell r="J268">
            <v>16251000</v>
          </cell>
        </row>
        <row r="269">
          <cell r="E269" t="str">
            <v/>
          </cell>
          <cell r="F269" t="str">
            <v>THU TIỀN ĐƠN PACHI 16/10/2025</v>
          </cell>
          <cell r="G269" t="str">
            <v>THU - K.SỈ (TM)</v>
          </cell>
          <cell r="H269">
            <v>542000</v>
          </cell>
          <cell r="J269">
            <v>16793000</v>
          </cell>
        </row>
        <row r="270">
          <cell r="E270" t="str">
            <v>PC103</v>
          </cell>
          <cell r="F270" t="str">
            <v>TẠM ỨNG LƯƠNG THÁNG 10/2025</v>
          </cell>
          <cell r="G270" t="str">
            <v>CHI - LƯƠNG</v>
          </cell>
          <cell r="I270">
            <v>15000000</v>
          </cell>
          <cell r="J270">
            <v>1793000</v>
          </cell>
        </row>
        <row r="271">
          <cell r="E271" t="str">
            <v/>
          </cell>
          <cell r="F271" t="str">
            <v>THU TIỀN ĐƠN BÁO</v>
          </cell>
          <cell r="G271" t="str">
            <v>THU - K.LẺ (TM)</v>
          </cell>
          <cell r="H271">
            <v>160000</v>
          </cell>
          <cell r="J271">
            <v>1953000</v>
          </cell>
        </row>
        <row r="272">
          <cell r="E272" t="str">
            <v/>
          </cell>
          <cell r="F272" t="str">
            <v>THU TIỀN KHÁCH SẠN RAMANA</v>
          </cell>
          <cell r="G272" t="str">
            <v>THU - K.LẺ (TM)</v>
          </cell>
          <cell r="H272">
            <v>168000</v>
          </cell>
          <cell r="J272">
            <v>2121000</v>
          </cell>
        </row>
        <row r="273">
          <cell r="E273" t="str">
            <v/>
          </cell>
          <cell r="F273" t="str">
            <v>THU TIỀN ĐƠN BIỂN VIỆT</v>
          </cell>
          <cell r="G273" t="str">
            <v>THU - K.LẺ (TM)</v>
          </cell>
          <cell r="H273">
            <v>175000</v>
          </cell>
          <cell r="J273">
            <v>2296000</v>
          </cell>
        </row>
        <row r="274">
          <cell r="E274" t="str">
            <v/>
          </cell>
          <cell r="F274" t="str">
            <v>THU TIỀN ĐƠN ANH KIỆT</v>
          </cell>
          <cell r="G274" t="str">
            <v>THU - K.LẺ (TM)</v>
          </cell>
          <cell r="H274">
            <v>60000</v>
          </cell>
          <cell r="J274">
            <v>2356000</v>
          </cell>
        </row>
        <row r="275">
          <cell r="E275" t="str">
            <v/>
          </cell>
          <cell r="F275" t="str">
            <v>THU TIỀN ĐƠN ANH NHÀN</v>
          </cell>
          <cell r="G275" t="str">
            <v>THU - K.LẺ (TM)</v>
          </cell>
          <cell r="H275">
            <v>205000</v>
          </cell>
          <cell r="J275">
            <v>2561000</v>
          </cell>
        </row>
        <row r="276">
          <cell r="E276" t="str">
            <v/>
          </cell>
          <cell r="F276" t="str">
            <v>THU TIỀN ĐƠN TRIỆU VP 29/10/2025</v>
          </cell>
          <cell r="G276" t="str">
            <v>THU - K.LẺ (TM)</v>
          </cell>
          <cell r="H276">
            <v>9000</v>
          </cell>
          <cell r="J276">
            <v>2570000</v>
          </cell>
        </row>
        <row r="277">
          <cell r="E277" t="str">
            <v>PC104</v>
          </cell>
          <cell r="F277" t="str">
            <v>CHI MUA 2 CHAI NƯỚC LAU SÀN</v>
          </cell>
          <cell r="G277" t="str">
            <v>CHI - VĂN PHÒNG</v>
          </cell>
          <cell r="I277">
            <v>58000</v>
          </cell>
          <cell r="J277">
            <v>2512000</v>
          </cell>
          <cell r="M277" t="str">
            <v>Đỗ Mộng Chúc Anh</v>
          </cell>
        </row>
        <row r="278">
          <cell r="E278" t="str">
            <v/>
          </cell>
          <cell r="F278" t="str">
            <v>THU TIỀN ĐƠN BẢO KHO</v>
          </cell>
          <cell r="G278" t="str">
            <v>THU - K.LẺ (TM)</v>
          </cell>
          <cell r="H278">
            <v>48000</v>
          </cell>
          <cell r="J278">
            <v>2560000</v>
          </cell>
        </row>
        <row r="279">
          <cell r="E279" t="str">
            <v/>
          </cell>
          <cell r="F279" t="str">
            <v>THU TIỀN DĐƠN LÊ MAI 31/10/2025</v>
          </cell>
          <cell r="G279" t="str">
            <v>THU - K.LẺ (TM)</v>
          </cell>
          <cell r="H279">
            <v>315000</v>
          </cell>
          <cell r="J279">
            <v>2875000</v>
          </cell>
        </row>
        <row r="280">
          <cell r="E280" t="str">
            <v/>
          </cell>
          <cell r="F280" t="str">
            <v>THU TIỀN ĐƠN PACHI 17/10/2025</v>
          </cell>
          <cell r="G280" t="str">
            <v>THU - K.SỈ (TM)</v>
          </cell>
          <cell r="H280">
            <v>351000</v>
          </cell>
          <cell r="J280">
            <v>3226000</v>
          </cell>
        </row>
        <row r="281">
          <cell r="E281" t="str">
            <v/>
          </cell>
          <cell r="F281" t="str">
            <v>THU TIỀN ĐƠN PACHI 24/10/2025</v>
          </cell>
          <cell r="G281" t="str">
            <v>THU - K.SỈ (TM)</v>
          </cell>
          <cell r="H281">
            <v>236000</v>
          </cell>
          <cell r="J281">
            <v>3462000</v>
          </cell>
        </row>
        <row r="282">
          <cell r="E282" t="str">
            <v/>
          </cell>
          <cell r="F282" t="str">
            <v>THU TIỀN ĐƠN PACHI 21/10/2025</v>
          </cell>
          <cell r="G282" t="str">
            <v>THU - K.SỈ (TM)</v>
          </cell>
          <cell r="H282">
            <v>363000</v>
          </cell>
          <cell r="J282">
            <v>3825000</v>
          </cell>
        </row>
        <row r="283">
          <cell r="E283" t="str">
            <v/>
          </cell>
          <cell r="F283" t="str">
            <v>THU TIỀN ĐƠN LAM TRANG 26/10/2025</v>
          </cell>
          <cell r="G283" t="str">
            <v>THU - K.LẺ (TM)</v>
          </cell>
          <cell r="H283">
            <v>63000</v>
          </cell>
          <cell r="J283">
            <v>3888000</v>
          </cell>
        </row>
        <row r="284">
          <cell r="E284" t="str">
            <v/>
          </cell>
          <cell r="F284" t="str">
            <v>THU TIỀN ĐƠN BIỂN VIỆT 24/10/2025</v>
          </cell>
          <cell r="G284" t="str">
            <v>THU - K.LẺ (TM)</v>
          </cell>
          <cell r="H284">
            <v>183000</v>
          </cell>
          <cell r="J284">
            <v>4071000</v>
          </cell>
        </row>
        <row r="285">
          <cell r="E285" t="str">
            <v/>
          </cell>
          <cell r="F285" t="str">
            <v>THU TIỀN ĐƠN PACHI 22/10/2025</v>
          </cell>
          <cell r="G285" t="str">
            <v>THU - K.SỈ (TM)</v>
          </cell>
          <cell r="H285">
            <v>437000</v>
          </cell>
          <cell r="J285">
            <v>4508000</v>
          </cell>
        </row>
        <row r="286">
          <cell r="E286" t="str">
            <v/>
          </cell>
          <cell r="F286" t="str">
            <v>THU TIỀN ĐƠN PACHI 23/10/2025</v>
          </cell>
          <cell r="G286" t="str">
            <v>THU - K.SỈ (TM)</v>
          </cell>
          <cell r="H286">
            <v>663000</v>
          </cell>
          <cell r="J286">
            <v>5171000</v>
          </cell>
        </row>
        <row r="287">
          <cell r="E287" t="str">
            <v/>
          </cell>
          <cell r="F287" t="str">
            <v>THU TIỀN ĐƠN PACHI 25/10/2025</v>
          </cell>
          <cell r="G287" t="str">
            <v>THU - K.SỈ (TM)</v>
          </cell>
          <cell r="H287">
            <v>488000</v>
          </cell>
          <cell r="J287">
            <v>5659000</v>
          </cell>
        </row>
        <row r="288">
          <cell r="E288" t="str">
            <v/>
          </cell>
          <cell r="F288" t="str">
            <v>THU TIỀN ĐƠN PACHI 26/10/2025</v>
          </cell>
          <cell r="G288" t="str">
            <v>THU - K.SỈ (TM)</v>
          </cell>
          <cell r="H288">
            <v>440000</v>
          </cell>
          <cell r="J288">
            <v>6099000</v>
          </cell>
        </row>
        <row r="289">
          <cell r="E289" t="str">
            <v/>
          </cell>
          <cell r="F289" t="str">
            <v>THU TIỀN ĐƠN PACHI 28/10/2025</v>
          </cell>
          <cell r="G289" t="str">
            <v>THU - K.SỈ (TM)</v>
          </cell>
          <cell r="H289">
            <v>745000</v>
          </cell>
          <cell r="J289">
            <v>6844000</v>
          </cell>
        </row>
        <row r="290">
          <cell r="E290" t="str">
            <v/>
          </cell>
          <cell r="F290" t="str">
            <v>THU TIỀN ĐƠN PACHI 30/10/2025</v>
          </cell>
          <cell r="G290" t="str">
            <v>THU - K.SỈ (TM)</v>
          </cell>
          <cell r="H290">
            <v>251000</v>
          </cell>
          <cell r="J290">
            <v>7095000</v>
          </cell>
        </row>
        <row r="291">
          <cell r="E291" t="str">
            <v/>
          </cell>
          <cell r="F291" t="str">
            <v>THU TIỀN ĐƠN TƯ ĐOÀN 23/10/2025</v>
          </cell>
          <cell r="G291" t="str">
            <v>THU - K.LẺ (TM)</v>
          </cell>
          <cell r="H291">
            <v>213000</v>
          </cell>
          <cell r="J291">
            <v>7308000</v>
          </cell>
        </row>
        <row r="292">
          <cell r="E292" t="str">
            <v/>
          </cell>
          <cell r="F292" t="str">
            <v>THU TIỀN ĐƠN BIỂN VIỆT 2/11/2025</v>
          </cell>
          <cell r="G292" t="str">
            <v>THU - K.LẺ (TM)</v>
          </cell>
          <cell r="H292">
            <v>236000</v>
          </cell>
          <cell r="J292">
            <v>7544000</v>
          </cell>
        </row>
        <row r="293">
          <cell r="E293" t="str">
            <v/>
          </cell>
          <cell r="F293" t="str">
            <v>THU TIỀN ĐƠN HIẾU NGHĨA 2/11/2025</v>
          </cell>
          <cell r="G293" t="str">
            <v>THU - K.LẺ (TM)</v>
          </cell>
          <cell r="H293">
            <v>231000</v>
          </cell>
          <cell r="J293">
            <v>7775000</v>
          </cell>
        </row>
        <row r="294">
          <cell r="E294" t="str">
            <v/>
          </cell>
          <cell r="F294" t="str">
            <v>THU TIỀN ĐƠN TRIỆU VP 3/11/2025</v>
          </cell>
          <cell r="G294" t="str">
            <v>THU - K.LẺ (TM)</v>
          </cell>
          <cell r="H294">
            <v>47000</v>
          </cell>
          <cell r="J294">
            <v>7822000</v>
          </cell>
        </row>
        <row r="295">
          <cell r="E295" t="str">
            <v/>
          </cell>
          <cell r="F295" t="str">
            <v>THU TIỀN ĐƠN PACHI 29/10/2025</v>
          </cell>
          <cell r="G295" t="str">
            <v>THU - K.SỈ (TM)</v>
          </cell>
          <cell r="H295">
            <v>485000</v>
          </cell>
          <cell r="J295">
            <v>8307000</v>
          </cell>
        </row>
        <row r="296">
          <cell r="E296" t="str">
            <v/>
          </cell>
          <cell r="F296" t="str">
            <v>THU TIỀN ĐƠN PACHI 31/10/2025</v>
          </cell>
          <cell r="G296" t="str">
            <v>THU - K.SỈ (TM)</v>
          </cell>
          <cell r="H296">
            <v>662000</v>
          </cell>
          <cell r="J296">
            <v>8969000</v>
          </cell>
        </row>
        <row r="297">
          <cell r="E297" t="str">
            <v/>
          </cell>
          <cell r="F297" t="str">
            <v>THU TIỀN ĐƠN TRIỆU VP 4/11/2025</v>
          </cell>
          <cell r="G297" t="str">
            <v>THU - K.LẺ (TM)</v>
          </cell>
          <cell r="H297">
            <v>40000</v>
          </cell>
          <cell r="J297">
            <v>9009000</v>
          </cell>
        </row>
        <row r="298">
          <cell r="E298" t="str">
            <v/>
          </cell>
          <cell r="F298" t="str">
            <v>THU TIỀN ĐƠN TRIỆU VP 5/11/2025</v>
          </cell>
          <cell r="G298" t="str">
            <v>THU - K.LẺ (TM)</v>
          </cell>
          <cell r="H298">
            <v>28000</v>
          </cell>
          <cell r="J298">
            <v>9037000</v>
          </cell>
        </row>
        <row r="299">
          <cell r="E299" t="str">
            <v/>
          </cell>
          <cell r="F299" t="str">
            <v>THU TIỀN ĐƠN GEYLANG 4/11/2025</v>
          </cell>
          <cell r="G299" t="str">
            <v>THU - K.SỈ (TM)</v>
          </cell>
          <cell r="H299">
            <v>160000</v>
          </cell>
          <cell r="J299">
            <v>9197000</v>
          </cell>
        </row>
        <row r="300">
          <cell r="E300" t="str">
            <v/>
          </cell>
          <cell r="F300" t="str">
            <v>THU TIỀN ĐƠN GEYLANG 31/10/2025</v>
          </cell>
          <cell r="G300" t="str">
            <v>THU - K.SỈ (TM)</v>
          </cell>
          <cell r="H300">
            <v>267000</v>
          </cell>
          <cell r="J300">
            <v>9464000</v>
          </cell>
        </row>
        <row r="301">
          <cell r="E301" t="str">
            <v/>
          </cell>
          <cell r="F301" t="str">
            <v xml:space="preserve">THU TIỀN ĐƠN UYÊN ĐỖ </v>
          </cell>
          <cell r="G301" t="str">
            <v>THU - K.LẺ (TM)</v>
          </cell>
          <cell r="H301">
            <v>32000</v>
          </cell>
          <cell r="J301">
            <v>9496000</v>
          </cell>
        </row>
        <row r="302">
          <cell r="E302" t="str">
            <v>PC105</v>
          </cell>
          <cell r="F302" t="str">
            <v>CHI TIỀN GỬI THƯ CHO KHÁCH F.HOUSE, LMS, LS LÊ THÀNH, CỎ GD -Kèm 4 chứng từ</v>
          </cell>
          <cell r="G302" t="str">
            <v>CHI - VĂN PHÒNG</v>
          </cell>
          <cell r="I302">
            <v>140000</v>
          </cell>
          <cell r="J302">
            <v>9356000</v>
          </cell>
          <cell r="M302" t="str">
            <v>Lê Thành Hoàng</v>
          </cell>
        </row>
        <row r="303">
          <cell r="E303" t="str">
            <v>PC106</v>
          </cell>
          <cell r="F303" t="str">
            <v>Chi mua thùng khăn giấy rút  6 bịch</v>
          </cell>
          <cell r="G303" t="str">
            <v>CHI - VĂN PHÒNG</v>
          </cell>
          <cell r="I303">
            <v>89000</v>
          </cell>
          <cell r="J303">
            <v>9267000</v>
          </cell>
          <cell r="M303" t="str">
            <v>Lâm Như Ngọc</v>
          </cell>
        </row>
        <row r="304">
          <cell r="E304" t="str">
            <v/>
          </cell>
          <cell r="F304" t="str">
            <v>THU TIỀN ĐƠN CẨM LY 7/11/2025</v>
          </cell>
          <cell r="G304" t="str">
            <v>THU - K.LẺ (TM)</v>
          </cell>
          <cell r="H304">
            <v>142000</v>
          </cell>
          <cell r="J304">
            <v>9409000</v>
          </cell>
        </row>
        <row r="305">
          <cell r="E305" t="str">
            <v/>
          </cell>
          <cell r="F305" t="str">
            <v>THU TIỀN ĐƠN HIẾU NGHĨA 6/11/2025</v>
          </cell>
          <cell r="G305" t="str">
            <v>THU - K.LẺ (TM)</v>
          </cell>
          <cell r="H305">
            <v>403000</v>
          </cell>
          <cell r="J305">
            <v>9812000</v>
          </cell>
        </row>
        <row r="306">
          <cell r="E306" t="str">
            <v/>
          </cell>
          <cell r="F306" t="str">
            <v>THU TIỀN ĐƠN LÊ MAI 6/11/2025</v>
          </cell>
          <cell r="G306" t="str">
            <v>THU - K.LẺ (TM)</v>
          </cell>
          <cell r="H306">
            <v>99000</v>
          </cell>
          <cell r="J306">
            <v>9911000</v>
          </cell>
        </row>
        <row r="307">
          <cell r="E307" t="str">
            <v/>
          </cell>
          <cell r="F307" t="str">
            <v>THU TIỀN ĐƠN MỘC GIA 11/11/2025</v>
          </cell>
          <cell r="G307" t="str">
            <v>THU - K.LẺ (TM)</v>
          </cell>
          <cell r="H307">
            <v>240000</v>
          </cell>
          <cell r="J307">
            <v>10151000</v>
          </cell>
        </row>
        <row r="308">
          <cell r="E308" t="str">
            <v/>
          </cell>
          <cell r="F308" t="str">
            <v>THU TIỀN ĐƠN TRIỆU VP 8/11/2025</v>
          </cell>
          <cell r="G308" t="str">
            <v>THU - K.LẺ (TM)</v>
          </cell>
          <cell r="H308">
            <v>56000</v>
          </cell>
          <cell r="J308">
            <v>10207000</v>
          </cell>
        </row>
        <row r="309">
          <cell r="E309" t="str">
            <v>PC107</v>
          </cell>
          <cell r="F309" t="str">
            <v>Chi mua giấy A4, Bìa Còng - kèm chứng từ</v>
          </cell>
          <cell r="G309" t="str">
            <v>CHI - VĂN PHÒNG</v>
          </cell>
          <cell r="I309">
            <v>1698000</v>
          </cell>
          <cell r="J309">
            <v>8509000</v>
          </cell>
          <cell r="M309" t="str">
            <v>An Lộc Việt</v>
          </cell>
        </row>
        <row r="310">
          <cell r="E310" t="str">
            <v>PC108</v>
          </cell>
          <cell r="F310" t="str">
            <v>Chi tiền bảo vệ kho 30 KVC tháng 10+11/2025</v>
          </cell>
          <cell r="G310" t="str">
            <v>CHI - CỐ ĐỊNH</v>
          </cell>
          <cell r="I310">
            <v>2000000</v>
          </cell>
          <cell r="J310">
            <v>6509000</v>
          </cell>
          <cell r="M310" t="str">
            <v>Bảo vệ 30 KVC</v>
          </cell>
        </row>
        <row r="311">
          <cell r="E311" t="str">
            <v/>
          </cell>
          <cell r="F311" t="str">
            <v>THU TIỀN ĐƠN PHAN LÊ DIỄM 14/11/2025</v>
          </cell>
          <cell r="G311" t="str">
            <v>THU - K.LẺ (TM)</v>
          </cell>
          <cell r="H311">
            <v>213000</v>
          </cell>
          <cell r="J311">
            <v>6722000</v>
          </cell>
        </row>
        <row r="312">
          <cell r="E312" t="str">
            <v/>
          </cell>
          <cell r="F312" t="str">
            <v>THU TIỀN ĐƠN BẢO KHO 17/11/2025</v>
          </cell>
          <cell r="G312" t="str">
            <v>THU - K.LẺ (TM)</v>
          </cell>
          <cell r="H312">
            <v>70000</v>
          </cell>
          <cell r="J312">
            <v>6792000</v>
          </cell>
        </row>
        <row r="313">
          <cell r="E313" t="str">
            <v/>
          </cell>
          <cell r="F313" t="str">
            <v>THU TIỀN ĐƠN BẢO KHO 17/11/2025</v>
          </cell>
          <cell r="G313" t="str">
            <v>THU - K.LẺ (TM)</v>
          </cell>
          <cell r="H313">
            <v>18000</v>
          </cell>
          <cell r="J313">
            <v>6810000</v>
          </cell>
        </row>
        <row r="314">
          <cell r="E314" t="str">
            <v>PC109</v>
          </cell>
          <cell r="F314" t="str">
            <v>Chi mua 3 chai nước suối tiếp khách Sếp</v>
          </cell>
          <cell r="G314" t="str">
            <v>CHI - VĂN PHÒNG</v>
          </cell>
          <cell r="I314">
            <v>10000</v>
          </cell>
          <cell r="J314">
            <v>6800000</v>
          </cell>
          <cell r="M314" t="str">
            <v>Đỗ Mộng Chúc Anh</v>
          </cell>
        </row>
        <row r="315">
          <cell r="E315" t="str">
            <v/>
          </cell>
          <cell r="F315" t="str">
            <v>THU TIỀN ĐƠN TRIỆU VP 17/11/2025</v>
          </cell>
          <cell r="G315" t="str">
            <v>THU - K.LẺ (TM)</v>
          </cell>
          <cell r="H315">
            <v>76000</v>
          </cell>
          <cell r="J315">
            <v>6876000</v>
          </cell>
        </row>
        <row r="316">
          <cell r="E316" t="str">
            <v/>
          </cell>
          <cell r="F316" t="str">
            <v>THU TIỀN ĐƠN TRIỆU VP 19/11/2025</v>
          </cell>
          <cell r="G316" t="str">
            <v>THU - K.LẺ (TM)</v>
          </cell>
          <cell r="H316">
            <v>44000</v>
          </cell>
          <cell r="J316">
            <v>6920000</v>
          </cell>
        </row>
        <row r="317">
          <cell r="E317" t="str">
            <v/>
          </cell>
          <cell r="F317" t="str">
            <v>NHẬP QUỸ TIỀN MẶT TỪ TÀI KHOẢN ACB - CHÚC ANH (lưu nội bộ )</v>
          </cell>
          <cell r="G317" t="str">
            <v>NHẬP QUỸ</v>
          </cell>
          <cell r="H317">
            <v>3720000</v>
          </cell>
          <cell r="J317">
            <v>10640000</v>
          </cell>
        </row>
        <row r="318">
          <cell r="E318" t="str">
            <v>PC110</v>
          </cell>
          <cell r="F318" t="str">
            <v>THANH TOÁN ĐƠN NGÀY 20,22/11/2025 - HẠNH CHANH VÀNG</v>
          </cell>
          <cell r="G318" t="str">
            <v>CHI - MUA HÀNG</v>
          </cell>
          <cell r="I318">
            <v>3720000</v>
          </cell>
          <cell r="J318">
            <v>6920000</v>
          </cell>
          <cell r="M318" t="str">
            <v>CÁT TIÊN GROUP</v>
          </cell>
        </row>
        <row r="319">
          <cell r="E319" t="str">
            <v/>
          </cell>
          <cell r="F319" t="str">
            <v>THU TIỀN ĐƠN TRIỆU VP 25/11/2025</v>
          </cell>
          <cell r="G319" t="str">
            <v>THU - K.LẺ (TM)</v>
          </cell>
          <cell r="H319">
            <v>32000</v>
          </cell>
          <cell r="J319">
            <v>6952000</v>
          </cell>
        </row>
        <row r="320">
          <cell r="E320" t="str">
            <v/>
          </cell>
          <cell r="F320" t="str">
            <v>THU TIỀN ĐƠN PACHI 18/11/2025</v>
          </cell>
          <cell r="G320" t="str">
            <v>THU - K.SỈ (TM)</v>
          </cell>
          <cell r="H320">
            <v>243000</v>
          </cell>
          <cell r="J320">
            <v>7195000</v>
          </cell>
        </row>
        <row r="321">
          <cell r="E321" t="str">
            <v/>
          </cell>
          <cell r="F321" t="str">
            <v>THU TIỀN ĐƠN PACHI 13/11/2025</v>
          </cell>
          <cell r="G321" t="str">
            <v>THU - K.SỈ (TM)</v>
          </cell>
          <cell r="H321">
            <v>175000</v>
          </cell>
          <cell r="J321">
            <v>7370000</v>
          </cell>
        </row>
        <row r="322">
          <cell r="E322" t="str">
            <v/>
          </cell>
          <cell r="F322" t="str">
            <v>THU TIỀN ĐƠN PACHI 9/11/2025</v>
          </cell>
          <cell r="G322" t="str">
            <v>THU - K.SỈ (TM)</v>
          </cell>
          <cell r="H322">
            <v>587000</v>
          </cell>
          <cell r="J322">
            <v>7957000</v>
          </cell>
        </row>
        <row r="323">
          <cell r="E323" t="str">
            <v/>
          </cell>
          <cell r="F323" t="str">
            <v>THU TIỀN ĐƠN PACHI 3/11/2025</v>
          </cell>
          <cell r="G323" t="str">
            <v>THU - K.SỈ (TM)</v>
          </cell>
          <cell r="H323">
            <v>1066000</v>
          </cell>
          <cell r="J323">
            <v>9023000</v>
          </cell>
        </row>
        <row r="324">
          <cell r="E324" t="str">
            <v/>
          </cell>
          <cell r="F324" t="str">
            <v>THU TIỀN ĐƠN PACHI 2/11/2025</v>
          </cell>
          <cell r="G324" t="str">
            <v>THU - K.SỈ (TM)</v>
          </cell>
          <cell r="H324">
            <v>657000</v>
          </cell>
          <cell r="J324">
            <v>9680000</v>
          </cell>
        </row>
        <row r="325">
          <cell r="E325" t="str">
            <v>PC111</v>
          </cell>
          <cell r="F325" t="str">
            <v>Chi mua 1 nước rửa tay puri</v>
          </cell>
          <cell r="G325" t="str">
            <v>CHI - VĂN PHÒNG</v>
          </cell>
          <cell r="I325">
            <v>50000</v>
          </cell>
          <cell r="J325">
            <v>9630000</v>
          </cell>
          <cell r="M325" t="str">
            <v>Đỗ Mộng Chúc Anh</v>
          </cell>
        </row>
        <row r="326">
          <cell r="E326" t="str">
            <v>PC112</v>
          </cell>
          <cell r="F326" t="str">
            <v>Chi mua giấy A4, hộp đựng hồ sơ 1 cái</v>
          </cell>
          <cell r="G326" t="str">
            <v>CHI - VĂN PHÒNG</v>
          </cell>
          <cell r="I326">
            <v>1485000</v>
          </cell>
          <cell r="J326">
            <v>8145000</v>
          </cell>
          <cell r="M326" t="str">
            <v>Đỗ Mộng Chúc Anh</v>
          </cell>
        </row>
        <row r="327">
          <cell r="E327" t="str">
            <v>PC113</v>
          </cell>
          <cell r="F327" t="str">
            <v>Chi mua bưởi cúng thần tài</v>
          </cell>
          <cell r="G327" t="str">
            <v>CHI - VĂN PHÒNG</v>
          </cell>
          <cell r="I327">
            <v>45000</v>
          </cell>
          <cell r="J327">
            <v>8100000</v>
          </cell>
          <cell r="M327" t="str">
            <v>Trần Quốc Vũ</v>
          </cell>
        </row>
        <row r="328">
          <cell r="E328" t="str">
            <v>PC114</v>
          </cell>
          <cell r="F328" t="str">
            <v>Chi 6 lốc túi rác, 1 chai nước rửa tay</v>
          </cell>
          <cell r="G328" t="str">
            <v>CHI - VĂN PHÒNG</v>
          </cell>
          <cell r="I328">
            <v>135000</v>
          </cell>
          <cell r="J328">
            <v>7965000</v>
          </cell>
          <cell r="M328" t="str">
            <v>Đỗ Mộng Chúc Anh</v>
          </cell>
        </row>
        <row r="329">
          <cell r="E329" t="str">
            <v>PC115</v>
          </cell>
          <cell r="F329" t="str">
            <v>Chi mua thùng khăn giấy rút 10 bịch</v>
          </cell>
          <cell r="G329" t="str">
            <v>CHI - VĂN PHÒNG</v>
          </cell>
          <cell r="I329">
            <v>159000</v>
          </cell>
          <cell r="J329">
            <v>7806000</v>
          </cell>
          <cell r="M329" t="str">
            <v>Đỗ Mộng Chúc Anh</v>
          </cell>
        </row>
        <row r="330">
          <cell r="E330" t="str">
            <v>PC116</v>
          </cell>
          <cell r="F330" t="str">
            <v>Chi mua giấy IN A4</v>
          </cell>
          <cell r="G330" t="str">
            <v>CHI - VĂN PHÒNG</v>
          </cell>
          <cell r="I330">
            <v>1433000</v>
          </cell>
          <cell r="J330">
            <v>6373000</v>
          </cell>
          <cell r="M330" t="str">
            <v>Đỗ Mộng Chúc Anh</v>
          </cell>
        </row>
        <row r="331">
          <cell r="E331" t="str">
            <v/>
          </cell>
          <cell r="F331" t="str">
            <v>THU TIỀN ĐƠN TRIỆU VP 1/12/2025</v>
          </cell>
          <cell r="G331" t="str">
            <v>THU - K.LẺ (TM)</v>
          </cell>
          <cell r="H331">
            <v>51000</v>
          </cell>
          <cell r="J331">
            <v>6424000</v>
          </cell>
        </row>
        <row r="332">
          <cell r="E332" t="str">
            <v/>
          </cell>
          <cell r="F332" t="str">
            <v>THU TIỀN ĐƠN PON CẢI NGỒNG</v>
          </cell>
          <cell r="G332" t="str">
            <v>THU - K.SỈ (TM)</v>
          </cell>
          <cell r="H332">
            <v>38000</v>
          </cell>
          <cell r="J332">
            <v>6462000</v>
          </cell>
        </row>
        <row r="333">
          <cell r="E333" t="str">
            <v>PC117</v>
          </cell>
          <cell r="F333" t="str">
            <v>TT LƯƠNG TIỀN MẶT THÁNG 11/2025 ĐIỀU CHỈNH BỔ SUNG</v>
          </cell>
          <cell r="G333" t="str">
            <v>CHI - LƯƠNG</v>
          </cell>
          <cell r="I333">
            <v>426000</v>
          </cell>
          <cell r="J333">
            <v>6036000</v>
          </cell>
          <cell r="M333" t="str">
            <v>Đỗ Mộng Chúc Anh</v>
          </cell>
        </row>
        <row r="334">
          <cell r="E334" t="str">
            <v/>
          </cell>
          <cell r="J334">
            <v>6036000</v>
          </cell>
        </row>
        <row r="335">
          <cell r="E335" t="str">
            <v/>
          </cell>
          <cell r="J335">
            <v>6036000</v>
          </cell>
        </row>
        <row r="336">
          <cell r="E336" t="str">
            <v/>
          </cell>
          <cell r="J336">
            <v>6036000</v>
          </cell>
        </row>
        <row r="337">
          <cell r="E337" t="str">
            <v/>
          </cell>
          <cell r="J337">
            <v>6036000</v>
          </cell>
        </row>
        <row r="338">
          <cell r="E338" t="str">
            <v/>
          </cell>
          <cell r="J338">
            <v>6036000</v>
          </cell>
        </row>
        <row r="339">
          <cell r="E339" t="str">
            <v/>
          </cell>
          <cell r="J339">
            <v>6036000</v>
          </cell>
        </row>
        <row r="340">
          <cell r="E340" t="str">
            <v/>
          </cell>
          <cell r="J340">
            <v>6036000</v>
          </cell>
        </row>
        <row r="341">
          <cell r="E341" t="str">
            <v/>
          </cell>
          <cell r="J341">
            <v>6036000</v>
          </cell>
        </row>
        <row r="342">
          <cell r="E342" t="str">
            <v/>
          </cell>
          <cell r="J342">
            <v>6036000</v>
          </cell>
        </row>
        <row r="343">
          <cell r="E343" t="str">
            <v/>
          </cell>
          <cell r="J343">
            <v>6036000</v>
          </cell>
        </row>
        <row r="344">
          <cell r="E344" t="str">
            <v/>
          </cell>
          <cell r="J344">
            <v>6036000</v>
          </cell>
        </row>
        <row r="345">
          <cell r="E345" t="str">
            <v/>
          </cell>
          <cell r="J345">
            <v>6036000</v>
          </cell>
        </row>
        <row r="346">
          <cell r="E346" t="str">
            <v/>
          </cell>
          <cell r="J346">
            <v>6036000</v>
          </cell>
        </row>
        <row r="347">
          <cell r="E347" t="str">
            <v/>
          </cell>
          <cell r="J347">
            <v>6036000</v>
          </cell>
        </row>
        <row r="348">
          <cell r="E348" t="str">
            <v/>
          </cell>
          <cell r="J348">
            <v>6036000</v>
          </cell>
        </row>
        <row r="349">
          <cell r="E349" t="str">
            <v/>
          </cell>
          <cell r="J349">
            <v>6036000</v>
          </cell>
        </row>
        <row r="350">
          <cell r="E350" t="str">
            <v/>
          </cell>
          <cell r="J350">
            <v>6036000</v>
          </cell>
        </row>
        <row r="351">
          <cell r="E351" t="str">
            <v/>
          </cell>
          <cell r="J351">
            <v>6036000</v>
          </cell>
        </row>
        <row r="352">
          <cell r="E352" t="str">
            <v/>
          </cell>
          <cell r="J352">
            <v>6036000</v>
          </cell>
        </row>
        <row r="353">
          <cell r="E353" t="str">
            <v/>
          </cell>
          <cell r="J353">
            <v>6036000</v>
          </cell>
        </row>
        <row r="354">
          <cell r="E354" t="str">
            <v/>
          </cell>
          <cell r="J354">
            <v>6036000</v>
          </cell>
        </row>
        <row r="355">
          <cell r="E355" t="str">
            <v/>
          </cell>
          <cell r="J355">
            <v>6036000</v>
          </cell>
        </row>
        <row r="356">
          <cell r="E356" t="str">
            <v/>
          </cell>
          <cell r="J356">
            <v>6036000</v>
          </cell>
        </row>
        <row r="357">
          <cell r="E357" t="str">
            <v/>
          </cell>
          <cell r="J357">
            <v>6036000</v>
          </cell>
        </row>
        <row r="358">
          <cell r="E358" t="str">
            <v/>
          </cell>
          <cell r="J358">
            <v>6036000</v>
          </cell>
        </row>
        <row r="359">
          <cell r="E359" t="str">
            <v/>
          </cell>
          <cell r="J359">
            <v>6036000</v>
          </cell>
        </row>
        <row r="360">
          <cell r="E360" t="str">
            <v/>
          </cell>
          <cell r="J360">
            <v>6036000</v>
          </cell>
        </row>
        <row r="361">
          <cell r="E361" t="str">
            <v/>
          </cell>
          <cell r="J361">
            <v>6036000</v>
          </cell>
        </row>
        <row r="362">
          <cell r="E362" t="str">
            <v/>
          </cell>
          <cell r="J362">
            <v>6036000</v>
          </cell>
        </row>
        <row r="363">
          <cell r="E363" t="str">
            <v/>
          </cell>
          <cell r="J363">
            <v>6036000</v>
          </cell>
        </row>
        <row r="364">
          <cell r="E364" t="str">
            <v/>
          </cell>
          <cell r="J364">
            <v>6036000</v>
          </cell>
        </row>
        <row r="365">
          <cell r="E365" t="str">
            <v/>
          </cell>
          <cell r="J365">
            <v>6036000</v>
          </cell>
        </row>
        <row r="366">
          <cell r="E366" t="str">
            <v/>
          </cell>
          <cell r="J366">
            <v>6036000</v>
          </cell>
        </row>
        <row r="367">
          <cell r="E367" t="str">
            <v/>
          </cell>
          <cell r="J367">
            <v>6036000</v>
          </cell>
        </row>
        <row r="368">
          <cell r="E368" t="str">
            <v/>
          </cell>
          <cell r="J368">
            <v>6036000</v>
          </cell>
        </row>
        <row r="369">
          <cell r="E369" t="str">
            <v/>
          </cell>
          <cell r="J369">
            <v>6036000</v>
          </cell>
        </row>
        <row r="370">
          <cell r="E370" t="str">
            <v/>
          </cell>
          <cell r="J370">
            <v>6036000</v>
          </cell>
        </row>
        <row r="371">
          <cell r="E371" t="str">
            <v/>
          </cell>
          <cell r="J371">
            <v>6036000</v>
          </cell>
        </row>
        <row r="372">
          <cell r="E372" t="str">
            <v/>
          </cell>
          <cell r="J372">
            <v>6036000</v>
          </cell>
        </row>
        <row r="373">
          <cell r="E373" t="str">
            <v/>
          </cell>
          <cell r="J373">
            <v>6036000</v>
          </cell>
        </row>
        <row r="374">
          <cell r="E374" t="str">
            <v/>
          </cell>
          <cell r="J374">
            <v>6036000</v>
          </cell>
        </row>
        <row r="375">
          <cell r="E375" t="str">
            <v/>
          </cell>
          <cell r="J375">
            <v>6036000</v>
          </cell>
        </row>
        <row r="376">
          <cell r="E376" t="str">
            <v/>
          </cell>
          <cell r="J376">
            <v>6036000</v>
          </cell>
        </row>
        <row r="377">
          <cell r="E377" t="str">
            <v/>
          </cell>
          <cell r="J377">
            <v>6036000</v>
          </cell>
        </row>
        <row r="378">
          <cell r="E378" t="str">
            <v/>
          </cell>
          <cell r="J378">
            <v>6036000</v>
          </cell>
        </row>
        <row r="379">
          <cell r="E379" t="str">
            <v/>
          </cell>
          <cell r="J379">
            <v>6036000</v>
          </cell>
        </row>
        <row r="380">
          <cell r="E380" t="str">
            <v/>
          </cell>
          <cell r="J380">
            <v>6036000</v>
          </cell>
        </row>
        <row r="381">
          <cell r="E381" t="str">
            <v/>
          </cell>
          <cell r="J381">
            <v>6036000</v>
          </cell>
        </row>
        <row r="382">
          <cell r="E382" t="str">
            <v/>
          </cell>
          <cell r="J382">
            <v>6036000</v>
          </cell>
        </row>
        <row r="383">
          <cell r="E383" t="str">
            <v/>
          </cell>
          <cell r="J383">
            <v>6036000</v>
          </cell>
        </row>
        <row r="384">
          <cell r="E384" t="str">
            <v/>
          </cell>
          <cell r="J384">
            <v>6036000</v>
          </cell>
        </row>
        <row r="385">
          <cell r="E385" t="str">
            <v/>
          </cell>
          <cell r="J385">
            <v>6036000</v>
          </cell>
        </row>
        <row r="386">
          <cell r="E386" t="str">
            <v/>
          </cell>
          <cell r="J386">
            <v>6036000</v>
          </cell>
        </row>
        <row r="387">
          <cell r="E387" t="str">
            <v/>
          </cell>
          <cell r="J387">
            <v>6036000</v>
          </cell>
        </row>
        <row r="388">
          <cell r="E388" t="str">
            <v/>
          </cell>
          <cell r="J388">
            <v>6036000</v>
          </cell>
        </row>
        <row r="389">
          <cell r="E389" t="str">
            <v/>
          </cell>
          <cell r="J389">
            <v>6036000</v>
          </cell>
        </row>
        <row r="390">
          <cell r="E390" t="str">
            <v/>
          </cell>
          <cell r="J390">
            <v>6036000</v>
          </cell>
        </row>
        <row r="391">
          <cell r="E391" t="str">
            <v/>
          </cell>
          <cell r="J391">
            <v>6036000</v>
          </cell>
        </row>
        <row r="392">
          <cell r="E392" t="str">
            <v/>
          </cell>
          <cell r="J392">
            <v>6036000</v>
          </cell>
        </row>
        <row r="393">
          <cell r="E393" t="str">
            <v/>
          </cell>
          <cell r="J393">
            <v>6036000</v>
          </cell>
        </row>
        <row r="394">
          <cell r="E394" t="str">
            <v/>
          </cell>
          <cell r="J394">
            <v>6036000</v>
          </cell>
        </row>
        <row r="395">
          <cell r="E395" t="str">
            <v/>
          </cell>
          <cell r="J395">
            <v>6036000</v>
          </cell>
        </row>
        <row r="396">
          <cell r="E396" t="str">
            <v/>
          </cell>
          <cell r="J396">
            <v>6036000</v>
          </cell>
        </row>
        <row r="397">
          <cell r="E397" t="str">
            <v/>
          </cell>
          <cell r="J397">
            <v>6036000</v>
          </cell>
        </row>
        <row r="398">
          <cell r="E398" t="str">
            <v/>
          </cell>
          <cell r="J398">
            <v>6036000</v>
          </cell>
        </row>
        <row r="399">
          <cell r="E399" t="str">
            <v/>
          </cell>
          <cell r="J399">
            <v>6036000</v>
          </cell>
        </row>
        <row r="400">
          <cell r="E400" t="str">
            <v/>
          </cell>
          <cell r="J400">
            <v>6036000</v>
          </cell>
        </row>
        <row r="401">
          <cell r="E401" t="str">
            <v/>
          </cell>
          <cell r="J401">
            <v>6036000</v>
          </cell>
        </row>
        <row r="402">
          <cell r="E402" t="str">
            <v/>
          </cell>
          <cell r="J402">
            <v>6036000</v>
          </cell>
        </row>
        <row r="403">
          <cell r="E403" t="str">
            <v/>
          </cell>
          <cell r="J403">
            <v>6036000</v>
          </cell>
        </row>
        <row r="404">
          <cell r="E404" t="str">
            <v/>
          </cell>
          <cell r="J404">
            <v>6036000</v>
          </cell>
        </row>
        <row r="405">
          <cell r="E405" t="str">
            <v/>
          </cell>
          <cell r="J405">
            <v>6036000</v>
          </cell>
        </row>
        <row r="406">
          <cell r="E406" t="str">
            <v/>
          </cell>
          <cell r="J406">
            <v>6036000</v>
          </cell>
        </row>
        <row r="407">
          <cell r="E407" t="str">
            <v/>
          </cell>
          <cell r="J407">
            <v>6036000</v>
          </cell>
        </row>
        <row r="408">
          <cell r="E408" t="str">
            <v/>
          </cell>
          <cell r="J408">
            <v>6036000</v>
          </cell>
        </row>
        <row r="409">
          <cell r="E409" t="str">
            <v/>
          </cell>
          <cell r="J409">
            <v>6036000</v>
          </cell>
        </row>
        <row r="410">
          <cell r="E410" t="str">
            <v/>
          </cell>
          <cell r="J410">
            <v>6036000</v>
          </cell>
        </row>
        <row r="411">
          <cell r="E411" t="str">
            <v/>
          </cell>
          <cell r="J411">
            <v>6036000</v>
          </cell>
        </row>
        <row r="412">
          <cell r="E412" t="str">
            <v/>
          </cell>
          <cell r="J412">
            <v>6036000</v>
          </cell>
        </row>
        <row r="413">
          <cell r="E413" t="str">
            <v/>
          </cell>
          <cell r="J413">
            <v>6036000</v>
          </cell>
        </row>
        <row r="414">
          <cell r="E414" t="str">
            <v/>
          </cell>
          <cell r="J414">
            <v>6036000</v>
          </cell>
        </row>
        <row r="415">
          <cell r="E415" t="str">
            <v/>
          </cell>
          <cell r="J415">
            <v>6036000</v>
          </cell>
        </row>
        <row r="416">
          <cell r="E416" t="str">
            <v/>
          </cell>
          <cell r="J416">
            <v>6036000</v>
          </cell>
        </row>
        <row r="417">
          <cell r="E417" t="str">
            <v/>
          </cell>
          <cell r="J417">
            <v>6036000</v>
          </cell>
        </row>
        <row r="418">
          <cell r="E418" t="str">
            <v/>
          </cell>
          <cell r="J418">
            <v>6036000</v>
          </cell>
        </row>
        <row r="419">
          <cell r="E419" t="str">
            <v/>
          </cell>
          <cell r="J419">
            <v>6036000</v>
          </cell>
        </row>
        <row r="420">
          <cell r="E420" t="str">
            <v/>
          </cell>
          <cell r="J420">
            <v>6036000</v>
          </cell>
        </row>
        <row r="421">
          <cell r="E421" t="str">
            <v/>
          </cell>
          <cell r="J421">
            <v>6036000</v>
          </cell>
        </row>
        <row r="422">
          <cell r="E422" t="str">
            <v/>
          </cell>
          <cell r="J422">
            <v>6036000</v>
          </cell>
        </row>
        <row r="423">
          <cell r="E423" t="str">
            <v/>
          </cell>
          <cell r="J423">
            <v>6036000</v>
          </cell>
        </row>
        <row r="424">
          <cell r="E424" t="str">
            <v/>
          </cell>
          <cell r="J424">
            <v>6036000</v>
          </cell>
        </row>
        <row r="425">
          <cell r="E425" t="str">
            <v/>
          </cell>
          <cell r="J425">
            <v>6036000</v>
          </cell>
        </row>
        <row r="426">
          <cell r="E426" t="str">
            <v/>
          </cell>
          <cell r="J426">
            <v>6036000</v>
          </cell>
        </row>
        <row r="427">
          <cell r="E427" t="str">
            <v/>
          </cell>
          <cell r="J427">
            <v>6036000</v>
          </cell>
        </row>
        <row r="428">
          <cell r="E428" t="str">
            <v/>
          </cell>
          <cell r="J428">
            <v>6036000</v>
          </cell>
        </row>
        <row r="429">
          <cell r="E429" t="str">
            <v/>
          </cell>
          <cell r="J429">
            <v>6036000</v>
          </cell>
        </row>
        <row r="430">
          <cell r="E430" t="str">
            <v/>
          </cell>
          <cell r="J430">
            <v>6036000</v>
          </cell>
        </row>
        <row r="431">
          <cell r="E431" t="str">
            <v/>
          </cell>
          <cell r="J431">
            <v>6036000</v>
          </cell>
        </row>
        <row r="432">
          <cell r="E432" t="str">
            <v/>
          </cell>
          <cell r="J432">
            <v>6036000</v>
          </cell>
        </row>
        <row r="433">
          <cell r="E433" t="str">
            <v/>
          </cell>
          <cell r="J433">
            <v>6036000</v>
          </cell>
        </row>
        <row r="434">
          <cell r="E434" t="str">
            <v/>
          </cell>
          <cell r="J434">
            <v>6036000</v>
          </cell>
        </row>
        <row r="435">
          <cell r="E435" t="str">
            <v/>
          </cell>
          <cell r="J435">
            <v>6036000</v>
          </cell>
        </row>
        <row r="436">
          <cell r="E436" t="str">
            <v/>
          </cell>
          <cell r="J436">
            <v>6036000</v>
          </cell>
        </row>
        <row r="437">
          <cell r="E437" t="str">
            <v/>
          </cell>
          <cell r="J437">
            <v>6036000</v>
          </cell>
        </row>
        <row r="438">
          <cell r="E438" t="str">
            <v/>
          </cell>
          <cell r="J438">
            <v>6036000</v>
          </cell>
        </row>
        <row r="439">
          <cell r="E439" t="str">
            <v/>
          </cell>
          <cell r="J439">
            <v>6036000</v>
          </cell>
        </row>
        <row r="440">
          <cell r="E440" t="str">
            <v/>
          </cell>
          <cell r="J440">
            <v>6036000</v>
          </cell>
        </row>
        <row r="441">
          <cell r="E441" t="str">
            <v/>
          </cell>
          <cell r="J441">
            <v>6036000</v>
          </cell>
        </row>
        <row r="442">
          <cell r="E442" t="str">
            <v/>
          </cell>
          <cell r="J442">
            <v>6036000</v>
          </cell>
        </row>
        <row r="443">
          <cell r="E443" t="str">
            <v/>
          </cell>
          <cell r="J443">
            <v>6036000</v>
          </cell>
        </row>
        <row r="444">
          <cell r="E444" t="str">
            <v/>
          </cell>
          <cell r="J444">
            <v>6036000</v>
          </cell>
        </row>
        <row r="445">
          <cell r="E445" t="str">
            <v/>
          </cell>
          <cell r="J445">
            <v>6036000</v>
          </cell>
        </row>
        <row r="446">
          <cell r="E446" t="str">
            <v/>
          </cell>
          <cell r="J446">
            <v>6036000</v>
          </cell>
        </row>
        <row r="447">
          <cell r="E447" t="str">
            <v/>
          </cell>
          <cell r="J447">
            <v>6036000</v>
          </cell>
        </row>
        <row r="448">
          <cell r="E448" t="str">
            <v/>
          </cell>
          <cell r="J448">
            <v>6036000</v>
          </cell>
        </row>
        <row r="449">
          <cell r="E449" t="str">
            <v/>
          </cell>
          <cell r="J449">
            <v>6036000</v>
          </cell>
        </row>
        <row r="450">
          <cell r="E450" t="str">
            <v/>
          </cell>
          <cell r="J450">
            <v>6036000</v>
          </cell>
        </row>
        <row r="451">
          <cell r="E451" t="str">
            <v/>
          </cell>
          <cell r="J451">
            <v>6036000</v>
          </cell>
        </row>
        <row r="452">
          <cell r="E452" t="str">
            <v/>
          </cell>
          <cell r="J452">
            <v>6036000</v>
          </cell>
        </row>
        <row r="453">
          <cell r="E453" t="str">
            <v/>
          </cell>
          <cell r="J453">
            <v>6036000</v>
          </cell>
        </row>
        <row r="454">
          <cell r="E454" t="str">
            <v/>
          </cell>
          <cell r="J454">
            <v>6036000</v>
          </cell>
        </row>
        <row r="455">
          <cell r="E455" t="str">
            <v/>
          </cell>
          <cell r="J455">
            <v>6036000</v>
          </cell>
        </row>
        <row r="456">
          <cell r="E456" t="str">
            <v/>
          </cell>
          <cell r="J456">
            <v>6036000</v>
          </cell>
        </row>
        <row r="457">
          <cell r="E457" t="str">
            <v/>
          </cell>
          <cell r="J457">
            <v>6036000</v>
          </cell>
        </row>
        <row r="458">
          <cell r="E458" t="str">
            <v/>
          </cell>
          <cell r="J458">
            <v>6036000</v>
          </cell>
        </row>
        <row r="459">
          <cell r="E459" t="str">
            <v/>
          </cell>
          <cell r="J459">
            <v>6036000</v>
          </cell>
        </row>
        <row r="460">
          <cell r="E460" t="str">
            <v/>
          </cell>
          <cell r="J460">
            <v>6036000</v>
          </cell>
        </row>
        <row r="461">
          <cell r="E461" t="str">
            <v/>
          </cell>
          <cell r="J461">
            <v>6036000</v>
          </cell>
        </row>
        <row r="462">
          <cell r="E462" t="str">
            <v/>
          </cell>
          <cell r="J462">
            <v>6036000</v>
          </cell>
        </row>
        <row r="463">
          <cell r="E463" t="str">
            <v/>
          </cell>
          <cell r="J463">
            <v>6036000</v>
          </cell>
        </row>
        <row r="464">
          <cell r="E464" t="str">
            <v/>
          </cell>
          <cell r="J464">
            <v>6036000</v>
          </cell>
        </row>
        <row r="465">
          <cell r="E465" t="str">
            <v/>
          </cell>
          <cell r="J465">
            <v>6036000</v>
          </cell>
        </row>
        <row r="466">
          <cell r="E466" t="str">
            <v/>
          </cell>
          <cell r="J466">
            <v>6036000</v>
          </cell>
        </row>
        <row r="467">
          <cell r="E467" t="str">
            <v/>
          </cell>
          <cell r="J467">
            <v>6036000</v>
          </cell>
        </row>
        <row r="468">
          <cell r="E468" t="str">
            <v/>
          </cell>
          <cell r="J468">
            <v>6036000</v>
          </cell>
        </row>
        <row r="469">
          <cell r="E469" t="str">
            <v/>
          </cell>
          <cell r="J469">
            <v>6036000</v>
          </cell>
        </row>
        <row r="470">
          <cell r="E470" t="str">
            <v/>
          </cell>
          <cell r="J470">
            <v>6036000</v>
          </cell>
        </row>
        <row r="471">
          <cell r="E471" t="str">
            <v/>
          </cell>
          <cell r="J471">
            <v>6036000</v>
          </cell>
        </row>
        <row r="472">
          <cell r="E472" t="str">
            <v/>
          </cell>
          <cell r="J472">
            <v>6036000</v>
          </cell>
        </row>
        <row r="473">
          <cell r="E473" t="str">
            <v/>
          </cell>
          <cell r="J473">
            <v>6036000</v>
          </cell>
        </row>
        <row r="474">
          <cell r="E474" t="str">
            <v/>
          </cell>
          <cell r="J474">
            <v>6036000</v>
          </cell>
        </row>
        <row r="475">
          <cell r="E475" t="str">
            <v/>
          </cell>
          <cell r="J475">
            <v>6036000</v>
          </cell>
        </row>
        <row r="476">
          <cell r="E476" t="str">
            <v/>
          </cell>
          <cell r="J476">
            <v>6036000</v>
          </cell>
        </row>
        <row r="477">
          <cell r="E477" t="str">
            <v/>
          </cell>
          <cell r="J477">
            <v>6036000</v>
          </cell>
        </row>
        <row r="478">
          <cell r="E478" t="str">
            <v/>
          </cell>
          <cell r="J478">
            <v>6036000</v>
          </cell>
        </row>
        <row r="479">
          <cell r="E479" t="str">
            <v/>
          </cell>
          <cell r="J479">
            <v>6036000</v>
          </cell>
        </row>
        <row r="480">
          <cell r="E480" t="str">
            <v/>
          </cell>
          <cell r="J480">
            <v>6036000</v>
          </cell>
        </row>
        <row r="481">
          <cell r="E481" t="str">
            <v/>
          </cell>
          <cell r="J481">
            <v>6036000</v>
          </cell>
        </row>
        <row r="482">
          <cell r="E482" t="str">
            <v/>
          </cell>
          <cell r="J482">
            <v>6036000</v>
          </cell>
        </row>
        <row r="483">
          <cell r="E483" t="str">
            <v/>
          </cell>
          <cell r="J483">
            <v>6036000</v>
          </cell>
        </row>
        <row r="484">
          <cell r="E484" t="str">
            <v/>
          </cell>
          <cell r="J484">
            <v>6036000</v>
          </cell>
        </row>
        <row r="485">
          <cell r="E485" t="str">
            <v/>
          </cell>
          <cell r="J485">
            <v>6036000</v>
          </cell>
        </row>
        <row r="486">
          <cell r="E486" t="str">
            <v/>
          </cell>
          <cell r="J486">
            <v>6036000</v>
          </cell>
        </row>
        <row r="487">
          <cell r="E487" t="str">
            <v/>
          </cell>
          <cell r="J487">
            <v>6036000</v>
          </cell>
        </row>
        <row r="488">
          <cell r="E488" t="str">
            <v/>
          </cell>
          <cell r="J488">
            <v>6036000</v>
          </cell>
        </row>
        <row r="489">
          <cell r="E489" t="str">
            <v/>
          </cell>
          <cell r="J489">
            <v>6036000</v>
          </cell>
        </row>
        <row r="490">
          <cell r="E490" t="str">
            <v/>
          </cell>
          <cell r="J490">
            <v>6036000</v>
          </cell>
        </row>
        <row r="491">
          <cell r="E491" t="str">
            <v/>
          </cell>
          <cell r="J491">
            <v>6036000</v>
          </cell>
        </row>
        <row r="492">
          <cell r="E492" t="str">
            <v/>
          </cell>
          <cell r="J492">
            <v>6036000</v>
          </cell>
        </row>
        <row r="493">
          <cell r="E493" t="str">
            <v/>
          </cell>
          <cell r="J493">
            <v>6036000</v>
          </cell>
        </row>
        <row r="494">
          <cell r="E494" t="str">
            <v/>
          </cell>
          <cell r="J494">
            <v>6036000</v>
          </cell>
        </row>
        <row r="495">
          <cell r="E495" t="str">
            <v/>
          </cell>
          <cell r="J495">
            <v>6036000</v>
          </cell>
        </row>
        <row r="496">
          <cell r="E496" t="str">
            <v/>
          </cell>
          <cell r="J496">
            <v>6036000</v>
          </cell>
        </row>
        <row r="497">
          <cell r="E497" t="str">
            <v/>
          </cell>
          <cell r="J497">
            <v>6036000</v>
          </cell>
        </row>
        <row r="498">
          <cell r="E498" t="str">
            <v/>
          </cell>
          <cell r="J498">
            <v>6036000</v>
          </cell>
        </row>
        <row r="499">
          <cell r="E499" t="str">
            <v/>
          </cell>
          <cell r="J499">
            <v>6036000</v>
          </cell>
        </row>
        <row r="500">
          <cell r="E500" t="str">
            <v/>
          </cell>
          <cell r="J500">
            <v>6036000</v>
          </cell>
        </row>
        <row r="501">
          <cell r="E501" t="str">
            <v/>
          </cell>
          <cell r="J501">
            <v>6036000</v>
          </cell>
        </row>
        <row r="502">
          <cell r="E502" t="str">
            <v/>
          </cell>
          <cell r="J502">
            <v>6036000</v>
          </cell>
        </row>
        <row r="503">
          <cell r="E503" t="str">
            <v/>
          </cell>
          <cell r="J503">
            <v>6036000</v>
          </cell>
        </row>
        <row r="504">
          <cell r="E504" t="str">
            <v/>
          </cell>
          <cell r="J504">
            <v>6036000</v>
          </cell>
        </row>
        <row r="505">
          <cell r="E505" t="str">
            <v/>
          </cell>
          <cell r="J505">
            <v>6036000</v>
          </cell>
        </row>
        <row r="506">
          <cell r="E506" t="str">
            <v/>
          </cell>
          <cell r="J506">
            <v>6036000</v>
          </cell>
        </row>
        <row r="507">
          <cell r="E507" t="str">
            <v/>
          </cell>
          <cell r="J507">
            <v>6036000</v>
          </cell>
        </row>
        <row r="508">
          <cell r="E508" t="str">
            <v/>
          </cell>
          <cell r="J508">
            <v>6036000</v>
          </cell>
        </row>
        <row r="509">
          <cell r="E509" t="str">
            <v/>
          </cell>
          <cell r="J509">
            <v>6036000</v>
          </cell>
        </row>
        <row r="510">
          <cell r="E510" t="str">
            <v/>
          </cell>
          <cell r="J510">
            <v>6036000</v>
          </cell>
        </row>
        <row r="511">
          <cell r="E511" t="str">
            <v/>
          </cell>
          <cell r="J511">
            <v>6036000</v>
          </cell>
        </row>
        <row r="512">
          <cell r="E512" t="str">
            <v/>
          </cell>
          <cell r="J512">
            <v>6036000</v>
          </cell>
        </row>
        <row r="513">
          <cell r="E513" t="str">
            <v/>
          </cell>
          <cell r="J513">
            <v>6036000</v>
          </cell>
        </row>
        <row r="514">
          <cell r="E514" t="str">
            <v/>
          </cell>
          <cell r="J514">
            <v>6036000</v>
          </cell>
        </row>
        <row r="515">
          <cell r="E515" t="str">
            <v/>
          </cell>
          <cell r="J515">
            <v>6036000</v>
          </cell>
        </row>
        <row r="516">
          <cell r="E516" t="str">
            <v/>
          </cell>
          <cell r="J516">
            <v>6036000</v>
          </cell>
        </row>
        <row r="517">
          <cell r="E517" t="str">
            <v/>
          </cell>
          <cell r="J517">
            <v>6036000</v>
          </cell>
        </row>
        <row r="518">
          <cell r="E518" t="str">
            <v/>
          </cell>
          <cell r="J518">
            <v>6036000</v>
          </cell>
        </row>
        <row r="519">
          <cell r="E519" t="str">
            <v/>
          </cell>
          <cell r="J519">
            <v>6036000</v>
          </cell>
        </row>
        <row r="520">
          <cell r="E520" t="str">
            <v/>
          </cell>
          <cell r="J520">
            <v>6036000</v>
          </cell>
        </row>
        <row r="521">
          <cell r="E521" t="str">
            <v/>
          </cell>
          <cell r="J521">
            <v>6036000</v>
          </cell>
        </row>
        <row r="522">
          <cell r="E522" t="str">
            <v/>
          </cell>
          <cell r="J522">
            <v>6036000</v>
          </cell>
        </row>
        <row r="523">
          <cell r="E523" t="str">
            <v/>
          </cell>
          <cell r="J523">
            <v>6036000</v>
          </cell>
        </row>
        <row r="524">
          <cell r="E524" t="str">
            <v/>
          </cell>
          <cell r="J524">
            <v>6036000</v>
          </cell>
        </row>
        <row r="525">
          <cell r="E525" t="str">
            <v/>
          </cell>
          <cell r="J525">
            <v>6036000</v>
          </cell>
        </row>
        <row r="526">
          <cell r="E526" t="str">
            <v/>
          </cell>
          <cell r="J526">
            <v>6036000</v>
          </cell>
        </row>
        <row r="527">
          <cell r="E527" t="str">
            <v/>
          </cell>
          <cell r="J527">
            <v>6036000</v>
          </cell>
        </row>
        <row r="528">
          <cell r="E528" t="str">
            <v/>
          </cell>
          <cell r="J528">
            <v>6036000</v>
          </cell>
        </row>
        <row r="529">
          <cell r="E529" t="str">
            <v/>
          </cell>
          <cell r="J529">
            <v>6036000</v>
          </cell>
        </row>
        <row r="530">
          <cell r="E530" t="str">
            <v/>
          </cell>
          <cell r="J530">
            <v>6036000</v>
          </cell>
        </row>
        <row r="531">
          <cell r="E531" t="str">
            <v/>
          </cell>
          <cell r="J531">
            <v>6036000</v>
          </cell>
        </row>
        <row r="532">
          <cell r="E532" t="str">
            <v/>
          </cell>
          <cell r="J532">
            <v>6036000</v>
          </cell>
        </row>
        <row r="533">
          <cell r="E533" t="str">
            <v/>
          </cell>
          <cell r="J533">
            <v>6036000</v>
          </cell>
        </row>
        <row r="534">
          <cell r="E534" t="str">
            <v/>
          </cell>
          <cell r="J534">
            <v>6036000</v>
          </cell>
        </row>
        <row r="535">
          <cell r="E535" t="str">
            <v/>
          </cell>
          <cell r="J535">
            <v>6036000</v>
          </cell>
        </row>
        <row r="536">
          <cell r="E536" t="str">
            <v/>
          </cell>
          <cell r="J536">
            <v>6036000</v>
          </cell>
        </row>
        <row r="537">
          <cell r="E537" t="str">
            <v/>
          </cell>
          <cell r="J537">
            <v>6036000</v>
          </cell>
        </row>
        <row r="538">
          <cell r="E538" t="str">
            <v/>
          </cell>
          <cell r="J538">
            <v>6036000</v>
          </cell>
        </row>
        <row r="539">
          <cell r="E539" t="str">
            <v/>
          </cell>
          <cell r="J539">
            <v>6036000</v>
          </cell>
        </row>
        <row r="540">
          <cell r="E540" t="str">
            <v/>
          </cell>
          <cell r="J540">
            <v>6036000</v>
          </cell>
        </row>
        <row r="541">
          <cell r="E541" t="str">
            <v/>
          </cell>
          <cell r="J541">
            <v>6036000</v>
          </cell>
        </row>
        <row r="542">
          <cell r="E542" t="str">
            <v/>
          </cell>
          <cell r="J542">
            <v>6036000</v>
          </cell>
        </row>
        <row r="543">
          <cell r="E543" t="str">
            <v/>
          </cell>
          <cell r="J543">
            <v>6036000</v>
          </cell>
        </row>
        <row r="544">
          <cell r="E544" t="str">
            <v/>
          </cell>
          <cell r="J544">
            <v>6036000</v>
          </cell>
        </row>
        <row r="545">
          <cell r="E545" t="str">
            <v/>
          </cell>
          <cell r="J545">
            <v>6036000</v>
          </cell>
        </row>
        <row r="546">
          <cell r="E546" t="str">
            <v/>
          </cell>
          <cell r="J546">
            <v>6036000</v>
          </cell>
        </row>
        <row r="547">
          <cell r="E547" t="str">
            <v/>
          </cell>
          <cell r="J547">
            <v>6036000</v>
          </cell>
        </row>
        <row r="548">
          <cell r="E548" t="str">
            <v/>
          </cell>
          <cell r="J548">
            <v>6036000</v>
          </cell>
        </row>
        <row r="549">
          <cell r="E549" t="str">
            <v/>
          </cell>
          <cell r="J549">
            <v>6036000</v>
          </cell>
        </row>
        <row r="550">
          <cell r="E550" t="str">
            <v/>
          </cell>
          <cell r="J550">
            <v>6036000</v>
          </cell>
        </row>
        <row r="551">
          <cell r="E551" t="str">
            <v/>
          </cell>
          <cell r="J551">
            <v>6036000</v>
          </cell>
        </row>
        <row r="552">
          <cell r="E552" t="str">
            <v/>
          </cell>
          <cell r="J552">
            <v>6036000</v>
          </cell>
        </row>
        <row r="553">
          <cell r="E553" t="str">
            <v/>
          </cell>
          <cell r="J553">
            <v>6036000</v>
          </cell>
        </row>
        <row r="554">
          <cell r="E554" t="str">
            <v/>
          </cell>
          <cell r="J554">
            <v>6036000</v>
          </cell>
        </row>
        <row r="555">
          <cell r="E555" t="str">
            <v/>
          </cell>
          <cell r="J555">
            <v>6036000</v>
          </cell>
        </row>
        <row r="556">
          <cell r="E556" t="str">
            <v/>
          </cell>
          <cell r="J556">
            <v>6036000</v>
          </cell>
        </row>
        <row r="557">
          <cell r="E557" t="str">
            <v/>
          </cell>
          <cell r="J557">
            <v>6036000</v>
          </cell>
        </row>
        <row r="558">
          <cell r="E558" t="str">
            <v/>
          </cell>
          <cell r="J558">
            <v>6036000</v>
          </cell>
        </row>
        <row r="559">
          <cell r="E559" t="str">
            <v/>
          </cell>
          <cell r="J559">
            <v>6036000</v>
          </cell>
        </row>
        <row r="560">
          <cell r="E560" t="str">
            <v/>
          </cell>
          <cell r="J560">
            <v>6036000</v>
          </cell>
        </row>
        <row r="561">
          <cell r="E561" t="str">
            <v/>
          </cell>
          <cell r="J561">
            <v>6036000</v>
          </cell>
        </row>
        <row r="562">
          <cell r="E562" t="str">
            <v/>
          </cell>
          <cell r="J562">
            <v>6036000</v>
          </cell>
        </row>
        <row r="563">
          <cell r="E563" t="str">
            <v/>
          </cell>
          <cell r="J563">
            <v>6036000</v>
          </cell>
        </row>
        <row r="564">
          <cell r="E564" t="str">
            <v/>
          </cell>
          <cell r="J564">
            <v>6036000</v>
          </cell>
        </row>
        <row r="565">
          <cell r="E565" t="str">
            <v/>
          </cell>
          <cell r="J565">
            <v>6036000</v>
          </cell>
        </row>
        <row r="566">
          <cell r="E566" t="str">
            <v/>
          </cell>
          <cell r="J566">
            <v>6036000</v>
          </cell>
        </row>
        <row r="567">
          <cell r="E567" t="str">
            <v/>
          </cell>
          <cell r="J567">
            <v>6036000</v>
          </cell>
        </row>
        <row r="568">
          <cell r="E568" t="str">
            <v/>
          </cell>
          <cell r="J568">
            <v>6036000</v>
          </cell>
        </row>
        <row r="569">
          <cell r="E569" t="str">
            <v/>
          </cell>
          <cell r="J569">
            <v>6036000</v>
          </cell>
        </row>
        <row r="570">
          <cell r="E570" t="str">
            <v/>
          </cell>
          <cell r="J570">
            <v>6036000</v>
          </cell>
        </row>
        <row r="571">
          <cell r="E571" t="str">
            <v/>
          </cell>
          <cell r="J571">
            <v>6036000</v>
          </cell>
        </row>
        <row r="572">
          <cell r="E572" t="str">
            <v/>
          </cell>
          <cell r="J572">
            <v>6036000</v>
          </cell>
        </row>
        <row r="573">
          <cell r="E573" t="str">
            <v/>
          </cell>
          <cell r="J573">
            <v>6036000</v>
          </cell>
        </row>
        <row r="574">
          <cell r="E574" t="str">
            <v/>
          </cell>
          <cell r="J574">
            <v>6036000</v>
          </cell>
        </row>
        <row r="575">
          <cell r="E575" t="str">
            <v/>
          </cell>
          <cell r="J575">
            <v>6036000</v>
          </cell>
        </row>
        <row r="576">
          <cell r="E576" t="str">
            <v/>
          </cell>
          <cell r="J576">
            <v>6036000</v>
          </cell>
        </row>
        <row r="577">
          <cell r="E577" t="str">
            <v/>
          </cell>
          <cell r="J577">
            <v>6036000</v>
          </cell>
        </row>
        <row r="578">
          <cell r="E578" t="str">
            <v/>
          </cell>
          <cell r="J578">
            <v>6036000</v>
          </cell>
        </row>
        <row r="579">
          <cell r="E579" t="str">
            <v/>
          </cell>
          <cell r="J579">
            <v>6036000</v>
          </cell>
        </row>
        <row r="580">
          <cell r="E580" t="str">
            <v/>
          </cell>
          <cell r="J580">
            <v>6036000</v>
          </cell>
        </row>
        <row r="581">
          <cell r="E581" t="str">
            <v/>
          </cell>
          <cell r="J581">
            <v>6036000</v>
          </cell>
        </row>
        <row r="582">
          <cell r="E582" t="str">
            <v/>
          </cell>
          <cell r="J582">
            <v>6036000</v>
          </cell>
        </row>
        <row r="583">
          <cell r="E583" t="str">
            <v/>
          </cell>
          <cell r="J583">
            <v>6036000</v>
          </cell>
        </row>
        <row r="584">
          <cell r="E584" t="str">
            <v/>
          </cell>
          <cell r="J584">
            <v>6036000</v>
          </cell>
        </row>
        <row r="585">
          <cell r="E585" t="str">
            <v/>
          </cell>
          <cell r="J585">
            <v>6036000</v>
          </cell>
        </row>
        <row r="586">
          <cell r="E586" t="str">
            <v/>
          </cell>
          <cell r="J586">
            <v>6036000</v>
          </cell>
        </row>
        <row r="587">
          <cell r="E587" t="str">
            <v/>
          </cell>
          <cell r="J587">
            <v>6036000</v>
          </cell>
        </row>
        <row r="588">
          <cell r="E588" t="str">
            <v/>
          </cell>
          <cell r="J588">
            <v>6036000</v>
          </cell>
        </row>
        <row r="589">
          <cell r="E589" t="str">
            <v/>
          </cell>
          <cell r="J589">
            <v>6036000</v>
          </cell>
        </row>
        <row r="590">
          <cell r="E590" t="str">
            <v/>
          </cell>
          <cell r="J590">
            <v>6036000</v>
          </cell>
        </row>
        <row r="591">
          <cell r="E591" t="str">
            <v/>
          </cell>
          <cell r="J591">
            <v>6036000</v>
          </cell>
        </row>
        <row r="592">
          <cell r="E592" t="str">
            <v/>
          </cell>
          <cell r="J592">
            <v>6036000</v>
          </cell>
        </row>
        <row r="593">
          <cell r="E593" t="str">
            <v/>
          </cell>
          <cell r="J593">
            <v>6036000</v>
          </cell>
        </row>
        <row r="594">
          <cell r="E594" t="str">
            <v/>
          </cell>
          <cell r="J594">
            <v>6036000</v>
          </cell>
        </row>
        <row r="595">
          <cell r="E595" t="str">
            <v/>
          </cell>
          <cell r="J595">
            <v>6036000</v>
          </cell>
        </row>
        <row r="596">
          <cell r="E596" t="str">
            <v/>
          </cell>
          <cell r="J596">
            <v>6036000</v>
          </cell>
        </row>
        <row r="597">
          <cell r="E597" t="str">
            <v/>
          </cell>
          <cell r="J597">
            <v>6036000</v>
          </cell>
        </row>
        <row r="598">
          <cell r="E598" t="str">
            <v/>
          </cell>
          <cell r="J598">
            <v>6036000</v>
          </cell>
        </row>
        <row r="599">
          <cell r="E599" t="str">
            <v/>
          </cell>
          <cell r="J599">
            <v>6036000</v>
          </cell>
        </row>
        <row r="600">
          <cell r="E600" t="str">
            <v/>
          </cell>
          <cell r="J600">
            <v>6036000</v>
          </cell>
        </row>
        <row r="601">
          <cell r="E601" t="str">
            <v/>
          </cell>
          <cell r="J601">
            <v>6036000</v>
          </cell>
        </row>
        <row r="602">
          <cell r="E602" t="str">
            <v/>
          </cell>
          <cell r="J602">
            <v>6036000</v>
          </cell>
        </row>
        <row r="603">
          <cell r="E603" t="str">
            <v/>
          </cell>
          <cell r="J603">
            <v>6036000</v>
          </cell>
        </row>
        <row r="604">
          <cell r="E604" t="str">
            <v/>
          </cell>
          <cell r="J604">
            <v>6036000</v>
          </cell>
        </row>
        <row r="605">
          <cell r="E605" t="str">
            <v/>
          </cell>
          <cell r="J605">
            <v>6036000</v>
          </cell>
        </row>
        <row r="606">
          <cell r="E606" t="str">
            <v/>
          </cell>
          <cell r="J606">
            <v>6036000</v>
          </cell>
        </row>
        <row r="607">
          <cell r="E607" t="str">
            <v/>
          </cell>
          <cell r="J607">
            <v>6036000</v>
          </cell>
        </row>
        <row r="608">
          <cell r="E608" t="str">
            <v/>
          </cell>
          <cell r="J608">
            <v>6036000</v>
          </cell>
        </row>
        <row r="609">
          <cell r="E609" t="str">
            <v/>
          </cell>
          <cell r="J609">
            <v>6036000</v>
          </cell>
        </row>
        <row r="610">
          <cell r="E610" t="str">
            <v/>
          </cell>
          <cell r="J610">
            <v>6036000</v>
          </cell>
        </row>
        <row r="611">
          <cell r="E611" t="str">
            <v/>
          </cell>
          <cell r="J611">
            <v>6036000</v>
          </cell>
        </row>
        <row r="612">
          <cell r="E612" t="str">
            <v/>
          </cell>
          <cell r="J612">
            <v>6036000</v>
          </cell>
        </row>
        <row r="613">
          <cell r="E613" t="str">
            <v/>
          </cell>
          <cell r="J613">
            <v>6036000</v>
          </cell>
        </row>
        <row r="614">
          <cell r="E614" t="str">
            <v/>
          </cell>
          <cell r="J614">
            <v>6036000</v>
          </cell>
        </row>
        <row r="615">
          <cell r="E615" t="str">
            <v/>
          </cell>
          <cell r="J615">
            <v>6036000</v>
          </cell>
        </row>
        <row r="616">
          <cell r="E616" t="str">
            <v/>
          </cell>
          <cell r="J616">
            <v>6036000</v>
          </cell>
        </row>
        <row r="617">
          <cell r="E617" t="str">
            <v/>
          </cell>
          <cell r="J617">
            <v>6036000</v>
          </cell>
        </row>
        <row r="618">
          <cell r="E618" t="str">
            <v/>
          </cell>
          <cell r="J618">
            <v>6036000</v>
          </cell>
        </row>
        <row r="619">
          <cell r="E619" t="str">
            <v/>
          </cell>
          <cell r="J619">
            <v>6036000</v>
          </cell>
        </row>
        <row r="620">
          <cell r="E620" t="str">
            <v/>
          </cell>
          <cell r="J620">
            <v>6036000</v>
          </cell>
        </row>
        <row r="621">
          <cell r="E621" t="str">
            <v/>
          </cell>
          <cell r="J621">
            <v>6036000</v>
          </cell>
        </row>
        <row r="622">
          <cell r="E622" t="str">
            <v/>
          </cell>
          <cell r="J622">
            <v>6036000</v>
          </cell>
        </row>
        <row r="623">
          <cell r="E623" t="str">
            <v/>
          </cell>
          <cell r="J623">
            <v>6036000</v>
          </cell>
        </row>
        <row r="624">
          <cell r="E624" t="str">
            <v/>
          </cell>
          <cell r="J624">
            <v>6036000</v>
          </cell>
        </row>
        <row r="625">
          <cell r="E625" t="str">
            <v/>
          </cell>
          <cell r="J625">
            <v>6036000</v>
          </cell>
        </row>
        <row r="626">
          <cell r="E626" t="str">
            <v/>
          </cell>
          <cell r="J626">
            <v>6036000</v>
          </cell>
        </row>
        <row r="627">
          <cell r="E627" t="str">
            <v/>
          </cell>
          <cell r="J627">
            <v>6036000</v>
          </cell>
        </row>
        <row r="628">
          <cell r="E628" t="str">
            <v/>
          </cell>
          <cell r="J628">
            <v>6036000</v>
          </cell>
        </row>
        <row r="629">
          <cell r="E629" t="str">
            <v/>
          </cell>
          <cell r="J629">
            <v>6036000</v>
          </cell>
        </row>
        <row r="630">
          <cell r="E630" t="str">
            <v/>
          </cell>
          <cell r="J630">
            <v>6036000</v>
          </cell>
        </row>
        <row r="631">
          <cell r="E631" t="str">
            <v/>
          </cell>
          <cell r="J631">
            <v>6036000</v>
          </cell>
        </row>
        <row r="632">
          <cell r="E632" t="str">
            <v/>
          </cell>
          <cell r="J632">
            <v>6036000</v>
          </cell>
        </row>
        <row r="633">
          <cell r="E633" t="str">
            <v/>
          </cell>
          <cell r="J633">
            <v>6036000</v>
          </cell>
        </row>
        <row r="634">
          <cell r="E634" t="str">
            <v/>
          </cell>
          <cell r="J634">
            <v>6036000</v>
          </cell>
        </row>
        <row r="635">
          <cell r="E635" t="str">
            <v/>
          </cell>
          <cell r="J635">
            <v>6036000</v>
          </cell>
        </row>
        <row r="636">
          <cell r="E636" t="str">
            <v/>
          </cell>
          <cell r="J636">
            <v>6036000</v>
          </cell>
        </row>
        <row r="637">
          <cell r="E637" t="str">
            <v/>
          </cell>
          <cell r="J637">
            <v>6036000</v>
          </cell>
        </row>
        <row r="638">
          <cell r="E638" t="str">
            <v/>
          </cell>
          <cell r="J638">
            <v>6036000</v>
          </cell>
        </row>
        <row r="639">
          <cell r="E639" t="str">
            <v/>
          </cell>
          <cell r="J639">
            <v>6036000</v>
          </cell>
        </row>
        <row r="640">
          <cell r="E640" t="str">
            <v/>
          </cell>
          <cell r="J640">
            <v>6036000</v>
          </cell>
        </row>
        <row r="641">
          <cell r="E641" t="str">
            <v/>
          </cell>
          <cell r="J641">
            <v>6036000</v>
          </cell>
        </row>
        <row r="642">
          <cell r="E642" t="str">
            <v/>
          </cell>
          <cell r="J642">
            <v>6036000</v>
          </cell>
        </row>
        <row r="643">
          <cell r="E643" t="str">
            <v/>
          </cell>
          <cell r="J643">
            <v>6036000</v>
          </cell>
        </row>
        <row r="644">
          <cell r="E644" t="str">
            <v/>
          </cell>
          <cell r="J644">
            <v>6036000</v>
          </cell>
        </row>
        <row r="645">
          <cell r="E645" t="str">
            <v/>
          </cell>
          <cell r="J645">
            <v>6036000</v>
          </cell>
        </row>
        <row r="646">
          <cell r="E646" t="str">
            <v/>
          </cell>
          <cell r="J646">
            <v>6036000</v>
          </cell>
        </row>
        <row r="647">
          <cell r="E647" t="str">
            <v/>
          </cell>
          <cell r="J647">
            <v>6036000</v>
          </cell>
        </row>
        <row r="648">
          <cell r="E648" t="str">
            <v/>
          </cell>
          <cell r="J648">
            <v>6036000</v>
          </cell>
        </row>
        <row r="649">
          <cell r="E649" t="str">
            <v/>
          </cell>
          <cell r="J649">
            <v>6036000</v>
          </cell>
        </row>
        <row r="650">
          <cell r="E650" t="str">
            <v/>
          </cell>
          <cell r="J650">
            <v>6036000</v>
          </cell>
        </row>
        <row r="651">
          <cell r="E651" t="str">
            <v/>
          </cell>
          <cell r="J651">
            <v>6036000</v>
          </cell>
        </row>
        <row r="652">
          <cell r="E652" t="str">
            <v/>
          </cell>
          <cell r="J652">
            <v>6036000</v>
          </cell>
        </row>
        <row r="653">
          <cell r="E653" t="str">
            <v/>
          </cell>
          <cell r="J653">
            <v>6036000</v>
          </cell>
        </row>
        <row r="654">
          <cell r="E654" t="str">
            <v/>
          </cell>
          <cell r="J654">
            <v>6036000</v>
          </cell>
        </row>
        <row r="655">
          <cell r="E655" t="str">
            <v/>
          </cell>
          <cell r="J655">
            <v>6036000</v>
          </cell>
        </row>
        <row r="656">
          <cell r="E656" t="str">
            <v/>
          </cell>
          <cell r="J656">
            <v>6036000</v>
          </cell>
        </row>
        <row r="657">
          <cell r="E657" t="str">
            <v/>
          </cell>
          <cell r="J657">
            <v>6036000</v>
          </cell>
        </row>
        <row r="658">
          <cell r="E658" t="str">
            <v/>
          </cell>
          <cell r="J658">
            <v>6036000</v>
          </cell>
        </row>
        <row r="659">
          <cell r="E659" t="str">
            <v/>
          </cell>
          <cell r="J659">
            <v>6036000</v>
          </cell>
        </row>
        <row r="660">
          <cell r="E660" t="str">
            <v/>
          </cell>
          <cell r="J660">
            <v>6036000</v>
          </cell>
        </row>
        <row r="661">
          <cell r="E661" t="str">
            <v/>
          </cell>
          <cell r="J661">
            <v>6036000</v>
          </cell>
        </row>
        <row r="662">
          <cell r="E662" t="str">
            <v/>
          </cell>
          <cell r="J662">
            <v>6036000</v>
          </cell>
        </row>
        <row r="663">
          <cell r="E663" t="str">
            <v/>
          </cell>
          <cell r="J663">
            <v>6036000</v>
          </cell>
        </row>
        <row r="664">
          <cell r="E664" t="str">
            <v/>
          </cell>
          <cell r="J664">
            <v>6036000</v>
          </cell>
        </row>
        <row r="665">
          <cell r="E665" t="str">
            <v/>
          </cell>
          <cell r="J665">
            <v>6036000</v>
          </cell>
          <cell r="K665" t="str">
            <v xml:space="preserve">  </v>
          </cell>
        </row>
        <row r="666">
          <cell r="E666" t="str">
            <v/>
          </cell>
          <cell r="J666">
            <v>6036000</v>
          </cell>
        </row>
        <row r="667">
          <cell r="E667" t="str">
            <v/>
          </cell>
          <cell r="J667">
            <v>6036000</v>
          </cell>
        </row>
        <row r="668">
          <cell r="E668" t="str">
            <v/>
          </cell>
          <cell r="J668">
            <v>6036000</v>
          </cell>
        </row>
        <row r="669">
          <cell r="E669" t="str">
            <v/>
          </cell>
          <cell r="J669">
            <v>6036000</v>
          </cell>
        </row>
        <row r="670">
          <cell r="E670" t="str">
            <v/>
          </cell>
          <cell r="J670">
            <v>6036000</v>
          </cell>
        </row>
        <row r="671">
          <cell r="E671" t="str">
            <v/>
          </cell>
          <cell r="J671">
            <v>6036000</v>
          </cell>
        </row>
        <row r="672">
          <cell r="E672" t="str">
            <v/>
          </cell>
          <cell r="J672">
            <v>6036000</v>
          </cell>
        </row>
        <row r="673">
          <cell r="E673" t="str">
            <v/>
          </cell>
          <cell r="J673">
            <v>6036000</v>
          </cell>
        </row>
        <row r="674">
          <cell r="E674" t="str">
            <v/>
          </cell>
          <cell r="J674">
            <v>6036000</v>
          </cell>
        </row>
        <row r="675">
          <cell r="E675" t="str">
            <v/>
          </cell>
          <cell r="J675">
            <v>6036000</v>
          </cell>
        </row>
        <row r="676">
          <cell r="E676" t="str">
            <v/>
          </cell>
          <cell r="J676">
            <v>6036000</v>
          </cell>
        </row>
        <row r="677">
          <cell r="E677" t="str">
            <v/>
          </cell>
          <cell r="J677">
            <v>6036000</v>
          </cell>
        </row>
        <row r="678">
          <cell r="E678" t="str">
            <v/>
          </cell>
          <cell r="J678">
            <v>6036000</v>
          </cell>
        </row>
        <row r="679">
          <cell r="E679" t="str">
            <v/>
          </cell>
          <cell r="J679">
            <v>6036000</v>
          </cell>
        </row>
        <row r="680">
          <cell r="E680" t="str">
            <v/>
          </cell>
          <cell r="J680">
            <v>6036000</v>
          </cell>
        </row>
        <row r="681">
          <cell r="E681" t="str">
            <v/>
          </cell>
          <cell r="J681">
            <v>6036000</v>
          </cell>
        </row>
        <row r="682">
          <cell r="E682" t="str">
            <v/>
          </cell>
          <cell r="J682">
            <v>6036000</v>
          </cell>
        </row>
        <row r="683">
          <cell r="E683" t="str">
            <v/>
          </cell>
          <cell r="J683">
            <v>6036000</v>
          </cell>
        </row>
        <row r="684">
          <cell r="E684" t="str">
            <v/>
          </cell>
          <cell r="J684">
            <v>6036000</v>
          </cell>
        </row>
        <row r="685">
          <cell r="E685" t="str">
            <v/>
          </cell>
          <cell r="J685">
            <v>6036000</v>
          </cell>
        </row>
        <row r="686">
          <cell r="E686" t="str">
            <v/>
          </cell>
          <cell r="J686">
            <v>6036000</v>
          </cell>
        </row>
        <row r="687">
          <cell r="E687" t="str">
            <v/>
          </cell>
          <cell r="J687">
            <v>6036000</v>
          </cell>
        </row>
        <row r="688">
          <cell r="E688" t="str">
            <v/>
          </cell>
          <cell r="J688">
            <v>6036000</v>
          </cell>
        </row>
        <row r="689">
          <cell r="E689" t="str">
            <v/>
          </cell>
          <cell r="J689">
            <v>6036000</v>
          </cell>
        </row>
        <row r="690">
          <cell r="E690" t="str">
            <v/>
          </cell>
          <cell r="J690">
            <v>6036000</v>
          </cell>
        </row>
        <row r="691">
          <cell r="E691" t="str">
            <v/>
          </cell>
          <cell r="J691">
            <v>6036000</v>
          </cell>
        </row>
        <row r="692">
          <cell r="E692" t="str">
            <v/>
          </cell>
          <cell r="J692">
            <v>6036000</v>
          </cell>
        </row>
        <row r="693">
          <cell r="E693" t="str">
            <v/>
          </cell>
          <cell r="J693">
            <v>6036000</v>
          </cell>
        </row>
        <row r="694">
          <cell r="E694" t="str">
            <v/>
          </cell>
          <cell r="J694">
            <v>6036000</v>
          </cell>
        </row>
        <row r="695">
          <cell r="E695" t="str">
            <v/>
          </cell>
          <cell r="J695">
            <v>6036000</v>
          </cell>
        </row>
        <row r="696">
          <cell r="E696" t="str">
            <v/>
          </cell>
          <cell r="J696">
            <v>6036000</v>
          </cell>
        </row>
        <row r="697">
          <cell r="E697" t="str">
            <v/>
          </cell>
          <cell r="J697">
            <v>6036000</v>
          </cell>
        </row>
        <row r="698">
          <cell r="E698" t="str">
            <v/>
          </cell>
          <cell r="J698">
            <v>6036000</v>
          </cell>
        </row>
        <row r="699">
          <cell r="E699" t="str">
            <v/>
          </cell>
          <cell r="J699">
            <v>6036000</v>
          </cell>
        </row>
        <row r="700">
          <cell r="E700" t="str">
            <v/>
          </cell>
          <cell r="J700">
            <v>6036000</v>
          </cell>
        </row>
        <row r="701">
          <cell r="E701" t="str">
            <v/>
          </cell>
          <cell r="J701">
            <v>6036000</v>
          </cell>
        </row>
        <row r="702">
          <cell r="E702" t="str">
            <v/>
          </cell>
          <cell r="J702">
            <v>6036000</v>
          </cell>
        </row>
        <row r="703">
          <cell r="E703" t="str">
            <v/>
          </cell>
          <cell r="J703">
            <v>6036000</v>
          </cell>
        </row>
        <row r="704">
          <cell r="E704" t="str">
            <v/>
          </cell>
          <cell r="J704">
            <v>6036000</v>
          </cell>
        </row>
        <row r="705">
          <cell r="E705" t="str">
            <v/>
          </cell>
          <cell r="J705">
            <v>6036000</v>
          </cell>
        </row>
        <row r="706">
          <cell r="E706" t="str">
            <v/>
          </cell>
          <cell r="J706">
            <v>6036000</v>
          </cell>
        </row>
        <row r="707">
          <cell r="E707" t="str">
            <v/>
          </cell>
          <cell r="J707">
            <v>6036000</v>
          </cell>
        </row>
        <row r="708">
          <cell r="E708" t="str">
            <v/>
          </cell>
          <cell r="J708">
            <v>6036000</v>
          </cell>
        </row>
        <row r="709">
          <cell r="E709" t="str">
            <v/>
          </cell>
          <cell r="J709">
            <v>6036000</v>
          </cell>
        </row>
        <row r="710">
          <cell r="E710" t="str">
            <v/>
          </cell>
          <cell r="J710">
            <v>6036000</v>
          </cell>
        </row>
        <row r="711">
          <cell r="E711" t="str">
            <v/>
          </cell>
          <cell r="J711">
            <v>6036000</v>
          </cell>
        </row>
        <row r="712">
          <cell r="E712" t="str">
            <v/>
          </cell>
          <cell r="J712">
            <v>6036000</v>
          </cell>
        </row>
        <row r="713">
          <cell r="E713" t="str">
            <v/>
          </cell>
          <cell r="J713">
            <v>6036000</v>
          </cell>
        </row>
        <row r="714">
          <cell r="E714" t="str">
            <v/>
          </cell>
          <cell r="J714">
            <v>6036000</v>
          </cell>
        </row>
        <row r="715">
          <cell r="E715" t="str">
            <v/>
          </cell>
          <cell r="J715">
            <v>6036000</v>
          </cell>
        </row>
        <row r="716">
          <cell r="E716" t="str">
            <v/>
          </cell>
          <cell r="J716">
            <v>6036000</v>
          </cell>
        </row>
        <row r="717">
          <cell r="E717" t="str">
            <v/>
          </cell>
          <cell r="J717">
            <v>6036000</v>
          </cell>
        </row>
        <row r="718">
          <cell r="E718" t="str">
            <v/>
          </cell>
          <cell r="J718">
            <v>6036000</v>
          </cell>
        </row>
        <row r="719">
          <cell r="E719" t="str">
            <v/>
          </cell>
          <cell r="J719">
            <v>6036000</v>
          </cell>
        </row>
        <row r="720">
          <cell r="E720" t="str">
            <v/>
          </cell>
          <cell r="J720">
            <v>6036000</v>
          </cell>
        </row>
        <row r="721">
          <cell r="E721" t="str">
            <v/>
          </cell>
          <cell r="J721">
            <v>6036000</v>
          </cell>
        </row>
        <row r="722">
          <cell r="E722" t="str">
            <v/>
          </cell>
          <cell r="J722">
            <v>6036000</v>
          </cell>
        </row>
        <row r="723">
          <cell r="E723" t="str">
            <v/>
          </cell>
          <cell r="J723">
            <v>6036000</v>
          </cell>
        </row>
        <row r="724">
          <cell r="E724" t="str">
            <v/>
          </cell>
          <cell r="J724">
            <v>6036000</v>
          </cell>
        </row>
        <row r="725">
          <cell r="E725" t="str">
            <v/>
          </cell>
          <cell r="J725">
            <v>6036000</v>
          </cell>
        </row>
        <row r="726">
          <cell r="E726" t="str">
            <v/>
          </cell>
          <cell r="J726">
            <v>6036000</v>
          </cell>
        </row>
        <row r="727">
          <cell r="E727" t="str">
            <v/>
          </cell>
          <cell r="J727">
            <v>6036000</v>
          </cell>
        </row>
        <row r="728">
          <cell r="E728" t="str">
            <v/>
          </cell>
          <cell r="J728">
            <v>6036000</v>
          </cell>
        </row>
        <row r="729">
          <cell r="E729" t="str">
            <v/>
          </cell>
          <cell r="J729">
            <v>6036000</v>
          </cell>
        </row>
        <row r="730">
          <cell r="E730" t="str">
            <v/>
          </cell>
          <cell r="J730">
            <v>6036000</v>
          </cell>
        </row>
        <row r="731">
          <cell r="E731" t="str">
            <v/>
          </cell>
          <cell r="J731">
            <v>6036000</v>
          </cell>
        </row>
        <row r="732">
          <cell r="E732" t="str">
            <v/>
          </cell>
          <cell r="J732">
            <v>6036000</v>
          </cell>
        </row>
        <row r="733">
          <cell r="E733" t="str">
            <v/>
          </cell>
          <cell r="J733">
            <v>6036000</v>
          </cell>
        </row>
        <row r="734">
          <cell r="E734" t="str">
            <v/>
          </cell>
          <cell r="J734">
            <v>6036000</v>
          </cell>
        </row>
        <row r="735">
          <cell r="E735" t="str">
            <v/>
          </cell>
          <cell r="J735">
            <v>6036000</v>
          </cell>
        </row>
        <row r="736">
          <cell r="E736" t="str">
            <v/>
          </cell>
          <cell r="J736">
            <v>6036000</v>
          </cell>
        </row>
        <row r="737">
          <cell r="E737" t="str">
            <v/>
          </cell>
          <cell r="J737">
            <v>6036000</v>
          </cell>
        </row>
        <row r="738">
          <cell r="E738" t="str">
            <v/>
          </cell>
          <cell r="J738">
            <v>6036000</v>
          </cell>
        </row>
        <row r="739">
          <cell r="E739" t="str">
            <v/>
          </cell>
          <cell r="J739">
            <v>6036000</v>
          </cell>
        </row>
        <row r="740">
          <cell r="E740" t="str">
            <v/>
          </cell>
          <cell r="J740">
            <v>6036000</v>
          </cell>
        </row>
        <row r="741">
          <cell r="E741" t="str">
            <v/>
          </cell>
          <cell r="J741">
            <v>6036000</v>
          </cell>
        </row>
        <row r="742">
          <cell r="E742" t="str">
            <v/>
          </cell>
          <cell r="J742">
            <v>6036000</v>
          </cell>
        </row>
        <row r="743">
          <cell r="E743" t="str">
            <v/>
          </cell>
          <cell r="J743">
            <v>6036000</v>
          </cell>
        </row>
        <row r="744">
          <cell r="E744" t="str">
            <v/>
          </cell>
          <cell r="J744">
            <v>6036000</v>
          </cell>
        </row>
        <row r="745">
          <cell r="E745" t="str">
            <v/>
          </cell>
          <cell r="J745">
            <v>6036000</v>
          </cell>
        </row>
        <row r="746">
          <cell r="E746" t="str">
            <v/>
          </cell>
          <cell r="J746">
            <v>6036000</v>
          </cell>
        </row>
        <row r="747">
          <cell r="E747" t="str">
            <v/>
          </cell>
          <cell r="J747">
            <v>6036000</v>
          </cell>
        </row>
        <row r="748">
          <cell r="E748" t="str">
            <v/>
          </cell>
          <cell r="J748">
            <v>6036000</v>
          </cell>
        </row>
        <row r="749">
          <cell r="E749" t="str">
            <v/>
          </cell>
          <cell r="J749">
            <v>6036000</v>
          </cell>
        </row>
        <row r="750">
          <cell r="E750" t="str">
            <v/>
          </cell>
          <cell r="J750">
            <v>6036000</v>
          </cell>
        </row>
        <row r="751">
          <cell r="E751" t="str">
            <v/>
          </cell>
          <cell r="J751">
            <v>6036000</v>
          </cell>
        </row>
        <row r="752">
          <cell r="E752" t="str">
            <v/>
          </cell>
          <cell r="J752">
            <v>6036000</v>
          </cell>
        </row>
        <row r="753">
          <cell r="E753" t="str">
            <v/>
          </cell>
          <cell r="J753">
            <v>6036000</v>
          </cell>
        </row>
        <row r="754">
          <cell r="E754" t="str">
            <v/>
          </cell>
          <cell r="J754">
            <v>6036000</v>
          </cell>
        </row>
        <row r="755">
          <cell r="E755" t="str">
            <v/>
          </cell>
          <cell r="J755">
            <v>6036000</v>
          </cell>
        </row>
        <row r="756">
          <cell r="E756" t="str">
            <v/>
          </cell>
          <cell r="J756">
            <v>6036000</v>
          </cell>
        </row>
        <row r="757">
          <cell r="E757" t="str">
            <v/>
          </cell>
          <cell r="J757">
            <v>6036000</v>
          </cell>
        </row>
        <row r="758">
          <cell r="E758" t="str">
            <v/>
          </cell>
          <cell r="J758">
            <v>6036000</v>
          </cell>
        </row>
        <row r="759">
          <cell r="E759" t="str">
            <v/>
          </cell>
          <cell r="J759">
            <v>6036000</v>
          </cell>
        </row>
        <row r="760">
          <cell r="E760" t="str">
            <v/>
          </cell>
          <cell r="J760">
            <v>6036000</v>
          </cell>
        </row>
        <row r="761">
          <cell r="E761" t="str">
            <v/>
          </cell>
          <cell r="J761">
            <v>6036000</v>
          </cell>
        </row>
        <row r="762">
          <cell r="E762" t="str">
            <v/>
          </cell>
          <cell r="J762">
            <v>6036000</v>
          </cell>
        </row>
        <row r="763">
          <cell r="E763" t="str">
            <v/>
          </cell>
          <cell r="J763">
            <v>6036000</v>
          </cell>
        </row>
        <row r="764">
          <cell r="E764" t="str">
            <v/>
          </cell>
          <cell r="J764">
            <v>6036000</v>
          </cell>
        </row>
        <row r="765">
          <cell r="E765" t="str">
            <v/>
          </cell>
          <cell r="J765">
            <v>6036000</v>
          </cell>
        </row>
        <row r="766">
          <cell r="E766" t="str">
            <v/>
          </cell>
          <cell r="J766">
            <v>6036000</v>
          </cell>
        </row>
        <row r="767">
          <cell r="E767" t="str">
            <v/>
          </cell>
          <cell r="J767">
            <v>6036000</v>
          </cell>
        </row>
        <row r="768">
          <cell r="E768" t="str">
            <v/>
          </cell>
          <cell r="J768">
            <v>6036000</v>
          </cell>
        </row>
        <row r="769">
          <cell r="E769" t="str">
            <v/>
          </cell>
          <cell r="J769">
            <v>6036000</v>
          </cell>
        </row>
        <row r="770">
          <cell r="E770" t="str">
            <v/>
          </cell>
          <cell r="J770">
            <v>6036000</v>
          </cell>
        </row>
        <row r="771">
          <cell r="E771" t="str">
            <v/>
          </cell>
          <cell r="J771">
            <v>6036000</v>
          </cell>
        </row>
        <row r="772">
          <cell r="E772" t="str">
            <v/>
          </cell>
          <cell r="J772">
            <v>6036000</v>
          </cell>
        </row>
        <row r="773">
          <cell r="E773" t="str">
            <v/>
          </cell>
          <cell r="J773">
            <v>6036000</v>
          </cell>
        </row>
        <row r="774">
          <cell r="E774" t="str">
            <v/>
          </cell>
          <cell r="J774">
            <v>6036000</v>
          </cell>
        </row>
        <row r="775">
          <cell r="E775" t="str">
            <v/>
          </cell>
          <cell r="J775">
            <v>6036000</v>
          </cell>
        </row>
        <row r="776">
          <cell r="E776" t="str">
            <v/>
          </cell>
          <cell r="J776">
            <v>6036000</v>
          </cell>
        </row>
        <row r="777">
          <cell r="E777" t="str">
            <v/>
          </cell>
          <cell r="J777">
            <v>6036000</v>
          </cell>
        </row>
        <row r="778">
          <cell r="E778" t="str">
            <v/>
          </cell>
          <cell r="J778">
            <v>6036000</v>
          </cell>
        </row>
        <row r="779">
          <cell r="E779" t="str">
            <v/>
          </cell>
          <cell r="J779">
            <v>6036000</v>
          </cell>
        </row>
        <row r="780">
          <cell r="E780" t="str">
            <v/>
          </cell>
          <cell r="J780">
            <v>6036000</v>
          </cell>
        </row>
        <row r="781">
          <cell r="E781" t="str">
            <v/>
          </cell>
          <cell r="J781">
            <v>6036000</v>
          </cell>
        </row>
        <row r="782">
          <cell r="E782" t="str">
            <v/>
          </cell>
          <cell r="J782">
            <v>6036000</v>
          </cell>
        </row>
        <row r="783">
          <cell r="E783" t="str">
            <v/>
          </cell>
          <cell r="J783">
            <v>6036000</v>
          </cell>
        </row>
        <row r="784">
          <cell r="E784" t="str">
            <v/>
          </cell>
          <cell r="J784">
            <v>6036000</v>
          </cell>
        </row>
        <row r="785">
          <cell r="E785" t="str">
            <v/>
          </cell>
          <cell r="J785">
            <v>6036000</v>
          </cell>
        </row>
        <row r="786">
          <cell r="E786" t="str">
            <v/>
          </cell>
          <cell r="J786">
            <v>6036000</v>
          </cell>
        </row>
        <row r="787">
          <cell r="E787" t="str">
            <v/>
          </cell>
          <cell r="J787">
            <v>6036000</v>
          </cell>
        </row>
        <row r="788">
          <cell r="E788" t="str">
            <v/>
          </cell>
          <cell r="J788">
            <v>6036000</v>
          </cell>
        </row>
        <row r="789">
          <cell r="E789" t="str">
            <v/>
          </cell>
          <cell r="J789">
            <v>6036000</v>
          </cell>
        </row>
        <row r="790">
          <cell r="E790" t="str">
            <v/>
          </cell>
          <cell r="J790">
            <v>6036000</v>
          </cell>
        </row>
        <row r="791">
          <cell r="E791" t="str">
            <v/>
          </cell>
          <cell r="J791">
            <v>6036000</v>
          </cell>
        </row>
        <row r="792">
          <cell r="E792" t="str">
            <v/>
          </cell>
          <cell r="J792">
            <v>6036000</v>
          </cell>
        </row>
        <row r="793">
          <cell r="E793" t="str">
            <v/>
          </cell>
          <cell r="J793">
            <v>6036000</v>
          </cell>
        </row>
        <row r="794">
          <cell r="E794" t="str">
            <v/>
          </cell>
          <cell r="J794">
            <v>6036000</v>
          </cell>
        </row>
        <row r="795">
          <cell r="E795" t="str">
            <v/>
          </cell>
          <cell r="J795">
            <v>6036000</v>
          </cell>
        </row>
        <row r="796">
          <cell r="E796" t="str">
            <v/>
          </cell>
          <cell r="J796">
            <v>6036000</v>
          </cell>
        </row>
        <row r="797">
          <cell r="E797" t="str">
            <v/>
          </cell>
          <cell r="J797">
            <v>6036000</v>
          </cell>
        </row>
        <row r="798">
          <cell r="E798" t="str">
            <v/>
          </cell>
          <cell r="J798">
            <v>6036000</v>
          </cell>
        </row>
        <row r="799">
          <cell r="E799" t="str">
            <v/>
          </cell>
          <cell r="J799">
            <v>6036000</v>
          </cell>
        </row>
        <row r="800">
          <cell r="E800" t="str">
            <v/>
          </cell>
          <cell r="J800">
            <v>6036000</v>
          </cell>
        </row>
        <row r="801">
          <cell r="E801" t="str">
            <v/>
          </cell>
          <cell r="J801">
            <v>6036000</v>
          </cell>
        </row>
        <row r="802">
          <cell r="E802" t="str">
            <v/>
          </cell>
          <cell r="J802">
            <v>6036000</v>
          </cell>
        </row>
        <row r="803">
          <cell r="E803" t="str">
            <v/>
          </cell>
          <cell r="J803">
            <v>6036000</v>
          </cell>
        </row>
        <row r="804">
          <cell r="E804" t="str">
            <v/>
          </cell>
          <cell r="J804">
            <v>6036000</v>
          </cell>
        </row>
        <row r="805">
          <cell r="E805" t="str">
            <v/>
          </cell>
          <cell r="J805">
            <v>6036000</v>
          </cell>
        </row>
        <row r="806">
          <cell r="E806" t="str">
            <v/>
          </cell>
          <cell r="J806">
            <v>6036000</v>
          </cell>
        </row>
        <row r="807">
          <cell r="E807" t="str">
            <v/>
          </cell>
          <cell r="J807">
            <v>6036000</v>
          </cell>
        </row>
        <row r="808">
          <cell r="E808" t="str">
            <v/>
          </cell>
          <cell r="J808">
            <v>6036000</v>
          </cell>
        </row>
        <row r="809">
          <cell r="E809" t="str">
            <v/>
          </cell>
          <cell r="J809">
            <v>6036000</v>
          </cell>
        </row>
        <row r="810">
          <cell r="E810" t="str">
            <v/>
          </cell>
          <cell r="J810">
            <v>6036000</v>
          </cell>
        </row>
        <row r="811">
          <cell r="E811" t="str">
            <v/>
          </cell>
          <cell r="J811">
            <v>6036000</v>
          </cell>
        </row>
        <row r="812">
          <cell r="E812" t="str">
            <v/>
          </cell>
          <cell r="J812">
            <v>6036000</v>
          </cell>
        </row>
        <row r="813">
          <cell r="E813" t="str">
            <v/>
          </cell>
          <cell r="J813">
            <v>6036000</v>
          </cell>
        </row>
        <row r="814">
          <cell r="E814" t="str">
            <v/>
          </cell>
          <cell r="J814">
            <v>6036000</v>
          </cell>
        </row>
        <row r="815">
          <cell r="E815" t="str">
            <v/>
          </cell>
          <cell r="J815">
            <v>6036000</v>
          </cell>
        </row>
        <row r="816">
          <cell r="E816" t="str">
            <v/>
          </cell>
          <cell r="J816">
            <v>6036000</v>
          </cell>
        </row>
        <row r="817">
          <cell r="E817" t="str">
            <v/>
          </cell>
          <cell r="J817">
            <v>6036000</v>
          </cell>
        </row>
        <row r="818">
          <cell r="E818" t="str">
            <v/>
          </cell>
          <cell r="J818">
            <v>6036000</v>
          </cell>
        </row>
        <row r="819">
          <cell r="E819" t="str">
            <v/>
          </cell>
          <cell r="J819">
            <v>6036000</v>
          </cell>
        </row>
        <row r="820">
          <cell r="E820" t="str">
            <v/>
          </cell>
          <cell r="J820">
            <v>6036000</v>
          </cell>
        </row>
        <row r="821">
          <cell r="E821" t="str">
            <v/>
          </cell>
          <cell r="J821">
            <v>6036000</v>
          </cell>
        </row>
        <row r="822">
          <cell r="E822" t="str">
            <v/>
          </cell>
          <cell r="J822">
            <v>6036000</v>
          </cell>
        </row>
        <row r="823">
          <cell r="E823" t="str">
            <v/>
          </cell>
          <cell r="J823">
            <v>6036000</v>
          </cell>
        </row>
        <row r="824">
          <cell r="E824" t="str">
            <v/>
          </cell>
          <cell r="J824">
            <v>6036000</v>
          </cell>
        </row>
        <row r="825">
          <cell r="E825" t="str">
            <v/>
          </cell>
          <cell r="J825">
            <v>6036000</v>
          </cell>
        </row>
        <row r="826">
          <cell r="E826" t="str">
            <v/>
          </cell>
          <cell r="J826">
            <v>6036000</v>
          </cell>
        </row>
        <row r="827">
          <cell r="E827" t="str">
            <v/>
          </cell>
          <cell r="J827">
            <v>6036000</v>
          </cell>
        </row>
        <row r="828">
          <cell r="E828" t="str">
            <v/>
          </cell>
          <cell r="J828">
            <v>6036000</v>
          </cell>
        </row>
        <row r="829">
          <cell r="E829" t="str">
            <v/>
          </cell>
          <cell r="J829">
            <v>6036000</v>
          </cell>
        </row>
        <row r="830">
          <cell r="E830" t="str">
            <v/>
          </cell>
          <cell r="J830">
            <v>6036000</v>
          </cell>
        </row>
        <row r="831">
          <cell r="E831" t="str">
            <v/>
          </cell>
          <cell r="J831">
            <v>6036000</v>
          </cell>
        </row>
        <row r="832">
          <cell r="E832" t="str">
            <v/>
          </cell>
          <cell r="J832">
            <v>6036000</v>
          </cell>
        </row>
        <row r="833">
          <cell r="E833" t="str">
            <v/>
          </cell>
          <cell r="J833">
            <v>6036000</v>
          </cell>
        </row>
        <row r="834">
          <cell r="E834" t="str">
            <v/>
          </cell>
          <cell r="J834">
            <v>6036000</v>
          </cell>
        </row>
        <row r="835">
          <cell r="E835" t="str">
            <v/>
          </cell>
          <cell r="J835">
            <v>6036000</v>
          </cell>
        </row>
        <row r="836">
          <cell r="E836" t="str">
            <v/>
          </cell>
          <cell r="J836">
            <v>6036000</v>
          </cell>
        </row>
        <row r="837">
          <cell r="E837" t="str">
            <v/>
          </cell>
          <cell r="J837">
            <v>6036000</v>
          </cell>
        </row>
        <row r="838">
          <cell r="E838" t="str">
            <v/>
          </cell>
          <cell r="J838">
            <v>6036000</v>
          </cell>
        </row>
        <row r="839">
          <cell r="E839" t="str">
            <v/>
          </cell>
          <cell r="J839">
            <v>6036000</v>
          </cell>
        </row>
        <row r="840">
          <cell r="E840" t="str">
            <v/>
          </cell>
          <cell r="J840">
            <v>6036000</v>
          </cell>
        </row>
        <row r="841">
          <cell r="E841" t="str">
            <v/>
          </cell>
          <cell r="J841">
            <v>6036000</v>
          </cell>
        </row>
        <row r="842">
          <cell r="E842" t="str">
            <v/>
          </cell>
          <cell r="J842">
            <v>6036000</v>
          </cell>
        </row>
        <row r="843">
          <cell r="E843" t="str">
            <v/>
          </cell>
          <cell r="J843">
            <v>6036000</v>
          </cell>
        </row>
        <row r="844">
          <cell r="E844" t="str">
            <v/>
          </cell>
          <cell r="J844">
            <v>6036000</v>
          </cell>
        </row>
        <row r="845">
          <cell r="E845" t="str">
            <v/>
          </cell>
          <cell r="J845">
            <v>6036000</v>
          </cell>
        </row>
        <row r="846">
          <cell r="E846" t="str">
            <v/>
          </cell>
          <cell r="J846">
            <v>6036000</v>
          </cell>
        </row>
        <row r="847">
          <cell r="E847" t="str">
            <v/>
          </cell>
          <cell r="J847">
            <v>6036000</v>
          </cell>
        </row>
        <row r="848">
          <cell r="E848" t="str">
            <v/>
          </cell>
          <cell r="J848">
            <v>6036000</v>
          </cell>
        </row>
        <row r="849">
          <cell r="E849" t="str">
            <v/>
          </cell>
          <cell r="J849">
            <v>6036000</v>
          </cell>
        </row>
        <row r="850">
          <cell r="E850" t="str">
            <v/>
          </cell>
          <cell r="J850">
            <v>6036000</v>
          </cell>
        </row>
        <row r="851">
          <cell r="E851" t="str">
            <v/>
          </cell>
          <cell r="J851">
            <v>6036000</v>
          </cell>
        </row>
        <row r="852">
          <cell r="E852" t="str">
            <v/>
          </cell>
          <cell r="J852">
            <v>6036000</v>
          </cell>
        </row>
        <row r="853">
          <cell r="E853" t="str">
            <v/>
          </cell>
          <cell r="J853">
            <v>6036000</v>
          </cell>
        </row>
        <row r="854">
          <cell r="E854" t="str">
            <v/>
          </cell>
          <cell r="J854">
            <v>6036000</v>
          </cell>
        </row>
        <row r="855">
          <cell r="E855" t="str">
            <v/>
          </cell>
          <cell r="J855">
            <v>6036000</v>
          </cell>
        </row>
        <row r="856">
          <cell r="E856" t="str">
            <v/>
          </cell>
          <cell r="J856">
            <v>6036000</v>
          </cell>
        </row>
        <row r="857">
          <cell r="E857" t="str">
            <v/>
          </cell>
          <cell r="J857">
            <v>6036000</v>
          </cell>
        </row>
        <row r="858">
          <cell r="E858" t="str">
            <v/>
          </cell>
          <cell r="J858">
            <v>6036000</v>
          </cell>
        </row>
        <row r="859">
          <cell r="E859" t="str">
            <v/>
          </cell>
          <cell r="J859">
            <v>6036000</v>
          </cell>
        </row>
        <row r="860">
          <cell r="E860" t="str">
            <v/>
          </cell>
          <cell r="J860">
            <v>6036000</v>
          </cell>
        </row>
        <row r="861">
          <cell r="E861" t="str">
            <v/>
          </cell>
          <cell r="J861">
            <v>6036000</v>
          </cell>
        </row>
        <row r="862">
          <cell r="E862" t="str">
            <v/>
          </cell>
          <cell r="J862">
            <v>6036000</v>
          </cell>
        </row>
        <row r="863">
          <cell r="E863" t="str">
            <v/>
          </cell>
          <cell r="J863">
            <v>6036000</v>
          </cell>
        </row>
        <row r="864">
          <cell r="E864" t="str">
            <v/>
          </cell>
          <cell r="J864">
            <v>6036000</v>
          </cell>
        </row>
        <row r="865">
          <cell r="E865" t="str">
            <v/>
          </cell>
          <cell r="J865">
            <v>6036000</v>
          </cell>
        </row>
        <row r="866">
          <cell r="E866" t="str">
            <v/>
          </cell>
          <cell r="J866">
            <v>6036000</v>
          </cell>
        </row>
        <row r="867">
          <cell r="E867" t="str">
            <v/>
          </cell>
          <cell r="J867">
            <v>6036000</v>
          </cell>
        </row>
        <row r="868">
          <cell r="E868" t="str">
            <v/>
          </cell>
          <cell r="J868">
            <v>6036000</v>
          </cell>
        </row>
        <row r="869">
          <cell r="E869" t="str">
            <v/>
          </cell>
          <cell r="J869">
            <v>6036000</v>
          </cell>
        </row>
        <row r="870">
          <cell r="E870" t="str">
            <v/>
          </cell>
          <cell r="J870">
            <v>6036000</v>
          </cell>
        </row>
        <row r="871">
          <cell r="E871" t="str">
            <v/>
          </cell>
          <cell r="J871">
            <v>6036000</v>
          </cell>
        </row>
        <row r="872">
          <cell r="E872" t="str">
            <v/>
          </cell>
          <cell r="J872">
            <v>6036000</v>
          </cell>
        </row>
        <row r="873">
          <cell r="E873" t="str">
            <v/>
          </cell>
          <cell r="J873">
            <v>6036000</v>
          </cell>
        </row>
        <row r="874">
          <cell r="E874" t="str">
            <v/>
          </cell>
          <cell r="J874">
            <v>6036000</v>
          </cell>
        </row>
        <row r="875">
          <cell r="E875" t="str">
            <v/>
          </cell>
          <cell r="J875">
            <v>6036000</v>
          </cell>
        </row>
        <row r="876">
          <cell r="E876" t="str">
            <v/>
          </cell>
          <cell r="J876">
            <v>6036000</v>
          </cell>
        </row>
        <row r="877">
          <cell r="E877" t="str">
            <v/>
          </cell>
          <cell r="J877">
            <v>6036000</v>
          </cell>
        </row>
        <row r="878">
          <cell r="E878" t="str">
            <v/>
          </cell>
          <cell r="J878">
            <v>6036000</v>
          </cell>
        </row>
        <row r="879">
          <cell r="E879" t="str">
            <v/>
          </cell>
          <cell r="J879">
            <v>6036000</v>
          </cell>
        </row>
        <row r="880">
          <cell r="E880" t="str">
            <v/>
          </cell>
          <cell r="J880">
            <v>6036000</v>
          </cell>
        </row>
        <row r="881">
          <cell r="E881" t="str">
            <v/>
          </cell>
          <cell r="J881">
            <v>6036000</v>
          </cell>
        </row>
        <row r="882">
          <cell r="E882" t="str">
            <v/>
          </cell>
          <cell r="J882">
            <v>6036000</v>
          </cell>
        </row>
        <row r="883">
          <cell r="E883" t="str">
            <v/>
          </cell>
          <cell r="J883">
            <v>6036000</v>
          </cell>
        </row>
        <row r="884">
          <cell r="E884" t="str">
            <v/>
          </cell>
          <cell r="J884">
            <v>6036000</v>
          </cell>
        </row>
        <row r="885">
          <cell r="E885" t="str">
            <v/>
          </cell>
          <cell r="J885">
            <v>6036000</v>
          </cell>
        </row>
        <row r="886">
          <cell r="E886" t="str">
            <v/>
          </cell>
          <cell r="J886">
            <v>6036000</v>
          </cell>
        </row>
        <row r="887">
          <cell r="E887" t="str">
            <v/>
          </cell>
          <cell r="J887">
            <v>6036000</v>
          </cell>
        </row>
        <row r="888">
          <cell r="E888" t="str">
            <v/>
          </cell>
          <cell r="J888">
            <v>6036000</v>
          </cell>
        </row>
        <row r="889">
          <cell r="E889" t="str">
            <v/>
          </cell>
          <cell r="J889">
            <v>6036000</v>
          </cell>
        </row>
        <row r="890">
          <cell r="E890" t="str">
            <v/>
          </cell>
          <cell r="J890">
            <v>6036000</v>
          </cell>
        </row>
        <row r="891">
          <cell r="E891" t="str">
            <v/>
          </cell>
          <cell r="J891">
            <v>6036000</v>
          </cell>
        </row>
        <row r="892">
          <cell r="E892" t="str">
            <v/>
          </cell>
          <cell r="J892">
            <v>6036000</v>
          </cell>
        </row>
        <row r="893">
          <cell r="E893" t="str">
            <v/>
          </cell>
          <cell r="J893">
            <v>6036000</v>
          </cell>
        </row>
        <row r="894">
          <cell r="E894" t="str">
            <v/>
          </cell>
          <cell r="J894">
            <v>6036000</v>
          </cell>
        </row>
        <row r="895">
          <cell r="E895" t="str">
            <v/>
          </cell>
          <cell r="J895">
            <v>6036000</v>
          </cell>
        </row>
        <row r="896">
          <cell r="E896" t="str">
            <v/>
          </cell>
          <cell r="J896">
            <v>6036000</v>
          </cell>
        </row>
        <row r="897">
          <cell r="E897" t="str">
            <v/>
          </cell>
          <cell r="J897">
            <v>6036000</v>
          </cell>
        </row>
        <row r="898">
          <cell r="E898" t="str">
            <v/>
          </cell>
          <cell r="J898">
            <v>6036000</v>
          </cell>
        </row>
        <row r="899">
          <cell r="E899" t="str">
            <v/>
          </cell>
          <cell r="J899">
            <v>6036000</v>
          </cell>
        </row>
        <row r="900">
          <cell r="E900" t="str">
            <v/>
          </cell>
          <cell r="J900">
            <v>6036000</v>
          </cell>
        </row>
        <row r="901">
          <cell r="E901" t="str">
            <v/>
          </cell>
          <cell r="J901">
            <v>6036000</v>
          </cell>
        </row>
        <row r="902">
          <cell r="E902" t="str">
            <v/>
          </cell>
          <cell r="J902">
            <v>6036000</v>
          </cell>
        </row>
        <row r="903">
          <cell r="E903" t="str">
            <v/>
          </cell>
          <cell r="J903">
            <v>6036000</v>
          </cell>
        </row>
        <row r="904">
          <cell r="E904" t="str">
            <v/>
          </cell>
          <cell r="J904">
            <v>6036000</v>
          </cell>
        </row>
        <row r="905">
          <cell r="E905" t="str">
            <v/>
          </cell>
          <cell r="J905">
            <v>6036000</v>
          </cell>
        </row>
        <row r="906">
          <cell r="E906" t="str">
            <v/>
          </cell>
          <cell r="J906">
            <v>6036000</v>
          </cell>
        </row>
        <row r="907">
          <cell r="E907" t="str">
            <v/>
          </cell>
          <cell r="J907">
            <v>6036000</v>
          </cell>
        </row>
        <row r="908">
          <cell r="E908" t="str">
            <v/>
          </cell>
          <cell r="J908">
            <v>6036000</v>
          </cell>
        </row>
        <row r="909">
          <cell r="E909" t="str">
            <v/>
          </cell>
          <cell r="J909">
            <v>6036000</v>
          </cell>
        </row>
        <row r="910">
          <cell r="E910" t="str">
            <v/>
          </cell>
          <cell r="J910">
            <v>6036000</v>
          </cell>
        </row>
        <row r="911">
          <cell r="E911" t="str">
            <v/>
          </cell>
          <cell r="J911">
            <v>6036000</v>
          </cell>
        </row>
        <row r="912">
          <cell r="E912" t="str">
            <v/>
          </cell>
          <cell r="J912">
            <v>6036000</v>
          </cell>
        </row>
        <row r="913">
          <cell r="E913" t="str">
            <v/>
          </cell>
          <cell r="J913">
            <v>6036000</v>
          </cell>
        </row>
        <row r="914">
          <cell r="E914" t="str">
            <v/>
          </cell>
          <cell r="J914">
            <v>6036000</v>
          </cell>
        </row>
        <row r="915">
          <cell r="E915" t="str">
            <v/>
          </cell>
          <cell r="J915">
            <v>6036000</v>
          </cell>
        </row>
        <row r="916">
          <cell r="E916" t="str">
            <v/>
          </cell>
          <cell r="J916">
            <v>6036000</v>
          </cell>
        </row>
        <row r="917">
          <cell r="E917" t="str">
            <v/>
          </cell>
          <cell r="J917">
            <v>6036000</v>
          </cell>
        </row>
        <row r="918">
          <cell r="E918" t="str">
            <v/>
          </cell>
          <cell r="J918">
            <v>6036000</v>
          </cell>
        </row>
        <row r="919">
          <cell r="E919" t="str">
            <v/>
          </cell>
          <cell r="J919">
            <v>6036000</v>
          </cell>
        </row>
        <row r="920">
          <cell r="E920" t="str">
            <v/>
          </cell>
          <cell r="J920">
            <v>6036000</v>
          </cell>
        </row>
        <row r="921">
          <cell r="E921" t="str">
            <v/>
          </cell>
          <cell r="J921">
            <v>6036000</v>
          </cell>
        </row>
        <row r="922">
          <cell r="E922" t="str">
            <v/>
          </cell>
          <cell r="J922">
            <v>6036000</v>
          </cell>
        </row>
        <row r="923">
          <cell r="E923" t="str">
            <v/>
          </cell>
          <cell r="J923">
            <v>6036000</v>
          </cell>
        </row>
        <row r="924">
          <cell r="E924" t="str">
            <v/>
          </cell>
          <cell r="J924">
            <v>6036000</v>
          </cell>
        </row>
        <row r="925">
          <cell r="E925" t="str">
            <v/>
          </cell>
          <cell r="J925">
            <v>6036000</v>
          </cell>
        </row>
        <row r="926">
          <cell r="E926" t="str">
            <v/>
          </cell>
          <cell r="J926">
            <v>6036000</v>
          </cell>
        </row>
        <row r="927">
          <cell r="E927" t="str">
            <v/>
          </cell>
          <cell r="J927">
            <v>6036000</v>
          </cell>
        </row>
        <row r="928">
          <cell r="E928" t="str">
            <v/>
          </cell>
          <cell r="J928">
            <v>6036000</v>
          </cell>
        </row>
        <row r="929">
          <cell r="E929" t="str">
            <v/>
          </cell>
          <cell r="J929">
            <v>6036000</v>
          </cell>
        </row>
        <row r="930">
          <cell r="E930" t="str">
            <v/>
          </cell>
          <cell r="J930">
            <v>6036000</v>
          </cell>
        </row>
        <row r="931">
          <cell r="E931" t="str">
            <v/>
          </cell>
          <cell r="J931">
            <v>6036000</v>
          </cell>
        </row>
        <row r="932">
          <cell r="E932" t="str">
            <v/>
          </cell>
          <cell r="J932">
            <v>6036000</v>
          </cell>
        </row>
        <row r="933">
          <cell r="E933" t="str">
            <v/>
          </cell>
          <cell r="J933">
            <v>6036000</v>
          </cell>
        </row>
        <row r="934">
          <cell r="E934" t="str">
            <v/>
          </cell>
          <cell r="J934">
            <v>6036000</v>
          </cell>
        </row>
        <row r="935">
          <cell r="E935" t="str">
            <v/>
          </cell>
          <cell r="J935">
            <v>6036000</v>
          </cell>
        </row>
        <row r="936">
          <cell r="E936" t="str">
            <v/>
          </cell>
          <cell r="J936">
            <v>6036000</v>
          </cell>
        </row>
        <row r="937">
          <cell r="E937" t="str">
            <v/>
          </cell>
          <cell r="J937">
            <v>6036000</v>
          </cell>
        </row>
        <row r="938">
          <cell r="E938" t="str">
            <v/>
          </cell>
          <cell r="J938">
            <v>6036000</v>
          </cell>
        </row>
        <row r="939">
          <cell r="E939" t="str">
            <v/>
          </cell>
          <cell r="J939">
            <v>6036000</v>
          </cell>
        </row>
        <row r="940">
          <cell r="E940" t="str">
            <v/>
          </cell>
          <cell r="J940">
            <v>6036000</v>
          </cell>
        </row>
        <row r="941">
          <cell r="E941" t="str">
            <v/>
          </cell>
          <cell r="J941">
            <v>6036000</v>
          </cell>
        </row>
        <row r="942">
          <cell r="E942" t="str">
            <v/>
          </cell>
          <cell r="J942">
            <v>6036000</v>
          </cell>
        </row>
        <row r="943">
          <cell r="E943" t="str">
            <v/>
          </cell>
          <cell r="J943">
            <v>6036000</v>
          </cell>
        </row>
        <row r="944">
          <cell r="E944" t="str">
            <v/>
          </cell>
          <cell r="J944">
            <v>6036000</v>
          </cell>
        </row>
        <row r="945">
          <cell r="E945" t="str">
            <v/>
          </cell>
          <cell r="J945">
            <v>6036000</v>
          </cell>
        </row>
        <row r="946">
          <cell r="E946" t="str">
            <v/>
          </cell>
          <cell r="J946">
            <v>6036000</v>
          </cell>
        </row>
        <row r="947">
          <cell r="E947" t="str">
            <v/>
          </cell>
          <cell r="J947">
            <v>6036000</v>
          </cell>
        </row>
        <row r="948">
          <cell r="E948" t="str">
            <v/>
          </cell>
          <cell r="J948">
            <v>6036000</v>
          </cell>
        </row>
        <row r="949">
          <cell r="E949" t="str">
            <v/>
          </cell>
          <cell r="J949">
            <v>6036000</v>
          </cell>
        </row>
        <row r="950">
          <cell r="E950" t="str">
            <v/>
          </cell>
          <cell r="J950">
            <v>6036000</v>
          </cell>
        </row>
        <row r="951">
          <cell r="E951" t="str">
            <v/>
          </cell>
          <cell r="J951">
            <v>6036000</v>
          </cell>
        </row>
        <row r="952">
          <cell r="E952" t="str">
            <v/>
          </cell>
          <cell r="J952">
            <v>6036000</v>
          </cell>
        </row>
        <row r="953">
          <cell r="E953" t="str">
            <v/>
          </cell>
          <cell r="J953">
            <v>6036000</v>
          </cell>
        </row>
        <row r="954">
          <cell r="E954" t="str">
            <v/>
          </cell>
          <cell r="J954">
            <v>6036000</v>
          </cell>
        </row>
        <row r="955">
          <cell r="E955" t="str">
            <v/>
          </cell>
          <cell r="J955">
            <v>6036000</v>
          </cell>
        </row>
        <row r="956">
          <cell r="E956" t="str">
            <v/>
          </cell>
          <cell r="J956">
            <v>6036000</v>
          </cell>
        </row>
        <row r="957">
          <cell r="E957" t="str">
            <v/>
          </cell>
          <cell r="J957">
            <v>6036000</v>
          </cell>
        </row>
        <row r="958">
          <cell r="E958" t="str">
            <v/>
          </cell>
          <cell r="J958">
            <v>6036000</v>
          </cell>
        </row>
        <row r="959">
          <cell r="E959" t="str">
            <v/>
          </cell>
          <cell r="J959">
            <v>6036000</v>
          </cell>
        </row>
        <row r="960">
          <cell r="E960" t="str">
            <v/>
          </cell>
          <cell r="J960">
            <v>6036000</v>
          </cell>
        </row>
        <row r="961">
          <cell r="E961" t="str">
            <v/>
          </cell>
          <cell r="J961">
            <v>6036000</v>
          </cell>
        </row>
        <row r="962">
          <cell r="E962" t="str">
            <v/>
          </cell>
          <cell r="J962">
            <v>6036000</v>
          </cell>
        </row>
        <row r="963">
          <cell r="E963" t="str">
            <v/>
          </cell>
          <cell r="J963">
            <v>6036000</v>
          </cell>
        </row>
        <row r="964">
          <cell r="E964" t="str">
            <v/>
          </cell>
          <cell r="J964">
            <v>6036000</v>
          </cell>
        </row>
        <row r="965">
          <cell r="E965" t="str">
            <v/>
          </cell>
          <cell r="J965">
            <v>6036000</v>
          </cell>
        </row>
        <row r="966">
          <cell r="E966" t="str">
            <v/>
          </cell>
          <cell r="J966">
            <v>6036000</v>
          </cell>
        </row>
        <row r="967">
          <cell r="E967" t="str">
            <v/>
          </cell>
          <cell r="J967">
            <v>6036000</v>
          </cell>
        </row>
        <row r="968">
          <cell r="E968" t="str">
            <v/>
          </cell>
          <cell r="J968">
            <v>6036000</v>
          </cell>
        </row>
        <row r="969">
          <cell r="E969" t="str">
            <v/>
          </cell>
          <cell r="J969">
            <v>6036000</v>
          </cell>
        </row>
        <row r="970">
          <cell r="E970" t="str">
            <v/>
          </cell>
          <cell r="J970">
            <v>6036000</v>
          </cell>
        </row>
        <row r="971">
          <cell r="E971" t="str">
            <v/>
          </cell>
          <cell r="J971">
            <v>6036000</v>
          </cell>
        </row>
        <row r="972">
          <cell r="E972" t="str">
            <v/>
          </cell>
          <cell r="J972">
            <v>6036000</v>
          </cell>
        </row>
        <row r="973">
          <cell r="E973" t="str">
            <v/>
          </cell>
          <cell r="J973">
            <v>6036000</v>
          </cell>
        </row>
        <row r="974">
          <cell r="E974" t="str">
            <v/>
          </cell>
          <cell r="J974">
            <v>6036000</v>
          </cell>
        </row>
        <row r="975">
          <cell r="E975" t="str">
            <v/>
          </cell>
          <cell r="J975">
            <v>6036000</v>
          </cell>
        </row>
        <row r="976">
          <cell r="E976" t="str">
            <v/>
          </cell>
          <cell r="J976">
            <v>6036000</v>
          </cell>
        </row>
        <row r="977">
          <cell r="E977" t="str">
            <v/>
          </cell>
          <cell r="J977">
            <v>6036000</v>
          </cell>
        </row>
        <row r="978">
          <cell r="E978" t="str">
            <v/>
          </cell>
          <cell r="J978">
            <v>6036000</v>
          </cell>
        </row>
        <row r="979">
          <cell r="E979" t="str">
            <v/>
          </cell>
          <cell r="J979">
            <v>6036000</v>
          </cell>
        </row>
        <row r="980">
          <cell r="E980" t="str">
            <v/>
          </cell>
          <cell r="J980">
            <v>6036000</v>
          </cell>
        </row>
        <row r="981">
          <cell r="E981" t="str">
            <v/>
          </cell>
          <cell r="J981">
            <v>6036000</v>
          </cell>
        </row>
        <row r="982">
          <cell r="E982" t="str">
            <v/>
          </cell>
          <cell r="J982">
            <v>6036000</v>
          </cell>
        </row>
        <row r="983">
          <cell r="E983" t="str">
            <v/>
          </cell>
          <cell r="J983">
            <v>6036000</v>
          </cell>
        </row>
        <row r="984">
          <cell r="E984" t="str">
            <v/>
          </cell>
          <cell r="J984">
            <v>6036000</v>
          </cell>
        </row>
        <row r="985">
          <cell r="E985" t="str">
            <v/>
          </cell>
          <cell r="J985">
            <v>6036000</v>
          </cell>
        </row>
        <row r="986">
          <cell r="E986" t="str">
            <v/>
          </cell>
          <cell r="J986">
            <v>6036000</v>
          </cell>
        </row>
        <row r="987">
          <cell r="E987" t="str">
            <v/>
          </cell>
          <cell r="J987">
            <v>6036000</v>
          </cell>
        </row>
        <row r="988">
          <cell r="E988" t="str">
            <v/>
          </cell>
          <cell r="J988">
            <v>6036000</v>
          </cell>
        </row>
        <row r="989">
          <cell r="E989" t="str">
            <v/>
          </cell>
          <cell r="J989">
            <v>6036000</v>
          </cell>
        </row>
        <row r="990">
          <cell r="E990" t="str">
            <v/>
          </cell>
          <cell r="J990">
            <v>6036000</v>
          </cell>
        </row>
        <row r="991">
          <cell r="E991" t="str">
            <v/>
          </cell>
          <cell r="J991">
            <v>6036000</v>
          </cell>
        </row>
        <row r="992">
          <cell r="E992" t="str">
            <v/>
          </cell>
          <cell r="J992">
            <v>6036000</v>
          </cell>
        </row>
        <row r="993">
          <cell r="E993" t="str">
            <v/>
          </cell>
          <cell r="J993">
            <v>6036000</v>
          </cell>
        </row>
        <row r="994">
          <cell r="E994" t="str">
            <v/>
          </cell>
          <cell r="J994">
            <v>6036000</v>
          </cell>
        </row>
        <row r="995">
          <cell r="E995" t="str">
            <v/>
          </cell>
          <cell r="J995">
            <v>6036000</v>
          </cell>
        </row>
        <row r="996">
          <cell r="E996" t="str">
            <v/>
          </cell>
          <cell r="J996">
            <v>6036000</v>
          </cell>
        </row>
        <row r="997">
          <cell r="E997" t="str">
            <v/>
          </cell>
          <cell r="J997">
            <v>6036000</v>
          </cell>
        </row>
        <row r="998">
          <cell r="E998" t="str">
            <v/>
          </cell>
          <cell r="J998">
            <v>6036000</v>
          </cell>
        </row>
        <row r="999">
          <cell r="E999" t="str">
            <v/>
          </cell>
          <cell r="J999">
            <v>6036000</v>
          </cell>
        </row>
        <row r="1000">
          <cell r="E1000" t="str">
            <v/>
          </cell>
          <cell r="J1000">
            <v>6036000</v>
          </cell>
        </row>
        <row r="1001">
          <cell r="E1001" t="str">
            <v/>
          </cell>
          <cell r="J1001">
            <v>6036000</v>
          </cell>
        </row>
        <row r="1002">
          <cell r="E1002" t="str">
            <v/>
          </cell>
          <cell r="J1002">
            <v>6036000</v>
          </cell>
        </row>
        <row r="1003">
          <cell r="E1003" t="str">
            <v/>
          </cell>
          <cell r="J1003">
            <v>6036000</v>
          </cell>
        </row>
        <row r="1004">
          <cell r="E1004" t="str">
            <v/>
          </cell>
          <cell r="J1004">
            <v>6036000</v>
          </cell>
        </row>
        <row r="1005">
          <cell r="E1005" t="str">
            <v/>
          </cell>
          <cell r="J1005">
            <v>6036000</v>
          </cell>
        </row>
        <row r="1006">
          <cell r="E1006" t="str">
            <v/>
          </cell>
          <cell r="J1006">
            <v>6036000</v>
          </cell>
        </row>
        <row r="1007">
          <cell r="E1007" t="str">
            <v/>
          </cell>
          <cell r="J1007">
            <v>6036000</v>
          </cell>
        </row>
        <row r="1008">
          <cell r="E1008" t="str">
            <v/>
          </cell>
          <cell r="J1008">
            <v>6036000</v>
          </cell>
        </row>
        <row r="1009">
          <cell r="E1009" t="str">
            <v/>
          </cell>
          <cell r="J1009">
            <v>6036000</v>
          </cell>
        </row>
        <row r="1010">
          <cell r="E1010" t="str">
            <v/>
          </cell>
          <cell r="J1010">
            <v>6036000</v>
          </cell>
        </row>
        <row r="1011">
          <cell r="E1011" t="str">
            <v/>
          </cell>
          <cell r="J1011">
            <v>6036000</v>
          </cell>
        </row>
        <row r="1012">
          <cell r="E1012" t="str">
            <v/>
          </cell>
          <cell r="J1012">
            <v>6036000</v>
          </cell>
        </row>
        <row r="1013">
          <cell r="E1013" t="str">
            <v/>
          </cell>
          <cell r="J1013">
            <v>6036000</v>
          </cell>
        </row>
        <row r="1014">
          <cell r="E1014" t="str">
            <v/>
          </cell>
          <cell r="J1014">
            <v>6036000</v>
          </cell>
        </row>
        <row r="1015">
          <cell r="E1015" t="str">
            <v/>
          </cell>
          <cell r="J1015">
            <v>6036000</v>
          </cell>
        </row>
        <row r="1016">
          <cell r="E1016" t="str">
            <v/>
          </cell>
          <cell r="J1016">
            <v>6036000</v>
          </cell>
        </row>
        <row r="1017">
          <cell r="E1017" t="str">
            <v/>
          </cell>
          <cell r="J1017">
            <v>6036000</v>
          </cell>
        </row>
        <row r="1018">
          <cell r="E1018" t="str">
            <v/>
          </cell>
          <cell r="J1018">
            <v>6036000</v>
          </cell>
        </row>
        <row r="1019">
          <cell r="E1019" t="str">
            <v/>
          </cell>
          <cell r="J1019">
            <v>6036000</v>
          </cell>
        </row>
        <row r="1020">
          <cell r="E1020" t="str">
            <v/>
          </cell>
          <cell r="J1020">
            <v>6036000</v>
          </cell>
        </row>
        <row r="1021">
          <cell r="E1021" t="str">
            <v/>
          </cell>
          <cell r="J1021">
            <v>6036000</v>
          </cell>
        </row>
        <row r="1022">
          <cell r="E1022" t="str">
            <v/>
          </cell>
          <cell r="J1022">
            <v>6036000</v>
          </cell>
        </row>
        <row r="1023">
          <cell r="E1023" t="str">
            <v/>
          </cell>
          <cell r="J1023">
            <v>6036000</v>
          </cell>
        </row>
        <row r="1024">
          <cell r="E1024" t="str">
            <v/>
          </cell>
          <cell r="J1024">
            <v>6036000</v>
          </cell>
        </row>
        <row r="1025">
          <cell r="E1025" t="str">
            <v/>
          </cell>
          <cell r="J1025">
            <v>6036000</v>
          </cell>
        </row>
        <row r="1026">
          <cell r="E1026" t="str">
            <v/>
          </cell>
          <cell r="J1026">
            <v>6036000</v>
          </cell>
        </row>
        <row r="1027">
          <cell r="E1027" t="str">
            <v/>
          </cell>
          <cell r="J1027">
            <v>6036000</v>
          </cell>
        </row>
        <row r="1028">
          <cell r="E1028" t="str">
            <v/>
          </cell>
          <cell r="J1028">
            <v>6036000</v>
          </cell>
        </row>
        <row r="1029">
          <cell r="E1029" t="str">
            <v/>
          </cell>
          <cell r="J1029">
            <v>6036000</v>
          </cell>
        </row>
        <row r="1030">
          <cell r="E1030" t="str">
            <v/>
          </cell>
          <cell r="J1030">
            <v>6036000</v>
          </cell>
        </row>
        <row r="1031">
          <cell r="E1031" t="str">
            <v/>
          </cell>
          <cell r="J1031">
            <v>6036000</v>
          </cell>
        </row>
        <row r="1032">
          <cell r="E1032" t="str">
            <v/>
          </cell>
          <cell r="J1032">
            <v>6036000</v>
          </cell>
        </row>
        <row r="1033">
          <cell r="E1033" t="str">
            <v/>
          </cell>
          <cell r="J1033">
            <v>6036000</v>
          </cell>
        </row>
        <row r="1034">
          <cell r="E1034" t="str">
            <v/>
          </cell>
          <cell r="J1034">
            <v>6036000</v>
          </cell>
        </row>
        <row r="1035">
          <cell r="E1035" t="str">
            <v/>
          </cell>
          <cell r="J1035">
            <v>6036000</v>
          </cell>
        </row>
        <row r="1036">
          <cell r="E1036" t="str">
            <v/>
          </cell>
          <cell r="J1036">
            <v>6036000</v>
          </cell>
        </row>
        <row r="1037">
          <cell r="E1037" t="str">
            <v/>
          </cell>
          <cell r="J1037">
            <v>6036000</v>
          </cell>
        </row>
        <row r="1038">
          <cell r="E1038" t="str">
            <v/>
          </cell>
          <cell r="J1038">
            <v>6036000</v>
          </cell>
        </row>
        <row r="1039">
          <cell r="E1039" t="str">
            <v/>
          </cell>
          <cell r="J1039">
            <v>6036000</v>
          </cell>
        </row>
        <row r="1040">
          <cell r="E1040" t="str">
            <v/>
          </cell>
          <cell r="J1040">
            <v>6036000</v>
          </cell>
        </row>
        <row r="1041">
          <cell r="E1041" t="str">
            <v/>
          </cell>
          <cell r="J1041">
            <v>6036000</v>
          </cell>
        </row>
        <row r="1042">
          <cell r="E1042" t="str">
            <v/>
          </cell>
          <cell r="J1042">
            <v>6036000</v>
          </cell>
        </row>
        <row r="1043">
          <cell r="E1043" t="str">
            <v/>
          </cell>
          <cell r="J1043">
            <v>6036000</v>
          </cell>
        </row>
        <row r="1044">
          <cell r="E1044" t="str">
            <v/>
          </cell>
          <cell r="J1044">
            <v>6036000</v>
          </cell>
        </row>
        <row r="1045">
          <cell r="E1045" t="str">
            <v/>
          </cell>
          <cell r="J1045">
            <v>6036000</v>
          </cell>
        </row>
        <row r="1046">
          <cell r="E1046" t="str">
            <v/>
          </cell>
          <cell r="J1046">
            <v>6036000</v>
          </cell>
        </row>
        <row r="1047">
          <cell r="E1047" t="str">
            <v/>
          </cell>
          <cell r="J1047">
            <v>6036000</v>
          </cell>
        </row>
        <row r="1048">
          <cell r="E1048" t="str">
            <v/>
          </cell>
          <cell r="J1048">
            <v>6036000</v>
          </cell>
        </row>
        <row r="1049">
          <cell r="E1049" t="str">
            <v/>
          </cell>
          <cell r="J1049">
            <v>6036000</v>
          </cell>
        </row>
        <row r="1050">
          <cell r="E1050" t="str">
            <v/>
          </cell>
          <cell r="J1050">
            <v>6036000</v>
          </cell>
        </row>
        <row r="1051">
          <cell r="E1051" t="str">
            <v/>
          </cell>
          <cell r="J1051">
            <v>6036000</v>
          </cell>
        </row>
        <row r="1052">
          <cell r="E1052" t="str">
            <v/>
          </cell>
          <cell r="J1052">
            <v>6036000</v>
          </cell>
        </row>
        <row r="1053">
          <cell r="E1053" t="str">
            <v/>
          </cell>
          <cell r="J1053">
            <v>6036000</v>
          </cell>
        </row>
        <row r="1054">
          <cell r="E1054" t="str">
            <v/>
          </cell>
          <cell r="J1054">
            <v>6036000</v>
          </cell>
        </row>
        <row r="1055">
          <cell r="E1055" t="str">
            <v/>
          </cell>
          <cell r="J1055">
            <v>6036000</v>
          </cell>
        </row>
        <row r="1056">
          <cell r="E1056" t="str">
            <v/>
          </cell>
          <cell r="J1056">
            <v>6036000</v>
          </cell>
        </row>
        <row r="1057">
          <cell r="E1057" t="str">
            <v/>
          </cell>
          <cell r="J1057">
            <v>6036000</v>
          </cell>
        </row>
        <row r="1058">
          <cell r="E1058" t="str">
            <v/>
          </cell>
          <cell r="J1058">
            <v>6036000</v>
          </cell>
        </row>
        <row r="1059">
          <cell r="E1059" t="str">
            <v/>
          </cell>
          <cell r="J1059">
            <v>6036000</v>
          </cell>
        </row>
        <row r="1060">
          <cell r="E1060" t="str">
            <v/>
          </cell>
          <cell r="J1060">
            <v>6036000</v>
          </cell>
        </row>
        <row r="1061">
          <cell r="E1061" t="str">
            <v/>
          </cell>
          <cell r="J1061">
            <v>6036000</v>
          </cell>
        </row>
        <row r="1062">
          <cell r="E1062" t="str">
            <v/>
          </cell>
          <cell r="J1062">
            <v>6036000</v>
          </cell>
        </row>
        <row r="1063">
          <cell r="E1063" t="str">
            <v/>
          </cell>
          <cell r="J1063">
            <v>6036000</v>
          </cell>
        </row>
        <row r="1064">
          <cell r="E1064" t="str">
            <v/>
          </cell>
          <cell r="J1064">
            <v>6036000</v>
          </cell>
        </row>
        <row r="1065">
          <cell r="E1065" t="str">
            <v/>
          </cell>
          <cell r="J1065">
            <v>6036000</v>
          </cell>
        </row>
        <row r="1066">
          <cell r="E1066" t="str">
            <v/>
          </cell>
          <cell r="J1066">
            <v>6036000</v>
          </cell>
        </row>
        <row r="1067">
          <cell r="E1067" t="str">
            <v/>
          </cell>
          <cell r="J1067">
            <v>6036000</v>
          </cell>
        </row>
        <row r="1068">
          <cell r="E1068" t="str">
            <v/>
          </cell>
          <cell r="J1068">
            <v>6036000</v>
          </cell>
        </row>
        <row r="1069">
          <cell r="E1069" t="str">
            <v/>
          </cell>
          <cell r="J1069">
            <v>6036000</v>
          </cell>
        </row>
        <row r="1070">
          <cell r="E1070" t="str">
            <v/>
          </cell>
          <cell r="J1070">
            <v>6036000</v>
          </cell>
        </row>
        <row r="1071">
          <cell r="E1071" t="str">
            <v/>
          </cell>
          <cell r="J1071">
            <v>6036000</v>
          </cell>
        </row>
        <row r="1072">
          <cell r="E1072" t="str">
            <v/>
          </cell>
          <cell r="J1072">
            <v>6036000</v>
          </cell>
        </row>
        <row r="1073">
          <cell r="E1073" t="str">
            <v/>
          </cell>
          <cell r="J1073">
            <v>6036000</v>
          </cell>
        </row>
        <row r="1074">
          <cell r="E1074" t="str">
            <v/>
          </cell>
          <cell r="J1074">
            <v>6036000</v>
          </cell>
        </row>
        <row r="1075">
          <cell r="E1075" t="str">
            <v/>
          </cell>
          <cell r="J1075">
            <v>6036000</v>
          </cell>
        </row>
        <row r="1076">
          <cell r="E1076" t="str">
            <v/>
          </cell>
          <cell r="J1076">
            <v>6036000</v>
          </cell>
        </row>
        <row r="1077">
          <cell r="E1077" t="str">
            <v/>
          </cell>
          <cell r="J1077">
            <v>6036000</v>
          </cell>
        </row>
        <row r="1078">
          <cell r="E1078" t="str">
            <v/>
          </cell>
          <cell r="J1078">
            <v>6036000</v>
          </cell>
        </row>
        <row r="1079">
          <cell r="E1079" t="str">
            <v/>
          </cell>
          <cell r="J1079">
            <v>6036000</v>
          </cell>
        </row>
        <row r="1080">
          <cell r="E1080" t="str">
            <v/>
          </cell>
          <cell r="J1080">
            <v>6036000</v>
          </cell>
        </row>
        <row r="1081">
          <cell r="E1081" t="str">
            <v/>
          </cell>
          <cell r="J1081">
            <v>6036000</v>
          </cell>
        </row>
        <row r="1082">
          <cell r="E1082" t="str">
            <v/>
          </cell>
          <cell r="J1082">
            <v>6036000</v>
          </cell>
        </row>
        <row r="1083">
          <cell r="E1083" t="str">
            <v/>
          </cell>
          <cell r="J1083">
            <v>6036000</v>
          </cell>
        </row>
        <row r="1084">
          <cell r="E1084" t="str">
            <v/>
          </cell>
          <cell r="J1084">
            <v>6036000</v>
          </cell>
        </row>
        <row r="1085">
          <cell r="E1085" t="str">
            <v/>
          </cell>
          <cell r="J1085">
            <v>6036000</v>
          </cell>
        </row>
        <row r="1086">
          <cell r="E1086" t="str">
            <v/>
          </cell>
          <cell r="J1086">
            <v>6036000</v>
          </cell>
        </row>
        <row r="1087">
          <cell r="E1087" t="str">
            <v/>
          </cell>
          <cell r="J1087">
            <v>6036000</v>
          </cell>
        </row>
        <row r="1088">
          <cell r="E1088" t="str">
            <v/>
          </cell>
          <cell r="J1088">
            <v>6036000</v>
          </cell>
        </row>
        <row r="1089">
          <cell r="E1089" t="str">
            <v/>
          </cell>
          <cell r="J1089">
            <v>6036000</v>
          </cell>
        </row>
        <row r="1090">
          <cell r="E1090" t="str">
            <v/>
          </cell>
          <cell r="J1090">
            <v>6036000</v>
          </cell>
        </row>
        <row r="1091">
          <cell r="E1091" t="str">
            <v/>
          </cell>
          <cell r="J1091">
            <v>6036000</v>
          </cell>
        </row>
        <row r="1092">
          <cell r="E1092" t="str">
            <v/>
          </cell>
          <cell r="J1092">
            <v>6036000</v>
          </cell>
        </row>
        <row r="1093">
          <cell r="E1093" t="str">
            <v/>
          </cell>
          <cell r="J1093">
            <v>6036000</v>
          </cell>
        </row>
        <row r="1094">
          <cell r="E1094" t="str">
            <v/>
          </cell>
          <cell r="J1094">
            <v>6036000</v>
          </cell>
        </row>
        <row r="1095">
          <cell r="E1095" t="str">
            <v/>
          </cell>
          <cell r="J1095">
            <v>6036000</v>
          </cell>
        </row>
        <row r="1096">
          <cell r="E1096" t="str">
            <v/>
          </cell>
          <cell r="J1096">
            <v>6036000</v>
          </cell>
        </row>
        <row r="1097">
          <cell r="E1097" t="str">
            <v/>
          </cell>
          <cell r="J1097">
            <v>6036000</v>
          </cell>
        </row>
        <row r="1098">
          <cell r="E1098" t="str">
            <v/>
          </cell>
          <cell r="J1098">
            <v>6036000</v>
          </cell>
        </row>
        <row r="1099">
          <cell r="E1099" t="str">
            <v/>
          </cell>
          <cell r="J1099">
            <v>6036000</v>
          </cell>
        </row>
        <row r="1100">
          <cell r="E1100" t="str">
            <v/>
          </cell>
          <cell r="J1100">
            <v>6036000</v>
          </cell>
        </row>
        <row r="1101">
          <cell r="E1101" t="str">
            <v/>
          </cell>
          <cell r="J1101">
            <v>6036000</v>
          </cell>
        </row>
        <row r="1102">
          <cell r="E1102" t="str">
            <v/>
          </cell>
          <cell r="J1102">
            <v>6036000</v>
          </cell>
        </row>
        <row r="1103">
          <cell r="E1103" t="str">
            <v/>
          </cell>
          <cell r="J1103">
            <v>6036000</v>
          </cell>
        </row>
        <row r="1104">
          <cell r="E1104" t="str">
            <v/>
          </cell>
          <cell r="J1104">
            <v>6036000</v>
          </cell>
        </row>
        <row r="1105">
          <cell r="E1105" t="str">
            <v/>
          </cell>
          <cell r="J1105">
            <v>6036000</v>
          </cell>
        </row>
        <row r="1106">
          <cell r="E1106" t="str">
            <v/>
          </cell>
          <cell r="J1106">
            <v>6036000</v>
          </cell>
        </row>
        <row r="1107">
          <cell r="E1107" t="str">
            <v/>
          </cell>
          <cell r="J1107">
            <v>6036000</v>
          </cell>
        </row>
        <row r="1108">
          <cell r="E1108" t="str">
            <v/>
          </cell>
          <cell r="J1108">
            <v>6036000</v>
          </cell>
        </row>
        <row r="1109">
          <cell r="E1109" t="str">
            <v/>
          </cell>
          <cell r="J1109">
            <v>6036000</v>
          </cell>
        </row>
        <row r="1110">
          <cell r="E1110" t="str">
            <v/>
          </cell>
          <cell r="J1110">
            <v>6036000</v>
          </cell>
        </row>
        <row r="1111">
          <cell r="E1111" t="str">
            <v/>
          </cell>
          <cell r="J1111">
            <v>6036000</v>
          </cell>
        </row>
        <row r="1112">
          <cell r="E1112" t="str">
            <v/>
          </cell>
          <cell r="J1112">
            <v>6036000</v>
          </cell>
        </row>
        <row r="1113">
          <cell r="E1113" t="str">
            <v/>
          </cell>
          <cell r="J1113">
            <v>6036000</v>
          </cell>
        </row>
        <row r="1114">
          <cell r="E1114" t="str">
            <v/>
          </cell>
          <cell r="J1114">
            <v>6036000</v>
          </cell>
        </row>
        <row r="1115">
          <cell r="E1115" t="str">
            <v/>
          </cell>
          <cell r="J1115">
            <v>6036000</v>
          </cell>
        </row>
        <row r="1116">
          <cell r="E1116" t="str">
            <v/>
          </cell>
          <cell r="J1116">
            <v>6036000</v>
          </cell>
        </row>
        <row r="1117">
          <cell r="E1117" t="str">
            <v/>
          </cell>
          <cell r="J1117">
            <v>6036000</v>
          </cell>
        </row>
        <row r="1118">
          <cell r="E1118" t="str">
            <v/>
          </cell>
          <cell r="J1118">
            <v>6036000</v>
          </cell>
        </row>
        <row r="1119">
          <cell r="E1119" t="str">
            <v/>
          </cell>
          <cell r="J1119">
            <v>6036000</v>
          </cell>
        </row>
        <row r="1120">
          <cell r="E1120" t="str">
            <v/>
          </cell>
          <cell r="J1120">
            <v>6036000</v>
          </cell>
        </row>
        <row r="1121">
          <cell r="E1121" t="str">
            <v/>
          </cell>
          <cell r="J1121">
            <v>6036000</v>
          </cell>
        </row>
        <row r="1122">
          <cell r="E1122" t="str">
            <v/>
          </cell>
          <cell r="J1122">
            <v>6036000</v>
          </cell>
        </row>
        <row r="1123">
          <cell r="E1123" t="str">
            <v/>
          </cell>
          <cell r="J1123">
            <v>6036000</v>
          </cell>
        </row>
        <row r="1124">
          <cell r="E1124" t="str">
            <v/>
          </cell>
          <cell r="J1124">
            <v>6036000</v>
          </cell>
        </row>
        <row r="1125">
          <cell r="E1125" t="str">
            <v/>
          </cell>
          <cell r="J1125">
            <v>6036000</v>
          </cell>
        </row>
        <row r="1126">
          <cell r="E1126" t="str">
            <v/>
          </cell>
          <cell r="J1126">
            <v>6036000</v>
          </cell>
        </row>
        <row r="1127">
          <cell r="E1127" t="str">
            <v/>
          </cell>
          <cell r="J1127">
            <v>6036000</v>
          </cell>
        </row>
        <row r="1128">
          <cell r="E1128" t="str">
            <v/>
          </cell>
          <cell r="J1128">
            <v>6036000</v>
          </cell>
        </row>
        <row r="1129">
          <cell r="E1129" t="str">
            <v/>
          </cell>
          <cell r="J1129">
            <v>6036000</v>
          </cell>
        </row>
        <row r="1130">
          <cell r="E1130" t="str">
            <v/>
          </cell>
          <cell r="J1130">
            <v>6036000</v>
          </cell>
        </row>
        <row r="1131">
          <cell r="E1131" t="str">
            <v/>
          </cell>
          <cell r="J1131">
            <v>6036000</v>
          </cell>
        </row>
        <row r="1132">
          <cell r="E1132" t="str">
            <v/>
          </cell>
          <cell r="J1132">
            <v>6036000</v>
          </cell>
        </row>
        <row r="1133">
          <cell r="E1133" t="str">
            <v/>
          </cell>
          <cell r="J1133">
            <v>6036000</v>
          </cell>
        </row>
        <row r="1134">
          <cell r="E1134" t="str">
            <v/>
          </cell>
          <cell r="J1134">
            <v>6036000</v>
          </cell>
        </row>
        <row r="1135">
          <cell r="E1135" t="str">
            <v/>
          </cell>
          <cell r="J1135">
            <v>6036000</v>
          </cell>
        </row>
        <row r="1136">
          <cell r="E1136" t="str">
            <v/>
          </cell>
          <cell r="J1136">
            <v>6036000</v>
          </cell>
        </row>
        <row r="1137">
          <cell r="E1137" t="str">
            <v/>
          </cell>
          <cell r="J1137">
            <v>6036000</v>
          </cell>
        </row>
        <row r="1138">
          <cell r="E1138" t="str">
            <v/>
          </cell>
          <cell r="J1138">
            <v>6036000</v>
          </cell>
        </row>
        <row r="1139">
          <cell r="E1139" t="str">
            <v/>
          </cell>
          <cell r="J1139">
            <v>6036000</v>
          </cell>
        </row>
        <row r="1140">
          <cell r="E1140" t="str">
            <v/>
          </cell>
          <cell r="J1140">
            <v>6036000</v>
          </cell>
        </row>
        <row r="1141">
          <cell r="E1141" t="str">
            <v/>
          </cell>
          <cell r="J1141">
            <v>6036000</v>
          </cell>
        </row>
        <row r="1142">
          <cell r="E1142" t="str">
            <v/>
          </cell>
          <cell r="J1142">
            <v>6036000</v>
          </cell>
        </row>
        <row r="1143">
          <cell r="E1143" t="str">
            <v/>
          </cell>
          <cell r="J1143">
            <v>6036000</v>
          </cell>
        </row>
        <row r="1144">
          <cell r="E1144" t="str">
            <v/>
          </cell>
          <cell r="J1144">
            <v>6036000</v>
          </cell>
        </row>
        <row r="1145">
          <cell r="E1145" t="str">
            <v/>
          </cell>
          <cell r="J1145">
            <v>6036000</v>
          </cell>
        </row>
        <row r="1146">
          <cell r="E1146" t="str">
            <v/>
          </cell>
          <cell r="J1146">
            <v>6036000</v>
          </cell>
        </row>
        <row r="1147">
          <cell r="E1147" t="str">
            <v/>
          </cell>
          <cell r="J1147">
            <v>6036000</v>
          </cell>
        </row>
        <row r="1148">
          <cell r="E1148" t="str">
            <v/>
          </cell>
          <cell r="J1148">
            <v>6036000</v>
          </cell>
        </row>
        <row r="1149">
          <cell r="E1149" t="str">
            <v/>
          </cell>
          <cell r="J1149">
            <v>6036000</v>
          </cell>
        </row>
        <row r="1150">
          <cell r="E1150" t="str">
            <v/>
          </cell>
          <cell r="J1150">
            <v>6036000</v>
          </cell>
        </row>
        <row r="1151">
          <cell r="E1151" t="str">
            <v/>
          </cell>
          <cell r="J1151">
            <v>6036000</v>
          </cell>
        </row>
        <row r="1152">
          <cell r="E1152" t="str">
            <v/>
          </cell>
          <cell r="J1152">
            <v>6036000</v>
          </cell>
        </row>
        <row r="1153">
          <cell r="E1153" t="str">
            <v/>
          </cell>
          <cell r="J1153">
            <v>6036000</v>
          </cell>
        </row>
        <row r="1154">
          <cell r="E1154" t="str">
            <v/>
          </cell>
          <cell r="J1154">
            <v>6036000</v>
          </cell>
        </row>
        <row r="1155">
          <cell r="E1155" t="str">
            <v/>
          </cell>
          <cell r="J1155">
            <v>6036000</v>
          </cell>
        </row>
        <row r="1156">
          <cell r="E1156" t="str">
            <v/>
          </cell>
          <cell r="J1156">
            <v>6036000</v>
          </cell>
        </row>
        <row r="1157">
          <cell r="E1157" t="str">
            <v/>
          </cell>
          <cell r="J1157">
            <v>6036000</v>
          </cell>
        </row>
        <row r="1158">
          <cell r="E1158" t="str">
            <v/>
          </cell>
          <cell r="J1158">
            <v>6036000</v>
          </cell>
        </row>
        <row r="1159">
          <cell r="E1159" t="str">
            <v/>
          </cell>
          <cell r="J1159">
            <v>6036000</v>
          </cell>
        </row>
        <row r="1160">
          <cell r="E1160" t="str">
            <v/>
          </cell>
          <cell r="J1160">
            <v>6036000</v>
          </cell>
        </row>
        <row r="1161">
          <cell r="E1161" t="str">
            <v/>
          </cell>
          <cell r="J1161">
            <v>6036000</v>
          </cell>
        </row>
        <row r="1162">
          <cell r="E1162" t="str">
            <v/>
          </cell>
          <cell r="J1162">
            <v>6036000</v>
          </cell>
        </row>
        <row r="1163">
          <cell r="E1163" t="str">
            <v/>
          </cell>
          <cell r="J1163">
            <v>6036000</v>
          </cell>
        </row>
        <row r="1164">
          <cell r="E1164" t="str">
            <v/>
          </cell>
          <cell r="J1164">
            <v>6036000</v>
          </cell>
        </row>
        <row r="1165">
          <cell r="E1165" t="str">
            <v/>
          </cell>
          <cell r="J1165">
            <v>6036000</v>
          </cell>
        </row>
        <row r="1166">
          <cell r="E1166" t="str">
            <v/>
          </cell>
          <cell r="J1166">
            <v>6036000</v>
          </cell>
        </row>
        <row r="1167">
          <cell r="E1167" t="str">
            <v/>
          </cell>
          <cell r="J1167">
            <v>6036000</v>
          </cell>
        </row>
        <row r="1168">
          <cell r="E1168" t="str">
            <v/>
          </cell>
          <cell r="J1168">
            <v>6036000</v>
          </cell>
        </row>
        <row r="1169">
          <cell r="E1169" t="str">
            <v/>
          </cell>
          <cell r="J1169">
            <v>6036000</v>
          </cell>
        </row>
        <row r="1170">
          <cell r="E1170" t="str">
            <v/>
          </cell>
          <cell r="J1170">
            <v>6036000</v>
          </cell>
        </row>
        <row r="1171">
          <cell r="E1171" t="str">
            <v/>
          </cell>
          <cell r="J1171">
            <v>6036000</v>
          </cell>
        </row>
        <row r="1172">
          <cell r="E1172" t="str">
            <v/>
          </cell>
          <cell r="J1172">
            <v>6036000</v>
          </cell>
        </row>
        <row r="1173">
          <cell r="E1173" t="str">
            <v/>
          </cell>
          <cell r="J1173">
            <v>6036000</v>
          </cell>
        </row>
        <row r="1174">
          <cell r="E1174" t="str">
            <v/>
          </cell>
          <cell r="J1174">
            <v>6036000</v>
          </cell>
        </row>
        <row r="1175">
          <cell r="E1175" t="str">
            <v/>
          </cell>
          <cell r="J1175">
            <v>6036000</v>
          </cell>
        </row>
        <row r="1176">
          <cell r="E1176" t="str">
            <v/>
          </cell>
          <cell r="J1176">
            <v>6036000</v>
          </cell>
        </row>
        <row r="1177">
          <cell r="E1177" t="str">
            <v/>
          </cell>
          <cell r="J1177">
            <v>6036000</v>
          </cell>
        </row>
        <row r="1178">
          <cell r="E1178" t="str">
            <v/>
          </cell>
          <cell r="J1178">
            <v>6036000</v>
          </cell>
        </row>
        <row r="1179">
          <cell r="E1179" t="str">
            <v/>
          </cell>
          <cell r="J1179">
            <v>6036000</v>
          </cell>
        </row>
        <row r="1180">
          <cell r="E1180" t="str">
            <v/>
          </cell>
          <cell r="J1180">
            <v>6036000</v>
          </cell>
        </row>
        <row r="1181">
          <cell r="E1181" t="str">
            <v/>
          </cell>
          <cell r="J1181">
            <v>6036000</v>
          </cell>
        </row>
        <row r="1182">
          <cell r="E1182" t="str">
            <v/>
          </cell>
          <cell r="J1182">
            <v>6036000</v>
          </cell>
        </row>
        <row r="1183">
          <cell r="E1183" t="str">
            <v/>
          </cell>
          <cell r="J1183">
            <v>6036000</v>
          </cell>
        </row>
        <row r="1184">
          <cell r="E1184" t="str">
            <v/>
          </cell>
          <cell r="J1184">
            <v>6036000</v>
          </cell>
        </row>
        <row r="1185">
          <cell r="E1185" t="str">
            <v/>
          </cell>
          <cell r="J1185">
            <v>6036000</v>
          </cell>
        </row>
        <row r="1186">
          <cell r="E1186" t="str">
            <v/>
          </cell>
          <cell r="J1186">
            <v>6036000</v>
          </cell>
        </row>
        <row r="1187">
          <cell r="E1187" t="str">
            <v/>
          </cell>
          <cell r="J1187">
            <v>6036000</v>
          </cell>
        </row>
        <row r="1188">
          <cell r="E1188" t="str">
            <v/>
          </cell>
          <cell r="J1188">
            <v>6036000</v>
          </cell>
        </row>
        <row r="1189">
          <cell r="E1189" t="str">
            <v/>
          </cell>
          <cell r="J1189">
            <v>6036000</v>
          </cell>
        </row>
        <row r="1190">
          <cell r="E1190" t="str">
            <v/>
          </cell>
          <cell r="J1190">
            <v>6036000</v>
          </cell>
        </row>
        <row r="1191">
          <cell r="E1191" t="str">
            <v/>
          </cell>
          <cell r="J1191">
            <v>6036000</v>
          </cell>
        </row>
        <row r="1192">
          <cell r="E1192" t="str">
            <v/>
          </cell>
          <cell r="J1192">
            <v>6036000</v>
          </cell>
        </row>
        <row r="1193">
          <cell r="E1193" t="str">
            <v/>
          </cell>
          <cell r="J1193">
            <v>6036000</v>
          </cell>
        </row>
        <row r="1194">
          <cell r="E1194" t="str">
            <v/>
          </cell>
          <cell r="J1194">
            <v>6036000</v>
          </cell>
        </row>
        <row r="1195">
          <cell r="E1195" t="str">
            <v/>
          </cell>
          <cell r="J1195">
            <v>6036000</v>
          </cell>
        </row>
        <row r="1196">
          <cell r="E1196" t="str">
            <v/>
          </cell>
          <cell r="J1196">
            <v>6036000</v>
          </cell>
        </row>
        <row r="1197">
          <cell r="E1197" t="str">
            <v/>
          </cell>
          <cell r="J1197">
            <v>6036000</v>
          </cell>
        </row>
        <row r="1198">
          <cell r="E1198" t="str">
            <v/>
          </cell>
          <cell r="J1198">
            <v>6036000</v>
          </cell>
        </row>
        <row r="1199">
          <cell r="E1199" t="str">
            <v/>
          </cell>
          <cell r="J1199">
            <v>6036000</v>
          </cell>
        </row>
        <row r="1200">
          <cell r="E1200" t="str">
            <v/>
          </cell>
          <cell r="J1200">
            <v>6036000</v>
          </cell>
        </row>
        <row r="1201">
          <cell r="E1201" t="str">
            <v/>
          </cell>
          <cell r="J1201">
            <v>6036000</v>
          </cell>
        </row>
        <row r="1202">
          <cell r="E1202" t="str">
            <v/>
          </cell>
          <cell r="J1202">
            <v>6036000</v>
          </cell>
        </row>
        <row r="1203">
          <cell r="E1203" t="str">
            <v/>
          </cell>
          <cell r="J1203">
            <v>6036000</v>
          </cell>
        </row>
        <row r="1204">
          <cell r="E1204" t="str">
            <v/>
          </cell>
          <cell r="J1204">
            <v>6036000</v>
          </cell>
        </row>
        <row r="1205">
          <cell r="E1205" t="str">
            <v/>
          </cell>
          <cell r="J1205">
            <v>6036000</v>
          </cell>
        </row>
        <row r="1206">
          <cell r="E1206" t="str">
            <v/>
          </cell>
          <cell r="J1206">
            <v>6036000</v>
          </cell>
        </row>
        <row r="1207">
          <cell r="E1207" t="str">
            <v/>
          </cell>
          <cell r="J1207">
            <v>6036000</v>
          </cell>
        </row>
        <row r="1208">
          <cell r="E1208" t="str">
            <v/>
          </cell>
          <cell r="J1208">
            <v>6036000</v>
          </cell>
        </row>
        <row r="1209">
          <cell r="E1209" t="str">
            <v/>
          </cell>
          <cell r="J1209">
            <v>6036000</v>
          </cell>
        </row>
        <row r="1210">
          <cell r="E1210" t="str">
            <v/>
          </cell>
          <cell r="J1210">
            <v>6036000</v>
          </cell>
        </row>
        <row r="1211">
          <cell r="E1211" t="str">
            <v/>
          </cell>
          <cell r="J1211">
            <v>6036000</v>
          </cell>
        </row>
        <row r="1212">
          <cell r="E1212" t="str">
            <v/>
          </cell>
          <cell r="J1212">
            <v>6036000</v>
          </cell>
        </row>
        <row r="1213">
          <cell r="E1213" t="str">
            <v/>
          </cell>
          <cell r="J1213">
            <v>6036000</v>
          </cell>
        </row>
        <row r="1214">
          <cell r="E1214" t="str">
            <v/>
          </cell>
          <cell r="J1214">
            <v>6036000</v>
          </cell>
        </row>
        <row r="1215">
          <cell r="E1215" t="str">
            <v/>
          </cell>
          <cell r="J1215">
            <v>6036000</v>
          </cell>
        </row>
        <row r="1216">
          <cell r="E1216" t="str">
            <v/>
          </cell>
          <cell r="J1216">
            <v>6036000</v>
          </cell>
        </row>
        <row r="1217">
          <cell r="E1217" t="str">
            <v/>
          </cell>
          <cell r="J1217">
            <v>6036000</v>
          </cell>
        </row>
        <row r="1218">
          <cell r="E1218" t="str">
            <v/>
          </cell>
          <cell r="J1218">
            <v>6036000</v>
          </cell>
        </row>
        <row r="1219">
          <cell r="E1219" t="str">
            <v/>
          </cell>
          <cell r="J1219">
            <v>6036000</v>
          </cell>
        </row>
        <row r="1220">
          <cell r="E1220" t="str">
            <v/>
          </cell>
          <cell r="J1220">
            <v>6036000</v>
          </cell>
        </row>
        <row r="1221">
          <cell r="E1221" t="str">
            <v/>
          </cell>
          <cell r="J1221">
            <v>6036000</v>
          </cell>
        </row>
        <row r="1222">
          <cell r="E1222" t="str">
            <v/>
          </cell>
          <cell r="J1222">
            <v>6036000</v>
          </cell>
        </row>
        <row r="1223">
          <cell r="E1223" t="str">
            <v/>
          </cell>
          <cell r="J1223">
            <v>6036000</v>
          </cell>
        </row>
        <row r="1224">
          <cell r="E1224" t="str">
            <v/>
          </cell>
          <cell r="J1224">
            <v>6036000</v>
          </cell>
        </row>
        <row r="1225">
          <cell r="E1225" t="str">
            <v/>
          </cell>
          <cell r="J1225">
            <v>6036000</v>
          </cell>
        </row>
        <row r="1226">
          <cell r="E1226" t="str">
            <v/>
          </cell>
          <cell r="J1226">
            <v>6036000</v>
          </cell>
        </row>
        <row r="1227">
          <cell r="E1227" t="str">
            <v/>
          </cell>
          <cell r="J1227">
            <v>6036000</v>
          </cell>
        </row>
        <row r="1228">
          <cell r="E1228" t="str">
            <v/>
          </cell>
          <cell r="J1228">
            <v>6036000</v>
          </cell>
        </row>
        <row r="1229">
          <cell r="E1229" t="str">
            <v/>
          </cell>
          <cell r="J1229">
            <v>6036000</v>
          </cell>
        </row>
        <row r="1230">
          <cell r="E1230" t="str">
            <v/>
          </cell>
          <cell r="J1230">
            <v>6036000</v>
          </cell>
        </row>
        <row r="1231">
          <cell r="E1231" t="str">
            <v/>
          </cell>
          <cell r="J1231">
            <v>6036000</v>
          </cell>
        </row>
        <row r="1232">
          <cell r="E1232" t="str">
            <v/>
          </cell>
          <cell r="J1232">
            <v>6036000</v>
          </cell>
        </row>
        <row r="1233">
          <cell r="E1233" t="str">
            <v/>
          </cell>
          <cell r="J1233">
            <v>6036000</v>
          </cell>
        </row>
        <row r="1234">
          <cell r="E1234" t="str">
            <v/>
          </cell>
          <cell r="J1234">
            <v>6036000</v>
          </cell>
        </row>
        <row r="1235">
          <cell r="E1235" t="str">
            <v/>
          </cell>
          <cell r="J1235">
            <v>6036000</v>
          </cell>
        </row>
        <row r="1236">
          <cell r="E1236" t="str">
            <v/>
          </cell>
          <cell r="J1236">
            <v>6036000</v>
          </cell>
        </row>
        <row r="1237">
          <cell r="E1237" t="str">
            <v/>
          </cell>
          <cell r="J1237">
            <v>6036000</v>
          </cell>
        </row>
        <row r="1238">
          <cell r="E1238" t="str">
            <v/>
          </cell>
          <cell r="J1238">
            <v>6036000</v>
          </cell>
        </row>
        <row r="1239">
          <cell r="E1239" t="str">
            <v/>
          </cell>
          <cell r="J1239">
            <v>6036000</v>
          </cell>
        </row>
        <row r="1240">
          <cell r="E1240" t="str">
            <v/>
          </cell>
          <cell r="J1240">
            <v>6036000</v>
          </cell>
        </row>
        <row r="1241">
          <cell r="E1241" t="str">
            <v/>
          </cell>
          <cell r="J1241">
            <v>6036000</v>
          </cell>
        </row>
        <row r="1242">
          <cell r="E1242" t="str">
            <v/>
          </cell>
          <cell r="J1242">
            <v>6036000</v>
          </cell>
        </row>
        <row r="1243">
          <cell r="E1243" t="str">
            <v/>
          </cell>
          <cell r="J1243">
            <v>6036000</v>
          </cell>
        </row>
        <row r="1244">
          <cell r="E1244" t="str">
            <v/>
          </cell>
          <cell r="J1244">
            <v>6036000</v>
          </cell>
        </row>
        <row r="1245">
          <cell r="E1245" t="str">
            <v/>
          </cell>
          <cell r="J1245">
            <v>6036000</v>
          </cell>
        </row>
        <row r="1246">
          <cell r="E1246" t="str">
            <v/>
          </cell>
          <cell r="J1246">
            <v>6036000</v>
          </cell>
        </row>
        <row r="1247">
          <cell r="E1247" t="str">
            <v/>
          </cell>
          <cell r="J1247">
            <v>6036000</v>
          </cell>
        </row>
        <row r="1248">
          <cell r="E1248" t="str">
            <v/>
          </cell>
          <cell r="J1248">
            <v>6036000</v>
          </cell>
        </row>
        <row r="1249">
          <cell r="E1249" t="str">
            <v/>
          </cell>
          <cell r="J1249">
            <v>6036000</v>
          </cell>
        </row>
        <row r="1250">
          <cell r="E1250" t="str">
            <v/>
          </cell>
          <cell r="J1250">
            <v>6036000</v>
          </cell>
        </row>
        <row r="1251">
          <cell r="E1251" t="str">
            <v/>
          </cell>
          <cell r="J1251">
            <v>6036000</v>
          </cell>
        </row>
        <row r="1252">
          <cell r="E1252" t="str">
            <v/>
          </cell>
          <cell r="J1252">
            <v>6036000</v>
          </cell>
        </row>
        <row r="1253">
          <cell r="E1253" t="str">
            <v/>
          </cell>
          <cell r="J1253">
            <v>6036000</v>
          </cell>
        </row>
        <row r="1254">
          <cell r="E1254" t="str">
            <v/>
          </cell>
          <cell r="J1254">
            <v>6036000</v>
          </cell>
        </row>
        <row r="1255">
          <cell r="E1255" t="str">
            <v/>
          </cell>
          <cell r="J1255">
            <v>6036000</v>
          </cell>
        </row>
        <row r="1256">
          <cell r="E1256" t="str">
            <v/>
          </cell>
          <cell r="J1256">
            <v>6036000</v>
          </cell>
        </row>
        <row r="1257">
          <cell r="E1257" t="str">
            <v/>
          </cell>
          <cell r="J1257">
            <v>6036000</v>
          </cell>
        </row>
        <row r="1258">
          <cell r="E1258" t="str">
            <v/>
          </cell>
          <cell r="J1258">
            <v>6036000</v>
          </cell>
        </row>
        <row r="1259">
          <cell r="E1259" t="str">
            <v/>
          </cell>
          <cell r="J1259">
            <v>6036000</v>
          </cell>
        </row>
        <row r="1260">
          <cell r="E1260" t="str">
            <v/>
          </cell>
          <cell r="J1260">
            <v>6036000</v>
          </cell>
        </row>
        <row r="1261">
          <cell r="E1261" t="str">
            <v/>
          </cell>
          <cell r="J1261">
            <v>6036000</v>
          </cell>
        </row>
        <row r="1262">
          <cell r="E1262" t="str">
            <v/>
          </cell>
          <cell r="J1262">
            <v>6036000</v>
          </cell>
        </row>
        <row r="1263">
          <cell r="E1263" t="str">
            <v/>
          </cell>
          <cell r="J1263">
            <v>6036000</v>
          </cell>
        </row>
        <row r="1264">
          <cell r="E1264" t="str">
            <v/>
          </cell>
          <cell r="J1264">
            <v>6036000</v>
          </cell>
        </row>
        <row r="1265">
          <cell r="E1265" t="str">
            <v/>
          </cell>
          <cell r="J1265">
            <v>6036000</v>
          </cell>
        </row>
        <row r="1266">
          <cell r="E1266" t="str">
            <v/>
          </cell>
          <cell r="J1266">
            <v>6036000</v>
          </cell>
        </row>
        <row r="1267">
          <cell r="E1267" t="str">
            <v/>
          </cell>
          <cell r="J1267">
            <v>6036000</v>
          </cell>
        </row>
        <row r="1268">
          <cell r="E1268" t="str">
            <v/>
          </cell>
          <cell r="J1268">
            <v>6036000</v>
          </cell>
        </row>
        <row r="1269">
          <cell r="E1269" t="str">
            <v/>
          </cell>
          <cell r="J1269">
            <v>6036000</v>
          </cell>
        </row>
        <row r="1270">
          <cell r="E1270" t="str">
            <v/>
          </cell>
          <cell r="J1270">
            <v>6036000</v>
          </cell>
        </row>
        <row r="1271">
          <cell r="E1271" t="str">
            <v/>
          </cell>
          <cell r="J1271">
            <v>6036000</v>
          </cell>
        </row>
        <row r="1272">
          <cell r="E1272" t="str">
            <v/>
          </cell>
          <cell r="J1272">
            <v>6036000</v>
          </cell>
        </row>
        <row r="1273">
          <cell r="E1273" t="str">
            <v/>
          </cell>
          <cell r="J1273">
            <v>6036000</v>
          </cell>
        </row>
        <row r="1274">
          <cell r="E1274" t="str">
            <v/>
          </cell>
          <cell r="J1274">
            <v>6036000</v>
          </cell>
        </row>
        <row r="1275">
          <cell r="E1275" t="str">
            <v/>
          </cell>
          <cell r="J1275">
            <v>6036000</v>
          </cell>
        </row>
        <row r="1276">
          <cell r="E1276" t="str">
            <v/>
          </cell>
          <cell r="J1276">
            <v>6036000</v>
          </cell>
        </row>
        <row r="1277">
          <cell r="E1277" t="str">
            <v/>
          </cell>
          <cell r="J1277">
            <v>6036000</v>
          </cell>
        </row>
        <row r="1278">
          <cell r="E1278" t="str">
            <v/>
          </cell>
          <cell r="J1278">
            <v>6036000</v>
          </cell>
        </row>
        <row r="1279">
          <cell r="E1279" t="str">
            <v/>
          </cell>
          <cell r="J1279">
            <v>6036000</v>
          </cell>
        </row>
        <row r="1280">
          <cell r="E1280" t="str">
            <v/>
          </cell>
          <cell r="J1280">
            <v>6036000</v>
          </cell>
        </row>
        <row r="1281">
          <cell r="E1281" t="str">
            <v/>
          </cell>
          <cell r="J1281">
            <v>6036000</v>
          </cell>
        </row>
        <row r="1282">
          <cell r="E1282" t="str">
            <v/>
          </cell>
          <cell r="J1282">
            <v>6036000</v>
          </cell>
        </row>
        <row r="1283">
          <cell r="E1283" t="str">
            <v/>
          </cell>
          <cell r="J1283">
            <v>6036000</v>
          </cell>
        </row>
        <row r="1284">
          <cell r="E1284" t="str">
            <v/>
          </cell>
          <cell r="J1284">
            <v>6036000</v>
          </cell>
        </row>
        <row r="1285">
          <cell r="E1285" t="str">
            <v/>
          </cell>
          <cell r="J1285">
            <v>6036000</v>
          </cell>
        </row>
        <row r="1286">
          <cell r="E1286" t="str">
            <v/>
          </cell>
          <cell r="J1286">
            <v>6036000</v>
          </cell>
        </row>
        <row r="1287">
          <cell r="E1287" t="str">
            <v/>
          </cell>
          <cell r="J1287">
            <v>6036000</v>
          </cell>
        </row>
        <row r="1288">
          <cell r="E1288" t="str">
            <v/>
          </cell>
          <cell r="J1288">
            <v>6036000</v>
          </cell>
        </row>
        <row r="1289">
          <cell r="E1289" t="str">
            <v/>
          </cell>
          <cell r="J1289">
            <v>6036000</v>
          </cell>
        </row>
        <row r="1290">
          <cell r="E1290" t="str">
            <v/>
          </cell>
          <cell r="J1290">
            <v>6036000</v>
          </cell>
        </row>
        <row r="1291">
          <cell r="E1291" t="str">
            <v/>
          </cell>
          <cell r="J1291">
            <v>6036000</v>
          </cell>
        </row>
        <row r="1292">
          <cell r="E1292" t="str">
            <v/>
          </cell>
          <cell r="J1292">
            <v>6036000</v>
          </cell>
        </row>
        <row r="1293">
          <cell r="E1293" t="str">
            <v/>
          </cell>
          <cell r="J1293">
            <v>6036000</v>
          </cell>
        </row>
        <row r="1294">
          <cell r="E1294" t="str">
            <v/>
          </cell>
          <cell r="J1294">
            <v>6036000</v>
          </cell>
        </row>
        <row r="1295">
          <cell r="E1295" t="str">
            <v/>
          </cell>
          <cell r="J1295">
            <v>6036000</v>
          </cell>
        </row>
        <row r="1296">
          <cell r="E1296" t="str">
            <v/>
          </cell>
          <cell r="J1296">
            <v>6036000</v>
          </cell>
        </row>
        <row r="1297">
          <cell r="E1297" t="str">
            <v/>
          </cell>
          <cell r="J1297">
            <v>6036000</v>
          </cell>
        </row>
        <row r="1298">
          <cell r="E1298" t="str">
            <v/>
          </cell>
          <cell r="J1298">
            <v>6036000</v>
          </cell>
        </row>
        <row r="1299">
          <cell r="E1299" t="str">
            <v/>
          </cell>
          <cell r="J1299">
            <v>6036000</v>
          </cell>
        </row>
        <row r="1300">
          <cell r="E1300" t="str">
            <v/>
          </cell>
          <cell r="J1300">
            <v>6036000</v>
          </cell>
        </row>
        <row r="1301">
          <cell r="E1301" t="str">
            <v/>
          </cell>
          <cell r="J1301">
            <v>6036000</v>
          </cell>
        </row>
        <row r="1302">
          <cell r="E1302" t="str">
            <v/>
          </cell>
          <cell r="J1302">
            <v>6036000</v>
          </cell>
        </row>
        <row r="1303">
          <cell r="E1303" t="str">
            <v/>
          </cell>
          <cell r="J1303">
            <v>6036000</v>
          </cell>
        </row>
        <row r="1304">
          <cell r="E1304" t="str">
            <v/>
          </cell>
          <cell r="J1304">
            <v>6036000</v>
          </cell>
        </row>
        <row r="1305">
          <cell r="E1305" t="str">
            <v/>
          </cell>
          <cell r="J1305">
            <v>6036000</v>
          </cell>
        </row>
        <row r="1306">
          <cell r="E1306" t="str">
            <v/>
          </cell>
          <cell r="J1306">
            <v>6036000</v>
          </cell>
        </row>
        <row r="1307">
          <cell r="E1307" t="str">
            <v/>
          </cell>
          <cell r="J1307">
            <v>6036000</v>
          </cell>
        </row>
        <row r="1308">
          <cell r="E1308" t="str">
            <v/>
          </cell>
          <cell r="J1308">
            <v>6036000</v>
          </cell>
        </row>
        <row r="1309">
          <cell r="E1309" t="str">
            <v/>
          </cell>
          <cell r="J1309">
            <v>6036000</v>
          </cell>
        </row>
        <row r="1310">
          <cell r="E1310" t="str">
            <v/>
          </cell>
          <cell r="J1310">
            <v>6036000</v>
          </cell>
        </row>
        <row r="1311">
          <cell r="E1311" t="str">
            <v/>
          </cell>
          <cell r="J1311">
            <v>6036000</v>
          </cell>
        </row>
        <row r="1312">
          <cell r="E1312" t="str">
            <v/>
          </cell>
          <cell r="J1312">
            <v>6036000</v>
          </cell>
        </row>
        <row r="1313">
          <cell r="E1313" t="str">
            <v/>
          </cell>
          <cell r="J1313">
            <v>6036000</v>
          </cell>
        </row>
        <row r="1314">
          <cell r="E1314" t="str">
            <v/>
          </cell>
          <cell r="J1314">
            <v>6036000</v>
          </cell>
        </row>
        <row r="1315">
          <cell r="E1315" t="str">
            <v/>
          </cell>
          <cell r="J1315">
            <v>6036000</v>
          </cell>
        </row>
        <row r="1316">
          <cell r="E1316" t="str">
            <v/>
          </cell>
          <cell r="J1316">
            <v>6036000</v>
          </cell>
        </row>
        <row r="1317">
          <cell r="E1317" t="str">
            <v/>
          </cell>
          <cell r="J1317">
            <v>6036000</v>
          </cell>
        </row>
        <row r="1318">
          <cell r="E1318" t="str">
            <v/>
          </cell>
          <cell r="J1318">
            <v>6036000</v>
          </cell>
        </row>
        <row r="1319">
          <cell r="E1319" t="str">
            <v/>
          </cell>
          <cell r="J1319">
            <v>6036000</v>
          </cell>
        </row>
        <row r="1320">
          <cell r="E1320" t="str">
            <v/>
          </cell>
          <cell r="J1320">
            <v>6036000</v>
          </cell>
        </row>
        <row r="1321">
          <cell r="E1321" t="str">
            <v/>
          </cell>
          <cell r="J1321">
            <v>6036000</v>
          </cell>
        </row>
        <row r="1322">
          <cell r="E1322" t="str">
            <v/>
          </cell>
          <cell r="J1322">
            <v>6036000</v>
          </cell>
        </row>
        <row r="1323">
          <cell r="E1323" t="str">
            <v/>
          </cell>
          <cell r="J1323">
            <v>6036000</v>
          </cell>
        </row>
        <row r="1324">
          <cell r="E1324" t="str">
            <v/>
          </cell>
          <cell r="J1324">
            <v>6036000</v>
          </cell>
        </row>
        <row r="1325">
          <cell r="E1325" t="str">
            <v/>
          </cell>
          <cell r="J1325">
            <v>6036000</v>
          </cell>
        </row>
        <row r="1326">
          <cell r="E1326" t="str">
            <v/>
          </cell>
          <cell r="J1326">
            <v>6036000</v>
          </cell>
        </row>
        <row r="1327">
          <cell r="E1327" t="str">
            <v/>
          </cell>
          <cell r="J1327">
            <v>6036000</v>
          </cell>
        </row>
        <row r="1328">
          <cell r="E1328" t="str">
            <v/>
          </cell>
          <cell r="J1328">
            <v>6036000</v>
          </cell>
        </row>
        <row r="1329">
          <cell r="E1329" t="str">
            <v/>
          </cell>
          <cell r="J1329">
            <v>6036000</v>
          </cell>
        </row>
        <row r="1330">
          <cell r="E1330" t="str">
            <v/>
          </cell>
          <cell r="J1330">
            <v>6036000</v>
          </cell>
        </row>
        <row r="1331">
          <cell r="E1331" t="str">
            <v/>
          </cell>
          <cell r="J1331">
            <v>6036000</v>
          </cell>
        </row>
        <row r="1332">
          <cell r="E1332" t="str">
            <v/>
          </cell>
          <cell r="J1332">
            <v>6036000</v>
          </cell>
        </row>
        <row r="1333">
          <cell r="E1333" t="str">
            <v/>
          </cell>
          <cell r="J1333">
            <v>6036000</v>
          </cell>
        </row>
        <row r="1334">
          <cell r="E1334" t="str">
            <v/>
          </cell>
          <cell r="J1334">
            <v>6036000</v>
          </cell>
        </row>
        <row r="1335">
          <cell r="E1335" t="str">
            <v/>
          </cell>
          <cell r="J1335">
            <v>6036000</v>
          </cell>
        </row>
        <row r="1336">
          <cell r="E1336" t="str">
            <v/>
          </cell>
          <cell r="J1336">
            <v>6036000</v>
          </cell>
        </row>
        <row r="1337">
          <cell r="E1337" t="str">
            <v/>
          </cell>
          <cell r="J1337">
            <v>6036000</v>
          </cell>
        </row>
        <row r="1338">
          <cell r="E1338" t="str">
            <v/>
          </cell>
          <cell r="J1338">
            <v>6036000</v>
          </cell>
        </row>
        <row r="1339">
          <cell r="E1339" t="str">
            <v/>
          </cell>
          <cell r="J1339">
            <v>6036000</v>
          </cell>
        </row>
        <row r="1340">
          <cell r="E1340" t="str">
            <v/>
          </cell>
          <cell r="J1340">
            <v>6036000</v>
          </cell>
        </row>
        <row r="1341">
          <cell r="E1341" t="str">
            <v/>
          </cell>
          <cell r="J1341">
            <v>6036000</v>
          </cell>
        </row>
        <row r="1342">
          <cell r="E1342" t="str">
            <v/>
          </cell>
          <cell r="J1342">
            <v>6036000</v>
          </cell>
        </row>
        <row r="1343">
          <cell r="E1343" t="str">
            <v/>
          </cell>
          <cell r="J1343">
            <v>6036000</v>
          </cell>
        </row>
        <row r="1344">
          <cell r="E1344" t="str">
            <v/>
          </cell>
          <cell r="J1344">
            <v>6036000</v>
          </cell>
        </row>
        <row r="1345">
          <cell r="E1345" t="str">
            <v/>
          </cell>
          <cell r="J1345">
            <v>6036000</v>
          </cell>
        </row>
        <row r="1346">
          <cell r="E1346" t="str">
            <v/>
          </cell>
          <cell r="J1346">
            <v>6036000</v>
          </cell>
        </row>
        <row r="1347">
          <cell r="E1347" t="str">
            <v/>
          </cell>
          <cell r="J1347">
            <v>6036000</v>
          </cell>
        </row>
        <row r="1348">
          <cell r="E1348" t="str">
            <v/>
          </cell>
          <cell r="J1348">
            <v>6036000</v>
          </cell>
        </row>
        <row r="1349">
          <cell r="E1349" t="str">
            <v/>
          </cell>
          <cell r="J1349">
            <v>6036000</v>
          </cell>
        </row>
        <row r="1350">
          <cell r="E1350" t="str">
            <v/>
          </cell>
          <cell r="J1350">
            <v>6036000</v>
          </cell>
        </row>
        <row r="1351">
          <cell r="E1351" t="str">
            <v/>
          </cell>
          <cell r="J1351">
            <v>6036000</v>
          </cell>
        </row>
        <row r="1352">
          <cell r="E1352" t="str">
            <v/>
          </cell>
          <cell r="J1352">
            <v>6036000</v>
          </cell>
        </row>
        <row r="1353">
          <cell r="E1353" t="str">
            <v/>
          </cell>
          <cell r="J1353">
            <v>6036000</v>
          </cell>
        </row>
        <row r="1354">
          <cell r="E1354" t="str">
            <v/>
          </cell>
          <cell r="J1354">
            <v>6036000</v>
          </cell>
        </row>
        <row r="1355">
          <cell r="E1355" t="str">
            <v/>
          </cell>
          <cell r="J1355">
            <v>6036000</v>
          </cell>
        </row>
        <row r="1356">
          <cell r="E1356" t="str">
            <v/>
          </cell>
          <cell r="J1356">
            <v>6036000</v>
          </cell>
        </row>
        <row r="1357">
          <cell r="E1357" t="str">
            <v/>
          </cell>
          <cell r="J1357">
            <v>6036000</v>
          </cell>
        </row>
        <row r="1358">
          <cell r="E1358" t="str">
            <v/>
          </cell>
          <cell r="J1358">
            <v>6036000</v>
          </cell>
        </row>
        <row r="1359">
          <cell r="E1359" t="str">
            <v/>
          </cell>
          <cell r="J1359">
            <v>6036000</v>
          </cell>
        </row>
        <row r="1360">
          <cell r="J1360">
            <v>6036000</v>
          </cell>
        </row>
        <row r="1361">
          <cell r="E1361" t="str">
            <v/>
          </cell>
          <cell r="J1361">
            <v>6036000</v>
          </cell>
        </row>
        <row r="1362">
          <cell r="E1362" t="str">
            <v/>
          </cell>
          <cell r="J1362">
            <v>6036000</v>
          </cell>
        </row>
        <row r="1363">
          <cell r="E1363" t="str">
            <v/>
          </cell>
          <cell r="J1363">
            <v>6036000</v>
          </cell>
        </row>
        <row r="1364">
          <cell r="E1364" t="str">
            <v/>
          </cell>
          <cell r="J1364">
            <v>6036000</v>
          </cell>
        </row>
        <row r="1365">
          <cell r="E1365" t="str">
            <v/>
          </cell>
          <cell r="J1365">
            <v>6036000</v>
          </cell>
        </row>
        <row r="1366">
          <cell r="E1366" t="str">
            <v/>
          </cell>
          <cell r="J1366">
            <v>6036000</v>
          </cell>
        </row>
        <row r="1367">
          <cell r="E1367" t="str">
            <v/>
          </cell>
          <cell r="J1367">
            <v>6036000</v>
          </cell>
        </row>
        <row r="1368">
          <cell r="E1368" t="str">
            <v/>
          </cell>
          <cell r="J1368">
            <v>6036000</v>
          </cell>
        </row>
        <row r="1369">
          <cell r="E1369" t="str">
            <v/>
          </cell>
          <cell r="J1369">
            <v>6036000</v>
          </cell>
        </row>
        <row r="1370">
          <cell r="E1370" t="str">
            <v/>
          </cell>
          <cell r="J1370">
            <v>6036000</v>
          </cell>
        </row>
        <row r="1371">
          <cell r="E1371" t="str">
            <v/>
          </cell>
          <cell r="J1371">
            <v>6036000</v>
          </cell>
        </row>
        <row r="1372">
          <cell r="E1372" t="str">
            <v/>
          </cell>
          <cell r="J1372">
            <v>6036000</v>
          </cell>
        </row>
        <row r="1373">
          <cell r="E1373" t="str">
            <v/>
          </cell>
          <cell r="J1373">
            <v>6036000</v>
          </cell>
        </row>
        <row r="1374">
          <cell r="E1374" t="str">
            <v/>
          </cell>
          <cell r="J1374">
            <v>6036000</v>
          </cell>
        </row>
        <row r="1375">
          <cell r="E1375" t="str">
            <v/>
          </cell>
          <cell r="J1375">
            <v>6036000</v>
          </cell>
        </row>
        <row r="1376">
          <cell r="E1376" t="str">
            <v/>
          </cell>
          <cell r="J1376">
            <v>6036000</v>
          </cell>
        </row>
        <row r="1377">
          <cell r="E1377" t="str">
            <v/>
          </cell>
          <cell r="J1377">
            <v>6036000</v>
          </cell>
        </row>
        <row r="1378">
          <cell r="E1378" t="str">
            <v/>
          </cell>
          <cell r="J1378">
            <v>6036000</v>
          </cell>
        </row>
        <row r="1379">
          <cell r="E1379" t="str">
            <v/>
          </cell>
          <cell r="J1379">
            <v>6036000</v>
          </cell>
        </row>
        <row r="1380">
          <cell r="E1380" t="str">
            <v/>
          </cell>
          <cell r="J1380">
            <v>6036000</v>
          </cell>
        </row>
        <row r="1381">
          <cell r="E1381" t="str">
            <v/>
          </cell>
          <cell r="J1381">
            <v>6036000</v>
          </cell>
        </row>
        <row r="1382">
          <cell r="E1382" t="str">
            <v/>
          </cell>
          <cell r="J1382">
            <v>6036000</v>
          </cell>
        </row>
        <row r="1383">
          <cell r="E1383" t="str">
            <v/>
          </cell>
          <cell r="J1383">
            <v>6036000</v>
          </cell>
        </row>
        <row r="1384">
          <cell r="E1384" t="str">
            <v/>
          </cell>
          <cell r="J1384">
            <v>6036000</v>
          </cell>
        </row>
        <row r="1385">
          <cell r="E1385" t="str">
            <v/>
          </cell>
          <cell r="J1385">
            <v>6036000</v>
          </cell>
        </row>
        <row r="1386">
          <cell r="E1386" t="str">
            <v/>
          </cell>
          <cell r="J1386">
            <v>6036000</v>
          </cell>
        </row>
        <row r="1387">
          <cell r="E1387" t="str">
            <v/>
          </cell>
          <cell r="J1387">
            <v>6036000</v>
          </cell>
        </row>
        <row r="1388">
          <cell r="E1388" t="str">
            <v/>
          </cell>
          <cell r="J1388">
            <v>6036000</v>
          </cell>
        </row>
        <row r="1389">
          <cell r="E1389" t="str">
            <v/>
          </cell>
          <cell r="J1389">
            <v>6036000</v>
          </cell>
        </row>
        <row r="1390">
          <cell r="E1390" t="str">
            <v/>
          </cell>
          <cell r="J1390">
            <v>6036000</v>
          </cell>
        </row>
        <row r="1391">
          <cell r="E1391" t="str">
            <v/>
          </cell>
          <cell r="J1391">
            <v>6036000</v>
          </cell>
        </row>
        <row r="1392">
          <cell r="E1392" t="str">
            <v/>
          </cell>
          <cell r="J1392">
            <v>6036000</v>
          </cell>
        </row>
        <row r="1393">
          <cell r="E1393" t="str">
            <v/>
          </cell>
          <cell r="J1393">
            <v>6036000</v>
          </cell>
        </row>
        <row r="1394">
          <cell r="E1394" t="str">
            <v/>
          </cell>
          <cell r="J1394">
            <v>6036000</v>
          </cell>
        </row>
        <row r="1395">
          <cell r="E1395" t="str">
            <v/>
          </cell>
          <cell r="J1395">
            <v>6036000</v>
          </cell>
        </row>
        <row r="1396">
          <cell r="E1396" t="str">
            <v/>
          </cell>
          <cell r="J1396">
            <v>6036000</v>
          </cell>
        </row>
        <row r="1397">
          <cell r="E1397" t="str">
            <v/>
          </cell>
          <cell r="J1397">
            <v>6036000</v>
          </cell>
        </row>
        <row r="1398">
          <cell r="E1398" t="str">
            <v/>
          </cell>
          <cell r="J1398">
            <v>6036000</v>
          </cell>
        </row>
        <row r="1399">
          <cell r="E1399" t="str">
            <v/>
          </cell>
          <cell r="J1399">
            <v>6036000</v>
          </cell>
        </row>
        <row r="1400">
          <cell r="E1400" t="str">
            <v/>
          </cell>
          <cell r="J1400">
            <v>6036000</v>
          </cell>
        </row>
        <row r="1401">
          <cell r="E1401" t="str">
            <v/>
          </cell>
          <cell r="J1401">
            <v>6036000</v>
          </cell>
        </row>
        <row r="1402">
          <cell r="E1402" t="str">
            <v/>
          </cell>
          <cell r="J1402">
            <v>6036000</v>
          </cell>
        </row>
        <row r="1403">
          <cell r="E1403" t="str">
            <v/>
          </cell>
          <cell r="J1403">
            <v>6036000</v>
          </cell>
        </row>
        <row r="1404">
          <cell r="E1404" t="str">
            <v/>
          </cell>
          <cell r="J1404">
            <v>6036000</v>
          </cell>
        </row>
        <row r="1405">
          <cell r="E1405" t="str">
            <v/>
          </cell>
          <cell r="J1405">
            <v>6036000</v>
          </cell>
        </row>
        <row r="1406">
          <cell r="E1406" t="str">
            <v/>
          </cell>
          <cell r="J1406">
            <v>6036000</v>
          </cell>
        </row>
        <row r="1407">
          <cell r="E1407" t="str">
            <v/>
          </cell>
          <cell r="J1407">
            <v>6036000</v>
          </cell>
        </row>
        <row r="1408">
          <cell r="E1408" t="str">
            <v/>
          </cell>
          <cell r="J1408">
            <v>6036000</v>
          </cell>
        </row>
        <row r="1409">
          <cell r="E1409" t="str">
            <v/>
          </cell>
          <cell r="J1409">
            <v>6036000</v>
          </cell>
        </row>
        <row r="1410">
          <cell r="E1410" t="str">
            <v/>
          </cell>
          <cell r="J1410">
            <v>6036000</v>
          </cell>
        </row>
        <row r="1411">
          <cell r="E1411" t="str">
            <v/>
          </cell>
          <cell r="J1411">
            <v>6036000</v>
          </cell>
        </row>
        <row r="1412">
          <cell r="E1412" t="str">
            <v/>
          </cell>
          <cell r="J1412">
            <v>6036000</v>
          </cell>
        </row>
        <row r="1413">
          <cell r="E1413" t="str">
            <v/>
          </cell>
          <cell r="J1413">
            <v>6036000</v>
          </cell>
        </row>
        <row r="1414">
          <cell r="E1414" t="str">
            <v/>
          </cell>
          <cell r="J1414">
            <v>6036000</v>
          </cell>
        </row>
        <row r="1415">
          <cell r="E1415" t="str">
            <v/>
          </cell>
          <cell r="J1415">
            <v>6036000</v>
          </cell>
        </row>
        <row r="1416">
          <cell r="E1416" t="str">
            <v/>
          </cell>
          <cell r="J1416">
            <v>6036000</v>
          </cell>
        </row>
        <row r="1417">
          <cell r="E1417" t="str">
            <v/>
          </cell>
          <cell r="J1417">
            <v>6036000</v>
          </cell>
        </row>
        <row r="1418">
          <cell r="E1418" t="str">
            <v/>
          </cell>
          <cell r="J1418">
            <v>6036000</v>
          </cell>
        </row>
        <row r="1419">
          <cell r="E1419" t="str">
            <v/>
          </cell>
          <cell r="J1419">
            <v>6036000</v>
          </cell>
        </row>
        <row r="1420">
          <cell r="E1420" t="str">
            <v/>
          </cell>
          <cell r="J1420">
            <v>6036000</v>
          </cell>
        </row>
        <row r="1421">
          <cell r="E1421" t="str">
            <v/>
          </cell>
          <cell r="J1421">
            <v>6036000</v>
          </cell>
        </row>
        <row r="1422">
          <cell r="E1422" t="str">
            <v/>
          </cell>
          <cell r="J1422">
            <v>6036000</v>
          </cell>
        </row>
        <row r="1423">
          <cell r="E1423" t="str">
            <v/>
          </cell>
          <cell r="J1423">
            <v>6036000</v>
          </cell>
        </row>
        <row r="1424">
          <cell r="E1424" t="str">
            <v/>
          </cell>
          <cell r="J1424">
            <v>6036000</v>
          </cell>
        </row>
        <row r="1425">
          <cell r="E1425" t="str">
            <v/>
          </cell>
          <cell r="J1425">
            <v>6036000</v>
          </cell>
        </row>
        <row r="1426">
          <cell r="E1426" t="str">
            <v/>
          </cell>
          <cell r="J1426">
            <v>6036000</v>
          </cell>
        </row>
        <row r="1427">
          <cell r="E1427" t="str">
            <v/>
          </cell>
          <cell r="J1427">
            <v>6036000</v>
          </cell>
        </row>
        <row r="1428">
          <cell r="E1428" t="str">
            <v/>
          </cell>
          <cell r="J1428">
            <v>6036000</v>
          </cell>
        </row>
        <row r="1429">
          <cell r="E1429" t="str">
            <v/>
          </cell>
          <cell r="J1429">
            <v>6036000</v>
          </cell>
        </row>
        <row r="1430">
          <cell r="E1430" t="str">
            <v/>
          </cell>
          <cell r="J1430">
            <v>6036000</v>
          </cell>
        </row>
        <row r="1431">
          <cell r="E1431" t="str">
            <v/>
          </cell>
          <cell r="J1431">
            <v>6036000</v>
          </cell>
        </row>
        <row r="1432">
          <cell r="E1432" t="str">
            <v/>
          </cell>
          <cell r="J1432">
            <v>6036000</v>
          </cell>
        </row>
        <row r="1433">
          <cell r="E1433" t="str">
            <v/>
          </cell>
          <cell r="J1433">
            <v>6036000</v>
          </cell>
        </row>
        <row r="1434">
          <cell r="E1434" t="str">
            <v/>
          </cell>
          <cell r="J1434">
            <v>6036000</v>
          </cell>
        </row>
        <row r="1435">
          <cell r="E1435" t="str">
            <v/>
          </cell>
          <cell r="J1435">
            <v>6036000</v>
          </cell>
        </row>
        <row r="1436">
          <cell r="E1436" t="str">
            <v/>
          </cell>
          <cell r="J1436">
            <v>6036000</v>
          </cell>
        </row>
        <row r="1437">
          <cell r="E1437" t="str">
            <v/>
          </cell>
          <cell r="J1437">
            <v>6036000</v>
          </cell>
        </row>
        <row r="1438">
          <cell r="E1438" t="str">
            <v/>
          </cell>
          <cell r="J1438">
            <v>6036000</v>
          </cell>
        </row>
        <row r="1439">
          <cell r="E1439" t="str">
            <v/>
          </cell>
          <cell r="J1439">
            <v>6036000</v>
          </cell>
        </row>
        <row r="1440">
          <cell r="E1440" t="str">
            <v/>
          </cell>
          <cell r="J1440">
            <v>6036000</v>
          </cell>
        </row>
        <row r="1441">
          <cell r="E1441" t="str">
            <v/>
          </cell>
          <cell r="J1441">
            <v>6036000</v>
          </cell>
        </row>
        <row r="1442">
          <cell r="E1442" t="str">
            <v/>
          </cell>
          <cell r="J1442">
            <v>6036000</v>
          </cell>
        </row>
        <row r="1443">
          <cell r="E1443" t="str">
            <v/>
          </cell>
          <cell r="J1443">
            <v>6036000</v>
          </cell>
        </row>
        <row r="1444">
          <cell r="E1444" t="str">
            <v/>
          </cell>
          <cell r="J1444">
            <v>6036000</v>
          </cell>
        </row>
        <row r="1445">
          <cell r="E1445" t="str">
            <v/>
          </cell>
          <cell r="J1445">
            <v>6036000</v>
          </cell>
        </row>
        <row r="1446">
          <cell r="E1446" t="str">
            <v/>
          </cell>
          <cell r="J1446">
            <v>6036000</v>
          </cell>
        </row>
        <row r="1447">
          <cell r="E1447" t="str">
            <v/>
          </cell>
          <cell r="J1447">
            <v>6036000</v>
          </cell>
        </row>
        <row r="1448">
          <cell r="E1448" t="str">
            <v/>
          </cell>
          <cell r="J1448">
            <v>6036000</v>
          </cell>
        </row>
        <row r="1449">
          <cell r="E1449" t="str">
            <v/>
          </cell>
          <cell r="J1449">
            <v>6036000</v>
          </cell>
        </row>
        <row r="1450">
          <cell r="E1450" t="str">
            <v/>
          </cell>
          <cell r="J1450">
            <v>6036000</v>
          </cell>
        </row>
        <row r="1451">
          <cell r="E1451" t="str">
            <v/>
          </cell>
          <cell r="J1451">
            <v>6036000</v>
          </cell>
        </row>
        <row r="1452">
          <cell r="E1452" t="str">
            <v/>
          </cell>
          <cell r="J1452">
            <v>6036000</v>
          </cell>
        </row>
        <row r="1453">
          <cell r="E1453" t="str">
            <v/>
          </cell>
          <cell r="J1453">
            <v>6036000</v>
          </cell>
        </row>
        <row r="1454">
          <cell r="E1454" t="str">
            <v/>
          </cell>
          <cell r="J1454">
            <v>6036000</v>
          </cell>
        </row>
        <row r="1455">
          <cell r="E1455" t="str">
            <v/>
          </cell>
          <cell r="J1455">
            <v>6036000</v>
          </cell>
        </row>
        <row r="1456">
          <cell r="E1456" t="str">
            <v/>
          </cell>
          <cell r="J1456">
            <v>6036000</v>
          </cell>
        </row>
        <row r="1457">
          <cell r="E1457" t="str">
            <v/>
          </cell>
          <cell r="J1457">
            <v>6036000</v>
          </cell>
        </row>
        <row r="1458">
          <cell r="E1458" t="str">
            <v/>
          </cell>
          <cell r="J1458">
            <v>6036000</v>
          </cell>
        </row>
        <row r="1459">
          <cell r="E1459" t="str">
            <v/>
          </cell>
          <cell r="J1459">
            <v>6036000</v>
          </cell>
        </row>
        <row r="1460">
          <cell r="E1460" t="str">
            <v/>
          </cell>
          <cell r="J1460">
            <v>6036000</v>
          </cell>
        </row>
        <row r="1461">
          <cell r="E1461" t="str">
            <v/>
          </cell>
          <cell r="J1461">
            <v>6036000</v>
          </cell>
        </row>
        <row r="1462">
          <cell r="E1462" t="str">
            <v/>
          </cell>
          <cell r="J1462">
            <v>6036000</v>
          </cell>
        </row>
        <row r="1463">
          <cell r="E1463" t="str">
            <v/>
          </cell>
          <cell r="J1463">
            <v>6036000</v>
          </cell>
        </row>
        <row r="1464">
          <cell r="E1464" t="str">
            <v/>
          </cell>
          <cell r="J1464">
            <v>6036000</v>
          </cell>
        </row>
        <row r="1465">
          <cell r="E1465" t="str">
            <v/>
          </cell>
          <cell r="J1465">
            <v>6036000</v>
          </cell>
        </row>
        <row r="1466">
          <cell r="E1466" t="str">
            <v/>
          </cell>
          <cell r="J1466">
            <v>6036000</v>
          </cell>
        </row>
        <row r="1467">
          <cell r="E1467" t="str">
            <v/>
          </cell>
          <cell r="J1467">
            <v>6036000</v>
          </cell>
        </row>
        <row r="1468">
          <cell r="E1468" t="str">
            <v/>
          </cell>
          <cell r="J1468">
            <v>6036000</v>
          </cell>
        </row>
        <row r="1469">
          <cell r="E1469" t="str">
            <v/>
          </cell>
          <cell r="J1469">
            <v>6036000</v>
          </cell>
        </row>
        <row r="1470">
          <cell r="E1470" t="str">
            <v/>
          </cell>
          <cell r="J1470">
            <v>6036000</v>
          </cell>
        </row>
        <row r="1471">
          <cell r="E1471" t="str">
            <v/>
          </cell>
          <cell r="J1471">
            <v>6036000</v>
          </cell>
        </row>
        <row r="1472">
          <cell r="E1472" t="str">
            <v/>
          </cell>
          <cell r="J1472">
            <v>6036000</v>
          </cell>
        </row>
        <row r="1473">
          <cell r="E1473" t="str">
            <v/>
          </cell>
          <cell r="J1473">
            <v>6036000</v>
          </cell>
        </row>
        <row r="1474">
          <cell r="E1474" t="str">
            <v/>
          </cell>
          <cell r="J1474">
            <v>6036000</v>
          </cell>
        </row>
        <row r="1475">
          <cell r="E1475" t="str">
            <v/>
          </cell>
          <cell r="J1475">
            <v>6036000</v>
          </cell>
        </row>
        <row r="1476">
          <cell r="E1476" t="str">
            <v/>
          </cell>
          <cell r="J1476">
            <v>6036000</v>
          </cell>
        </row>
        <row r="1477">
          <cell r="E1477" t="str">
            <v/>
          </cell>
          <cell r="J1477">
            <v>6036000</v>
          </cell>
        </row>
        <row r="1478">
          <cell r="E1478" t="str">
            <v/>
          </cell>
          <cell r="J1478">
            <v>6036000</v>
          </cell>
        </row>
        <row r="1479">
          <cell r="E1479" t="str">
            <v/>
          </cell>
          <cell r="J1479">
            <v>6036000</v>
          </cell>
        </row>
        <row r="1480">
          <cell r="E1480" t="str">
            <v/>
          </cell>
          <cell r="J1480">
            <v>6036000</v>
          </cell>
        </row>
        <row r="1481">
          <cell r="E1481" t="str">
            <v/>
          </cell>
          <cell r="J1481">
            <v>6036000</v>
          </cell>
        </row>
        <row r="1482">
          <cell r="E1482" t="str">
            <v/>
          </cell>
          <cell r="J1482">
            <v>6036000</v>
          </cell>
        </row>
        <row r="1483">
          <cell r="E1483" t="str">
            <v/>
          </cell>
          <cell r="J1483">
            <v>6036000</v>
          </cell>
        </row>
        <row r="1484">
          <cell r="E1484" t="str">
            <v/>
          </cell>
          <cell r="J1484">
            <v>6036000</v>
          </cell>
        </row>
        <row r="1485">
          <cell r="E1485" t="str">
            <v/>
          </cell>
          <cell r="J1485">
            <v>6036000</v>
          </cell>
        </row>
        <row r="1486">
          <cell r="E1486" t="str">
            <v/>
          </cell>
          <cell r="J1486">
            <v>6036000</v>
          </cell>
        </row>
        <row r="1487">
          <cell r="E1487" t="str">
            <v/>
          </cell>
          <cell r="J1487">
            <v>6036000</v>
          </cell>
        </row>
        <row r="1488">
          <cell r="E1488" t="str">
            <v/>
          </cell>
          <cell r="J1488">
            <v>6036000</v>
          </cell>
        </row>
        <row r="1489">
          <cell r="E1489" t="str">
            <v/>
          </cell>
          <cell r="J1489">
            <v>6036000</v>
          </cell>
        </row>
        <row r="1490">
          <cell r="E1490" t="str">
            <v/>
          </cell>
          <cell r="J1490">
            <v>6036000</v>
          </cell>
        </row>
        <row r="1491">
          <cell r="E1491" t="str">
            <v/>
          </cell>
          <cell r="J1491">
            <v>6036000</v>
          </cell>
        </row>
        <row r="1492">
          <cell r="E1492" t="str">
            <v/>
          </cell>
          <cell r="J1492">
            <v>6036000</v>
          </cell>
        </row>
        <row r="1493">
          <cell r="E1493" t="str">
            <v/>
          </cell>
          <cell r="J1493">
            <v>6036000</v>
          </cell>
        </row>
        <row r="1494">
          <cell r="E1494" t="str">
            <v/>
          </cell>
          <cell r="J1494">
            <v>6036000</v>
          </cell>
        </row>
        <row r="1495">
          <cell r="E1495" t="str">
            <v/>
          </cell>
          <cell r="J1495">
            <v>6036000</v>
          </cell>
        </row>
        <row r="1496">
          <cell r="E1496" t="str">
            <v/>
          </cell>
          <cell r="J1496">
            <v>6036000</v>
          </cell>
        </row>
        <row r="1497">
          <cell r="E1497" t="str">
            <v/>
          </cell>
          <cell r="J1497">
            <v>6036000</v>
          </cell>
        </row>
        <row r="1498">
          <cell r="E1498" t="str">
            <v/>
          </cell>
          <cell r="J1498">
            <v>6036000</v>
          </cell>
        </row>
        <row r="1499">
          <cell r="E1499" t="str">
            <v/>
          </cell>
          <cell r="J1499">
            <v>6036000</v>
          </cell>
        </row>
        <row r="1500">
          <cell r="E1500" t="str">
            <v/>
          </cell>
          <cell r="J1500">
            <v>6036000</v>
          </cell>
        </row>
        <row r="1501">
          <cell r="E1501" t="str">
            <v/>
          </cell>
          <cell r="J1501">
            <v>6036000</v>
          </cell>
        </row>
        <row r="1502">
          <cell r="E1502" t="str">
            <v/>
          </cell>
          <cell r="J1502">
            <v>6036000</v>
          </cell>
        </row>
        <row r="1503">
          <cell r="E1503" t="str">
            <v/>
          </cell>
          <cell r="J1503">
            <v>6036000</v>
          </cell>
        </row>
        <row r="1504">
          <cell r="E1504" t="str">
            <v/>
          </cell>
          <cell r="J1504">
            <v>6036000</v>
          </cell>
        </row>
        <row r="1505">
          <cell r="E1505" t="str">
            <v/>
          </cell>
          <cell r="J1505">
            <v>6036000</v>
          </cell>
        </row>
        <row r="1506">
          <cell r="E1506" t="str">
            <v/>
          </cell>
          <cell r="J1506">
            <v>6036000</v>
          </cell>
        </row>
        <row r="1507">
          <cell r="E1507" t="str">
            <v/>
          </cell>
          <cell r="J1507">
            <v>6036000</v>
          </cell>
        </row>
        <row r="1508">
          <cell r="E1508" t="str">
            <v/>
          </cell>
          <cell r="J1508">
            <v>6036000</v>
          </cell>
        </row>
        <row r="1509">
          <cell r="E1509" t="str">
            <v/>
          </cell>
          <cell r="J1509">
            <v>6036000</v>
          </cell>
        </row>
        <row r="1510">
          <cell r="E1510" t="str">
            <v/>
          </cell>
          <cell r="J1510">
            <v>6036000</v>
          </cell>
        </row>
        <row r="1511">
          <cell r="E1511" t="str">
            <v/>
          </cell>
          <cell r="J1511">
            <v>6036000</v>
          </cell>
        </row>
        <row r="1512">
          <cell r="E1512" t="str">
            <v/>
          </cell>
          <cell r="J1512">
            <v>6036000</v>
          </cell>
        </row>
        <row r="1513">
          <cell r="E1513" t="str">
            <v/>
          </cell>
          <cell r="J1513">
            <v>6036000</v>
          </cell>
        </row>
        <row r="1514">
          <cell r="E1514" t="str">
            <v/>
          </cell>
          <cell r="J1514">
            <v>6036000</v>
          </cell>
        </row>
        <row r="1515">
          <cell r="E1515" t="str">
            <v/>
          </cell>
          <cell r="J1515">
            <v>6036000</v>
          </cell>
        </row>
        <row r="1516">
          <cell r="E1516" t="str">
            <v/>
          </cell>
          <cell r="J1516">
            <v>6036000</v>
          </cell>
        </row>
        <row r="1517">
          <cell r="E1517" t="str">
            <v/>
          </cell>
          <cell r="J1517">
            <v>6036000</v>
          </cell>
        </row>
        <row r="1518">
          <cell r="E1518" t="str">
            <v/>
          </cell>
          <cell r="J1518">
            <v>6036000</v>
          </cell>
        </row>
        <row r="1519">
          <cell r="E1519" t="str">
            <v/>
          </cell>
          <cell r="J1519">
            <v>6036000</v>
          </cell>
        </row>
        <row r="1520">
          <cell r="E1520" t="str">
            <v/>
          </cell>
          <cell r="J1520">
            <v>6036000</v>
          </cell>
        </row>
        <row r="1521">
          <cell r="E1521" t="str">
            <v/>
          </cell>
          <cell r="J1521">
            <v>6036000</v>
          </cell>
        </row>
        <row r="1522">
          <cell r="E1522" t="str">
            <v/>
          </cell>
          <cell r="J1522">
            <v>6036000</v>
          </cell>
        </row>
        <row r="1523">
          <cell r="E1523" t="str">
            <v/>
          </cell>
          <cell r="J1523">
            <v>6036000</v>
          </cell>
        </row>
        <row r="1524">
          <cell r="E1524" t="str">
            <v/>
          </cell>
          <cell r="J1524">
            <v>6036000</v>
          </cell>
        </row>
        <row r="1525">
          <cell r="E1525" t="str">
            <v/>
          </cell>
          <cell r="J1525">
            <v>6036000</v>
          </cell>
        </row>
        <row r="1526">
          <cell r="E1526" t="str">
            <v/>
          </cell>
          <cell r="J1526">
            <v>6036000</v>
          </cell>
        </row>
        <row r="1527">
          <cell r="E1527" t="str">
            <v/>
          </cell>
          <cell r="J1527">
            <v>6036000</v>
          </cell>
        </row>
        <row r="1528">
          <cell r="E1528" t="str">
            <v/>
          </cell>
          <cell r="J1528">
            <v>6036000</v>
          </cell>
        </row>
        <row r="1529">
          <cell r="E1529" t="str">
            <v/>
          </cell>
          <cell r="J1529">
            <v>6036000</v>
          </cell>
        </row>
        <row r="1530">
          <cell r="E1530" t="str">
            <v/>
          </cell>
          <cell r="J1530">
            <v>6036000</v>
          </cell>
        </row>
        <row r="1531">
          <cell r="E1531" t="str">
            <v/>
          </cell>
          <cell r="J1531">
            <v>6036000</v>
          </cell>
        </row>
        <row r="1532">
          <cell r="E1532" t="str">
            <v/>
          </cell>
          <cell r="J1532">
            <v>6036000</v>
          </cell>
        </row>
        <row r="1533">
          <cell r="E1533" t="str">
            <v/>
          </cell>
          <cell r="J1533">
            <v>6036000</v>
          </cell>
        </row>
        <row r="1534">
          <cell r="E1534" t="str">
            <v/>
          </cell>
          <cell r="J1534">
            <v>6036000</v>
          </cell>
        </row>
        <row r="1535">
          <cell r="E1535" t="str">
            <v/>
          </cell>
          <cell r="J1535">
            <v>6036000</v>
          </cell>
        </row>
        <row r="1536">
          <cell r="E1536" t="str">
            <v/>
          </cell>
          <cell r="J1536">
            <v>6036000</v>
          </cell>
        </row>
        <row r="1537">
          <cell r="E1537" t="str">
            <v/>
          </cell>
          <cell r="J1537">
            <v>6036000</v>
          </cell>
        </row>
        <row r="1538">
          <cell r="E1538" t="str">
            <v/>
          </cell>
          <cell r="J1538">
            <v>6036000</v>
          </cell>
        </row>
        <row r="1539">
          <cell r="E1539" t="str">
            <v/>
          </cell>
          <cell r="J1539">
            <v>6036000</v>
          </cell>
        </row>
        <row r="1540">
          <cell r="E1540" t="str">
            <v/>
          </cell>
          <cell r="J1540">
            <v>6036000</v>
          </cell>
        </row>
        <row r="1541">
          <cell r="E1541" t="str">
            <v/>
          </cell>
          <cell r="J1541">
            <v>6036000</v>
          </cell>
        </row>
        <row r="1542">
          <cell r="E1542" t="str">
            <v/>
          </cell>
          <cell r="J1542">
            <v>6036000</v>
          </cell>
        </row>
        <row r="1543">
          <cell r="E1543" t="str">
            <v/>
          </cell>
          <cell r="J1543">
            <v>6036000</v>
          </cell>
        </row>
        <row r="1544">
          <cell r="E1544" t="str">
            <v/>
          </cell>
          <cell r="J1544">
            <v>6036000</v>
          </cell>
        </row>
        <row r="1545">
          <cell r="E1545" t="str">
            <v/>
          </cell>
          <cell r="J1545">
            <v>6036000</v>
          </cell>
        </row>
        <row r="1546">
          <cell r="E1546" t="str">
            <v/>
          </cell>
          <cell r="J1546">
            <v>6036000</v>
          </cell>
        </row>
        <row r="1547">
          <cell r="E1547" t="str">
            <v/>
          </cell>
          <cell r="J1547">
            <v>6036000</v>
          </cell>
        </row>
        <row r="1548">
          <cell r="E1548" t="str">
            <v/>
          </cell>
          <cell r="J1548">
            <v>6036000</v>
          </cell>
        </row>
        <row r="1549">
          <cell r="E1549" t="str">
            <v/>
          </cell>
          <cell r="J1549">
            <v>6036000</v>
          </cell>
        </row>
        <row r="1550">
          <cell r="E1550" t="str">
            <v/>
          </cell>
          <cell r="J1550">
            <v>6036000</v>
          </cell>
        </row>
        <row r="1551">
          <cell r="E1551" t="str">
            <v/>
          </cell>
          <cell r="J1551">
            <v>6036000</v>
          </cell>
        </row>
        <row r="1552">
          <cell r="E1552" t="str">
            <v/>
          </cell>
          <cell r="J1552">
            <v>6036000</v>
          </cell>
        </row>
        <row r="1553">
          <cell r="E1553" t="str">
            <v/>
          </cell>
          <cell r="J1553">
            <v>6036000</v>
          </cell>
        </row>
        <row r="1554">
          <cell r="E1554" t="str">
            <v/>
          </cell>
          <cell r="J1554">
            <v>6036000</v>
          </cell>
        </row>
        <row r="1555">
          <cell r="E1555" t="str">
            <v/>
          </cell>
          <cell r="J1555">
            <v>6036000</v>
          </cell>
        </row>
        <row r="1556">
          <cell r="E1556" t="str">
            <v/>
          </cell>
          <cell r="J1556">
            <v>6036000</v>
          </cell>
        </row>
        <row r="1557">
          <cell r="E1557" t="str">
            <v/>
          </cell>
          <cell r="J1557">
            <v>6036000</v>
          </cell>
        </row>
        <row r="1558">
          <cell r="E1558" t="str">
            <v/>
          </cell>
          <cell r="J1558">
            <v>6036000</v>
          </cell>
        </row>
        <row r="1559">
          <cell r="E1559" t="str">
            <v/>
          </cell>
          <cell r="J1559">
            <v>6036000</v>
          </cell>
        </row>
        <row r="1560">
          <cell r="E1560" t="str">
            <v/>
          </cell>
          <cell r="J1560">
            <v>6036000</v>
          </cell>
        </row>
        <row r="1561">
          <cell r="E1561" t="str">
            <v/>
          </cell>
          <cell r="J1561">
            <v>6036000</v>
          </cell>
        </row>
        <row r="1562">
          <cell r="E1562" t="str">
            <v/>
          </cell>
          <cell r="J1562">
            <v>6036000</v>
          </cell>
        </row>
        <row r="1563">
          <cell r="E1563" t="str">
            <v/>
          </cell>
          <cell r="J1563">
            <v>6036000</v>
          </cell>
        </row>
        <row r="1564">
          <cell r="E1564" t="str">
            <v/>
          </cell>
          <cell r="J1564">
            <v>6036000</v>
          </cell>
        </row>
        <row r="1565">
          <cell r="E1565" t="str">
            <v/>
          </cell>
          <cell r="J1565">
            <v>6036000</v>
          </cell>
        </row>
        <row r="1566">
          <cell r="E1566" t="str">
            <v/>
          </cell>
          <cell r="J1566">
            <v>6036000</v>
          </cell>
        </row>
        <row r="1567">
          <cell r="E1567" t="str">
            <v/>
          </cell>
          <cell r="J1567">
            <v>6036000</v>
          </cell>
        </row>
        <row r="1568">
          <cell r="E1568" t="str">
            <v/>
          </cell>
          <cell r="J1568">
            <v>6036000</v>
          </cell>
        </row>
        <row r="1569">
          <cell r="E1569" t="str">
            <v/>
          </cell>
          <cell r="J1569">
            <v>6036000</v>
          </cell>
        </row>
        <row r="1570">
          <cell r="E1570" t="str">
            <v/>
          </cell>
          <cell r="J1570">
            <v>6036000</v>
          </cell>
        </row>
        <row r="1571">
          <cell r="E1571" t="str">
            <v/>
          </cell>
          <cell r="J1571">
            <v>6036000</v>
          </cell>
        </row>
        <row r="1572">
          <cell r="E1572" t="str">
            <v/>
          </cell>
          <cell r="J1572">
            <v>6036000</v>
          </cell>
        </row>
        <row r="1573">
          <cell r="E1573" t="str">
            <v/>
          </cell>
          <cell r="J1573">
            <v>6036000</v>
          </cell>
        </row>
        <row r="1574">
          <cell r="E1574" t="str">
            <v/>
          </cell>
          <cell r="J1574">
            <v>6036000</v>
          </cell>
        </row>
        <row r="1575">
          <cell r="E1575" t="str">
            <v/>
          </cell>
          <cell r="J1575">
            <v>6036000</v>
          </cell>
        </row>
        <row r="1576">
          <cell r="E1576" t="str">
            <v/>
          </cell>
          <cell r="J1576">
            <v>6036000</v>
          </cell>
        </row>
        <row r="1577">
          <cell r="E1577" t="str">
            <v/>
          </cell>
          <cell r="J1577">
            <v>6036000</v>
          </cell>
        </row>
        <row r="1578">
          <cell r="E1578" t="str">
            <v/>
          </cell>
          <cell r="J1578">
            <v>6036000</v>
          </cell>
        </row>
        <row r="1579">
          <cell r="E1579" t="str">
            <v/>
          </cell>
          <cell r="J1579">
            <v>6036000</v>
          </cell>
        </row>
        <row r="1580">
          <cell r="E1580" t="str">
            <v/>
          </cell>
          <cell r="J1580">
            <v>6036000</v>
          </cell>
        </row>
        <row r="1581">
          <cell r="E1581" t="str">
            <v/>
          </cell>
          <cell r="J1581">
            <v>6036000</v>
          </cell>
        </row>
        <row r="1582">
          <cell r="E1582" t="str">
            <v/>
          </cell>
          <cell r="J1582">
            <v>6036000</v>
          </cell>
        </row>
        <row r="1583">
          <cell r="E1583" t="str">
            <v/>
          </cell>
          <cell r="J1583">
            <v>6036000</v>
          </cell>
        </row>
        <row r="1584">
          <cell r="E1584" t="str">
            <v/>
          </cell>
          <cell r="J1584">
            <v>6036000</v>
          </cell>
        </row>
        <row r="1585">
          <cell r="E1585" t="str">
            <v/>
          </cell>
          <cell r="J1585">
            <v>6036000</v>
          </cell>
        </row>
        <row r="1586">
          <cell r="E1586" t="str">
            <v/>
          </cell>
          <cell r="J1586">
            <v>6036000</v>
          </cell>
        </row>
        <row r="1587">
          <cell r="E1587" t="str">
            <v/>
          </cell>
          <cell r="J1587">
            <v>6036000</v>
          </cell>
        </row>
        <row r="1588">
          <cell r="E1588" t="str">
            <v/>
          </cell>
          <cell r="J1588">
            <v>6036000</v>
          </cell>
        </row>
        <row r="1589">
          <cell r="E1589" t="str">
            <v/>
          </cell>
          <cell r="J1589">
            <v>6036000</v>
          </cell>
        </row>
        <row r="1590">
          <cell r="E1590" t="str">
            <v/>
          </cell>
          <cell r="J1590">
            <v>6036000</v>
          </cell>
        </row>
        <row r="1591">
          <cell r="E1591" t="str">
            <v/>
          </cell>
          <cell r="J1591">
            <v>6036000</v>
          </cell>
        </row>
        <row r="1592">
          <cell r="E1592" t="str">
            <v/>
          </cell>
          <cell r="J1592">
            <v>6036000</v>
          </cell>
        </row>
        <row r="1593">
          <cell r="E1593" t="str">
            <v/>
          </cell>
          <cell r="J1593">
            <v>6036000</v>
          </cell>
        </row>
        <row r="1594">
          <cell r="E1594" t="str">
            <v/>
          </cell>
          <cell r="J1594">
            <v>6036000</v>
          </cell>
        </row>
        <row r="1595">
          <cell r="E1595" t="str">
            <v/>
          </cell>
          <cell r="J1595">
            <v>6036000</v>
          </cell>
        </row>
        <row r="1596">
          <cell r="E1596" t="str">
            <v/>
          </cell>
          <cell r="J1596">
            <v>6036000</v>
          </cell>
        </row>
        <row r="1597">
          <cell r="E1597" t="str">
            <v/>
          </cell>
          <cell r="J1597">
            <v>6036000</v>
          </cell>
        </row>
        <row r="1598">
          <cell r="E1598" t="str">
            <v/>
          </cell>
          <cell r="J1598">
            <v>6036000</v>
          </cell>
        </row>
        <row r="1599">
          <cell r="E1599" t="str">
            <v/>
          </cell>
          <cell r="J1599">
            <v>6036000</v>
          </cell>
        </row>
        <row r="1600">
          <cell r="E1600" t="str">
            <v/>
          </cell>
          <cell r="J1600">
            <v>6036000</v>
          </cell>
        </row>
        <row r="1601">
          <cell r="E1601" t="str">
            <v/>
          </cell>
          <cell r="J1601">
            <v>6036000</v>
          </cell>
        </row>
        <row r="1602">
          <cell r="E1602" t="str">
            <v/>
          </cell>
          <cell r="J1602">
            <v>6036000</v>
          </cell>
        </row>
        <row r="1603">
          <cell r="E1603" t="str">
            <v/>
          </cell>
          <cell r="J1603">
            <v>6036000</v>
          </cell>
        </row>
        <row r="1604">
          <cell r="E1604" t="str">
            <v/>
          </cell>
          <cell r="J1604">
            <v>6036000</v>
          </cell>
        </row>
        <row r="1605">
          <cell r="E1605" t="str">
            <v/>
          </cell>
          <cell r="J1605">
            <v>6036000</v>
          </cell>
        </row>
        <row r="1606">
          <cell r="E1606" t="str">
            <v/>
          </cell>
          <cell r="J1606">
            <v>6036000</v>
          </cell>
        </row>
        <row r="1607">
          <cell r="E1607" t="str">
            <v/>
          </cell>
          <cell r="J1607">
            <v>6036000</v>
          </cell>
        </row>
        <row r="1608">
          <cell r="E1608" t="str">
            <v/>
          </cell>
          <cell r="J1608">
            <v>6036000</v>
          </cell>
        </row>
        <row r="1609">
          <cell r="E1609" t="str">
            <v/>
          </cell>
          <cell r="J1609">
            <v>6036000</v>
          </cell>
        </row>
        <row r="1610">
          <cell r="E1610" t="str">
            <v/>
          </cell>
          <cell r="J1610">
            <v>6036000</v>
          </cell>
        </row>
        <row r="1611">
          <cell r="E1611" t="str">
            <v/>
          </cell>
          <cell r="J1611">
            <v>6036000</v>
          </cell>
        </row>
        <row r="1612">
          <cell r="E1612" t="str">
            <v/>
          </cell>
          <cell r="J1612">
            <v>6036000</v>
          </cell>
        </row>
        <row r="1613">
          <cell r="E1613" t="str">
            <v/>
          </cell>
          <cell r="J1613">
            <v>6036000</v>
          </cell>
        </row>
        <row r="1614">
          <cell r="E1614" t="str">
            <v/>
          </cell>
          <cell r="J1614">
            <v>6036000</v>
          </cell>
        </row>
        <row r="1615">
          <cell r="E1615" t="str">
            <v/>
          </cell>
          <cell r="J1615">
            <v>6036000</v>
          </cell>
        </row>
        <row r="1616">
          <cell r="E1616" t="str">
            <v/>
          </cell>
          <cell r="J1616">
            <v>6036000</v>
          </cell>
        </row>
        <row r="1617">
          <cell r="E1617" t="str">
            <v/>
          </cell>
          <cell r="J1617">
            <v>6036000</v>
          </cell>
        </row>
        <row r="1618">
          <cell r="E1618" t="str">
            <v/>
          </cell>
          <cell r="J1618">
            <v>6036000</v>
          </cell>
        </row>
        <row r="1619">
          <cell r="E1619" t="str">
            <v/>
          </cell>
          <cell r="J1619">
            <v>6036000</v>
          </cell>
        </row>
        <row r="1620">
          <cell r="E1620" t="str">
            <v/>
          </cell>
          <cell r="J1620">
            <v>6036000</v>
          </cell>
        </row>
        <row r="1621">
          <cell r="E1621" t="str">
            <v/>
          </cell>
          <cell r="J1621">
            <v>6036000</v>
          </cell>
        </row>
        <row r="1622">
          <cell r="E1622" t="str">
            <v/>
          </cell>
          <cell r="J1622">
            <v>6036000</v>
          </cell>
        </row>
        <row r="1623">
          <cell r="E1623" t="str">
            <v/>
          </cell>
          <cell r="J1623">
            <v>6036000</v>
          </cell>
        </row>
        <row r="1624">
          <cell r="E1624" t="str">
            <v/>
          </cell>
          <cell r="J1624">
            <v>6036000</v>
          </cell>
        </row>
        <row r="1625">
          <cell r="E1625" t="str">
            <v/>
          </cell>
          <cell r="J1625">
            <v>6036000</v>
          </cell>
        </row>
        <row r="1626">
          <cell r="E1626" t="str">
            <v/>
          </cell>
          <cell r="J1626">
            <v>6036000</v>
          </cell>
        </row>
        <row r="1627">
          <cell r="E1627" t="str">
            <v/>
          </cell>
          <cell r="J1627">
            <v>6036000</v>
          </cell>
        </row>
        <row r="1628">
          <cell r="E1628" t="str">
            <v/>
          </cell>
          <cell r="J1628">
            <v>6036000</v>
          </cell>
        </row>
        <row r="1629">
          <cell r="E1629" t="str">
            <v/>
          </cell>
          <cell r="J1629">
            <v>6036000</v>
          </cell>
        </row>
        <row r="1630">
          <cell r="E1630" t="str">
            <v/>
          </cell>
          <cell r="J1630">
            <v>6036000</v>
          </cell>
        </row>
        <row r="1631">
          <cell r="E1631" t="str">
            <v/>
          </cell>
          <cell r="J1631">
            <v>6036000</v>
          </cell>
        </row>
        <row r="1632">
          <cell r="E1632" t="str">
            <v/>
          </cell>
          <cell r="J1632">
            <v>6036000</v>
          </cell>
        </row>
        <row r="1633">
          <cell r="E1633" t="str">
            <v/>
          </cell>
          <cell r="J1633">
            <v>6036000</v>
          </cell>
        </row>
        <row r="1634">
          <cell r="E1634" t="str">
            <v/>
          </cell>
          <cell r="J1634">
            <v>6036000</v>
          </cell>
        </row>
        <row r="1635">
          <cell r="E1635" t="str">
            <v/>
          </cell>
          <cell r="J1635">
            <v>6036000</v>
          </cell>
        </row>
        <row r="1636">
          <cell r="E1636" t="str">
            <v/>
          </cell>
          <cell r="J1636">
            <v>6036000</v>
          </cell>
        </row>
        <row r="1637">
          <cell r="E1637" t="str">
            <v/>
          </cell>
          <cell r="J1637">
            <v>6036000</v>
          </cell>
        </row>
        <row r="1638">
          <cell r="E1638" t="str">
            <v/>
          </cell>
          <cell r="J1638">
            <v>6036000</v>
          </cell>
        </row>
        <row r="1639">
          <cell r="E1639" t="str">
            <v/>
          </cell>
          <cell r="J1639">
            <v>6036000</v>
          </cell>
        </row>
        <row r="1640">
          <cell r="E1640" t="str">
            <v/>
          </cell>
          <cell r="J1640">
            <v>6036000</v>
          </cell>
        </row>
        <row r="1641">
          <cell r="E1641" t="str">
            <v/>
          </cell>
          <cell r="J1641">
            <v>6036000</v>
          </cell>
        </row>
        <row r="1642">
          <cell r="E1642" t="str">
            <v/>
          </cell>
          <cell r="J1642">
            <v>6036000</v>
          </cell>
        </row>
        <row r="1643">
          <cell r="E1643" t="str">
            <v/>
          </cell>
          <cell r="J1643">
            <v>6036000</v>
          </cell>
        </row>
        <row r="1644">
          <cell r="E1644" t="str">
            <v/>
          </cell>
          <cell r="J1644">
            <v>6036000</v>
          </cell>
        </row>
        <row r="1645">
          <cell r="E1645" t="str">
            <v/>
          </cell>
          <cell r="J1645">
            <v>6036000</v>
          </cell>
        </row>
        <row r="1646">
          <cell r="E1646" t="str">
            <v/>
          </cell>
          <cell r="J1646">
            <v>6036000</v>
          </cell>
        </row>
        <row r="1647">
          <cell r="E1647" t="str">
            <v/>
          </cell>
          <cell r="J1647">
            <v>6036000</v>
          </cell>
        </row>
        <row r="1648">
          <cell r="E1648" t="str">
            <v/>
          </cell>
          <cell r="J1648">
            <v>6036000</v>
          </cell>
        </row>
        <row r="1649">
          <cell r="E1649" t="str">
            <v/>
          </cell>
          <cell r="J1649">
            <v>6036000</v>
          </cell>
        </row>
        <row r="1650">
          <cell r="E1650" t="str">
            <v/>
          </cell>
          <cell r="J1650">
            <v>6036000</v>
          </cell>
        </row>
        <row r="1651">
          <cell r="E1651" t="str">
            <v/>
          </cell>
          <cell r="J1651">
            <v>6036000</v>
          </cell>
        </row>
        <row r="1652">
          <cell r="E1652" t="str">
            <v/>
          </cell>
          <cell r="J1652">
            <v>6036000</v>
          </cell>
        </row>
        <row r="1653">
          <cell r="E1653" t="str">
            <v/>
          </cell>
          <cell r="J1653">
            <v>6036000</v>
          </cell>
        </row>
        <row r="1654">
          <cell r="E1654" t="str">
            <v/>
          </cell>
          <cell r="J1654">
            <v>6036000</v>
          </cell>
        </row>
        <row r="1655">
          <cell r="E1655" t="str">
            <v/>
          </cell>
          <cell r="J1655">
            <v>6036000</v>
          </cell>
        </row>
        <row r="1656">
          <cell r="E1656" t="str">
            <v/>
          </cell>
          <cell r="J1656">
            <v>6036000</v>
          </cell>
        </row>
        <row r="1657">
          <cell r="E1657" t="str">
            <v/>
          </cell>
          <cell r="J1657">
            <v>6036000</v>
          </cell>
        </row>
        <row r="1658">
          <cell r="E1658" t="str">
            <v/>
          </cell>
          <cell r="J1658">
            <v>6036000</v>
          </cell>
        </row>
        <row r="1659">
          <cell r="E1659" t="str">
            <v/>
          </cell>
          <cell r="J1659">
            <v>6036000</v>
          </cell>
        </row>
        <row r="1660">
          <cell r="E1660" t="str">
            <v/>
          </cell>
          <cell r="J1660">
            <v>6036000</v>
          </cell>
        </row>
        <row r="1661">
          <cell r="E1661" t="str">
            <v/>
          </cell>
          <cell r="J1661">
            <v>6036000</v>
          </cell>
        </row>
        <row r="1662">
          <cell r="E1662" t="str">
            <v/>
          </cell>
          <cell r="J1662">
            <v>6036000</v>
          </cell>
        </row>
        <row r="1663">
          <cell r="E1663" t="str">
            <v/>
          </cell>
          <cell r="J1663">
            <v>6036000</v>
          </cell>
        </row>
        <row r="1664">
          <cell r="E1664" t="str">
            <v/>
          </cell>
          <cell r="J1664">
            <v>6036000</v>
          </cell>
        </row>
        <row r="1665">
          <cell r="E1665" t="str">
            <v/>
          </cell>
          <cell r="J1665">
            <v>6036000</v>
          </cell>
        </row>
        <row r="1666">
          <cell r="E1666" t="str">
            <v/>
          </cell>
          <cell r="J1666">
            <v>6036000</v>
          </cell>
        </row>
        <row r="1667">
          <cell r="E1667" t="str">
            <v/>
          </cell>
          <cell r="J1667">
            <v>6036000</v>
          </cell>
        </row>
        <row r="1668">
          <cell r="E1668" t="str">
            <v/>
          </cell>
          <cell r="J1668">
            <v>6036000</v>
          </cell>
        </row>
        <row r="1669">
          <cell r="E1669" t="str">
            <v/>
          </cell>
          <cell r="J1669">
            <v>6036000</v>
          </cell>
        </row>
        <row r="1670">
          <cell r="E1670" t="str">
            <v/>
          </cell>
          <cell r="J1670">
            <v>6036000</v>
          </cell>
        </row>
        <row r="1671">
          <cell r="E1671" t="str">
            <v/>
          </cell>
          <cell r="J1671">
            <v>6036000</v>
          </cell>
        </row>
        <row r="1672">
          <cell r="E1672" t="str">
            <v/>
          </cell>
          <cell r="J1672">
            <v>6036000</v>
          </cell>
        </row>
        <row r="1673">
          <cell r="E1673" t="str">
            <v/>
          </cell>
          <cell r="J1673">
            <v>6036000</v>
          </cell>
        </row>
        <row r="1674">
          <cell r="E1674" t="str">
            <v/>
          </cell>
          <cell r="J1674">
            <v>6036000</v>
          </cell>
        </row>
        <row r="1675">
          <cell r="E1675" t="str">
            <v/>
          </cell>
          <cell r="J1675">
            <v>6036000</v>
          </cell>
        </row>
        <row r="1676">
          <cell r="E1676" t="str">
            <v/>
          </cell>
          <cell r="J1676">
            <v>6036000</v>
          </cell>
        </row>
        <row r="1677">
          <cell r="E1677" t="str">
            <v/>
          </cell>
          <cell r="J1677">
            <v>6036000</v>
          </cell>
        </row>
        <row r="1678">
          <cell r="E1678" t="str">
            <v/>
          </cell>
          <cell r="J1678">
            <v>6036000</v>
          </cell>
        </row>
        <row r="1679">
          <cell r="E1679" t="str">
            <v/>
          </cell>
          <cell r="J1679">
            <v>6036000</v>
          </cell>
        </row>
        <row r="1680">
          <cell r="E1680" t="str">
            <v/>
          </cell>
          <cell r="J1680">
            <v>6036000</v>
          </cell>
        </row>
        <row r="1681">
          <cell r="E1681" t="str">
            <v/>
          </cell>
          <cell r="J1681">
            <v>6036000</v>
          </cell>
        </row>
        <row r="1682">
          <cell r="E1682" t="str">
            <v/>
          </cell>
          <cell r="J1682">
            <v>6036000</v>
          </cell>
        </row>
        <row r="1683">
          <cell r="E1683" t="str">
            <v/>
          </cell>
          <cell r="J1683">
            <v>6036000</v>
          </cell>
        </row>
        <row r="1684">
          <cell r="E1684" t="str">
            <v/>
          </cell>
          <cell r="J1684">
            <v>6036000</v>
          </cell>
        </row>
        <row r="1685">
          <cell r="E1685" t="str">
            <v/>
          </cell>
          <cell r="J1685">
            <v>6036000</v>
          </cell>
        </row>
        <row r="1686">
          <cell r="E1686" t="str">
            <v/>
          </cell>
          <cell r="J1686">
            <v>6036000</v>
          </cell>
        </row>
        <row r="1687">
          <cell r="E1687" t="str">
            <v/>
          </cell>
          <cell r="J1687">
            <v>6036000</v>
          </cell>
        </row>
        <row r="1688">
          <cell r="E1688" t="str">
            <v/>
          </cell>
          <cell r="J1688">
            <v>6036000</v>
          </cell>
        </row>
        <row r="1689">
          <cell r="E1689" t="str">
            <v/>
          </cell>
          <cell r="J1689">
            <v>6036000</v>
          </cell>
        </row>
        <row r="1690">
          <cell r="E1690" t="str">
            <v/>
          </cell>
          <cell r="J1690">
            <v>6036000</v>
          </cell>
        </row>
        <row r="1691">
          <cell r="E1691" t="str">
            <v/>
          </cell>
          <cell r="J1691">
            <v>6036000</v>
          </cell>
        </row>
        <row r="1692">
          <cell r="E1692" t="str">
            <v/>
          </cell>
          <cell r="J1692">
            <v>6036000</v>
          </cell>
        </row>
        <row r="1693">
          <cell r="E1693" t="str">
            <v/>
          </cell>
          <cell r="J1693">
            <v>6036000</v>
          </cell>
        </row>
        <row r="1694">
          <cell r="E1694" t="str">
            <v/>
          </cell>
          <cell r="J1694">
            <v>6036000</v>
          </cell>
        </row>
        <row r="1695">
          <cell r="E1695" t="str">
            <v/>
          </cell>
          <cell r="J1695">
            <v>6036000</v>
          </cell>
        </row>
        <row r="1696">
          <cell r="E1696" t="str">
            <v/>
          </cell>
          <cell r="J1696">
            <v>6036000</v>
          </cell>
        </row>
        <row r="1697">
          <cell r="E1697" t="str">
            <v/>
          </cell>
          <cell r="J1697">
            <v>6036000</v>
          </cell>
        </row>
        <row r="1698">
          <cell r="E1698" t="str">
            <v/>
          </cell>
          <cell r="J1698">
            <v>6036000</v>
          </cell>
        </row>
        <row r="1699">
          <cell r="E1699" t="str">
            <v/>
          </cell>
          <cell r="J1699">
            <v>6036000</v>
          </cell>
        </row>
        <row r="1700">
          <cell r="E1700" t="str">
            <v/>
          </cell>
          <cell r="J1700">
            <v>6036000</v>
          </cell>
        </row>
        <row r="1701">
          <cell r="E1701" t="str">
            <v/>
          </cell>
          <cell r="J1701">
            <v>6036000</v>
          </cell>
        </row>
        <row r="1702">
          <cell r="E1702" t="str">
            <v/>
          </cell>
          <cell r="J1702">
            <v>6036000</v>
          </cell>
        </row>
        <row r="1703">
          <cell r="E1703" t="str">
            <v/>
          </cell>
          <cell r="J1703">
            <v>6036000</v>
          </cell>
        </row>
        <row r="1704">
          <cell r="E1704" t="str">
            <v/>
          </cell>
          <cell r="J1704">
            <v>6036000</v>
          </cell>
        </row>
        <row r="1705">
          <cell r="E1705" t="str">
            <v/>
          </cell>
          <cell r="J1705">
            <v>6036000</v>
          </cell>
        </row>
        <row r="1706">
          <cell r="E1706" t="str">
            <v/>
          </cell>
          <cell r="J1706">
            <v>6036000</v>
          </cell>
        </row>
        <row r="1707">
          <cell r="E1707" t="str">
            <v/>
          </cell>
          <cell r="J1707">
            <v>6036000</v>
          </cell>
        </row>
        <row r="1708">
          <cell r="E1708" t="str">
            <v/>
          </cell>
          <cell r="J1708">
            <v>6036000</v>
          </cell>
        </row>
        <row r="1709">
          <cell r="E1709" t="str">
            <v/>
          </cell>
          <cell r="J1709">
            <v>6036000</v>
          </cell>
        </row>
        <row r="1710">
          <cell r="E1710" t="str">
            <v/>
          </cell>
          <cell r="J1710">
            <v>6036000</v>
          </cell>
        </row>
        <row r="1711">
          <cell r="E1711" t="str">
            <v/>
          </cell>
          <cell r="J1711">
            <v>6036000</v>
          </cell>
        </row>
        <row r="1712">
          <cell r="E1712" t="str">
            <v/>
          </cell>
          <cell r="J1712">
            <v>6036000</v>
          </cell>
        </row>
        <row r="1713">
          <cell r="E1713" t="str">
            <v/>
          </cell>
          <cell r="J1713">
            <v>6036000</v>
          </cell>
        </row>
        <row r="1714">
          <cell r="E1714" t="str">
            <v/>
          </cell>
          <cell r="J1714">
            <v>6036000</v>
          </cell>
        </row>
        <row r="1715">
          <cell r="E1715" t="str">
            <v/>
          </cell>
          <cell r="J1715">
            <v>6036000</v>
          </cell>
        </row>
        <row r="1716">
          <cell r="E1716" t="str">
            <v/>
          </cell>
          <cell r="J1716">
            <v>6036000</v>
          </cell>
        </row>
        <row r="1717">
          <cell r="E1717" t="str">
            <v/>
          </cell>
          <cell r="J1717">
            <v>6036000</v>
          </cell>
        </row>
        <row r="1718">
          <cell r="E1718" t="str">
            <v/>
          </cell>
          <cell r="J1718">
            <v>6036000</v>
          </cell>
        </row>
        <row r="1719">
          <cell r="E1719" t="str">
            <v/>
          </cell>
          <cell r="J1719">
            <v>6036000</v>
          </cell>
        </row>
        <row r="1720">
          <cell r="E1720" t="str">
            <v/>
          </cell>
          <cell r="J1720">
            <v>6036000</v>
          </cell>
        </row>
        <row r="1721">
          <cell r="E1721" t="str">
            <v/>
          </cell>
          <cell r="J1721">
            <v>6036000</v>
          </cell>
        </row>
        <row r="1722">
          <cell r="E1722" t="str">
            <v/>
          </cell>
          <cell r="J1722">
            <v>6036000</v>
          </cell>
        </row>
        <row r="1723">
          <cell r="E1723" t="str">
            <v/>
          </cell>
          <cell r="J1723">
            <v>6036000</v>
          </cell>
        </row>
        <row r="1724">
          <cell r="E1724" t="str">
            <v/>
          </cell>
          <cell r="J1724">
            <v>6036000</v>
          </cell>
        </row>
        <row r="1725">
          <cell r="E1725" t="str">
            <v/>
          </cell>
          <cell r="J1725">
            <v>6036000</v>
          </cell>
        </row>
        <row r="1726">
          <cell r="E1726" t="str">
            <v/>
          </cell>
          <cell r="J1726">
            <v>6036000</v>
          </cell>
        </row>
        <row r="1727">
          <cell r="E1727" t="str">
            <v/>
          </cell>
          <cell r="J1727">
            <v>6036000</v>
          </cell>
        </row>
        <row r="1728">
          <cell r="E1728" t="str">
            <v/>
          </cell>
          <cell r="J1728">
            <v>6036000</v>
          </cell>
        </row>
        <row r="1729">
          <cell r="E1729" t="str">
            <v/>
          </cell>
          <cell r="J1729">
            <v>6036000</v>
          </cell>
        </row>
        <row r="1730">
          <cell r="E1730" t="str">
            <v/>
          </cell>
          <cell r="J1730">
            <v>6036000</v>
          </cell>
        </row>
        <row r="1731">
          <cell r="E1731" t="str">
            <v/>
          </cell>
          <cell r="J1731">
            <v>6036000</v>
          </cell>
        </row>
        <row r="1732">
          <cell r="E1732" t="str">
            <v/>
          </cell>
          <cell r="J1732">
            <v>6036000</v>
          </cell>
        </row>
        <row r="1733">
          <cell r="E1733" t="str">
            <v/>
          </cell>
          <cell r="J1733">
            <v>6036000</v>
          </cell>
        </row>
        <row r="1734">
          <cell r="E1734" t="str">
            <v/>
          </cell>
          <cell r="J1734">
            <v>6036000</v>
          </cell>
        </row>
        <row r="1735">
          <cell r="E1735" t="str">
            <v/>
          </cell>
          <cell r="J1735">
            <v>6036000</v>
          </cell>
        </row>
        <row r="1736">
          <cell r="E1736" t="str">
            <v/>
          </cell>
          <cell r="J1736">
            <v>6036000</v>
          </cell>
        </row>
        <row r="1737">
          <cell r="E1737" t="str">
            <v/>
          </cell>
          <cell r="J1737">
            <v>6036000</v>
          </cell>
        </row>
        <row r="1738">
          <cell r="E1738" t="str">
            <v/>
          </cell>
          <cell r="J1738">
            <v>6036000</v>
          </cell>
        </row>
        <row r="1739">
          <cell r="E1739" t="str">
            <v/>
          </cell>
          <cell r="J1739">
            <v>6036000</v>
          </cell>
        </row>
        <row r="1740">
          <cell r="E1740" t="str">
            <v/>
          </cell>
          <cell r="J1740">
            <v>6036000</v>
          </cell>
        </row>
        <row r="1741">
          <cell r="E1741" t="str">
            <v/>
          </cell>
          <cell r="J1741">
            <v>6036000</v>
          </cell>
        </row>
        <row r="1742">
          <cell r="E1742" t="str">
            <v/>
          </cell>
          <cell r="J1742">
            <v>6036000</v>
          </cell>
        </row>
        <row r="1743">
          <cell r="E1743" t="str">
            <v/>
          </cell>
          <cell r="J1743">
            <v>6036000</v>
          </cell>
        </row>
        <row r="1744">
          <cell r="E1744" t="str">
            <v/>
          </cell>
          <cell r="J1744">
            <v>6036000</v>
          </cell>
        </row>
        <row r="1745">
          <cell r="E1745" t="str">
            <v/>
          </cell>
          <cell r="J1745">
            <v>6036000</v>
          </cell>
        </row>
        <row r="1746">
          <cell r="E1746" t="str">
            <v/>
          </cell>
          <cell r="J1746">
            <v>6036000</v>
          </cell>
        </row>
        <row r="1747">
          <cell r="E1747" t="str">
            <v/>
          </cell>
          <cell r="J1747">
            <v>6036000</v>
          </cell>
        </row>
        <row r="1748">
          <cell r="E1748" t="str">
            <v/>
          </cell>
          <cell r="J1748">
            <v>6036000</v>
          </cell>
        </row>
        <row r="1749">
          <cell r="E1749" t="str">
            <v/>
          </cell>
          <cell r="J1749">
            <v>6036000</v>
          </cell>
        </row>
        <row r="1750">
          <cell r="E1750" t="str">
            <v/>
          </cell>
          <cell r="J1750">
            <v>6036000</v>
          </cell>
        </row>
        <row r="1751">
          <cell r="E1751" t="str">
            <v/>
          </cell>
          <cell r="J1751">
            <v>6036000</v>
          </cell>
        </row>
        <row r="1752">
          <cell r="E1752" t="str">
            <v/>
          </cell>
          <cell r="J1752">
            <v>6036000</v>
          </cell>
        </row>
        <row r="1753">
          <cell r="E1753" t="str">
            <v/>
          </cell>
          <cell r="J1753">
            <v>6036000</v>
          </cell>
        </row>
        <row r="1754">
          <cell r="E1754" t="str">
            <v/>
          </cell>
          <cell r="J1754">
            <v>6036000</v>
          </cell>
        </row>
        <row r="1755">
          <cell r="E1755" t="str">
            <v/>
          </cell>
          <cell r="J1755">
            <v>6036000</v>
          </cell>
        </row>
        <row r="1756">
          <cell r="E1756" t="str">
            <v/>
          </cell>
          <cell r="J1756">
            <v>6036000</v>
          </cell>
        </row>
        <row r="1757">
          <cell r="E1757" t="str">
            <v/>
          </cell>
          <cell r="J1757">
            <v>6036000</v>
          </cell>
        </row>
        <row r="1758">
          <cell r="E1758" t="str">
            <v/>
          </cell>
          <cell r="J1758">
            <v>6036000</v>
          </cell>
        </row>
        <row r="1759">
          <cell r="E1759" t="str">
            <v/>
          </cell>
          <cell r="J1759">
            <v>6036000</v>
          </cell>
        </row>
        <row r="1760">
          <cell r="E1760" t="str">
            <v/>
          </cell>
          <cell r="J1760">
            <v>6036000</v>
          </cell>
        </row>
        <row r="1761">
          <cell r="E1761" t="str">
            <v/>
          </cell>
          <cell r="J1761">
            <v>6036000</v>
          </cell>
        </row>
        <row r="1762">
          <cell r="E1762" t="str">
            <v/>
          </cell>
          <cell r="J1762">
            <v>6036000</v>
          </cell>
        </row>
        <row r="1763">
          <cell r="E1763" t="str">
            <v/>
          </cell>
          <cell r="J1763">
            <v>6036000</v>
          </cell>
        </row>
        <row r="1764">
          <cell r="E1764" t="str">
            <v/>
          </cell>
          <cell r="J1764">
            <v>6036000</v>
          </cell>
        </row>
        <row r="1765">
          <cell r="E1765" t="str">
            <v/>
          </cell>
          <cell r="J1765">
            <v>6036000</v>
          </cell>
        </row>
        <row r="1766">
          <cell r="E1766" t="str">
            <v/>
          </cell>
          <cell r="J1766">
            <v>6036000</v>
          </cell>
        </row>
        <row r="1767">
          <cell r="E1767" t="str">
            <v/>
          </cell>
          <cell r="J1767">
            <v>6036000</v>
          </cell>
        </row>
        <row r="1768">
          <cell r="E1768" t="str">
            <v/>
          </cell>
          <cell r="J1768">
            <v>6036000</v>
          </cell>
        </row>
        <row r="1769">
          <cell r="E1769" t="str">
            <v/>
          </cell>
          <cell r="J1769">
            <v>6036000</v>
          </cell>
        </row>
        <row r="1770">
          <cell r="E1770" t="str">
            <v/>
          </cell>
          <cell r="J1770">
            <v>6036000</v>
          </cell>
        </row>
        <row r="1771">
          <cell r="E1771" t="str">
            <v/>
          </cell>
          <cell r="J1771">
            <v>6036000</v>
          </cell>
        </row>
        <row r="1772">
          <cell r="E1772" t="str">
            <v/>
          </cell>
          <cell r="J1772">
            <v>6036000</v>
          </cell>
        </row>
        <row r="1773">
          <cell r="E1773" t="str">
            <v/>
          </cell>
          <cell r="J1773">
            <v>6036000</v>
          </cell>
        </row>
        <row r="1774">
          <cell r="E1774" t="str">
            <v/>
          </cell>
          <cell r="J1774">
            <v>6036000</v>
          </cell>
        </row>
        <row r="1775">
          <cell r="E1775" t="str">
            <v/>
          </cell>
          <cell r="J1775">
            <v>6036000</v>
          </cell>
        </row>
        <row r="1776">
          <cell r="E1776" t="str">
            <v/>
          </cell>
          <cell r="J1776">
            <v>6036000</v>
          </cell>
        </row>
        <row r="1777">
          <cell r="E1777" t="str">
            <v/>
          </cell>
          <cell r="J1777">
            <v>6036000</v>
          </cell>
        </row>
        <row r="1778">
          <cell r="E1778" t="str">
            <v/>
          </cell>
          <cell r="J1778">
            <v>6036000</v>
          </cell>
        </row>
        <row r="1779">
          <cell r="E1779" t="str">
            <v/>
          </cell>
          <cell r="J1779">
            <v>6036000</v>
          </cell>
        </row>
        <row r="1780">
          <cell r="E1780" t="str">
            <v/>
          </cell>
          <cell r="J1780">
            <v>6036000</v>
          </cell>
        </row>
        <row r="1781">
          <cell r="E1781" t="str">
            <v/>
          </cell>
          <cell r="J1781">
            <v>6036000</v>
          </cell>
        </row>
        <row r="1782">
          <cell r="E1782" t="str">
            <v/>
          </cell>
          <cell r="J1782">
            <v>6036000</v>
          </cell>
        </row>
        <row r="1783">
          <cell r="E1783" t="str">
            <v/>
          </cell>
          <cell r="J1783">
            <v>6036000</v>
          </cell>
        </row>
        <row r="1784">
          <cell r="E1784" t="str">
            <v/>
          </cell>
          <cell r="J1784">
            <v>6036000</v>
          </cell>
        </row>
        <row r="1785">
          <cell r="E1785" t="str">
            <v/>
          </cell>
          <cell r="J1785">
            <v>6036000</v>
          </cell>
        </row>
        <row r="1786">
          <cell r="E1786" t="str">
            <v/>
          </cell>
          <cell r="J1786">
            <v>6036000</v>
          </cell>
        </row>
        <row r="1787">
          <cell r="E1787" t="str">
            <v/>
          </cell>
          <cell r="J1787">
            <v>6036000</v>
          </cell>
        </row>
        <row r="1788">
          <cell r="E1788" t="str">
            <v/>
          </cell>
          <cell r="J1788">
            <v>6036000</v>
          </cell>
        </row>
        <row r="1789">
          <cell r="E1789" t="str">
            <v/>
          </cell>
          <cell r="J1789">
            <v>6036000</v>
          </cell>
        </row>
        <row r="1790">
          <cell r="E1790" t="str">
            <v/>
          </cell>
          <cell r="J1790">
            <v>6036000</v>
          </cell>
        </row>
        <row r="1791">
          <cell r="E1791" t="str">
            <v/>
          </cell>
          <cell r="J1791">
            <v>6036000</v>
          </cell>
        </row>
        <row r="1792">
          <cell r="E1792" t="str">
            <v/>
          </cell>
          <cell r="J1792">
            <v>6036000</v>
          </cell>
        </row>
        <row r="1793">
          <cell r="E1793" t="str">
            <v/>
          </cell>
          <cell r="J1793">
            <v>6036000</v>
          </cell>
        </row>
        <row r="1794">
          <cell r="E1794" t="str">
            <v/>
          </cell>
          <cell r="J1794">
            <v>6036000</v>
          </cell>
        </row>
        <row r="1795">
          <cell r="E1795" t="str">
            <v/>
          </cell>
          <cell r="J1795">
            <v>6036000</v>
          </cell>
        </row>
        <row r="1796">
          <cell r="E1796" t="str">
            <v/>
          </cell>
          <cell r="J1796">
            <v>6036000</v>
          </cell>
        </row>
        <row r="1797">
          <cell r="E1797" t="str">
            <v/>
          </cell>
          <cell r="J1797">
            <v>6036000</v>
          </cell>
        </row>
        <row r="1798">
          <cell r="E1798" t="str">
            <v/>
          </cell>
          <cell r="J1798">
            <v>6036000</v>
          </cell>
        </row>
        <row r="1799">
          <cell r="E1799" t="str">
            <v/>
          </cell>
          <cell r="J1799">
            <v>6036000</v>
          </cell>
        </row>
        <row r="1800">
          <cell r="E1800" t="str">
            <v/>
          </cell>
          <cell r="J1800">
            <v>6036000</v>
          </cell>
        </row>
        <row r="1801">
          <cell r="E1801" t="str">
            <v/>
          </cell>
          <cell r="J1801">
            <v>6036000</v>
          </cell>
        </row>
        <row r="1802">
          <cell r="E1802" t="str">
            <v/>
          </cell>
          <cell r="J1802">
            <v>6036000</v>
          </cell>
        </row>
        <row r="1803">
          <cell r="E1803" t="str">
            <v/>
          </cell>
          <cell r="J1803">
            <v>6036000</v>
          </cell>
        </row>
        <row r="1804">
          <cell r="E1804" t="str">
            <v/>
          </cell>
          <cell r="J1804">
            <v>6036000</v>
          </cell>
        </row>
        <row r="1805">
          <cell r="E1805" t="str">
            <v/>
          </cell>
          <cell r="J1805">
            <v>6036000</v>
          </cell>
        </row>
        <row r="1806">
          <cell r="E1806" t="str">
            <v/>
          </cell>
          <cell r="J1806">
            <v>6036000</v>
          </cell>
        </row>
        <row r="1807">
          <cell r="E1807" t="str">
            <v/>
          </cell>
          <cell r="J1807">
            <v>6036000</v>
          </cell>
        </row>
        <row r="1808">
          <cell r="E1808" t="str">
            <v/>
          </cell>
          <cell r="J1808">
            <v>6036000</v>
          </cell>
        </row>
        <row r="1809">
          <cell r="E1809" t="str">
            <v/>
          </cell>
          <cell r="J1809">
            <v>6036000</v>
          </cell>
        </row>
        <row r="1810">
          <cell r="E1810" t="str">
            <v/>
          </cell>
          <cell r="J1810">
            <v>6036000</v>
          </cell>
        </row>
        <row r="1811">
          <cell r="E1811" t="str">
            <v/>
          </cell>
          <cell r="J1811">
            <v>6036000</v>
          </cell>
        </row>
        <row r="1812">
          <cell r="E1812" t="str">
            <v/>
          </cell>
          <cell r="J1812">
            <v>6036000</v>
          </cell>
        </row>
        <row r="1813">
          <cell r="E1813" t="str">
            <v/>
          </cell>
          <cell r="J1813">
            <v>6036000</v>
          </cell>
        </row>
        <row r="1814">
          <cell r="E1814" t="str">
            <v/>
          </cell>
          <cell r="J1814">
            <v>6036000</v>
          </cell>
        </row>
        <row r="1815">
          <cell r="E1815" t="str">
            <v/>
          </cell>
          <cell r="J1815">
            <v>6036000</v>
          </cell>
        </row>
        <row r="1816">
          <cell r="E1816" t="str">
            <v/>
          </cell>
          <cell r="J1816">
            <v>6036000</v>
          </cell>
        </row>
        <row r="1817">
          <cell r="E1817" t="str">
            <v/>
          </cell>
          <cell r="J1817">
            <v>6036000</v>
          </cell>
        </row>
        <row r="1818">
          <cell r="E1818" t="str">
            <v/>
          </cell>
          <cell r="J1818">
            <v>6036000</v>
          </cell>
        </row>
        <row r="1819">
          <cell r="E1819" t="str">
            <v/>
          </cell>
          <cell r="J1819">
            <v>6036000</v>
          </cell>
        </row>
        <row r="1820">
          <cell r="E1820" t="str">
            <v/>
          </cell>
          <cell r="J1820">
            <v>6036000</v>
          </cell>
        </row>
        <row r="1821">
          <cell r="E1821" t="str">
            <v/>
          </cell>
          <cell r="J1821">
            <v>6036000</v>
          </cell>
        </row>
        <row r="1822">
          <cell r="E1822" t="str">
            <v/>
          </cell>
          <cell r="J1822">
            <v>6036000</v>
          </cell>
        </row>
        <row r="1823">
          <cell r="E1823" t="str">
            <v/>
          </cell>
          <cell r="J1823">
            <v>6036000</v>
          </cell>
        </row>
        <row r="1824">
          <cell r="E1824" t="str">
            <v/>
          </cell>
          <cell r="J1824">
            <v>6036000</v>
          </cell>
        </row>
        <row r="1825">
          <cell r="E1825" t="str">
            <v/>
          </cell>
          <cell r="J1825">
            <v>6036000</v>
          </cell>
        </row>
        <row r="1826">
          <cell r="E1826" t="str">
            <v/>
          </cell>
          <cell r="J1826">
            <v>6036000</v>
          </cell>
        </row>
        <row r="1827">
          <cell r="E1827" t="str">
            <v/>
          </cell>
          <cell r="J1827">
            <v>6036000</v>
          </cell>
        </row>
        <row r="1828">
          <cell r="E1828" t="str">
            <v/>
          </cell>
          <cell r="J1828">
            <v>6036000</v>
          </cell>
        </row>
        <row r="1829">
          <cell r="E1829" t="str">
            <v/>
          </cell>
          <cell r="J1829">
            <v>6036000</v>
          </cell>
        </row>
        <row r="1830">
          <cell r="E1830" t="str">
            <v/>
          </cell>
          <cell r="J1830">
            <v>6036000</v>
          </cell>
        </row>
        <row r="1831">
          <cell r="E1831" t="str">
            <v/>
          </cell>
          <cell r="J1831">
            <v>6036000</v>
          </cell>
        </row>
        <row r="1832">
          <cell r="E1832" t="str">
            <v/>
          </cell>
          <cell r="J1832">
            <v>6036000</v>
          </cell>
        </row>
        <row r="1833">
          <cell r="E1833" t="str">
            <v/>
          </cell>
          <cell r="J1833">
            <v>6036000</v>
          </cell>
        </row>
        <row r="1834">
          <cell r="E1834" t="str">
            <v/>
          </cell>
          <cell r="J1834">
            <v>6036000</v>
          </cell>
        </row>
        <row r="1835">
          <cell r="E1835" t="str">
            <v/>
          </cell>
          <cell r="J1835">
            <v>6036000</v>
          </cell>
        </row>
        <row r="1836">
          <cell r="E1836" t="str">
            <v/>
          </cell>
          <cell r="J1836">
            <v>6036000</v>
          </cell>
        </row>
        <row r="1837">
          <cell r="E1837" t="str">
            <v/>
          </cell>
          <cell r="J1837">
            <v>6036000</v>
          </cell>
        </row>
        <row r="1838">
          <cell r="E1838" t="str">
            <v/>
          </cell>
          <cell r="J1838">
            <v>6036000</v>
          </cell>
        </row>
        <row r="1839">
          <cell r="E1839" t="str">
            <v/>
          </cell>
          <cell r="J1839">
            <v>6036000</v>
          </cell>
        </row>
        <row r="1840">
          <cell r="E1840" t="str">
            <v/>
          </cell>
          <cell r="J1840">
            <v>6036000</v>
          </cell>
        </row>
        <row r="1841">
          <cell r="E1841" t="str">
            <v/>
          </cell>
          <cell r="J1841">
            <v>6036000</v>
          </cell>
        </row>
        <row r="1842">
          <cell r="E1842" t="str">
            <v/>
          </cell>
          <cell r="J1842">
            <v>6036000</v>
          </cell>
        </row>
        <row r="1843">
          <cell r="E1843" t="str">
            <v/>
          </cell>
          <cell r="J1843">
            <v>6036000</v>
          </cell>
        </row>
        <row r="1844">
          <cell r="E1844" t="str">
            <v/>
          </cell>
          <cell r="J1844">
            <v>6036000</v>
          </cell>
        </row>
        <row r="1845">
          <cell r="E1845" t="str">
            <v/>
          </cell>
          <cell r="J1845">
            <v>6036000</v>
          </cell>
        </row>
        <row r="1846">
          <cell r="E1846" t="str">
            <v/>
          </cell>
          <cell r="J1846">
            <v>6036000</v>
          </cell>
        </row>
        <row r="1847">
          <cell r="E1847" t="str">
            <v/>
          </cell>
          <cell r="J1847">
            <v>6036000</v>
          </cell>
        </row>
        <row r="1848">
          <cell r="E1848" t="str">
            <v/>
          </cell>
          <cell r="J1848">
            <v>6036000</v>
          </cell>
        </row>
        <row r="1849">
          <cell r="E1849" t="str">
            <v/>
          </cell>
          <cell r="J1849">
            <v>6036000</v>
          </cell>
        </row>
        <row r="1850">
          <cell r="E1850" t="str">
            <v/>
          </cell>
          <cell r="J1850">
            <v>6036000</v>
          </cell>
        </row>
        <row r="1851">
          <cell r="E1851" t="str">
            <v/>
          </cell>
          <cell r="J1851">
            <v>6036000</v>
          </cell>
        </row>
        <row r="1852">
          <cell r="E1852" t="str">
            <v/>
          </cell>
          <cell r="J1852">
            <v>6036000</v>
          </cell>
        </row>
        <row r="1853">
          <cell r="E1853" t="str">
            <v/>
          </cell>
          <cell r="J1853">
            <v>6036000</v>
          </cell>
        </row>
        <row r="1854">
          <cell r="E1854" t="str">
            <v/>
          </cell>
          <cell r="J1854">
            <v>6036000</v>
          </cell>
        </row>
        <row r="1855">
          <cell r="E1855" t="str">
            <v/>
          </cell>
          <cell r="J1855">
            <v>6036000</v>
          </cell>
        </row>
        <row r="1856">
          <cell r="E1856" t="str">
            <v/>
          </cell>
          <cell r="J1856">
            <v>6036000</v>
          </cell>
        </row>
        <row r="1857">
          <cell r="E1857" t="str">
            <v/>
          </cell>
          <cell r="J1857">
            <v>6036000</v>
          </cell>
        </row>
        <row r="1858">
          <cell r="E1858" t="str">
            <v/>
          </cell>
          <cell r="J1858">
            <v>6036000</v>
          </cell>
        </row>
        <row r="1859">
          <cell r="E1859" t="str">
            <v/>
          </cell>
          <cell r="J1859">
            <v>6036000</v>
          </cell>
        </row>
        <row r="1860">
          <cell r="E1860" t="str">
            <v/>
          </cell>
          <cell r="J1860">
            <v>6036000</v>
          </cell>
        </row>
        <row r="1861">
          <cell r="E1861" t="str">
            <v/>
          </cell>
          <cell r="J1861">
            <v>6036000</v>
          </cell>
        </row>
        <row r="1862">
          <cell r="E1862" t="str">
            <v/>
          </cell>
          <cell r="J1862">
            <v>6036000</v>
          </cell>
        </row>
        <row r="1863">
          <cell r="E1863" t="str">
            <v/>
          </cell>
          <cell r="J1863">
            <v>6036000</v>
          </cell>
        </row>
        <row r="1864">
          <cell r="E1864" t="str">
            <v/>
          </cell>
          <cell r="J1864">
            <v>6036000</v>
          </cell>
        </row>
        <row r="1865">
          <cell r="E1865" t="str">
            <v/>
          </cell>
          <cell r="J1865">
            <v>6036000</v>
          </cell>
        </row>
        <row r="1866">
          <cell r="E1866" t="str">
            <v/>
          </cell>
          <cell r="J1866">
            <v>6036000</v>
          </cell>
        </row>
        <row r="1867">
          <cell r="E1867" t="str">
            <v/>
          </cell>
          <cell r="J1867">
            <v>6036000</v>
          </cell>
        </row>
        <row r="1868">
          <cell r="E1868" t="str">
            <v/>
          </cell>
          <cell r="J1868">
            <v>6036000</v>
          </cell>
        </row>
        <row r="1869">
          <cell r="E1869" t="str">
            <v/>
          </cell>
          <cell r="J1869">
            <v>6036000</v>
          </cell>
        </row>
        <row r="1870">
          <cell r="E1870" t="str">
            <v/>
          </cell>
          <cell r="J1870">
            <v>6036000</v>
          </cell>
        </row>
        <row r="1871">
          <cell r="E1871" t="str">
            <v/>
          </cell>
          <cell r="J1871">
            <v>6036000</v>
          </cell>
        </row>
        <row r="1872">
          <cell r="E1872" t="str">
            <v/>
          </cell>
          <cell r="J1872">
            <v>6036000</v>
          </cell>
        </row>
        <row r="1873">
          <cell r="E1873" t="str">
            <v/>
          </cell>
          <cell r="J1873">
            <v>6036000</v>
          </cell>
        </row>
        <row r="1874">
          <cell r="E1874" t="str">
            <v/>
          </cell>
          <cell r="J1874">
            <v>6036000</v>
          </cell>
        </row>
        <row r="1875">
          <cell r="E1875" t="str">
            <v/>
          </cell>
          <cell r="J1875">
            <v>6036000</v>
          </cell>
        </row>
        <row r="1876">
          <cell r="E1876" t="str">
            <v/>
          </cell>
          <cell r="J1876">
            <v>6036000</v>
          </cell>
        </row>
        <row r="1877">
          <cell r="E1877" t="str">
            <v/>
          </cell>
          <cell r="J1877">
            <v>6036000</v>
          </cell>
        </row>
        <row r="1878">
          <cell r="E1878" t="str">
            <v/>
          </cell>
          <cell r="J1878">
            <v>6036000</v>
          </cell>
        </row>
        <row r="1879">
          <cell r="E1879" t="str">
            <v/>
          </cell>
          <cell r="J1879">
            <v>6036000</v>
          </cell>
        </row>
        <row r="1880">
          <cell r="E1880" t="str">
            <v/>
          </cell>
          <cell r="J1880">
            <v>6036000</v>
          </cell>
        </row>
        <row r="1881">
          <cell r="E1881" t="str">
            <v/>
          </cell>
          <cell r="J1881">
            <v>6036000</v>
          </cell>
        </row>
        <row r="1882">
          <cell r="E1882" t="str">
            <v/>
          </cell>
          <cell r="J1882">
            <v>6036000</v>
          </cell>
        </row>
        <row r="1883">
          <cell r="E1883" t="str">
            <v/>
          </cell>
          <cell r="J1883">
            <v>6036000</v>
          </cell>
        </row>
        <row r="1884">
          <cell r="E1884" t="str">
            <v/>
          </cell>
          <cell r="J1884">
            <v>6036000</v>
          </cell>
        </row>
        <row r="1885">
          <cell r="E1885" t="str">
            <v/>
          </cell>
          <cell r="J1885">
            <v>6036000</v>
          </cell>
        </row>
        <row r="1886">
          <cell r="E1886" t="str">
            <v/>
          </cell>
          <cell r="J1886">
            <v>6036000</v>
          </cell>
        </row>
        <row r="1887">
          <cell r="E1887" t="str">
            <v/>
          </cell>
          <cell r="J1887">
            <v>6036000</v>
          </cell>
        </row>
        <row r="1888">
          <cell r="E1888" t="str">
            <v/>
          </cell>
          <cell r="J1888">
            <v>6036000</v>
          </cell>
        </row>
        <row r="1889">
          <cell r="E1889" t="str">
            <v/>
          </cell>
          <cell r="J1889">
            <v>6036000</v>
          </cell>
        </row>
        <row r="1890">
          <cell r="E1890" t="str">
            <v/>
          </cell>
          <cell r="J1890">
            <v>6036000</v>
          </cell>
        </row>
        <row r="1891">
          <cell r="E1891" t="str">
            <v/>
          </cell>
          <cell r="J1891">
            <v>6036000</v>
          </cell>
        </row>
        <row r="1892">
          <cell r="E1892" t="str">
            <v/>
          </cell>
          <cell r="J1892">
            <v>6036000</v>
          </cell>
        </row>
        <row r="1893">
          <cell r="E1893" t="str">
            <v/>
          </cell>
          <cell r="J1893">
            <v>6036000</v>
          </cell>
        </row>
        <row r="1894">
          <cell r="E1894" t="str">
            <v/>
          </cell>
          <cell r="J1894">
            <v>6036000</v>
          </cell>
        </row>
        <row r="1895">
          <cell r="E1895" t="str">
            <v/>
          </cell>
          <cell r="J1895">
            <v>6036000</v>
          </cell>
        </row>
        <row r="1896">
          <cell r="E1896" t="str">
            <v/>
          </cell>
          <cell r="J1896">
            <v>6036000</v>
          </cell>
        </row>
        <row r="1897">
          <cell r="E1897" t="str">
            <v/>
          </cell>
          <cell r="J1897">
            <v>6036000</v>
          </cell>
        </row>
        <row r="1898">
          <cell r="E1898" t="str">
            <v/>
          </cell>
          <cell r="J1898">
            <v>6036000</v>
          </cell>
        </row>
        <row r="1899">
          <cell r="E1899" t="str">
            <v/>
          </cell>
          <cell r="J1899">
            <v>6036000</v>
          </cell>
        </row>
        <row r="1900">
          <cell r="E1900" t="str">
            <v/>
          </cell>
          <cell r="J1900">
            <v>6036000</v>
          </cell>
        </row>
        <row r="1901">
          <cell r="E1901" t="str">
            <v/>
          </cell>
          <cell r="J1901">
            <v>6036000</v>
          </cell>
        </row>
        <row r="1902">
          <cell r="E1902" t="str">
            <v/>
          </cell>
          <cell r="J1902">
            <v>6036000</v>
          </cell>
        </row>
        <row r="1903">
          <cell r="E1903" t="str">
            <v/>
          </cell>
          <cell r="J1903">
            <v>6036000</v>
          </cell>
        </row>
        <row r="1904">
          <cell r="E1904" t="str">
            <v/>
          </cell>
          <cell r="J1904">
            <v>6036000</v>
          </cell>
        </row>
        <row r="1905">
          <cell r="E1905" t="str">
            <v/>
          </cell>
          <cell r="J1905">
            <v>6036000</v>
          </cell>
        </row>
        <row r="1906">
          <cell r="E1906" t="str">
            <v/>
          </cell>
          <cell r="J1906">
            <v>6036000</v>
          </cell>
        </row>
        <row r="1907">
          <cell r="E1907" t="str">
            <v/>
          </cell>
          <cell r="J1907">
            <v>6036000</v>
          </cell>
        </row>
        <row r="1908">
          <cell r="E1908" t="str">
            <v/>
          </cell>
          <cell r="J1908">
            <v>6036000</v>
          </cell>
        </row>
        <row r="1909">
          <cell r="E1909" t="str">
            <v/>
          </cell>
          <cell r="J1909">
            <v>6036000</v>
          </cell>
        </row>
        <row r="1910">
          <cell r="E1910" t="str">
            <v/>
          </cell>
          <cell r="J1910">
            <v>6036000</v>
          </cell>
        </row>
        <row r="1911">
          <cell r="E1911" t="str">
            <v/>
          </cell>
          <cell r="J1911">
            <v>6036000</v>
          </cell>
        </row>
        <row r="1912">
          <cell r="E1912" t="str">
            <v/>
          </cell>
          <cell r="J1912">
            <v>6036000</v>
          </cell>
        </row>
        <row r="1913">
          <cell r="E1913" t="str">
            <v/>
          </cell>
          <cell r="J1913">
            <v>6036000</v>
          </cell>
        </row>
        <row r="1914">
          <cell r="E1914" t="str">
            <v/>
          </cell>
          <cell r="J1914">
            <v>6036000</v>
          </cell>
        </row>
        <row r="1915">
          <cell r="E1915" t="str">
            <v/>
          </cell>
          <cell r="J1915">
            <v>6036000</v>
          </cell>
        </row>
        <row r="1916">
          <cell r="E1916" t="str">
            <v/>
          </cell>
          <cell r="J1916">
            <v>6036000</v>
          </cell>
        </row>
        <row r="1917">
          <cell r="E1917" t="str">
            <v/>
          </cell>
          <cell r="J1917">
            <v>6036000</v>
          </cell>
        </row>
        <row r="1918">
          <cell r="E1918" t="str">
            <v/>
          </cell>
          <cell r="J1918">
            <v>6036000</v>
          </cell>
        </row>
        <row r="1919">
          <cell r="E1919" t="str">
            <v/>
          </cell>
          <cell r="J1919">
            <v>6036000</v>
          </cell>
        </row>
        <row r="1920">
          <cell r="E1920" t="str">
            <v/>
          </cell>
          <cell r="J1920">
            <v>6036000</v>
          </cell>
        </row>
        <row r="1921">
          <cell r="E1921" t="str">
            <v/>
          </cell>
          <cell r="J1921">
            <v>6036000</v>
          </cell>
        </row>
        <row r="1922">
          <cell r="E1922" t="str">
            <v/>
          </cell>
          <cell r="J1922">
            <v>6036000</v>
          </cell>
        </row>
        <row r="1923">
          <cell r="E1923" t="str">
            <v/>
          </cell>
          <cell r="J1923">
            <v>6036000</v>
          </cell>
        </row>
        <row r="1924">
          <cell r="E1924" t="str">
            <v/>
          </cell>
          <cell r="J1924">
            <v>6036000</v>
          </cell>
        </row>
        <row r="1925">
          <cell r="E1925" t="str">
            <v/>
          </cell>
          <cell r="J1925">
            <v>6036000</v>
          </cell>
        </row>
        <row r="1926">
          <cell r="E1926" t="str">
            <v/>
          </cell>
          <cell r="J1926">
            <v>6036000</v>
          </cell>
        </row>
        <row r="1927">
          <cell r="E1927" t="str">
            <v/>
          </cell>
          <cell r="J1927">
            <v>6036000</v>
          </cell>
        </row>
        <row r="1928">
          <cell r="E1928" t="str">
            <v/>
          </cell>
          <cell r="J1928">
            <v>6036000</v>
          </cell>
        </row>
        <row r="1929">
          <cell r="E1929" t="str">
            <v/>
          </cell>
          <cell r="J1929">
            <v>6036000</v>
          </cell>
        </row>
        <row r="1930">
          <cell r="E1930" t="str">
            <v/>
          </cell>
          <cell r="J1930">
            <v>6036000</v>
          </cell>
        </row>
        <row r="1931">
          <cell r="E1931" t="str">
            <v/>
          </cell>
          <cell r="J1931">
            <v>6036000</v>
          </cell>
        </row>
        <row r="1932">
          <cell r="E1932" t="str">
            <v/>
          </cell>
          <cell r="J1932">
            <v>6036000</v>
          </cell>
        </row>
        <row r="1933">
          <cell r="E1933" t="str">
            <v/>
          </cell>
          <cell r="J1933">
            <v>6036000</v>
          </cell>
        </row>
        <row r="1934">
          <cell r="E1934" t="str">
            <v/>
          </cell>
          <cell r="J1934">
            <v>6036000</v>
          </cell>
        </row>
        <row r="1935">
          <cell r="E1935" t="str">
            <v/>
          </cell>
          <cell r="J1935">
            <v>6036000</v>
          </cell>
        </row>
        <row r="1936">
          <cell r="E1936" t="str">
            <v/>
          </cell>
          <cell r="J1936">
            <v>6036000</v>
          </cell>
        </row>
        <row r="1937">
          <cell r="E1937" t="str">
            <v/>
          </cell>
          <cell r="J1937">
            <v>6036000</v>
          </cell>
        </row>
        <row r="1938">
          <cell r="E1938" t="str">
            <v/>
          </cell>
          <cell r="J1938">
            <v>6036000</v>
          </cell>
        </row>
        <row r="1939">
          <cell r="E1939" t="str">
            <v/>
          </cell>
          <cell r="J1939">
            <v>6036000</v>
          </cell>
        </row>
        <row r="1940">
          <cell r="E1940" t="str">
            <v/>
          </cell>
          <cell r="J1940">
            <v>6036000</v>
          </cell>
        </row>
        <row r="1941">
          <cell r="E1941" t="str">
            <v/>
          </cell>
          <cell r="J1941">
            <v>6036000</v>
          </cell>
        </row>
        <row r="1942">
          <cell r="E1942" t="str">
            <v/>
          </cell>
          <cell r="J1942">
            <v>6036000</v>
          </cell>
        </row>
        <row r="1943">
          <cell r="E1943" t="str">
            <v/>
          </cell>
          <cell r="J1943">
            <v>6036000</v>
          </cell>
        </row>
        <row r="1944">
          <cell r="E1944" t="str">
            <v/>
          </cell>
          <cell r="J1944">
            <v>6036000</v>
          </cell>
        </row>
        <row r="1945">
          <cell r="E1945" t="str">
            <v/>
          </cell>
          <cell r="J1945">
            <v>6036000</v>
          </cell>
        </row>
        <row r="1946">
          <cell r="E1946" t="str">
            <v/>
          </cell>
          <cell r="J1946">
            <v>6036000</v>
          </cell>
        </row>
        <row r="1947">
          <cell r="E1947" t="str">
            <v/>
          </cell>
          <cell r="J1947">
            <v>6036000</v>
          </cell>
        </row>
        <row r="1948">
          <cell r="E1948" t="str">
            <v/>
          </cell>
          <cell r="J1948">
            <v>6036000</v>
          </cell>
        </row>
        <row r="1949">
          <cell r="E1949" t="str">
            <v/>
          </cell>
          <cell r="J1949">
            <v>6036000</v>
          </cell>
        </row>
        <row r="1950">
          <cell r="E1950" t="str">
            <v/>
          </cell>
          <cell r="J1950">
            <v>6036000</v>
          </cell>
        </row>
        <row r="1951">
          <cell r="E1951" t="str">
            <v/>
          </cell>
          <cell r="J1951">
            <v>6036000</v>
          </cell>
        </row>
        <row r="1952">
          <cell r="E1952" t="str">
            <v/>
          </cell>
          <cell r="J1952">
            <v>6036000</v>
          </cell>
        </row>
        <row r="1953">
          <cell r="E1953" t="str">
            <v/>
          </cell>
          <cell r="J1953">
            <v>6036000</v>
          </cell>
        </row>
        <row r="1954">
          <cell r="E1954" t="str">
            <v/>
          </cell>
          <cell r="J1954">
            <v>6036000</v>
          </cell>
        </row>
        <row r="1955">
          <cell r="E1955" t="str">
            <v/>
          </cell>
          <cell r="J1955">
            <v>6036000</v>
          </cell>
        </row>
        <row r="1956">
          <cell r="E1956" t="str">
            <v/>
          </cell>
          <cell r="J1956">
            <v>6036000</v>
          </cell>
        </row>
        <row r="1957">
          <cell r="E1957" t="str">
            <v/>
          </cell>
          <cell r="J1957">
            <v>6036000</v>
          </cell>
        </row>
        <row r="1958">
          <cell r="E1958" t="str">
            <v/>
          </cell>
          <cell r="J1958">
            <v>6036000</v>
          </cell>
        </row>
        <row r="1959">
          <cell r="E1959" t="str">
            <v/>
          </cell>
          <cell r="J1959">
            <v>6036000</v>
          </cell>
        </row>
        <row r="1960">
          <cell r="E1960" t="str">
            <v/>
          </cell>
          <cell r="J1960">
            <v>6036000</v>
          </cell>
        </row>
        <row r="1961">
          <cell r="E1961" t="str">
            <v/>
          </cell>
          <cell r="J1961">
            <v>6036000</v>
          </cell>
        </row>
        <row r="1962">
          <cell r="E1962" t="str">
            <v/>
          </cell>
          <cell r="J1962">
            <v>6036000</v>
          </cell>
        </row>
        <row r="1963">
          <cell r="E1963" t="str">
            <v/>
          </cell>
          <cell r="J1963">
            <v>6036000</v>
          </cell>
        </row>
        <row r="1964">
          <cell r="E1964" t="str">
            <v/>
          </cell>
          <cell r="J1964">
            <v>6036000</v>
          </cell>
        </row>
        <row r="1965">
          <cell r="E1965" t="str">
            <v/>
          </cell>
          <cell r="J1965">
            <v>6036000</v>
          </cell>
        </row>
        <row r="1966">
          <cell r="E1966" t="str">
            <v/>
          </cell>
          <cell r="J1966">
            <v>6036000</v>
          </cell>
        </row>
        <row r="1967">
          <cell r="E1967" t="str">
            <v/>
          </cell>
          <cell r="J1967">
            <v>6036000</v>
          </cell>
        </row>
        <row r="1968">
          <cell r="E1968" t="str">
            <v/>
          </cell>
          <cell r="J1968">
            <v>6036000</v>
          </cell>
        </row>
        <row r="1969">
          <cell r="E1969" t="str">
            <v/>
          </cell>
          <cell r="J1969">
            <v>6036000</v>
          </cell>
        </row>
        <row r="1970">
          <cell r="E1970" t="str">
            <v/>
          </cell>
          <cell r="J1970">
            <v>6036000</v>
          </cell>
        </row>
        <row r="1971">
          <cell r="E1971" t="str">
            <v/>
          </cell>
          <cell r="J1971">
            <v>6036000</v>
          </cell>
        </row>
        <row r="1972">
          <cell r="E1972" t="str">
            <v/>
          </cell>
          <cell r="J1972">
            <v>6036000</v>
          </cell>
        </row>
        <row r="1973">
          <cell r="E1973" t="str">
            <v/>
          </cell>
          <cell r="J1973">
            <v>6036000</v>
          </cell>
        </row>
        <row r="1974">
          <cell r="E1974" t="str">
            <v/>
          </cell>
          <cell r="J1974">
            <v>6036000</v>
          </cell>
        </row>
        <row r="1975">
          <cell r="E1975" t="str">
            <v/>
          </cell>
          <cell r="J1975">
            <v>6036000</v>
          </cell>
        </row>
        <row r="1976">
          <cell r="E1976" t="str">
            <v/>
          </cell>
          <cell r="J1976">
            <v>6036000</v>
          </cell>
        </row>
        <row r="1977">
          <cell r="E1977" t="str">
            <v/>
          </cell>
          <cell r="J1977">
            <v>6036000</v>
          </cell>
        </row>
        <row r="1978">
          <cell r="E1978" t="str">
            <v/>
          </cell>
          <cell r="J1978">
            <v>6036000</v>
          </cell>
        </row>
        <row r="1979">
          <cell r="E1979" t="str">
            <v/>
          </cell>
          <cell r="J1979">
            <v>6036000</v>
          </cell>
        </row>
        <row r="1980">
          <cell r="E1980" t="str">
            <v/>
          </cell>
          <cell r="J1980">
            <v>6036000</v>
          </cell>
        </row>
        <row r="1981">
          <cell r="E1981" t="str">
            <v/>
          </cell>
          <cell r="J1981">
            <v>6036000</v>
          </cell>
        </row>
        <row r="1982">
          <cell r="E1982" t="str">
            <v/>
          </cell>
          <cell r="J1982">
            <v>6036000</v>
          </cell>
        </row>
        <row r="1983">
          <cell r="E1983" t="str">
            <v/>
          </cell>
          <cell r="J1983">
            <v>6036000</v>
          </cell>
        </row>
        <row r="1984">
          <cell r="E1984" t="str">
            <v/>
          </cell>
          <cell r="J1984">
            <v>6036000</v>
          </cell>
        </row>
        <row r="1985">
          <cell r="E1985" t="str">
            <v/>
          </cell>
          <cell r="J1985">
            <v>6036000</v>
          </cell>
        </row>
        <row r="1986">
          <cell r="E1986" t="str">
            <v/>
          </cell>
          <cell r="J1986">
            <v>6036000</v>
          </cell>
        </row>
        <row r="1987">
          <cell r="E1987" t="str">
            <v/>
          </cell>
          <cell r="J1987">
            <v>6036000</v>
          </cell>
        </row>
        <row r="1988">
          <cell r="E1988" t="str">
            <v/>
          </cell>
          <cell r="J1988">
            <v>6036000</v>
          </cell>
        </row>
        <row r="1989">
          <cell r="E1989" t="str">
            <v/>
          </cell>
          <cell r="J1989">
            <v>6036000</v>
          </cell>
        </row>
        <row r="1990">
          <cell r="E1990" t="str">
            <v/>
          </cell>
          <cell r="J1990">
            <v>6036000</v>
          </cell>
        </row>
        <row r="1991">
          <cell r="E1991" t="str">
            <v/>
          </cell>
          <cell r="J1991">
            <v>6036000</v>
          </cell>
        </row>
        <row r="1992">
          <cell r="E1992" t="str">
            <v/>
          </cell>
          <cell r="J1992">
            <v>6036000</v>
          </cell>
        </row>
        <row r="1993">
          <cell r="E1993" t="str">
            <v/>
          </cell>
          <cell r="J1993">
            <v>6036000</v>
          </cell>
        </row>
        <row r="1994">
          <cell r="E1994" t="str">
            <v/>
          </cell>
          <cell r="J1994">
            <v>6036000</v>
          </cell>
        </row>
        <row r="1995">
          <cell r="E1995" t="str">
            <v/>
          </cell>
          <cell r="J1995">
            <v>6036000</v>
          </cell>
        </row>
        <row r="1996">
          <cell r="E1996" t="str">
            <v/>
          </cell>
          <cell r="J1996">
            <v>6036000</v>
          </cell>
        </row>
        <row r="1997">
          <cell r="E1997" t="str">
            <v/>
          </cell>
          <cell r="J1997">
            <v>6036000</v>
          </cell>
        </row>
        <row r="1998">
          <cell r="E1998" t="str">
            <v/>
          </cell>
          <cell r="J1998">
            <v>6036000</v>
          </cell>
        </row>
        <row r="1999">
          <cell r="E1999" t="str">
            <v/>
          </cell>
          <cell r="J1999">
            <v>6036000</v>
          </cell>
        </row>
        <row r="2000">
          <cell r="E2000" t="str">
            <v/>
          </cell>
          <cell r="J2000">
            <v>6036000</v>
          </cell>
        </row>
        <row r="2001">
          <cell r="E2001" t="str">
            <v/>
          </cell>
          <cell r="J2001">
            <v>6036000</v>
          </cell>
        </row>
        <row r="2002">
          <cell r="E2002" t="str">
            <v/>
          </cell>
          <cell r="J2002">
            <v>6036000</v>
          </cell>
        </row>
        <row r="2003">
          <cell r="E2003" t="str">
            <v/>
          </cell>
          <cell r="J2003">
            <v>6036000</v>
          </cell>
        </row>
        <row r="2004">
          <cell r="E2004" t="str">
            <v/>
          </cell>
          <cell r="J2004">
            <v>6036000</v>
          </cell>
        </row>
        <row r="2005">
          <cell r="E2005" t="str">
            <v/>
          </cell>
          <cell r="J2005">
            <v>6036000</v>
          </cell>
        </row>
        <row r="2006">
          <cell r="E2006" t="str">
            <v/>
          </cell>
          <cell r="J2006">
            <v>6036000</v>
          </cell>
        </row>
        <row r="2007">
          <cell r="E2007" t="str">
            <v/>
          </cell>
          <cell r="J2007">
            <v>6036000</v>
          </cell>
        </row>
        <row r="2008">
          <cell r="E2008" t="str">
            <v/>
          </cell>
          <cell r="J2008">
            <v>6036000</v>
          </cell>
        </row>
        <row r="2009">
          <cell r="E2009" t="str">
            <v/>
          </cell>
          <cell r="J2009">
            <v>6036000</v>
          </cell>
        </row>
        <row r="2010">
          <cell r="E2010" t="str">
            <v/>
          </cell>
          <cell r="J2010">
            <v>6036000</v>
          </cell>
        </row>
        <row r="2011">
          <cell r="E2011" t="str">
            <v/>
          </cell>
          <cell r="J2011">
            <v>6036000</v>
          </cell>
        </row>
        <row r="2012">
          <cell r="E2012" t="str">
            <v/>
          </cell>
          <cell r="J2012">
            <v>6036000</v>
          </cell>
        </row>
        <row r="2013">
          <cell r="E2013" t="str">
            <v/>
          </cell>
          <cell r="J2013">
            <v>6036000</v>
          </cell>
        </row>
        <row r="2014">
          <cell r="E2014" t="str">
            <v/>
          </cell>
          <cell r="J2014">
            <v>6036000</v>
          </cell>
        </row>
        <row r="2015">
          <cell r="E2015" t="str">
            <v/>
          </cell>
          <cell r="J2015">
            <v>6036000</v>
          </cell>
        </row>
        <row r="2016">
          <cell r="E2016" t="str">
            <v/>
          </cell>
          <cell r="J2016">
            <v>6036000</v>
          </cell>
        </row>
        <row r="2017">
          <cell r="E2017" t="str">
            <v/>
          </cell>
          <cell r="J2017">
            <v>6036000</v>
          </cell>
        </row>
        <row r="2018">
          <cell r="E2018" t="str">
            <v/>
          </cell>
          <cell r="J2018">
            <v>6036000</v>
          </cell>
        </row>
        <row r="2019">
          <cell r="E2019" t="str">
            <v/>
          </cell>
          <cell r="J2019">
            <v>6036000</v>
          </cell>
        </row>
        <row r="2020">
          <cell r="E2020" t="str">
            <v/>
          </cell>
          <cell r="J2020">
            <v>6036000</v>
          </cell>
        </row>
        <row r="2021">
          <cell r="E2021" t="str">
            <v/>
          </cell>
          <cell r="J2021">
            <v>6036000</v>
          </cell>
        </row>
        <row r="2022">
          <cell r="E2022" t="str">
            <v/>
          </cell>
          <cell r="J2022">
            <v>6036000</v>
          </cell>
        </row>
        <row r="2023">
          <cell r="E2023" t="str">
            <v/>
          </cell>
          <cell r="J2023">
            <v>6036000</v>
          </cell>
        </row>
        <row r="2024">
          <cell r="E2024" t="str">
            <v/>
          </cell>
          <cell r="J2024">
            <v>6036000</v>
          </cell>
        </row>
        <row r="2025">
          <cell r="E2025" t="str">
            <v/>
          </cell>
          <cell r="J2025">
            <v>6036000</v>
          </cell>
        </row>
        <row r="2026">
          <cell r="E2026" t="str">
            <v/>
          </cell>
          <cell r="J2026">
            <v>6036000</v>
          </cell>
        </row>
        <row r="2027">
          <cell r="E2027" t="str">
            <v/>
          </cell>
          <cell r="J2027">
            <v>6036000</v>
          </cell>
        </row>
        <row r="2028">
          <cell r="E2028" t="str">
            <v/>
          </cell>
          <cell r="J2028">
            <v>6036000</v>
          </cell>
        </row>
        <row r="2029">
          <cell r="E2029" t="str">
            <v/>
          </cell>
          <cell r="J2029">
            <v>6036000</v>
          </cell>
        </row>
        <row r="2030">
          <cell r="E2030" t="str">
            <v/>
          </cell>
          <cell r="J2030">
            <v>6036000</v>
          </cell>
        </row>
        <row r="2031">
          <cell r="E2031" t="str">
            <v/>
          </cell>
          <cell r="J2031">
            <v>6036000</v>
          </cell>
        </row>
        <row r="2032">
          <cell r="E2032" t="str">
            <v/>
          </cell>
          <cell r="J2032">
            <v>6036000</v>
          </cell>
        </row>
        <row r="2033">
          <cell r="E2033" t="str">
            <v/>
          </cell>
          <cell r="J2033">
            <v>6036000</v>
          </cell>
        </row>
        <row r="2034">
          <cell r="E2034" t="str">
            <v/>
          </cell>
          <cell r="J2034">
            <v>6036000</v>
          </cell>
        </row>
        <row r="2035">
          <cell r="E2035" t="str">
            <v/>
          </cell>
          <cell r="J2035">
            <v>6036000</v>
          </cell>
        </row>
        <row r="2036">
          <cell r="E2036" t="str">
            <v/>
          </cell>
          <cell r="J2036">
            <v>6036000</v>
          </cell>
        </row>
        <row r="2037">
          <cell r="E2037" t="str">
            <v/>
          </cell>
          <cell r="J2037">
            <v>6036000</v>
          </cell>
        </row>
        <row r="2038">
          <cell r="E2038" t="str">
            <v/>
          </cell>
          <cell r="J2038">
            <v>6036000</v>
          </cell>
        </row>
        <row r="2039">
          <cell r="E2039" t="str">
            <v/>
          </cell>
          <cell r="J2039">
            <v>6036000</v>
          </cell>
        </row>
        <row r="2040">
          <cell r="E2040" t="str">
            <v/>
          </cell>
          <cell r="J2040">
            <v>6036000</v>
          </cell>
        </row>
        <row r="2041">
          <cell r="E2041" t="str">
            <v/>
          </cell>
          <cell r="J2041">
            <v>6036000</v>
          </cell>
        </row>
        <row r="2042">
          <cell r="E2042" t="str">
            <v/>
          </cell>
          <cell r="J2042">
            <v>6036000</v>
          </cell>
        </row>
        <row r="2043">
          <cell r="E2043" t="str">
            <v/>
          </cell>
          <cell r="J2043">
            <v>6036000</v>
          </cell>
        </row>
        <row r="2044">
          <cell r="E2044" t="str">
            <v/>
          </cell>
          <cell r="J2044">
            <v>6036000</v>
          </cell>
        </row>
        <row r="2045">
          <cell r="E2045" t="str">
            <v/>
          </cell>
          <cell r="J2045">
            <v>6036000</v>
          </cell>
        </row>
        <row r="2046">
          <cell r="E2046" t="str">
            <v/>
          </cell>
          <cell r="J2046">
            <v>6036000</v>
          </cell>
        </row>
        <row r="2047">
          <cell r="E2047" t="str">
            <v/>
          </cell>
          <cell r="J2047">
            <v>6036000</v>
          </cell>
        </row>
        <row r="2048">
          <cell r="E2048" t="str">
            <v/>
          </cell>
          <cell r="J2048">
            <v>6036000</v>
          </cell>
        </row>
        <row r="2049">
          <cell r="E2049" t="str">
            <v/>
          </cell>
          <cell r="J2049">
            <v>6036000</v>
          </cell>
        </row>
        <row r="2050">
          <cell r="E2050" t="str">
            <v/>
          </cell>
          <cell r="J2050">
            <v>6036000</v>
          </cell>
        </row>
        <row r="2051">
          <cell r="E2051" t="str">
            <v/>
          </cell>
          <cell r="J2051">
            <v>6036000</v>
          </cell>
        </row>
        <row r="2052">
          <cell r="E2052" t="str">
            <v/>
          </cell>
          <cell r="J2052">
            <v>6036000</v>
          </cell>
        </row>
        <row r="2053">
          <cell r="E2053" t="str">
            <v/>
          </cell>
          <cell r="J2053">
            <v>6036000</v>
          </cell>
        </row>
        <row r="2054">
          <cell r="E2054" t="str">
            <v/>
          </cell>
          <cell r="J2054">
            <v>6036000</v>
          </cell>
        </row>
        <row r="2055">
          <cell r="E2055" t="str">
            <v/>
          </cell>
          <cell r="J2055">
            <v>6036000</v>
          </cell>
        </row>
        <row r="2056">
          <cell r="E2056" t="str">
            <v/>
          </cell>
          <cell r="J2056">
            <v>6036000</v>
          </cell>
        </row>
        <row r="2057">
          <cell r="E2057" t="str">
            <v/>
          </cell>
          <cell r="J2057">
            <v>6036000</v>
          </cell>
        </row>
        <row r="2058">
          <cell r="E2058" t="str">
            <v/>
          </cell>
          <cell r="J2058">
            <v>6036000</v>
          </cell>
        </row>
        <row r="2059">
          <cell r="E2059" t="str">
            <v/>
          </cell>
          <cell r="J2059">
            <v>6036000</v>
          </cell>
        </row>
        <row r="2060">
          <cell r="E2060" t="str">
            <v/>
          </cell>
          <cell r="J2060">
            <v>6036000</v>
          </cell>
        </row>
        <row r="2061">
          <cell r="E2061" t="str">
            <v/>
          </cell>
          <cell r="J2061">
            <v>6036000</v>
          </cell>
        </row>
        <row r="2062">
          <cell r="E2062" t="str">
            <v/>
          </cell>
          <cell r="J2062">
            <v>6036000</v>
          </cell>
        </row>
        <row r="2063">
          <cell r="E2063" t="str">
            <v/>
          </cell>
          <cell r="J2063">
            <v>6036000</v>
          </cell>
        </row>
        <row r="2064">
          <cell r="E2064" t="str">
            <v/>
          </cell>
          <cell r="J2064">
            <v>6036000</v>
          </cell>
        </row>
        <row r="2065">
          <cell r="E2065" t="str">
            <v/>
          </cell>
          <cell r="J2065">
            <v>6036000</v>
          </cell>
        </row>
        <row r="2066">
          <cell r="E2066" t="str">
            <v/>
          </cell>
          <cell r="J2066">
            <v>6036000</v>
          </cell>
        </row>
        <row r="2067">
          <cell r="E2067" t="str">
            <v/>
          </cell>
          <cell r="J2067">
            <v>6036000</v>
          </cell>
        </row>
        <row r="2068">
          <cell r="E2068" t="str">
            <v/>
          </cell>
          <cell r="J2068">
            <v>6036000</v>
          </cell>
        </row>
        <row r="2069">
          <cell r="E2069" t="str">
            <v/>
          </cell>
          <cell r="J2069">
            <v>6036000</v>
          </cell>
        </row>
        <row r="2070">
          <cell r="E2070" t="str">
            <v/>
          </cell>
          <cell r="J2070">
            <v>6036000</v>
          </cell>
        </row>
        <row r="2071">
          <cell r="E2071" t="str">
            <v/>
          </cell>
          <cell r="J2071">
            <v>6036000</v>
          </cell>
        </row>
        <row r="2072">
          <cell r="E2072" t="str">
            <v/>
          </cell>
          <cell r="J2072">
            <v>6036000</v>
          </cell>
        </row>
        <row r="2073">
          <cell r="E2073" t="str">
            <v/>
          </cell>
          <cell r="J2073">
            <v>6036000</v>
          </cell>
        </row>
        <row r="2074">
          <cell r="E2074" t="str">
            <v/>
          </cell>
          <cell r="J2074">
            <v>6036000</v>
          </cell>
        </row>
        <row r="2075">
          <cell r="E2075" t="str">
            <v/>
          </cell>
          <cell r="J2075">
            <v>6036000</v>
          </cell>
        </row>
        <row r="2076">
          <cell r="E2076" t="str">
            <v/>
          </cell>
          <cell r="J2076">
            <v>6036000</v>
          </cell>
        </row>
        <row r="2077">
          <cell r="E2077" t="str">
            <v/>
          </cell>
          <cell r="J2077">
            <v>6036000</v>
          </cell>
        </row>
        <row r="2078">
          <cell r="E2078" t="str">
            <v/>
          </cell>
          <cell r="J2078">
            <v>6036000</v>
          </cell>
        </row>
        <row r="2079">
          <cell r="E2079" t="str">
            <v/>
          </cell>
          <cell r="J2079">
            <v>6036000</v>
          </cell>
        </row>
        <row r="2080">
          <cell r="E2080" t="str">
            <v/>
          </cell>
          <cell r="J2080">
            <v>6036000</v>
          </cell>
        </row>
        <row r="2081">
          <cell r="E2081" t="str">
            <v/>
          </cell>
          <cell r="J2081">
            <v>6036000</v>
          </cell>
        </row>
        <row r="2082">
          <cell r="E2082" t="str">
            <v/>
          </cell>
          <cell r="J2082">
            <v>6036000</v>
          </cell>
        </row>
        <row r="2083">
          <cell r="E2083" t="str">
            <v/>
          </cell>
          <cell r="J2083">
            <v>6036000</v>
          </cell>
        </row>
        <row r="2084">
          <cell r="E2084" t="str">
            <v/>
          </cell>
          <cell r="J2084">
            <v>6036000</v>
          </cell>
        </row>
        <row r="2085">
          <cell r="E2085" t="str">
            <v/>
          </cell>
          <cell r="J2085">
            <v>6036000</v>
          </cell>
        </row>
        <row r="2086">
          <cell r="E2086" t="str">
            <v/>
          </cell>
          <cell r="J2086">
            <v>6036000</v>
          </cell>
        </row>
        <row r="2087">
          <cell r="E2087" t="str">
            <v/>
          </cell>
          <cell r="J2087">
            <v>6036000</v>
          </cell>
        </row>
        <row r="2088">
          <cell r="E2088" t="str">
            <v/>
          </cell>
          <cell r="J2088">
            <v>6036000</v>
          </cell>
        </row>
        <row r="2089">
          <cell r="E2089" t="str">
            <v/>
          </cell>
          <cell r="J2089">
            <v>6036000</v>
          </cell>
        </row>
        <row r="2090">
          <cell r="E2090" t="str">
            <v/>
          </cell>
          <cell r="J2090">
            <v>6036000</v>
          </cell>
        </row>
        <row r="2091">
          <cell r="E2091" t="str">
            <v/>
          </cell>
          <cell r="J2091">
            <v>6036000</v>
          </cell>
        </row>
        <row r="2092">
          <cell r="E2092" t="str">
            <v/>
          </cell>
          <cell r="J2092">
            <v>6036000</v>
          </cell>
        </row>
        <row r="2093">
          <cell r="E2093" t="str">
            <v/>
          </cell>
          <cell r="J2093">
            <v>6036000</v>
          </cell>
        </row>
        <row r="2094">
          <cell r="E2094" t="str">
            <v/>
          </cell>
          <cell r="J2094">
            <v>6036000</v>
          </cell>
        </row>
        <row r="2095">
          <cell r="E2095" t="str">
            <v/>
          </cell>
          <cell r="J2095">
            <v>6036000</v>
          </cell>
        </row>
        <row r="2096">
          <cell r="E2096" t="str">
            <v/>
          </cell>
          <cell r="J2096">
            <v>6036000</v>
          </cell>
        </row>
        <row r="2097">
          <cell r="E2097" t="str">
            <v/>
          </cell>
          <cell r="J2097">
            <v>6036000</v>
          </cell>
        </row>
        <row r="2098">
          <cell r="E2098" t="str">
            <v/>
          </cell>
          <cell r="J2098">
            <v>6036000</v>
          </cell>
        </row>
        <row r="2099">
          <cell r="E2099" t="str">
            <v/>
          </cell>
          <cell r="J2099">
            <v>6036000</v>
          </cell>
        </row>
        <row r="2100">
          <cell r="E2100" t="str">
            <v/>
          </cell>
          <cell r="J2100">
            <v>6036000</v>
          </cell>
        </row>
        <row r="2101">
          <cell r="E2101" t="str">
            <v/>
          </cell>
          <cell r="J2101">
            <v>6036000</v>
          </cell>
        </row>
        <row r="2102">
          <cell r="E2102" t="str">
            <v/>
          </cell>
          <cell r="J2102">
            <v>6036000</v>
          </cell>
        </row>
        <row r="2103">
          <cell r="E2103" t="str">
            <v/>
          </cell>
          <cell r="J2103">
            <v>6036000</v>
          </cell>
        </row>
        <row r="2104">
          <cell r="E2104" t="str">
            <v/>
          </cell>
          <cell r="J2104">
            <v>6036000</v>
          </cell>
        </row>
        <row r="2105">
          <cell r="E2105" t="str">
            <v/>
          </cell>
          <cell r="J2105">
            <v>6036000</v>
          </cell>
        </row>
        <row r="2106">
          <cell r="E2106" t="str">
            <v/>
          </cell>
          <cell r="J2106">
            <v>6036000</v>
          </cell>
        </row>
        <row r="2107">
          <cell r="E2107" t="str">
            <v/>
          </cell>
          <cell r="J2107">
            <v>6036000</v>
          </cell>
        </row>
        <row r="2108">
          <cell r="E2108" t="str">
            <v/>
          </cell>
          <cell r="J2108">
            <v>6036000</v>
          </cell>
        </row>
        <row r="2109">
          <cell r="E2109" t="str">
            <v/>
          </cell>
          <cell r="J2109">
            <v>6036000</v>
          </cell>
        </row>
        <row r="2110">
          <cell r="E2110" t="str">
            <v/>
          </cell>
          <cell r="J2110">
            <v>6036000</v>
          </cell>
        </row>
        <row r="2111">
          <cell r="E2111" t="str">
            <v/>
          </cell>
          <cell r="J2111">
            <v>6036000</v>
          </cell>
        </row>
        <row r="2112">
          <cell r="E2112" t="str">
            <v/>
          </cell>
          <cell r="J2112">
            <v>6036000</v>
          </cell>
        </row>
        <row r="2113">
          <cell r="E2113" t="str">
            <v/>
          </cell>
          <cell r="J2113">
            <v>6036000</v>
          </cell>
        </row>
        <row r="2114">
          <cell r="E2114" t="str">
            <v/>
          </cell>
          <cell r="J2114">
            <v>6036000</v>
          </cell>
        </row>
        <row r="2115">
          <cell r="E2115" t="str">
            <v/>
          </cell>
          <cell r="J2115">
            <v>6036000</v>
          </cell>
        </row>
        <row r="2116">
          <cell r="E2116" t="str">
            <v/>
          </cell>
          <cell r="J2116">
            <v>6036000</v>
          </cell>
        </row>
        <row r="2117">
          <cell r="E2117" t="str">
            <v/>
          </cell>
          <cell r="J2117">
            <v>6036000</v>
          </cell>
        </row>
        <row r="2118">
          <cell r="E2118" t="str">
            <v/>
          </cell>
          <cell r="J2118">
            <v>6036000</v>
          </cell>
        </row>
        <row r="2119">
          <cell r="E2119" t="str">
            <v/>
          </cell>
          <cell r="J2119">
            <v>6036000</v>
          </cell>
        </row>
        <row r="2120">
          <cell r="E2120" t="str">
            <v/>
          </cell>
          <cell r="J2120">
            <v>6036000</v>
          </cell>
        </row>
        <row r="2121">
          <cell r="E2121" t="str">
            <v/>
          </cell>
          <cell r="J2121">
            <v>6036000</v>
          </cell>
        </row>
        <row r="2122">
          <cell r="E2122" t="str">
            <v/>
          </cell>
          <cell r="J2122">
            <v>6036000</v>
          </cell>
        </row>
        <row r="2123">
          <cell r="E2123" t="str">
            <v/>
          </cell>
          <cell r="J2123">
            <v>6036000</v>
          </cell>
        </row>
        <row r="2124">
          <cell r="E2124" t="str">
            <v/>
          </cell>
          <cell r="J2124">
            <v>6036000</v>
          </cell>
        </row>
        <row r="2125">
          <cell r="E2125" t="str">
            <v/>
          </cell>
          <cell r="J2125">
            <v>6036000</v>
          </cell>
        </row>
        <row r="2126">
          <cell r="E2126" t="str">
            <v/>
          </cell>
          <cell r="J2126">
            <v>6036000</v>
          </cell>
        </row>
        <row r="2127">
          <cell r="E2127" t="str">
            <v/>
          </cell>
          <cell r="J2127">
            <v>6036000</v>
          </cell>
        </row>
        <row r="2128">
          <cell r="E2128" t="str">
            <v/>
          </cell>
          <cell r="J2128">
            <v>6036000</v>
          </cell>
        </row>
        <row r="2129">
          <cell r="E2129" t="str">
            <v/>
          </cell>
          <cell r="J2129">
            <v>6036000</v>
          </cell>
        </row>
        <row r="2130">
          <cell r="E2130" t="str">
            <v/>
          </cell>
          <cell r="J2130">
            <v>6036000</v>
          </cell>
        </row>
        <row r="2131">
          <cell r="E2131" t="str">
            <v/>
          </cell>
          <cell r="J2131">
            <v>6036000</v>
          </cell>
        </row>
        <row r="2132">
          <cell r="E2132" t="str">
            <v/>
          </cell>
          <cell r="J2132">
            <v>6036000</v>
          </cell>
        </row>
        <row r="2133">
          <cell r="E2133" t="str">
            <v/>
          </cell>
          <cell r="J2133">
            <v>6036000</v>
          </cell>
        </row>
        <row r="2134">
          <cell r="E2134" t="str">
            <v/>
          </cell>
          <cell r="J2134">
            <v>6036000</v>
          </cell>
        </row>
        <row r="2135">
          <cell r="E2135" t="str">
            <v/>
          </cell>
          <cell r="J2135">
            <v>6036000</v>
          </cell>
        </row>
        <row r="2136">
          <cell r="E2136" t="str">
            <v/>
          </cell>
          <cell r="J2136">
            <v>6036000</v>
          </cell>
        </row>
        <row r="2137">
          <cell r="E2137" t="str">
            <v/>
          </cell>
          <cell r="J2137">
            <v>6036000</v>
          </cell>
        </row>
        <row r="2138">
          <cell r="E2138" t="str">
            <v/>
          </cell>
          <cell r="J2138">
            <v>6036000</v>
          </cell>
        </row>
        <row r="2139">
          <cell r="E2139" t="str">
            <v/>
          </cell>
          <cell r="J2139">
            <v>6036000</v>
          </cell>
        </row>
        <row r="2140">
          <cell r="E2140" t="str">
            <v/>
          </cell>
          <cell r="J2140">
            <v>6036000</v>
          </cell>
        </row>
        <row r="2141">
          <cell r="E2141" t="str">
            <v/>
          </cell>
          <cell r="J2141">
            <v>6036000</v>
          </cell>
        </row>
        <row r="2142">
          <cell r="E2142" t="str">
            <v/>
          </cell>
          <cell r="J2142">
            <v>6036000</v>
          </cell>
        </row>
        <row r="2143">
          <cell r="E2143" t="str">
            <v/>
          </cell>
          <cell r="J2143">
            <v>6036000</v>
          </cell>
        </row>
        <row r="2144">
          <cell r="E2144" t="str">
            <v/>
          </cell>
          <cell r="J2144">
            <v>6036000</v>
          </cell>
        </row>
        <row r="2145">
          <cell r="E2145" t="str">
            <v/>
          </cell>
          <cell r="J2145">
            <v>6036000</v>
          </cell>
        </row>
        <row r="2146">
          <cell r="E2146" t="str">
            <v/>
          </cell>
          <cell r="J2146">
            <v>6036000</v>
          </cell>
        </row>
        <row r="2147">
          <cell r="E2147" t="str">
            <v/>
          </cell>
          <cell r="J2147">
            <v>6036000</v>
          </cell>
        </row>
        <row r="2148">
          <cell r="E2148" t="str">
            <v/>
          </cell>
          <cell r="J2148">
            <v>6036000</v>
          </cell>
        </row>
        <row r="2149">
          <cell r="E2149" t="str">
            <v/>
          </cell>
          <cell r="J2149">
            <v>6036000</v>
          </cell>
        </row>
        <row r="2150">
          <cell r="E2150" t="str">
            <v/>
          </cell>
          <cell r="J2150">
            <v>6036000</v>
          </cell>
        </row>
        <row r="2151">
          <cell r="E2151" t="str">
            <v/>
          </cell>
          <cell r="J2151">
            <v>6036000</v>
          </cell>
        </row>
        <row r="2152">
          <cell r="E2152" t="str">
            <v/>
          </cell>
          <cell r="J2152">
            <v>6036000</v>
          </cell>
        </row>
        <row r="2153">
          <cell r="E2153" t="str">
            <v/>
          </cell>
          <cell r="J2153">
            <v>6036000</v>
          </cell>
        </row>
        <row r="2154">
          <cell r="E2154" t="str">
            <v/>
          </cell>
          <cell r="J2154">
            <v>6036000</v>
          </cell>
        </row>
        <row r="2155">
          <cell r="E2155" t="str">
            <v/>
          </cell>
          <cell r="J2155">
            <v>6036000</v>
          </cell>
        </row>
        <row r="2156">
          <cell r="E2156" t="str">
            <v/>
          </cell>
          <cell r="J2156">
            <v>6036000</v>
          </cell>
        </row>
        <row r="2157">
          <cell r="E2157" t="str">
            <v/>
          </cell>
          <cell r="J2157">
            <v>6036000</v>
          </cell>
        </row>
        <row r="2158">
          <cell r="E2158" t="str">
            <v/>
          </cell>
          <cell r="J2158">
            <v>6036000</v>
          </cell>
        </row>
        <row r="2159">
          <cell r="E2159" t="str">
            <v/>
          </cell>
          <cell r="J2159">
            <v>6036000</v>
          </cell>
        </row>
        <row r="2160">
          <cell r="E2160" t="str">
            <v/>
          </cell>
          <cell r="J2160">
            <v>6036000</v>
          </cell>
        </row>
        <row r="2161">
          <cell r="E2161" t="str">
            <v/>
          </cell>
          <cell r="J2161">
            <v>6036000</v>
          </cell>
        </row>
        <row r="2162">
          <cell r="E2162" t="str">
            <v/>
          </cell>
          <cell r="J2162">
            <v>6036000</v>
          </cell>
        </row>
        <row r="2163">
          <cell r="E2163" t="str">
            <v/>
          </cell>
          <cell r="J2163">
            <v>6036000</v>
          </cell>
        </row>
        <row r="2164">
          <cell r="E2164" t="str">
            <v/>
          </cell>
          <cell r="J2164">
            <v>6036000</v>
          </cell>
        </row>
        <row r="2165">
          <cell r="E2165" t="str">
            <v/>
          </cell>
          <cell r="J2165">
            <v>6036000</v>
          </cell>
        </row>
        <row r="2166">
          <cell r="E2166" t="str">
            <v/>
          </cell>
          <cell r="J2166">
            <v>6036000</v>
          </cell>
        </row>
        <row r="2167">
          <cell r="E2167" t="str">
            <v/>
          </cell>
          <cell r="J2167">
            <v>6036000</v>
          </cell>
        </row>
        <row r="2168">
          <cell r="E2168" t="str">
            <v/>
          </cell>
          <cell r="J2168">
            <v>6036000</v>
          </cell>
        </row>
        <row r="2169">
          <cell r="E2169" t="str">
            <v/>
          </cell>
          <cell r="J2169">
            <v>6036000</v>
          </cell>
        </row>
        <row r="2170">
          <cell r="E2170" t="str">
            <v/>
          </cell>
          <cell r="J2170">
            <v>6036000</v>
          </cell>
        </row>
        <row r="2171">
          <cell r="E2171" t="str">
            <v/>
          </cell>
          <cell r="J2171">
            <v>6036000</v>
          </cell>
        </row>
        <row r="2172">
          <cell r="E2172" t="str">
            <v/>
          </cell>
          <cell r="J2172">
            <v>6036000</v>
          </cell>
        </row>
        <row r="2173">
          <cell r="E2173" t="str">
            <v/>
          </cell>
          <cell r="J2173">
            <v>6036000</v>
          </cell>
        </row>
        <row r="2174">
          <cell r="E2174" t="str">
            <v/>
          </cell>
          <cell r="J2174">
            <v>6036000</v>
          </cell>
        </row>
        <row r="2175">
          <cell r="E2175" t="str">
            <v/>
          </cell>
          <cell r="J2175">
            <v>6036000</v>
          </cell>
        </row>
        <row r="2176">
          <cell r="E2176" t="str">
            <v/>
          </cell>
          <cell r="J2176">
            <v>6036000</v>
          </cell>
        </row>
        <row r="2177">
          <cell r="E2177" t="str">
            <v/>
          </cell>
          <cell r="J2177">
            <v>6036000</v>
          </cell>
        </row>
        <row r="2178">
          <cell r="E2178" t="str">
            <v/>
          </cell>
          <cell r="J2178">
            <v>6036000</v>
          </cell>
        </row>
        <row r="2179">
          <cell r="E2179" t="str">
            <v/>
          </cell>
          <cell r="J2179">
            <v>6036000</v>
          </cell>
        </row>
        <row r="2180">
          <cell r="E2180" t="str">
            <v/>
          </cell>
          <cell r="J2180">
            <v>6036000</v>
          </cell>
        </row>
        <row r="2181">
          <cell r="E2181" t="str">
            <v/>
          </cell>
          <cell r="J2181">
            <v>6036000</v>
          </cell>
        </row>
        <row r="2182">
          <cell r="E2182" t="str">
            <v/>
          </cell>
          <cell r="J2182">
            <v>6036000</v>
          </cell>
        </row>
        <row r="2183">
          <cell r="E2183" t="str">
            <v/>
          </cell>
          <cell r="J2183">
            <v>6036000</v>
          </cell>
        </row>
        <row r="2184">
          <cell r="E2184" t="str">
            <v/>
          </cell>
          <cell r="J2184">
            <v>6036000</v>
          </cell>
        </row>
        <row r="2185">
          <cell r="E2185" t="str">
            <v/>
          </cell>
          <cell r="J2185">
            <v>6036000</v>
          </cell>
        </row>
        <row r="2186">
          <cell r="E2186" t="str">
            <v/>
          </cell>
          <cell r="J2186">
            <v>6036000</v>
          </cell>
        </row>
        <row r="2187">
          <cell r="E2187" t="str">
            <v/>
          </cell>
          <cell r="J2187">
            <v>6036000</v>
          </cell>
        </row>
        <row r="2188">
          <cell r="E2188" t="str">
            <v/>
          </cell>
          <cell r="J2188">
            <v>6036000</v>
          </cell>
        </row>
        <row r="2189">
          <cell r="E2189" t="str">
            <v/>
          </cell>
          <cell r="J2189">
            <v>6036000</v>
          </cell>
        </row>
        <row r="2190">
          <cell r="E2190" t="str">
            <v/>
          </cell>
          <cell r="J2190">
            <v>6036000</v>
          </cell>
        </row>
        <row r="2191">
          <cell r="E2191" t="str">
            <v/>
          </cell>
          <cell r="J2191">
            <v>6036000</v>
          </cell>
        </row>
        <row r="2192">
          <cell r="E2192" t="str">
            <v/>
          </cell>
          <cell r="J2192">
            <v>6036000</v>
          </cell>
        </row>
        <row r="2193">
          <cell r="E2193" t="str">
            <v/>
          </cell>
          <cell r="J2193">
            <v>6036000</v>
          </cell>
        </row>
        <row r="2194">
          <cell r="E2194" t="str">
            <v/>
          </cell>
          <cell r="J2194">
            <v>6036000</v>
          </cell>
        </row>
        <row r="2195">
          <cell r="E2195" t="str">
            <v/>
          </cell>
          <cell r="J2195">
            <v>6036000</v>
          </cell>
        </row>
        <row r="2196">
          <cell r="E2196" t="str">
            <v/>
          </cell>
          <cell r="J2196">
            <v>6036000</v>
          </cell>
        </row>
        <row r="2197">
          <cell r="E2197" t="str">
            <v/>
          </cell>
          <cell r="J2197">
            <v>6036000</v>
          </cell>
        </row>
        <row r="2198">
          <cell r="E2198" t="str">
            <v/>
          </cell>
          <cell r="J2198">
            <v>6036000</v>
          </cell>
        </row>
        <row r="2199">
          <cell r="E2199" t="str">
            <v/>
          </cell>
          <cell r="J2199">
            <v>6036000</v>
          </cell>
        </row>
        <row r="2200">
          <cell r="E2200" t="str">
            <v/>
          </cell>
          <cell r="J2200">
            <v>6036000</v>
          </cell>
        </row>
        <row r="2201">
          <cell r="E2201" t="str">
            <v/>
          </cell>
          <cell r="J2201">
            <v>6036000</v>
          </cell>
        </row>
        <row r="2202">
          <cell r="E2202" t="str">
            <v/>
          </cell>
          <cell r="J2202">
            <v>6036000</v>
          </cell>
        </row>
        <row r="2203">
          <cell r="E2203" t="str">
            <v/>
          </cell>
          <cell r="J2203">
            <v>6036000</v>
          </cell>
        </row>
        <row r="2204">
          <cell r="E2204" t="str">
            <v/>
          </cell>
          <cell r="J2204">
            <v>6036000</v>
          </cell>
        </row>
        <row r="2205">
          <cell r="E2205" t="str">
            <v/>
          </cell>
          <cell r="J2205">
            <v>6036000</v>
          </cell>
        </row>
        <row r="2206">
          <cell r="E2206" t="str">
            <v/>
          </cell>
          <cell r="J2206">
            <v>6036000</v>
          </cell>
        </row>
        <row r="2207">
          <cell r="E2207" t="str">
            <v/>
          </cell>
          <cell r="J2207">
            <v>6036000</v>
          </cell>
        </row>
        <row r="2208">
          <cell r="E2208" t="str">
            <v/>
          </cell>
          <cell r="J2208">
            <v>6036000</v>
          </cell>
        </row>
        <row r="2209">
          <cell r="E2209" t="str">
            <v/>
          </cell>
          <cell r="J2209">
            <v>6036000</v>
          </cell>
        </row>
        <row r="2210">
          <cell r="E2210" t="str">
            <v/>
          </cell>
          <cell r="J2210">
            <v>6036000</v>
          </cell>
        </row>
        <row r="2211">
          <cell r="E2211" t="str">
            <v/>
          </cell>
          <cell r="J2211">
            <v>6036000</v>
          </cell>
        </row>
        <row r="2212">
          <cell r="E2212" t="str">
            <v/>
          </cell>
          <cell r="J2212">
            <v>6036000</v>
          </cell>
        </row>
        <row r="2213">
          <cell r="E2213" t="str">
            <v/>
          </cell>
          <cell r="J2213">
            <v>6036000</v>
          </cell>
        </row>
        <row r="2214">
          <cell r="E2214" t="str">
            <v/>
          </cell>
          <cell r="J2214">
            <v>6036000</v>
          </cell>
        </row>
        <row r="2215">
          <cell r="E2215" t="str">
            <v/>
          </cell>
          <cell r="J2215">
            <v>6036000</v>
          </cell>
        </row>
        <row r="2216">
          <cell r="E2216" t="str">
            <v/>
          </cell>
          <cell r="J2216">
            <v>6036000</v>
          </cell>
        </row>
        <row r="2217">
          <cell r="E2217" t="str">
            <v/>
          </cell>
          <cell r="J2217">
            <v>6036000</v>
          </cell>
        </row>
        <row r="2218">
          <cell r="E2218" t="str">
            <v/>
          </cell>
          <cell r="J2218">
            <v>6036000</v>
          </cell>
        </row>
        <row r="2219">
          <cell r="E2219" t="str">
            <v/>
          </cell>
          <cell r="J2219">
            <v>6036000</v>
          </cell>
        </row>
        <row r="2220">
          <cell r="E2220" t="str">
            <v/>
          </cell>
          <cell r="J2220">
            <v>6036000</v>
          </cell>
        </row>
        <row r="2221">
          <cell r="E2221" t="str">
            <v/>
          </cell>
          <cell r="J2221">
            <v>6036000</v>
          </cell>
        </row>
        <row r="2222">
          <cell r="E2222" t="str">
            <v/>
          </cell>
          <cell r="J2222">
            <v>6036000</v>
          </cell>
        </row>
        <row r="2223">
          <cell r="E2223" t="str">
            <v/>
          </cell>
          <cell r="J2223">
            <v>6036000</v>
          </cell>
        </row>
        <row r="2224">
          <cell r="E2224" t="str">
            <v/>
          </cell>
          <cell r="J2224">
            <v>6036000</v>
          </cell>
        </row>
        <row r="2225">
          <cell r="E2225" t="str">
            <v/>
          </cell>
          <cell r="J2225">
            <v>6036000</v>
          </cell>
        </row>
        <row r="2226">
          <cell r="E2226" t="str">
            <v/>
          </cell>
          <cell r="J2226">
            <v>6036000</v>
          </cell>
        </row>
        <row r="2227">
          <cell r="E2227" t="str">
            <v/>
          </cell>
          <cell r="J2227">
            <v>6036000</v>
          </cell>
        </row>
        <row r="2228">
          <cell r="E2228" t="str">
            <v/>
          </cell>
          <cell r="J2228">
            <v>6036000</v>
          </cell>
        </row>
        <row r="2229">
          <cell r="E2229" t="str">
            <v/>
          </cell>
          <cell r="J2229">
            <v>6036000</v>
          </cell>
        </row>
        <row r="2230">
          <cell r="E2230" t="str">
            <v/>
          </cell>
          <cell r="J2230">
            <v>6036000</v>
          </cell>
        </row>
        <row r="2231">
          <cell r="E2231" t="str">
            <v/>
          </cell>
          <cell r="J2231">
            <v>6036000</v>
          </cell>
        </row>
        <row r="2232">
          <cell r="E2232" t="str">
            <v/>
          </cell>
          <cell r="J2232">
            <v>6036000</v>
          </cell>
        </row>
        <row r="2233">
          <cell r="E2233" t="str">
            <v/>
          </cell>
          <cell r="J2233">
            <v>6036000</v>
          </cell>
        </row>
        <row r="2234">
          <cell r="E2234" t="str">
            <v/>
          </cell>
          <cell r="J2234">
            <v>6036000</v>
          </cell>
        </row>
        <row r="2235">
          <cell r="E2235" t="str">
            <v/>
          </cell>
          <cell r="J2235">
            <v>6036000</v>
          </cell>
        </row>
        <row r="2236">
          <cell r="E2236" t="str">
            <v/>
          </cell>
          <cell r="J2236">
            <v>6036000</v>
          </cell>
        </row>
        <row r="2237">
          <cell r="E2237" t="str">
            <v/>
          </cell>
          <cell r="J2237">
            <v>6036000</v>
          </cell>
        </row>
        <row r="2238">
          <cell r="E2238" t="str">
            <v/>
          </cell>
          <cell r="J2238">
            <v>6036000</v>
          </cell>
        </row>
        <row r="2239">
          <cell r="E2239" t="str">
            <v/>
          </cell>
          <cell r="J2239">
            <v>6036000</v>
          </cell>
        </row>
        <row r="2240">
          <cell r="E2240" t="str">
            <v/>
          </cell>
          <cell r="J2240">
            <v>6036000</v>
          </cell>
        </row>
        <row r="2241">
          <cell r="E2241" t="str">
            <v/>
          </cell>
          <cell r="J2241">
            <v>6036000</v>
          </cell>
        </row>
        <row r="2242">
          <cell r="E2242" t="str">
            <v/>
          </cell>
          <cell r="J2242">
            <v>6036000</v>
          </cell>
        </row>
        <row r="2243">
          <cell r="E2243" t="str">
            <v/>
          </cell>
          <cell r="J2243">
            <v>6036000</v>
          </cell>
        </row>
        <row r="2244">
          <cell r="E2244" t="str">
            <v/>
          </cell>
          <cell r="J2244">
            <v>6036000</v>
          </cell>
        </row>
        <row r="2245">
          <cell r="E2245" t="str">
            <v/>
          </cell>
          <cell r="J2245">
            <v>6036000</v>
          </cell>
        </row>
        <row r="2246">
          <cell r="E2246" t="str">
            <v/>
          </cell>
          <cell r="J2246">
            <v>6036000</v>
          </cell>
        </row>
        <row r="2247">
          <cell r="E2247" t="str">
            <v/>
          </cell>
          <cell r="J2247">
            <v>6036000</v>
          </cell>
        </row>
        <row r="2248">
          <cell r="E2248" t="str">
            <v/>
          </cell>
          <cell r="J2248">
            <v>6036000</v>
          </cell>
        </row>
        <row r="2249">
          <cell r="E2249" t="str">
            <v/>
          </cell>
          <cell r="J2249">
            <v>6036000</v>
          </cell>
        </row>
        <row r="2250">
          <cell r="E2250" t="str">
            <v/>
          </cell>
          <cell r="J2250">
            <v>6036000</v>
          </cell>
        </row>
        <row r="2251">
          <cell r="E2251" t="str">
            <v/>
          </cell>
          <cell r="J2251">
            <v>6036000</v>
          </cell>
        </row>
        <row r="2252">
          <cell r="E2252" t="str">
            <v/>
          </cell>
          <cell r="J2252">
            <v>6036000</v>
          </cell>
        </row>
        <row r="2253">
          <cell r="E2253" t="str">
            <v/>
          </cell>
          <cell r="J2253">
            <v>6036000</v>
          </cell>
        </row>
        <row r="2254">
          <cell r="E2254" t="str">
            <v/>
          </cell>
          <cell r="J2254">
            <v>6036000</v>
          </cell>
        </row>
        <row r="2255">
          <cell r="E2255" t="str">
            <v/>
          </cell>
          <cell r="J2255">
            <v>6036000</v>
          </cell>
        </row>
        <row r="2256">
          <cell r="E2256" t="str">
            <v/>
          </cell>
          <cell r="J2256">
            <v>6036000</v>
          </cell>
        </row>
        <row r="2257">
          <cell r="E2257" t="str">
            <v/>
          </cell>
          <cell r="J2257">
            <v>6036000</v>
          </cell>
        </row>
        <row r="2258">
          <cell r="E2258" t="str">
            <v/>
          </cell>
          <cell r="J2258">
            <v>6036000</v>
          </cell>
        </row>
        <row r="2259">
          <cell r="E2259" t="str">
            <v/>
          </cell>
          <cell r="J2259">
            <v>6036000</v>
          </cell>
        </row>
        <row r="2260">
          <cell r="E2260" t="str">
            <v/>
          </cell>
          <cell r="J2260">
            <v>6036000</v>
          </cell>
        </row>
        <row r="2261">
          <cell r="E2261" t="str">
            <v/>
          </cell>
          <cell r="J2261">
            <v>6036000</v>
          </cell>
        </row>
        <row r="2262">
          <cell r="E2262" t="str">
            <v/>
          </cell>
          <cell r="J2262">
            <v>6036000</v>
          </cell>
        </row>
        <row r="2263">
          <cell r="E2263" t="str">
            <v/>
          </cell>
          <cell r="J2263">
            <v>6036000</v>
          </cell>
        </row>
        <row r="2264">
          <cell r="E2264" t="str">
            <v/>
          </cell>
          <cell r="J2264">
            <v>6036000</v>
          </cell>
        </row>
        <row r="2265">
          <cell r="E2265" t="str">
            <v/>
          </cell>
          <cell r="J2265">
            <v>6036000</v>
          </cell>
        </row>
        <row r="2266">
          <cell r="E2266" t="str">
            <v/>
          </cell>
          <cell r="J2266">
            <v>6036000</v>
          </cell>
        </row>
        <row r="2267">
          <cell r="E2267" t="str">
            <v/>
          </cell>
          <cell r="J2267">
            <v>6036000</v>
          </cell>
        </row>
        <row r="2268">
          <cell r="E2268" t="str">
            <v/>
          </cell>
          <cell r="J2268">
            <v>6036000</v>
          </cell>
        </row>
        <row r="2269">
          <cell r="E2269" t="str">
            <v/>
          </cell>
          <cell r="J2269">
            <v>6036000</v>
          </cell>
        </row>
        <row r="2270">
          <cell r="E2270" t="str">
            <v/>
          </cell>
          <cell r="J2270">
            <v>6036000</v>
          </cell>
        </row>
        <row r="2271">
          <cell r="E2271" t="str">
            <v/>
          </cell>
          <cell r="J2271">
            <v>6036000</v>
          </cell>
        </row>
        <row r="2272">
          <cell r="E2272" t="str">
            <v/>
          </cell>
          <cell r="J2272">
            <v>6036000</v>
          </cell>
        </row>
        <row r="2273">
          <cell r="E2273" t="str">
            <v/>
          </cell>
          <cell r="J2273">
            <v>6036000</v>
          </cell>
        </row>
        <row r="2274">
          <cell r="E2274" t="str">
            <v/>
          </cell>
          <cell r="J2274">
            <v>6036000</v>
          </cell>
        </row>
        <row r="2275">
          <cell r="E2275" t="str">
            <v/>
          </cell>
          <cell r="J2275">
            <v>6036000</v>
          </cell>
        </row>
        <row r="2276">
          <cell r="E2276" t="str">
            <v/>
          </cell>
          <cell r="J2276">
            <v>6036000</v>
          </cell>
        </row>
        <row r="2277">
          <cell r="E2277" t="str">
            <v/>
          </cell>
          <cell r="J2277">
            <v>6036000</v>
          </cell>
        </row>
        <row r="2278">
          <cell r="E2278" t="str">
            <v/>
          </cell>
          <cell r="J2278">
            <v>6036000</v>
          </cell>
        </row>
        <row r="2279">
          <cell r="E2279" t="str">
            <v/>
          </cell>
          <cell r="J2279">
            <v>6036000</v>
          </cell>
        </row>
        <row r="2280">
          <cell r="E2280" t="str">
            <v/>
          </cell>
          <cell r="J2280">
            <v>6036000</v>
          </cell>
        </row>
        <row r="2281">
          <cell r="E2281" t="str">
            <v/>
          </cell>
          <cell r="J2281">
            <v>6036000</v>
          </cell>
        </row>
        <row r="2282">
          <cell r="E2282" t="str">
            <v/>
          </cell>
          <cell r="J2282">
            <v>6036000</v>
          </cell>
        </row>
        <row r="2283">
          <cell r="E2283" t="str">
            <v/>
          </cell>
          <cell r="J2283">
            <v>6036000</v>
          </cell>
        </row>
        <row r="2284">
          <cell r="E2284" t="str">
            <v/>
          </cell>
          <cell r="J2284">
            <v>6036000</v>
          </cell>
        </row>
        <row r="2285">
          <cell r="E2285" t="str">
            <v/>
          </cell>
          <cell r="J2285">
            <v>6036000</v>
          </cell>
        </row>
        <row r="2286">
          <cell r="E2286" t="str">
            <v/>
          </cell>
          <cell r="J2286">
            <v>6036000</v>
          </cell>
        </row>
        <row r="2287">
          <cell r="E2287" t="str">
            <v/>
          </cell>
          <cell r="J2287">
            <v>6036000</v>
          </cell>
        </row>
        <row r="2288">
          <cell r="E2288" t="str">
            <v/>
          </cell>
          <cell r="J2288">
            <v>6036000</v>
          </cell>
        </row>
        <row r="2289">
          <cell r="E2289" t="str">
            <v/>
          </cell>
          <cell r="J2289">
            <v>6036000</v>
          </cell>
        </row>
        <row r="2290">
          <cell r="E2290" t="str">
            <v/>
          </cell>
          <cell r="J2290">
            <v>6036000</v>
          </cell>
        </row>
        <row r="2291">
          <cell r="E2291" t="str">
            <v/>
          </cell>
          <cell r="J2291">
            <v>6036000</v>
          </cell>
        </row>
        <row r="2292">
          <cell r="E2292" t="str">
            <v/>
          </cell>
          <cell r="J2292">
            <v>6036000</v>
          </cell>
        </row>
        <row r="2293">
          <cell r="E2293" t="str">
            <v/>
          </cell>
          <cell r="J2293">
            <v>6036000</v>
          </cell>
        </row>
        <row r="2294">
          <cell r="E2294" t="str">
            <v/>
          </cell>
          <cell r="J2294">
            <v>6036000</v>
          </cell>
        </row>
        <row r="2295">
          <cell r="E2295" t="str">
            <v/>
          </cell>
          <cell r="J2295">
            <v>6036000</v>
          </cell>
        </row>
        <row r="2296">
          <cell r="E2296" t="str">
            <v/>
          </cell>
          <cell r="J2296">
            <v>6036000</v>
          </cell>
        </row>
        <row r="2297">
          <cell r="E2297" t="str">
            <v/>
          </cell>
          <cell r="J2297">
            <v>6036000</v>
          </cell>
        </row>
        <row r="2298">
          <cell r="E2298" t="str">
            <v/>
          </cell>
          <cell r="J2298">
            <v>6036000</v>
          </cell>
        </row>
        <row r="2299">
          <cell r="E2299" t="str">
            <v/>
          </cell>
          <cell r="J2299">
            <v>6036000</v>
          </cell>
        </row>
        <row r="2300">
          <cell r="E2300" t="str">
            <v/>
          </cell>
          <cell r="J2300">
            <v>6036000</v>
          </cell>
        </row>
        <row r="2301">
          <cell r="E2301" t="str">
            <v/>
          </cell>
          <cell r="J2301">
            <v>6036000</v>
          </cell>
        </row>
        <row r="2302">
          <cell r="E2302" t="str">
            <v/>
          </cell>
          <cell r="J2302">
            <v>6036000</v>
          </cell>
        </row>
        <row r="2303">
          <cell r="E2303" t="str">
            <v/>
          </cell>
          <cell r="J2303">
            <v>6036000</v>
          </cell>
        </row>
        <row r="2304">
          <cell r="E2304" t="str">
            <v/>
          </cell>
          <cell r="J2304">
            <v>6036000</v>
          </cell>
        </row>
        <row r="2305">
          <cell r="E2305" t="str">
            <v/>
          </cell>
          <cell r="J2305">
            <v>6036000</v>
          </cell>
        </row>
        <row r="2306">
          <cell r="E2306" t="str">
            <v/>
          </cell>
          <cell r="J2306">
            <v>6036000</v>
          </cell>
        </row>
        <row r="2307">
          <cell r="E2307" t="str">
            <v/>
          </cell>
          <cell r="J2307">
            <v>6036000</v>
          </cell>
        </row>
        <row r="2308">
          <cell r="E2308" t="str">
            <v/>
          </cell>
          <cell r="J2308">
            <v>6036000</v>
          </cell>
        </row>
        <row r="2309">
          <cell r="E2309" t="str">
            <v/>
          </cell>
          <cell r="J2309">
            <v>6036000</v>
          </cell>
        </row>
        <row r="2310">
          <cell r="E2310" t="str">
            <v/>
          </cell>
          <cell r="J2310">
            <v>6036000</v>
          </cell>
        </row>
        <row r="2311">
          <cell r="E2311" t="str">
            <v/>
          </cell>
          <cell r="J2311">
            <v>6036000</v>
          </cell>
        </row>
        <row r="2312">
          <cell r="E2312" t="str">
            <v/>
          </cell>
          <cell r="J2312">
            <v>6036000</v>
          </cell>
        </row>
        <row r="2313">
          <cell r="E2313" t="str">
            <v/>
          </cell>
          <cell r="J2313">
            <v>6036000</v>
          </cell>
        </row>
        <row r="2314">
          <cell r="E2314" t="str">
            <v/>
          </cell>
          <cell r="J2314">
            <v>6036000</v>
          </cell>
        </row>
        <row r="2315">
          <cell r="E2315" t="str">
            <v/>
          </cell>
          <cell r="J2315">
            <v>6036000</v>
          </cell>
        </row>
        <row r="2316">
          <cell r="E2316" t="str">
            <v/>
          </cell>
          <cell r="J2316">
            <v>6036000</v>
          </cell>
        </row>
        <row r="2317">
          <cell r="E2317" t="str">
            <v/>
          </cell>
          <cell r="J2317">
            <v>6036000</v>
          </cell>
        </row>
        <row r="2318">
          <cell r="E2318" t="str">
            <v/>
          </cell>
          <cell r="J2318">
            <v>6036000</v>
          </cell>
        </row>
        <row r="2319">
          <cell r="E2319" t="str">
            <v/>
          </cell>
          <cell r="J2319">
            <v>6036000</v>
          </cell>
        </row>
        <row r="2320">
          <cell r="E2320" t="str">
            <v/>
          </cell>
          <cell r="J2320">
            <v>6036000</v>
          </cell>
        </row>
        <row r="2321">
          <cell r="E2321" t="str">
            <v/>
          </cell>
          <cell r="J2321">
            <v>6036000</v>
          </cell>
        </row>
        <row r="2322">
          <cell r="E2322" t="str">
            <v/>
          </cell>
          <cell r="J2322">
            <v>6036000</v>
          </cell>
        </row>
        <row r="2323">
          <cell r="E2323" t="str">
            <v/>
          </cell>
          <cell r="J2323">
            <v>6036000</v>
          </cell>
        </row>
        <row r="2324">
          <cell r="E2324" t="str">
            <v/>
          </cell>
          <cell r="J2324">
            <v>6036000</v>
          </cell>
        </row>
        <row r="2325">
          <cell r="E2325" t="str">
            <v/>
          </cell>
          <cell r="J2325">
            <v>6036000</v>
          </cell>
        </row>
        <row r="2326">
          <cell r="E2326" t="str">
            <v/>
          </cell>
          <cell r="J2326">
            <v>6036000</v>
          </cell>
        </row>
        <row r="2327">
          <cell r="E2327" t="str">
            <v/>
          </cell>
          <cell r="J2327">
            <v>6036000</v>
          </cell>
        </row>
        <row r="2328">
          <cell r="E2328" t="str">
            <v/>
          </cell>
          <cell r="J2328">
            <v>6036000</v>
          </cell>
        </row>
        <row r="2329">
          <cell r="E2329" t="str">
            <v/>
          </cell>
          <cell r="J2329">
            <v>6036000</v>
          </cell>
        </row>
        <row r="2330">
          <cell r="E2330" t="str">
            <v/>
          </cell>
          <cell r="J2330">
            <v>6036000</v>
          </cell>
        </row>
        <row r="2331">
          <cell r="E2331" t="str">
            <v/>
          </cell>
          <cell r="J2331">
            <v>6036000</v>
          </cell>
        </row>
        <row r="2332">
          <cell r="E2332" t="str">
            <v/>
          </cell>
          <cell r="J2332">
            <v>6036000</v>
          </cell>
        </row>
        <row r="2333">
          <cell r="E2333" t="str">
            <v/>
          </cell>
          <cell r="J2333">
            <v>6036000</v>
          </cell>
        </row>
        <row r="2334">
          <cell r="E2334" t="str">
            <v/>
          </cell>
          <cell r="J2334">
            <v>6036000</v>
          </cell>
        </row>
        <row r="2335">
          <cell r="E2335" t="str">
            <v/>
          </cell>
          <cell r="J2335">
            <v>6036000</v>
          </cell>
        </row>
        <row r="2336">
          <cell r="E2336" t="str">
            <v/>
          </cell>
          <cell r="J2336">
            <v>6036000</v>
          </cell>
        </row>
        <row r="2337">
          <cell r="E2337" t="str">
            <v/>
          </cell>
          <cell r="J2337">
            <v>6036000</v>
          </cell>
        </row>
        <row r="2338">
          <cell r="E2338" t="str">
            <v/>
          </cell>
          <cell r="J2338">
            <v>6036000</v>
          </cell>
        </row>
        <row r="2339">
          <cell r="E2339" t="str">
            <v/>
          </cell>
          <cell r="J2339">
            <v>6036000</v>
          </cell>
        </row>
        <row r="2340">
          <cell r="E2340" t="str">
            <v/>
          </cell>
          <cell r="J2340">
            <v>6036000</v>
          </cell>
        </row>
        <row r="2341">
          <cell r="E2341" t="str">
            <v/>
          </cell>
          <cell r="J2341">
            <v>6036000</v>
          </cell>
        </row>
        <row r="2342">
          <cell r="E2342" t="str">
            <v/>
          </cell>
          <cell r="J2342">
            <v>6036000</v>
          </cell>
        </row>
        <row r="2343">
          <cell r="E2343" t="str">
            <v/>
          </cell>
          <cell r="J2343">
            <v>6036000</v>
          </cell>
        </row>
        <row r="2344">
          <cell r="E2344" t="str">
            <v/>
          </cell>
          <cell r="J2344">
            <v>6036000</v>
          </cell>
        </row>
        <row r="2345">
          <cell r="E2345" t="str">
            <v/>
          </cell>
          <cell r="J2345">
            <v>6036000</v>
          </cell>
        </row>
        <row r="2346">
          <cell r="E2346" t="str">
            <v/>
          </cell>
          <cell r="J2346">
            <v>6036000</v>
          </cell>
        </row>
        <row r="2347">
          <cell r="E2347" t="str">
            <v/>
          </cell>
          <cell r="J2347">
            <v>6036000</v>
          </cell>
        </row>
        <row r="2348">
          <cell r="E2348" t="str">
            <v/>
          </cell>
          <cell r="J2348">
            <v>6036000</v>
          </cell>
        </row>
        <row r="2349">
          <cell r="E2349" t="str">
            <v/>
          </cell>
          <cell r="J2349">
            <v>6036000</v>
          </cell>
        </row>
        <row r="2350">
          <cell r="E2350" t="str">
            <v/>
          </cell>
          <cell r="J2350">
            <v>6036000</v>
          </cell>
        </row>
        <row r="2351">
          <cell r="E2351" t="str">
            <v/>
          </cell>
          <cell r="J2351">
            <v>6036000</v>
          </cell>
        </row>
        <row r="2352">
          <cell r="E2352" t="str">
            <v/>
          </cell>
          <cell r="J2352">
            <v>6036000</v>
          </cell>
        </row>
        <row r="2353">
          <cell r="E2353" t="str">
            <v/>
          </cell>
          <cell r="J2353">
            <v>6036000</v>
          </cell>
        </row>
        <row r="2354">
          <cell r="E2354" t="str">
            <v/>
          </cell>
          <cell r="J2354">
            <v>6036000</v>
          </cell>
        </row>
        <row r="2355">
          <cell r="E2355" t="str">
            <v/>
          </cell>
          <cell r="J2355">
            <v>6036000</v>
          </cell>
        </row>
        <row r="2356">
          <cell r="E2356" t="str">
            <v/>
          </cell>
          <cell r="J2356">
            <v>6036000</v>
          </cell>
        </row>
        <row r="2357">
          <cell r="E2357" t="str">
            <v/>
          </cell>
          <cell r="J2357">
            <v>6036000</v>
          </cell>
        </row>
        <row r="2358">
          <cell r="E2358" t="str">
            <v/>
          </cell>
          <cell r="J2358">
            <v>6036000</v>
          </cell>
        </row>
        <row r="2359">
          <cell r="E2359" t="str">
            <v/>
          </cell>
          <cell r="J2359">
            <v>6036000</v>
          </cell>
        </row>
        <row r="2360">
          <cell r="E2360" t="str">
            <v/>
          </cell>
          <cell r="J2360">
            <v>6036000</v>
          </cell>
        </row>
        <row r="2361">
          <cell r="E2361" t="str">
            <v/>
          </cell>
          <cell r="J2361">
            <v>6036000</v>
          </cell>
        </row>
        <row r="2362">
          <cell r="E2362" t="str">
            <v/>
          </cell>
          <cell r="J2362">
            <v>6036000</v>
          </cell>
        </row>
        <row r="2363">
          <cell r="E2363" t="str">
            <v/>
          </cell>
          <cell r="J2363">
            <v>6036000</v>
          </cell>
        </row>
        <row r="2364">
          <cell r="E2364" t="str">
            <v/>
          </cell>
          <cell r="J2364">
            <v>6036000</v>
          </cell>
        </row>
        <row r="2365">
          <cell r="E2365" t="str">
            <v/>
          </cell>
          <cell r="J2365">
            <v>6036000</v>
          </cell>
        </row>
        <row r="2366">
          <cell r="E2366" t="str">
            <v/>
          </cell>
          <cell r="J2366">
            <v>6036000</v>
          </cell>
        </row>
        <row r="2367">
          <cell r="E2367" t="str">
            <v/>
          </cell>
          <cell r="J2367">
            <v>6036000</v>
          </cell>
        </row>
        <row r="2368">
          <cell r="E2368" t="str">
            <v/>
          </cell>
          <cell r="J2368">
            <v>6036000</v>
          </cell>
        </row>
        <row r="2369">
          <cell r="E2369" t="str">
            <v/>
          </cell>
          <cell r="J2369">
            <v>6036000</v>
          </cell>
        </row>
        <row r="2370">
          <cell r="E2370" t="str">
            <v/>
          </cell>
          <cell r="J2370">
            <v>6036000</v>
          </cell>
        </row>
        <row r="2371">
          <cell r="E2371" t="str">
            <v/>
          </cell>
          <cell r="J2371">
            <v>6036000</v>
          </cell>
        </row>
        <row r="2372">
          <cell r="E2372" t="str">
            <v/>
          </cell>
          <cell r="J2372">
            <v>6036000</v>
          </cell>
        </row>
        <row r="2373">
          <cell r="E2373" t="str">
            <v/>
          </cell>
          <cell r="J2373">
            <v>6036000</v>
          </cell>
        </row>
        <row r="2374">
          <cell r="E2374" t="str">
            <v/>
          </cell>
          <cell r="J2374">
            <v>6036000</v>
          </cell>
        </row>
        <row r="2375">
          <cell r="E2375" t="str">
            <v/>
          </cell>
          <cell r="J2375">
            <v>6036000</v>
          </cell>
        </row>
        <row r="2376">
          <cell r="E2376" t="str">
            <v/>
          </cell>
          <cell r="J2376">
            <v>6036000</v>
          </cell>
        </row>
        <row r="2377">
          <cell r="E2377" t="str">
            <v/>
          </cell>
          <cell r="J2377">
            <v>6036000</v>
          </cell>
        </row>
        <row r="2378">
          <cell r="E2378" t="str">
            <v/>
          </cell>
          <cell r="J2378">
            <v>6036000</v>
          </cell>
        </row>
        <row r="2379">
          <cell r="E2379" t="str">
            <v/>
          </cell>
          <cell r="J2379">
            <v>6036000</v>
          </cell>
        </row>
        <row r="2380">
          <cell r="E2380" t="str">
            <v/>
          </cell>
          <cell r="J2380">
            <v>6036000</v>
          </cell>
        </row>
        <row r="2381">
          <cell r="E2381" t="str">
            <v/>
          </cell>
          <cell r="J2381">
            <v>6036000</v>
          </cell>
        </row>
        <row r="2382">
          <cell r="E2382" t="str">
            <v/>
          </cell>
          <cell r="J2382">
            <v>6036000</v>
          </cell>
        </row>
        <row r="2383">
          <cell r="E2383" t="str">
            <v/>
          </cell>
          <cell r="J2383">
            <v>6036000</v>
          </cell>
        </row>
        <row r="2384">
          <cell r="E2384" t="str">
            <v/>
          </cell>
          <cell r="J2384">
            <v>6036000</v>
          </cell>
        </row>
        <row r="2385">
          <cell r="E2385" t="str">
            <v/>
          </cell>
          <cell r="J2385">
            <v>6036000</v>
          </cell>
        </row>
        <row r="2386">
          <cell r="E2386" t="str">
            <v/>
          </cell>
          <cell r="J2386">
            <v>6036000</v>
          </cell>
        </row>
        <row r="2387">
          <cell r="E2387" t="str">
            <v/>
          </cell>
          <cell r="J2387">
            <v>6036000</v>
          </cell>
        </row>
        <row r="2388">
          <cell r="E2388" t="str">
            <v/>
          </cell>
          <cell r="J2388">
            <v>6036000</v>
          </cell>
        </row>
        <row r="2389">
          <cell r="E2389" t="str">
            <v/>
          </cell>
          <cell r="J2389">
            <v>6036000</v>
          </cell>
        </row>
        <row r="2390">
          <cell r="E2390" t="str">
            <v/>
          </cell>
          <cell r="J2390">
            <v>6036000</v>
          </cell>
        </row>
        <row r="2391">
          <cell r="E2391" t="str">
            <v/>
          </cell>
          <cell r="J2391">
            <v>6036000</v>
          </cell>
        </row>
        <row r="2392">
          <cell r="E2392" t="str">
            <v/>
          </cell>
          <cell r="J2392">
            <v>6036000</v>
          </cell>
        </row>
        <row r="2393">
          <cell r="E2393" t="str">
            <v/>
          </cell>
          <cell r="J2393">
            <v>6036000</v>
          </cell>
        </row>
        <row r="2394">
          <cell r="E2394" t="str">
            <v/>
          </cell>
          <cell r="J2394">
            <v>6036000</v>
          </cell>
        </row>
        <row r="2395">
          <cell r="E2395" t="str">
            <v/>
          </cell>
          <cell r="J2395">
            <v>6036000</v>
          </cell>
        </row>
        <row r="2396">
          <cell r="E2396" t="str">
            <v/>
          </cell>
          <cell r="J2396">
            <v>6036000</v>
          </cell>
        </row>
        <row r="2397">
          <cell r="E2397" t="str">
            <v/>
          </cell>
          <cell r="J2397">
            <v>6036000</v>
          </cell>
        </row>
        <row r="2398">
          <cell r="E2398" t="str">
            <v/>
          </cell>
          <cell r="J2398">
            <v>6036000</v>
          </cell>
        </row>
        <row r="2399">
          <cell r="E2399" t="str">
            <v/>
          </cell>
          <cell r="J2399">
            <v>6036000</v>
          </cell>
        </row>
        <row r="2400">
          <cell r="E2400" t="str">
            <v/>
          </cell>
          <cell r="J2400">
            <v>6036000</v>
          </cell>
        </row>
        <row r="2401">
          <cell r="E2401" t="str">
            <v/>
          </cell>
          <cell r="J2401">
            <v>6036000</v>
          </cell>
        </row>
        <row r="2402">
          <cell r="E2402" t="str">
            <v/>
          </cell>
          <cell r="J2402">
            <v>6036000</v>
          </cell>
        </row>
        <row r="2403">
          <cell r="E2403" t="str">
            <v/>
          </cell>
          <cell r="J2403">
            <v>6036000</v>
          </cell>
        </row>
        <row r="2404">
          <cell r="E2404" t="str">
            <v/>
          </cell>
          <cell r="J2404">
            <v>6036000</v>
          </cell>
        </row>
        <row r="2405">
          <cell r="E2405" t="str">
            <v/>
          </cell>
          <cell r="J2405">
            <v>6036000</v>
          </cell>
        </row>
        <row r="2406">
          <cell r="E2406" t="str">
            <v/>
          </cell>
          <cell r="J2406">
            <v>6036000</v>
          </cell>
        </row>
        <row r="2407">
          <cell r="E2407" t="str">
            <v/>
          </cell>
          <cell r="J2407">
            <v>6036000</v>
          </cell>
        </row>
        <row r="2408">
          <cell r="E2408" t="str">
            <v/>
          </cell>
          <cell r="J2408">
            <v>6036000</v>
          </cell>
        </row>
        <row r="2409">
          <cell r="E2409" t="str">
            <v/>
          </cell>
          <cell r="J2409">
            <v>6036000</v>
          </cell>
        </row>
        <row r="2410">
          <cell r="E2410" t="str">
            <v/>
          </cell>
          <cell r="J2410">
            <v>6036000</v>
          </cell>
        </row>
        <row r="2411">
          <cell r="E2411" t="str">
            <v/>
          </cell>
          <cell r="J2411">
            <v>6036000</v>
          </cell>
        </row>
        <row r="2412">
          <cell r="E2412" t="str">
            <v/>
          </cell>
          <cell r="J2412">
            <v>6036000</v>
          </cell>
        </row>
        <row r="2413">
          <cell r="E2413" t="str">
            <v/>
          </cell>
          <cell r="J2413">
            <v>6036000</v>
          </cell>
        </row>
        <row r="2414">
          <cell r="E2414" t="str">
            <v/>
          </cell>
          <cell r="J2414">
            <v>6036000</v>
          </cell>
        </row>
        <row r="2415">
          <cell r="E2415" t="str">
            <v/>
          </cell>
          <cell r="J2415">
            <v>6036000</v>
          </cell>
        </row>
        <row r="2416">
          <cell r="E2416" t="str">
            <v/>
          </cell>
          <cell r="J2416">
            <v>6036000</v>
          </cell>
        </row>
        <row r="2417">
          <cell r="E2417" t="str">
            <v/>
          </cell>
          <cell r="J2417">
            <v>6036000</v>
          </cell>
        </row>
        <row r="2418">
          <cell r="E2418" t="str">
            <v/>
          </cell>
          <cell r="J2418">
            <v>6036000</v>
          </cell>
        </row>
        <row r="2419">
          <cell r="E2419" t="str">
            <v/>
          </cell>
          <cell r="J2419">
            <v>6036000</v>
          </cell>
        </row>
        <row r="2420">
          <cell r="E2420" t="str">
            <v/>
          </cell>
          <cell r="J2420">
            <v>6036000</v>
          </cell>
        </row>
        <row r="2421">
          <cell r="E2421" t="str">
            <v/>
          </cell>
          <cell r="J2421">
            <v>6036000</v>
          </cell>
        </row>
        <row r="2422">
          <cell r="E2422" t="str">
            <v/>
          </cell>
          <cell r="J2422">
            <v>6036000</v>
          </cell>
        </row>
        <row r="2423">
          <cell r="E2423" t="str">
            <v/>
          </cell>
          <cell r="J2423">
            <v>6036000</v>
          </cell>
        </row>
        <row r="2424">
          <cell r="E2424" t="str">
            <v/>
          </cell>
          <cell r="J2424">
            <v>6036000</v>
          </cell>
        </row>
        <row r="2425">
          <cell r="E2425" t="str">
            <v/>
          </cell>
          <cell r="J2425">
            <v>6036000</v>
          </cell>
        </row>
        <row r="2426">
          <cell r="E2426" t="str">
            <v/>
          </cell>
          <cell r="J2426">
            <v>6036000</v>
          </cell>
        </row>
        <row r="2427">
          <cell r="E2427" t="str">
            <v/>
          </cell>
          <cell r="J2427">
            <v>6036000</v>
          </cell>
        </row>
        <row r="2428">
          <cell r="E2428" t="str">
            <v/>
          </cell>
          <cell r="J2428">
            <v>6036000</v>
          </cell>
        </row>
        <row r="2429">
          <cell r="E2429" t="str">
            <v/>
          </cell>
          <cell r="J2429">
            <v>6036000</v>
          </cell>
        </row>
        <row r="2430">
          <cell r="E2430" t="str">
            <v/>
          </cell>
          <cell r="J2430">
            <v>6036000</v>
          </cell>
        </row>
        <row r="2431">
          <cell r="E2431" t="str">
            <v/>
          </cell>
          <cell r="J2431">
            <v>6036000</v>
          </cell>
        </row>
        <row r="2432">
          <cell r="E2432" t="str">
            <v/>
          </cell>
          <cell r="J2432">
            <v>6036000</v>
          </cell>
        </row>
        <row r="2433">
          <cell r="E2433" t="str">
            <v/>
          </cell>
          <cell r="J2433">
            <v>6036000</v>
          </cell>
        </row>
        <row r="2434">
          <cell r="E2434" t="str">
            <v/>
          </cell>
          <cell r="J2434">
            <v>6036000</v>
          </cell>
        </row>
        <row r="2435">
          <cell r="E2435" t="str">
            <v/>
          </cell>
          <cell r="J2435">
            <v>6036000</v>
          </cell>
        </row>
        <row r="2436">
          <cell r="E2436" t="str">
            <v/>
          </cell>
          <cell r="J2436">
            <v>6036000</v>
          </cell>
        </row>
        <row r="2437">
          <cell r="E2437" t="str">
            <v/>
          </cell>
          <cell r="J2437">
            <v>6036000</v>
          </cell>
        </row>
        <row r="2438">
          <cell r="E2438" t="str">
            <v/>
          </cell>
          <cell r="J2438">
            <v>6036000</v>
          </cell>
        </row>
        <row r="2439">
          <cell r="E2439" t="str">
            <v/>
          </cell>
          <cell r="J2439">
            <v>6036000</v>
          </cell>
        </row>
        <row r="2440">
          <cell r="E2440" t="str">
            <v/>
          </cell>
          <cell r="J2440">
            <v>6036000</v>
          </cell>
        </row>
        <row r="2441">
          <cell r="E2441" t="str">
            <v/>
          </cell>
          <cell r="J2441">
            <v>6036000</v>
          </cell>
        </row>
        <row r="2442">
          <cell r="E2442" t="str">
            <v/>
          </cell>
          <cell r="J2442">
            <v>6036000</v>
          </cell>
        </row>
        <row r="2443">
          <cell r="E2443" t="str">
            <v/>
          </cell>
          <cell r="J2443">
            <v>6036000</v>
          </cell>
        </row>
        <row r="2444">
          <cell r="E2444" t="str">
            <v/>
          </cell>
          <cell r="J2444">
            <v>6036000</v>
          </cell>
        </row>
        <row r="2445">
          <cell r="E2445" t="str">
            <v/>
          </cell>
          <cell r="J2445">
            <v>6036000</v>
          </cell>
        </row>
        <row r="2446">
          <cell r="E2446" t="str">
            <v/>
          </cell>
          <cell r="J2446">
            <v>6036000</v>
          </cell>
        </row>
        <row r="2447">
          <cell r="E2447" t="str">
            <v/>
          </cell>
          <cell r="J2447">
            <v>6036000</v>
          </cell>
        </row>
        <row r="2448">
          <cell r="E2448" t="str">
            <v/>
          </cell>
          <cell r="J2448">
            <v>6036000</v>
          </cell>
        </row>
        <row r="2449">
          <cell r="E2449" t="str">
            <v/>
          </cell>
          <cell r="J2449">
            <v>6036000</v>
          </cell>
        </row>
        <row r="2450">
          <cell r="E2450" t="str">
            <v/>
          </cell>
          <cell r="J2450">
            <v>6036000</v>
          </cell>
        </row>
        <row r="2451">
          <cell r="E2451" t="str">
            <v/>
          </cell>
          <cell r="J2451">
            <v>6036000</v>
          </cell>
        </row>
        <row r="2452">
          <cell r="E2452" t="str">
            <v/>
          </cell>
          <cell r="J2452">
            <v>6036000</v>
          </cell>
        </row>
        <row r="2453">
          <cell r="E2453" t="str">
            <v/>
          </cell>
          <cell r="J2453">
            <v>6036000</v>
          </cell>
        </row>
        <row r="2454">
          <cell r="E2454" t="str">
            <v/>
          </cell>
          <cell r="J2454">
            <v>6036000</v>
          </cell>
        </row>
        <row r="2455">
          <cell r="E2455" t="str">
            <v/>
          </cell>
          <cell r="J2455">
            <v>6036000</v>
          </cell>
        </row>
        <row r="2456">
          <cell r="E2456" t="str">
            <v/>
          </cell>
          <cell r="J2456">
            <v>6036000</v>
          </cell>
        </row>
        <row r="2457">
          <cell r="E2457" t="str">
            <v/>
          </cell>
          <cell r="J2457">
            <v>6036000</v>
          </cell>
        </row>
        <row r="2458">
          <cell r="E2458" t="str">
            <v/>
          </cell>
          <cell r="J2458">
            <v>6036000</v>
          </cell>
        </row>
        <row r="2459">
          <cell r="E2459" t="str">
            <v/>
          </cell>
          <cell r="J2459">
            <v>6036000</v>
          </cell>
        </row>
        <row r="2460">
          <cell r="E2460" t="str">
            <v/>
          </cell>
          <cell r="J2460">
            <v>6036000</v>
          </cell>
        </row>
        <row r="2461">
          <cell r="E2461" t="str">
            <v/>
          </cell>
          <cell r="J2461">
            <v>6036000</v>
          </cell>
        </row>
        <row r="2462">
          <cell r="E2462" t="str">
            <v/>
          </cell>
          <cell r="J2462">
            <v>6036000</v>
          </cell>
        </row>
        <row r="2463">
          <cell r="E2463" t="str">
            <v/>
          </cell>
          <cell r="J2463">
            <v>6036000</v>
          </cell>
        </row>
        <row r="2464">
          <cell r="E2464" t="str">
            <v/>
          </cell>
          <cell r="J2464">
            <v>6036000</v>
          </cell>
        </row>
        <row r="2465">
          <cell r="E2465" t="str">
            <v/>
          </cell>
          <cell r="J2465">
            <v>6036000</v>
          </cell>
        </row>
        <row r="2466">
          <cell r="E2466" t="str">
            <v/>
          </cell>
          <cell r="J2466">
            <v>6036000</v>
          </cell>
        </row>
        <row r="2467">
          <cell r="E2467" t="str">
            <v/>
          </cell>
          <cell r="J2467">
            <v>6036000</v>
          </cell>
        </row>
        <row r="2468">
          <cell r="E2468" t="str">
            <v/>
          </cell>
          <cell r="J2468">
            <v>6036000</v>
          </cell>
        </row>
        <row r="2469">
          <cell r="E2469" t="str">
            <v/>
          </cell>
          <cell r="J2469">
            <v>6036000</v>
          </cell>
        </row>
        <row r="2470">
          <cell r="E2470" t="str">
            <v/>
          </cell>
          <cell r="J2470">
            <v>6036000</v>
          </cell>
        </row>
        <row r="2471">
          <cell r="E2471" t="str">
            <v/>
          </cell>
          <cell r="J2471">
            <v>6036000</v>
          </cell>
        </row>
        <row r="2472">
          <cell r="E2472" t="str">
            <v/>
          </cell>
          <cell r="J2472">
            <v>6036000</v>
          </cell>
        </row>
        <row r="2473">
          <cell r="E2473" t="str">
            <v/>
          </cell>
          <cell r="J2473">
            <v>6036000</v>
          </cell>
        </row>
        <row r="2474">
          <cell r="E2474" t="str">
            <v/>
          </cell>
          <cell r="J2474">
            <v>6036000</v>
          </cell>
        </row>
        <row r="2475">
          <cell r="E2475" t="str">
            <v/>
          </cell>
          <cell r="J2475">
            <v>6036000</v>
          </cell>
        </row>
        <row r="2476">
          <cell r="E2476" t="str">
            <v/>
          </cell>
          <cell r="J2476">
            <v>6036000</v>
          </cell>
        </row>
        <row r="2477">
          <cell r="E2477" t="str">
            <v/>
          </cell>
          <cell r="J2477">
            <v>6036000</v>
          </cell>
        </row>
        <row r="2478">
          <cell r="E2478" t="str">
            <v/>
          </cell>
          <cell r="J2478">
            <v>6036000</v>
          </cell>
        </row>
        <row r="2479">
          <cell r="E2479" t="str">
            <v/>
          </cell>
          <cell r="J2479">
            <v>6036000</v>
          </cell>
        </row>
        <row r="2480">
          <cell r="E2480" t="str">
            <v/>
          </cell>
          <cell r="J2480">
            <v>6036000</v>
          </cell>
        </row>
        <row r="2481">
          <cell r="E2481" t="str">
            <v/>
          </cell>
          <cell r="J2481">
            <v>6036000</v>
          </cell>
        </row>
        <row r="2482">
          <cell r="E2482" t="str">
            <v/>
          </cell>
          <cell r="J2482">
            <v>6036000</v>
          </cell>
        </row>
        <row r="2483">
          <cell r="E2483" t="str">
            <v/>
          </cell>
          <cell r="J2483">
            <v>6036000</v>
          </cell>
        </row>
        <row r="2484">
          <cell r="E2484" t="str">
            <v/>
          </cell>
          <cell r="J2484">
            <v>6036000</v>
          </cell>
        </row>
        <row r="2485">
          <cell r="E2485" t="str">
            <v/>
          </cell>
          <cell r="J2485">
            <v>6036000</v>
          </cell>
        </row>
        <row r="2486">
          <cell r="E2486" t="str">
            <v/>
          </cell>
          <cell r="J2486">
            <v>6036000</v>
          </cell>
        </row>
        <row r="2487">
          <cell r="E2487" t="str">
            <v/>
          </cell>
          <cell r="J2487">
            <v>6036000</v>
          </cell>
        </row>
        <row r="2488">
          <cell r="E2488" t="str">
            <v/>
          </cell>
          <cell r="J2488">
            <v>6036000</v>
          </cell>
        </row>
        <row r="2489">
          <cell r="E2489" t="str">
            <v/>
          </cell>
          <cell r="J2489">
            <v>6036000</v>
          </cell>
        </row>
        <row r="2490">
          <cell r="E2490" t="str">
            <v/>
          </cell>
          <cell r="J2490">
            <v>6036000</v>
          </cell>
        </row>
        <row r="2491">
          <cell r="E2491" t="str">
            <v/>
          </cell>
          <cell r="J2491">
            <v>6036000</v>
          </cell>
        </row>
        <row r="2492">
          <cell r="E2492" t="str">
            <v/>
          </cell>
          <cell r="J2492">
            <v>6036000</v>
          </cell>
        </row>
        <row r="2493">
          <cell r="E2493" t="str">
            <v/>
          </cell>
          <cell r="J2493">
            <v>6036000</v>
          </cell>
        </row>
        <row r="2494">
          <cell r="E2494" t="str">
            <v/>
          </cell>
          <cell r="J2494">
            <v>6036000</v>
          </cell>
        </row>
        <row r="2495">
          <cell r="E2495" t="str">
            <v/>
          </cell>
          <cell r="J2495">
            <v>6036000</v>
          </cell>
        </row>
        <row r="2496">
          <cell r="E2496" t="str">
            <v/>
          </cell>
          <cell r="J2496">
            <v>6036000</v>
          </cell>
        </row>
        <row r="2497">
          <cell r="E2497" t="str">
            <v/>
          </cell>
          <cell r="J2497">
            <v>6036000</v>
          </cell>
        </row>
        <row r="2498">
          <cell r="E2498" t="str">
            <v/>
          </cell>
          <cell r="J2498">
            <v>6036000</v>
          </cell>
        </row>
        <row r="2499">
          <cell r="E2499" t="str">
            <v/>
          </cell>
          <cell r="J2499">
            <v>6036000</v>
          </cell>
        </row>
        <row r="2500">
          <cell r="E2500" t="str">
            <v/>
          </cell>
          <cell r="J2500">
            <v>6036000</v>
          </cell>
        </row>
        <row r="2501">
          <cell r="E2501" t="str">
            <v/>
          </cell>
          <cell r="J2501">
            <v>6036000</v>
          </cell>
        </row>
        <row r="2502">
          <cell r="E2502" t="str">
            <v/>
          </cell>
          <cell r="J2502">
            <v>6036000</v>
          </cell>
        </row>
        <row r="2503">
          <cell r="E2503" t="str">
            <v/>
          </cell>
          <cell r="J2503">
            <v>6036000</v>
          </cell>
        </row>
        <row r="2504">
          <cell r="E2504" t="str">
            <v/>
          </cell>
          <cell r="J2504">
            <v>6036000</v>
          </cell>
        </row>
        <row r="2505">
          <cell r="E2505" t="str">
            <v/>
          </cell>
          <cell r="J2505">
            <v>6036000</v>
          </cell>
        </row>
        <row r="2506">
          <cell r="E2506" t="str">
            <v/>
          </cell>
          <cell r="J2506">
            <v>6036000</v>
          </cell>
        </row>
        <row r="2507">
          <cell r="E2507" t="str">
            <v/>
          </cell>
          <cell r="J2507">
            <v>6036000</v>
          </cell>
        </row>
        <row r="2508">
          <cell r="E2508" t="str">
            <v/>
          </cell>
          <cell r="J2508">
            <v>6036000</v>
          </cell>
        </row>
        <row r="2509">
          <cell r="E2509" t="str">
            <v/>
          </cell>
          <cell r="J2509">
            <v>6036000</v>
          </cell>
        </row>
        <row r="2510">
          <cell r="E2510" t="str">
            <v/>
          </cell>
          <cell r="J2510">
            <v>6036000</v>
          </cell>
        </row>
        <row r="2511">
          <cell r="E2511" t="str">
            <v/>
          </cell>
          <cell r="J2511">
            <v>6036000</v>
          </cell>
        </row>
        <row r="2512">
          <cell r="E2512" t="str">
            <v/>
          </cell>
          <cell r="J2512">
            <v>6036000</v>
          </cell>
        </row>
        <row r="2513">
          <cell r="E2513" t="str">
            <v/>
          </cell>
          <cell r="J2513">
            <v>6036000</v>
          </cell>
        </row>
        <row r="2514">
          <cell r="E2514" t="str">
            <v/>
          </cell>
          <cell r="J2514">
            <v>6036000</v>
          </cell>
        </row>
        <row r="2515">
          <cell r="E2515" t="str">
            <v/>
          </cell>
          <cell r="J2515">
            <v>6036000</v>
          </cell>
        </row>
        <row r="2516">
          <cell r="E2516" t="str">
            <v/>
          </cell>
          <cell r="J2516">
            <v>6036000</v>
          </cell>
        </row>
        <row r="2517">
          <cell r="E2517" t="str">
            <v/>
          </cell>
          <cell r="J2517">
            <v>6036000</v>
          </cell>
        </row>
        <row r="2518">
          <cell r="E2518" t="str">
            <v/>
          </cell>
          <cell r="J2518">
            <v>6036000</v>
          </cell>
        </row>
        <row r="2519">
          <cell r="E2519" t="str">
            <v/>
          </cell>
          <cell r="J2519">
            <v>6036000</v>
          </cell>
        </row>
        <row r="2520">
          <cell r="E2520" t="str">
            <v/>
          </cell>
          <cell r="J2520">
            <v>6036000</v>
          </cell>
        </row>
        <row r="2521">
          <cell r="E2521" t="str">
            <v/>
          </cell>
          <cell r="J2521">
            <v>6036000</v>
          </cell>
        </row>
        <row r="2522">
          <cell r="E2522" t="str">
            <v/>
          </cell>
          <cell r="J2522">
            <v>6036000</v>
          </cell>
        </row>
        <row r="2523">
          <cell r="E2523" t="str">
            <v/>
          </cell>
          <cell r="J2523">
            <v>6036000</v>
          </cell>
        </row>
        <row r="2524">
          <cell r="E2524" t="str">
            <v/>
          </cell>
          <cell r="J2524">
            <v>6036000</v>
          </cell>
        </row>
        <row r="2525">
          <cell r="E2525" t="str">
            <v/>
          </cell>
          <cell r="J2525">
            <v>6036000</v>
          </cell>
        </row>
        <row r="2526">
          <cell r="E2526" t="str">
            <v/>
          </cell>
          <cell r="J2526">
            <v>6036000</v>
          </cell>
        </row>
        <row r="2527">
          <cell r="E2527" t="str">
            <v/>
          </cell>
          <cell r="J2527">
            <v>6036000</v>
          </cell>
        </row>
        <row r="2528">
          <cell r="E2528" t="str">
            <v/>
          </cell>
          <cell r="J2528">
            <v>6036000</v>
          </cell>
        </row>
        <row r="2529">
          <cell r="E2529" t="str">
            <v/>
          </cell>
          <cell r="J2529">
            <v>6036000</v>
          </cell>
        </row>
        <row r="2530">
          <cell r="E2530" t="str">
            <v/>
          </cell>
          <cell r="J2530">
            <v>6036000</v>
          </cell>
        </row>
        <row r="2531">
          <cell r="E2531" t="str">
            <v/>
          </cell>
          <cell r="J2531">
            <v>6036000</v>
          </cell>
        </row>
        <row r="2532">
          <cell r="E2532" t="str">
            <v/>
          </cell>
          <cell r="J2532">
            <v>6036000</v>
          </cell>
        </row>
        <row r="2533">
          <cell r="E2533" t="str">
            <v/>
          </cell>
          <cell r="J2533">
            <v>6036000</v>
          </cell>
        </row>
        <row r="2534">
          <cell r="E2534" t="str">
            <v/>
          </cell>
          <cell r="J2534">
            <v>6036000</v>
          </cell>
        </row>
        <row r="2535">
          <cell r="E2535" t="str">
            <v/>
          </cell>
          <cell r="J2535">
            <v>6036000</v>
          </cell>
        </row>
        <row r="2536">
          <cell r="E2536" t="str">
            <v/>
          </cell>
          <cell r="J2536">
            <v>6036000</v>
          </cell>
        </row>
        <row r="2537">
          <cell r="E2537" t="str">
            <v/>
          </cell>
          <cell r="J2537">
            <v>6036000</v>
          </cell>
        </row>
        <row r="2538">
          <cell r="E2538" t="str">
            <v/>
          </cell>
          <cell r="J2538">
            <v>6036000</v>
          </cell>
        </row>
        <row r="2539">
          <cell r="E2539" t="str">
            <v/>
          </cell>
          <cell r="J2539">
            <v>6036000</v>
          </cell>
        </row>
        <row r="2540">
          <cell r="E2540" t="str">
            <v/>
          </cell>
          <cell r="J2540">
            <v>6036000</v>
          </cell>
        </row>
        <row r="2541">
          <cell r="E2541" t="str">
            <v/>
          </cell>
          <cell r="J2541">
            <v>6036000</v>
          </cell>
        </row>
        <row r="2542">
          <cell r="E2542" t="str">
            <v/>
          </cell>
          <cell r="J2542">
            <v>6036000</v>
          </cell>
        </row>
        <row r="2543">
          <cell r="E2543" t="str">
            <v/>
          </cell>
          <cell r="J2543">
            <v>6036000</v>
          </cell>
        </row>
        <row r="2544">
          <cell r="E2544" t="str">
            <v/>
          </cell>
          <cell r="J2544">
            <v>6036000</v>
          </cell>
        </row>
        <row r="2545">
          <cell r="E2545" t="str">
            <v/>
          </cell>
          <cell r="J2545">
            <v>6036000</v>
          </cell>
        </row>
        <row r="2546">
          <cell r="E2546" t="str">
            <v/>
          </cell>
          <cell r="J2546">
            <v>6036000</v>
          </cell>
        </row>
        <row r="2547">
          <cell r="E2547" t="str">
            <v/>
          </cell>
          <cell r="J2547">
            <v>6036000</v>
          </cell>
        </row>
        <row r="2548">
          <cell r="E2548" t="str">
            <v/>
          </cell>
          <cell r="J2548">
            <v>6036000</v>
          </cell>
        </row>
        <row r="2549">
          <cell r="E2549" t="str">
            <v/>
          </cell>
          <cell r="J2549">
            <v>6036000</v>
          </cell>
        </row>
        <row r="2550">
          <cell r="E2550" t="str">
            <v/>
          </cell>
          <cell r="J2550">
            <v>6036000</v>
          </cell>
        </row>
        <row r="2551">
          <cell r="E2551" t="str">
            <v/>
          </cell>
          <cell r="J2551">
            <v>6036000</v>
          </cell>
        </row>
        <row r="2552">
          <cell r="E2552" t="str">
            <v/>
          </cell>
          <cell r="J2552">
            <v>6036000</v>
          </cell>
        </row>
        <row r="2553">
          <cell r="E2553" t="str">
            <v/>
          </cell>
          <cell r="J2553">
            <v>6036000</v>
          </cell>
        </row>
        <row r="2554">
          <cell r="E2554" t="str">
            <v/>
          </cell>
          <cell r="J2554">
            <v>6036000</v>
          </cell>
        </row>
        <row r="2555">
          <cell r="E2555" t="str">
            <v/>
          </cell>
          <cell r="J2555">
            <v>6036000</v>
          </cell>
        </row>
        <row r="2556">
          <cell r="E2556" t="str">
            <v/>
          </cell>
          <cell r="J2556">
            <v>6036000</v>
          </cell>
        </row>
        <row r="2557">
          <cell r="E2557" t="str">
            <v/>
          </cell>
          <cell r="J2557">
            <v>6036000</v>
          </cell>
        </row>
        <row r="2558">
          <cell r="E2558" t="str">
            <v/>
          </cell>
          <cell r="J2558">
            <v>6036000</v>
          </cell>
        </row>
        <row r="2559">
          <cell r="E2559" t="str">
            <v/>
          </cell>
          <cell r="J2559">
            <v>6036000</v>
          </cell>
        </row>
        <row r="2560">
          <cell r="E2560" t="str">
            <v/>
          </cell>
          <cell r="J2560">
            <v>6036000</v>
          </cell>
        </row>
        <row r="2561">
          <cell r="E2561" t="str">
            <v/>
          </cell>
          <cell r="J2561">
            <v>6036000</v>
          </cell>
        </row>
        <row r="2562">
          <cell r="E2562" t="str">
            <v/>
          </cell>
          <cell r="J2562">
            <v>6036000</v>
          </cell>
        </row>
        <row r="2563">
          <cell r="E2563" t="str">
            <v/>
          </cell>
          <cell r="J2563">
            <v>6036000</v>
          </cell>
        </row>
        <row r="2564">
          <cell r="E2564" t="str">
            <v/>
          </cell>
          <cell r="J2564">
            <v>6036000</v>
          </cell>
        </row>
        <row r="2565">
          <cell r="E2565" t="str">
            <v/>
          </cell>
          <cell r="J2565">
            <v>6036000</v>
          </cell>
        </row>
        <row r="2566">
          <cell r="E2566" t="str">
            <v/>
          </cell>
          <cell r="J2566">
            <v>6036000</v>
          </cell>
        </row>
        <row r="2567">
          <cell r="E2567" t="str">
            <v/>
          </cell>
          <cell r="J2567">
            <v>6036000</v>
          </cell>
        </row>
        <row r="2568">
          <cell r="E2568" t="str">
            <v/>
          </cell>
          <cell r="J2568">
            <v>6036000</v>
          </cell>
        </row>
        <row r="2569">
          <cell r="E2569" t="str">
            <v/>
          </cell>
          <cell r="J2569">
            <v>6036000</v>
          </cell>
        </row>
        <row r="2570">
          <cell r="E2570" t="str">
            <v/>
          </cell>
          <cell r="J2570">
            <v>6036000</v>
          </cell>
        </row>
        <row r="2571">
          <cell r="E2571" t="str">
            <v/>
          </cell>
          <cell r="J2571">
            <v>6036000</v>
          </cell>
        </row>
        <row r="2572">
          <cell r="E2572" t="str">
            <v/>
          </cell>
          <cell r="J2572">
            <v>6036000</v>
          </cell>
        </row>
        <row r="2573">
          <cell r="E2573" t="str">
            <v/>
          </cell>
          <cell r="J2573">
            <v>6036000</v>
          </cell>
        </row>
        <row r="2574">
          <cell r="E2574" t="str">
            <v/>
          </cell>
          <cell r="J2574">
            <v>6036000</v>
          </cell>
        </row>
        <row r="2575">
          <cell r="E2575" t="str">
            <v/>
          </cell>
          <cell r="J2575">
            <v>6036000</v>
          </cell>
        </row>
        <row r="2576">
          <cell r="E2576" t="str">
            <v/>
          </cell>
          <cell r="J2576">
            <v>6036000</v>
          </cell>
        </row>
        <row r="2577">
          <cell r="E2577" t="str">
            <v/>
          </cell>
          <cell r="J2577">
            <v>6036000</v>
          </cell>
        </row>
        <row r="2578">
          <cell r="E2578" t="str">
            <v/>
          </cell>
          <cell r="J2578">
            <v>6036000</v>
          </cell>
        </row>
        <row r="2579">
          <cell r="E2579" t="str">
            <v/>
          </cell>
          <cell r="J2579">
            <v>6036000</v>
          </cell>
        </row>
        <row r="2580">
          <cell r="E2580" t="str">
            <v/>
          </cell>
          <cell r="J2580">
            <v>6036000</v>
          </cell>
        </row>
        <row r="2581">
          <cell r="E2581" t="str">
            <v/>
          </cell>
          <cell r="J2581">
            <v>6036000</v>
          </cell>
        </row>
        <row r="2582">
          <cell r="E2582" t="str">
            <v/>
          </cell>
          <cell r="J2582">
            <v>6036000</v>
          </cell>
        </row>
        <row r="2583">
          <cell r="E2583" t="str">
            <v/>
          </cell>
          <cell r="J2583">
            <v>6036000</v>
          </cell>
        </row>
        <row r="2584">
          <cell r="E2584" t="str">
            <v/>
          </cell>
          <cell r="J2584">
            <v>6036000</v>
          </cell>
        </row>
        <row r="2585">
          <cell r="E2585" t="str">
            <v/>
          </cell>
          <cell r="J2585">
            <v>6036000</v>
          </cell>
        </row>
        <row r="2586">
          <cell r="E2586" t="str">
            <v/>
          </cell>
          <cell r="J2586">
            <v>6036000</v>
          </cell>
        </row>
        <row r="2587">
          <cell r="E2587" t="str">
            <v/>
          </cell>
          <cell r="J2587">
            <v>6036000</v>
          </cell>
        </row>
        <row r="2588">
          <cell r="E2588" t="str">
            <v/>
          </cell>
          <cell r="J2588">
            <v>6036000</v>
          </cell>
        </row>
        <row r="2589">
          <cell r="E2589" t="str">
            <v/>
          </cell>
          <cell r="J2589">
            <v>6036000</v>
          </cell>
        </row>
        <row r="2590">
          <cell r="E2590" t="str">
            <v/>
          </cell>
          <cell r="J2590">
            <v>6036000</v>
          </cell>
        </row>
        <row r="2591">
          <cell r="E2591" t="str">
            <v/>
          </cell>
          <cell r="J2591">
            <v>6036000</v>
          </cell>
        </row>
        <row r="2592">
          <cell r="E2592" t="str">
            <v/>
          </cell>
          <cell r="J2592">
            <v>6036000</v>
          </cell>
        </row>
        <row r="2593">
          <cell r="E2593" t="str">
            <v/>
          </cell>
          <cell r="J2593">
            <v>6036000</v>
          </cell>
        </row>
        <row r="2594">
          <cell r="E2594" t="str">
            <v/>
          </cell>
          <cell r="J2594">
            <v>6036000</v>
          </cell>
        </row>
        <row r="2595">
          <cell r="E2595" t="str">
            <v/>
          </cell>
          <cell r="J2595">
            <v>6036000</v>
          </cell>
        </row>
        <row r="2596">
          <cell r="E2596" t="str">
            <v/>
          </cell>
          <cell r="J2596">
            <v>6036000</v>
          </cell>
        </row>
        <row r="2597">
          <cell r="E2597" t="str">
            <v/>
          </cell>
          <cell r="J2597">
            <v>6036000</v>
          </cell>
        </row>
        <row r="2598">
          <cell r="E2598" t="str">
            <v/>
          </cell>
          <cell r="J2598">
            <v>6036000</v>
          </cell>
        </row>
        <row r="2599">
          <cell r="E2599" t="str">
            <v/>
          </cell>
          <cell r="J2599">
            <v>6036000</v>
          </cell>
        </row>
        <row r="2600">
          <cell r="E2600" t="str">
            <v/>
          </cell>
          <cell r="J2600">
            <v>6036000</v>
          </cell>
        </row>
        <row r="2601">
          <cell r="E2601" t="str">
            <v/>
          </cell>
          <cell r="J2601">
            <v>6036000</v>
          </cell>
        </row>
        <row r="2602">
          <cell r="E2602" t="str">
            <v/>
          </cell>
          <cell r="J2602">
            <v>6036000</v>
          </cell>
        </row>
        <row r="2603">
          <cell r="E2603" t="str">
            <v/>
          </cell>
          <cell r="J2603">
            <v>6036000</v>
          </cell>
        </row>
        <row r="2604">
          <cell r="E2604" t="str">
            <v/>
          </cell>
          <cell r="J2604">
            <v>6036000</v>
          </cell>
        </row>
        <row r="2605">
          <cell r="E2605" t="str">
            <v/>
          </cell>
          <cell r="J2605">
            <v>6036000</v>
          </cell>
        </row>
        <row r="2606">
          <cell r="E2606" t="str">
            <v/>
          </cell>
          <cell r="J2606">
            <v>6036000</v>
          </cell>
        </row>
        <row r="2607">
          <cell r="E2607" t="str">
            <v/>
          </cell>
          <cell r="J2607">
            <v>6036000</v>
          </cell>
        </row>
        <row r="2608">
          <cell r="E2608" t="str">
            <v/>
          </cell>
          <cell r="J2608">
            <v>6036000</v>
          </cell>
        </row>
        <row r="2609">
          <cell r="E2609" t="str">
            <v/>
          </cell>
          <cell r="J2609">
            <v>6036000</v>
          </cell>
        </row>
        <row r="2610">
          <cell r="E2610" t="str">
            <v/>
          </cell>
          <cell r="J2610">
            <v>6036000</v>
          </cell>
        </row>
        <row r="2611">
          <cell r="E2611" t="str">
            <v/>
          </cell>
          <cell r="J2611">
            <v>6036000</v>
          </cell>
        </row>
        <row r="2612">
          <cell r="E2612" t="str">
            <v/>
          </cell>
          <cell r="J2612">
            <v>6036000</v>
          </cell>
        </row>
        <row r="2613">
          <cell r="E2613" t="str">
            <v/>
          </cell>
          <cell r="J2613">
            <v>6036000</v>
          </cell>
        </row>
        <row r="2614">
          <cell r="E2614" t="str">
            <v/>
          </cell>
          <cell r="J2614">
            <v>6036000</v>
          </cell>
        </row>
        <row r="2615">
          <cell r="E2615" t="str">
            <v/>
          </cell>
          <cell r="J2615">
            <v>6036000</v>
          </cell>
        </row>
        <row r="2616">
          <cell r="E2616" t="str">
            <v/>
          </cell>
          <cell r="J2616">
            <v>6036000</v>
          </cell>
        </row>
        <row r="2617">
          <cell r="E2617" t="str">
            <v/>
          </cell>
          <cell r="J2617">
            <v>6036000</v>
          </cell>
        </row>
        <row r="2618">
          <cell r="E2618" t="str">
            <v/>
          </cell>
          <cell r="J2618">
            <v>6036000</v>
          </cell>
        </row>
        <row r="2619">
          <cell r="E2619" t="str">
            <v/>
          </cell>
          <cell r="J2619">
            <v>6036000</v>
          </cell>
        </row>
        <row r="2620">
          <cell r="E2620" t="str">
            <v/>
          </cell>
          <cell r="J2620">
            <v>6036000</v>
          </cell>
        </row>
        <row r="2621">
          <cell r="E2621" t="str">
            <v/>
          </cell>
          <cell r="J2621">
            <v>6036000</v>
          </cell>
        </row>
        <row r="2622">
          <cell r="E2622" t="str">
            <v/>
          </cell>
          <cell r="J2622">
            <v>6036000</v>
          </cell>
        </row>
        <row r="2623">
          <cell r="E2623" t="str">
            <v/>
          </cell>
          <cell r="J2623">
            <v>6036000</v>
          </cell>
        </row>
        <row r="2624">
          <cell r="E2624" t="str">
            <v/>
          </cell>
          <cell r="J2624">
            <v>6036000</v>
          </cell>
        </row>
        <row r="2625">
          <cell r="E2625" t="str">
            <v/>
          </cell>
          <cell r="J2625">
            <v>6036000</v>
          </cell>
        </row>
        <row r="2626">
          <cell r="E2626" t="str">
            <v/>
          </cell>
          <cell r="J2626">
            <v>6036000</v>
          </cell>
        </row>
        <row r="2627">
          <cell r="E2627" t="str">
            <v/>
          </cell>
          <cell r="J2627">
            <v>6036000</v>
          </cell>
        </row>
        <row r="2628">
          <cell r="E2628" t="str">
            <v/>
          </cell>
          <cell r="J2628">
            <v>6036000</v>
          </cell>
        </row>
        <row r="2629">
          <cell r="E2629" t="str">
            <v/>
          </cell>
          <cell r="J2629">
            <v>6036000</v>
          </cell>
        </row>
        <row r="2630">
          <cell r="E2630" t="str">
            <v/>
          </cell>
          <cell r="J2630">
            <v>6036000</v>
          </cell>
        </row>
        <row r="2631">
          <cell r="E2631" t="str">
            <v/>
          </cell>
          <cell r="J2631">
            <v>6036000</v>
          </cell>
        </row>
        <row r="2632">
          <cell r="E2632" t="str">
            <v/>
          </cell>
          <cell r="J2632">
            <v>6036000</v>
          </cell>
        </row>
        <row r="2633">
          <cell r="E2633" t="str">
            <v/>
          </cell>
          <cell r="J2633">
            <v>6036000</v>
          </cell>
        </row>
        <row r="2634">
          <cell r="E2634" t="str">
            <v/>
          </cell>
          <cell r="J2634">
            <v>6036000</v>
          </cell>
        </row>
        <row r="2635">
          <cell r="E2635" t="str">
            <v/>
          </cell>
          <cell r="J2635">
            <v>6036000</v>
          </cell>
        </row>
        <row r="2636">
          <cell r="E2636" t="str">
            <v/>
          </cell>
          <cell r="J2636">
            <v>6036000</v>
          </cell>
        </row>
        <row r="2637">
          <cell r="E2637" t="str">
            <v/>
          </cell>
          <cell r="J2637">
            <v>6036000</v>
          </cell>
        </row>
        <row r="2638">
          <cell r="E2638" t="str">
            <v/>
          </cell>
          <cell r="J2638">
            <v>6036000</v>
          </cell>
        </row>
        <row r="2639">
          <cell r="E2639" t="str">
            <v/>
          </cell>
          <cell r="J2639">
            <v>6036000</v>
          </cell>
        </row>
        <row r="2640">
          <cell r="E2640" t="str">
            <v/>
          </cell>
          <cell r="J2640">
            <v>6036000</v>
          </cell>
        </row>
        <row r="2641">
          <cell r="E2641" t="str">
            <v/>
          </cell>
          <cell r="J2641">
            <v>6036000</v>
          </cell>
        </row>
        <row r="2642">
          <cell r="E2642" t="str">
            <v/>
          </cell>
          <cell r="J2642">
            <v>6036000</v>
          </cell>
        </row>
        <row r="2643">
          <cell r="E2643" t="str">
            <v/>
          </cell>
          <cell r="J2643">
            <v>6036000</v>
          </cell>
        </row>
        <row r="2644">
          <cell r="E2644" t="str">
            <v/>
          </cell>
          <cell r="J2644">
            <v>6036000</v>
          </cell>
        </row>
        <row r="2645">
          <cell r="E2645" t="str">
            <v/>
          </cell>
          <cell r="J2645">
            <v>6036000</v>
          </cell>
        </row>
        <row r="2646">
          <cell r="E2646" t="str">
            <v/>
          </cell>
          <cell r="J2646">
            <v>6036000</v>
          </cell>
        </row>
        <row r="2647">
          <cell r="E2647" t="str">
            <v/>
          </cell>
          <cell r="J2647">
            <v>6036000</v>
          </cell>
        </row>
        <row r="2648">
          <cell r="E2648" t="str">
            <v/>
          </cell>
          <cell r="J2648">
            <v>6036000</v>
          </cell>
        </row>
        <row r="2649">
          <cell r="E2649" t="str">
            <v/>
          </cell>
          <cell r="J2649">
            <v>6036000</v>
          </cell>
        </row>
        <row r="2650">
          <cell r="E2650" t="str">
            <v/>
          </cell>
          <cell r="J2650">
            <v>6036000</v>
          </cell>
        </row>
        <row r="2651">
          <cell r="E2651" t="str">
            <v/>
          </cell>
          <cell r="J2651">
            <v>6036000</v>
          </cell>
        </row>
        <row r="2652">
          <cell r="E2652" t="str">
            <v/>
          </cell>
          <cell r="J2652">
            <v>6036000</v>
          </cell>
        </row>
        <row r="2653">
          <cell r="E2653" t="str">
            <v/>
          </cell>
          <cell r="J2653">
            <v>6036000</v>
          </cell>
        </row>
        <row r="2654">
          <cell r="E2654" t="str">
            <v/>
          </cell>
          <cell r="J2654">
            <v>6036000</v>
          </cell>
        </row>
        <row r="2655">
          <cell r="E2655" t="str">
            <v/>
          </cell>
          <cell r="J2655">
            <v>6036000</v>
          </cell>
        </row>
        <row r="2656">
          <cell r="E2656" t="str">
            <v/>
          </cell>
          <cell r="J2656">
            <v>6036000</v>
          </cell>
        </row>
        <row r="2657">
          <cell r="E2657" t="str">
            <v/>
          </cell>
          <cell r="J2657">
            <v>6036000</v>
          </cell>
        </row>
        <row r="2658">
          <cell r="E2658" t="str">
            <v/>
          </cell>
          <cell r="J2658">
            <v>6036000</v>
          </cell>
        </row>
        <row r="2659">
          <cell r="E2659" t="str">
            <v/>
          </cell>
          <cell r="J2659">
            <v>6036000</v>
          </cell>
        </row>
        <row r="2660">
          <cell r="E2660" t="str">
            <v/>
          </cell>
          <cell r="J2660">
            <v>6036000</v>
          </cell>
        </row>
        <row r="2661">
          <cell r="E2661" t="str">
            <v/>
          </cell>
          <cell r="J2661">
            <v>6036000</v>
          </cell>
        </row>
        <row r="2662">
          <cell r="E2662" t="str">
            <v/>
          </cell>
          <cell r="J2662">
            <v>6036000</v>
          </cell>
        </row>
        <row r="2663">
          <cell r="E2663" t="str">
            <v/>
          </cell>
          <cell r="J2663">
            <v>6036000</v>
          </cell>
        </row>
        <row r="2664">
          <cell r="E2664" t="str">
            <v/>
          </cell>
          <cell r="J2664">
            <v>6036000</v>
          </cell>
        </row>
        <row r="2665">
          <cell r="E2665" t="str">
            <v/>
          </cell>
          <cell r="J2665">
            <v>6036000</v>
          </cell>
        </row>
        <row r="2666">
          <cell r="E2666" t="str">
            <v/>
          </cell>
          <cell r="J2666">
            <v>6036000</v>
          </cell>
        </row>
        <row r="2667">
          <cell r="E2667" t="str">
            <v/>
          </cell>
          <cell r="J2667">
            <v>6036000</v>
          </cell>
        </row>
        <row r="2668">
          <cell r="E2668" t="str">
            <v/>
          </cell>
          <cell r="J2668">
            <v>6036000</v>
          </cell>
        </row>
        <row r="2669">
          <cell r="E2669" t="str">
            <v/>
          </cell>
          <cell r="J2669">
            <v>6036000</v>
          </cell>
        </row>
        <row r="2670">
          <cell r="E2670" t="str">
            <v/>
          </cell>
          <cell r="J2670">
            <v>6036000</v>
          </cell>
        </row>
        <row r="2671">
          <cell r="E2671" t="str">
            <v/>
          </cell>
          <cell r="J2671">
            <v>6036000</v>
          </cell>
        </row>
        <row r="2672">
          <cell r="E2672" t="str">
            <v/>
          </cell>
          <cell r="J2672">
            <v>6036000</v>
          </cell>
        </row>
        <row r="2673">
          <cell r="E2673" t="str">
            <v/>
          </cell>
          <cell r="J2673">
            <v>6036000</v>
          </cell>
        </row>
        <row r="2674">
          <cell r="E2674" t="str">
            <v/>
          </cell>
          <cell r="J2674">
            <v>6036000</v>
          </cell>
        </row>
        <row r="2675">
          <cell r="E2675" t="str">
            <v/>
          </cell>
          <cell r="J2675">
            <v>6036000</v>
          </cell>
        </row>
        <row r="2676">
          <cell r="E2676" t="str">
            <v/>
          </cell>
          <cell r="J2676">
            <v>6036000</v>
          </cell>
        </row>
        <row r="2677">
          <cell r="E2677" t="str">
            <v/>
          </cell>
          <cell r="J2677">
            <v>6036000</v>
          </cell>
        </row>
        <row r="2678">
          <cell r="E2678" t="str">
            <v/>
          </cell>
          <cell r="J2678">
            <v>6036000</v>
          </cell>
        </row>
        <row r="2679">
          <cell r="E2679" t="str">
            <v/>
          </cell>
          <cell r="J2679">
            <v>6036000</v>
          </cell>
        </row>
        <row r="2680">
          <cell r="E2680" t="str">
            <v/>
          </cell>
          <cell r="J2680">
            <v>6036000</v>
          </cell>
        </row>
        <row r="2681">
          <cell r="E2681" t="str">
            <v/>
          </cell>
          <cell r="J2681">
            <v>6036000</v>
          </cell>
        </row>
        <row r="2682">
          <cell r="E2682" t="str">
            <v/>
          </cell>
          <cell r="J2682">
            <v>6036000</v>
          </cell>
        </row>
        <row r="2683">
          <cell r="E2683" t="str">
            <v/>
          </cell>
          <cell r="J2683">
            <v>6036000</v>
          </cell>
        </row>
        <row r="2684">
          <cell r="E2684" t="str">
            <v/>
          </cell>
          <cell r="J2684">
            <v>6036000</v>
          </cell>
        </row>
        <row r="2685">
          <cell r="E2685" t="str">
            <v/>
          </cell>
          <cell r="J2685">
            <v>6036000</v>
          </cell>
        </row>
        <row r="2686">
          <cell r="E2686" t="str">
            <v/>
          </cell>
          <cell r="J2686">
            <v>6036000</v>
          </cell>
        </row>
        <row r="2687">
          <cell r="E2687" t="str">
            <v/>
          </cell>
          <cell r="J2687">
            <v>6036000</v>
          </cell>
        </row>
        <row r="2688">
          <cell r="E2688" t="str">
            <v/>
          </cell>
          <cell r="J2688">
            <v>6036000</v>
          </cell>
        </row>
        <row r="2689">
          <cell r="E2689" t="str">
            <v/>
          </cell>
          <cell r="J2689">
            <v>6036000</v>
          </cell>
        </row>
        <row r="2690">
          <cell r="E2690" t="str">
            <v/>
          </cell>
          <cell r="J2690">
            <v>6036000</v>
          </cell>
        </row>
        <row r="2691">
          <cell r="E2691" t="str">
            <v/>
          </cell>
          <cell r="J2691">
            <v>6036000</v>
          </cell>
        </row>
        <row r="2692">
          <cell r="E2692" t="str">
            <v/>
          </cell>
          <cell r="J2692">
            <v>6036000</v>
          </cell>
        </row>
        <row r="2693">
          <cell r="E2693" t="str">
            <v/>
          </cell>
          <cell r="J2693">
            <v>6036000</v>
          </cell>
        </row>
        <row r="2694">
          <cell r="E2694" t="str">
            <v/>
          </cell>
          <cell r="J2694">
            <v>6036000</v>
          </cell>
        </row>
        <row r="2695">
          <cell r="E2695" t="str">
            <v/>
          </cell>
          <cell r="J2695">
            <v>6036000</v>
          </cell>
        </row>
        <row r="2696">
          <cell r="E2696" t="str">
            <v/>
          </cell>
          <cell r="J2696">
            <v>6036000</v>
          </cell>
        </row>
        <row r="2697">
          <cell r="E2697" t="str">
            <v/>
          </cell>
          <cell r="J2697">
            <v>6036000</v>
          </cell>
        </row>
        <row r="2698">
          <cell r="E2698" t="str">
            <v/>
          </cell>
          <cell r="J2698">
            <v>6036000</v>
          </cell>
        </row>
        <row r="2699">
          <cell r="E2699" t="str">
            <v/>
          </cell>
          <cell r="J2699">
            <v>6036000</v>
          </cell>
        </row>
        <row r="2700">
          <cell r="E2700" t="str">
            <v/>
          </cell>
          <cell r="J2700">
            <v>6036000</v>
          </cell>
        </row>
        <row r="2701">
          <cell r="E2701" t="str">
            <v/>
          </cell>
          <cell r="J2701">
            <v>6036000</v>
          </cell>
        </row>
        <row r="2702">
          <cell r="E2702" t="str">
            <v/>
          </cell>
          <cell r="J2702">
            <v>6036000</v>
          </cell>
        </row>
        <row r="2703">
          <cell r="E2703" t="str">
            <v/>
          </cell>
          <cell r="J2703">
            <v>6036000</v>
          </cell>
        </row>
        <row r="2704">
          <cell r="E2704" t="str">
            <v/>
          </cell>
          <cell r="J2704">
            <v>6036000</v>
          </cell>
        </row>
        <row r="2705">
          <cell r="E2705" t="str">
            <v/>
          </cell>
          <cell r="J2705">
            <v>6036000</v>
          </cell>
        </row>
        <row r="2706">
          <cell r="E2706" t="str">
            <v/>
          </cell>
          <cell r="J2706">
            <v>6036000</v>
          </cell>
        </row>
        <row r="2707">
          <cell r="E2707" t="str">
            <v/>
          </cell>
          <cell r="J2707">
            <v>6036000</v>
          </cell>
        </row>
        <row r="2708">
          <cell r="E2708" t="str">
            <v/>
          </cell>
          <cell r="J2708">
            <v>6036000</v>
          </cell>
        </row>
        <row r="2709">
          <cell r="E2709" t="str">
            <v/>
          </cell>
          <cell r="J2709">
            <v>6036000</v>
          </cell>
        </row>
        <row r="2710">
          <cell r="E2710" t="str">
            <v/>
          </cell>
          <cell r="J2710">
            <v>6036000</v>
          </cell>
        </row>
        <row r="2711">
          <cell r="E2711" t="str">
            <v/>
          </cell>
          <cell r="J2711">
            <v>6036000</v>
          </cell>
        </row>
        <row r="2712">
          <cell r="E2712" t="str">
            <v/>
          </cell>
          <cell r="J2712">
            <v>6036000</v>
          </cell>
        </row>
        <row r="2713">
          <cell r="E2713" t="str">
            <v/>
          </cell>
          <cell r="J2713">
            <v>6036000</v>
          </cell>
        </row>
        <row r="2714">
          <cell r="E2714" t="str">
            <v/>
          </cell>
          <cell r="J2714">
            <v>6036000</v>
          </cell>
        </row>
        <row r="2715">
          <cell r="E2715" t="str">
            <v/>
          </cell>
          <cell r="J2715">
            <v>6036000</v>
          </cell>
        </row>
        <row r="2716">
          <cell r="E2716" t="str">
            <v/>
          </cell>
          <cell r="J2716">
            <v>6036000</v>
          </cell>
        </row>
        <row r="2717">
          <cell r="E2717" t="str">
            <v/>
          </cell>
          <cell r="J2717">
            <v>6036000</v>
          </cell>
        </row>
        <row r="2718">
          <cell r="E2718" t="str">
            <v/>
          </cell>
          <cell r="J2718">
            <v>6036000</v>
          </cell>
        </row>
        <row r="2719">
          <cell r="E2719" t="str">
            <v/>
          </cell>
          <cell r="J2719">
            <v>6036000</v>
          </cell>
        </row>
        <row r="2720">
          <cell r="E2720" t="str">
            <v/>
          </cell>
          <cell r="J2720">
            <v>6036000</v>
          </cell>
        </row>
        <row r="2721">
          <cell r="E2721" t="str">
            <v/>
          </cell>
          <cell r="J2721">
            <v>6036000</v>
          </cell>
        </row>
        <row r="2722">
          <cell r="E2722" t="str">
            <v/>
          </cell>
          <cell r="J2722">
            <v>6036000</v>
          </cell>
        </row>
        <row r="2723">
          <cell r="E2723" t="str">
            <v/>
          </cell>
          <cell r="J2723">
            <v>6036000</v>
          </cell>
        </row>
        <row r="2724">
          <cell r="E2724" t="str">
            <v/>
          </cell>
          <cell r="J2724">
            <v>6036000</v>
          </cell>
        </row>
        <row r="2725">
          <cell r="E2725" t="str">
            <v/>
          </cell>
          <cell r="J2725">
            <v>6036000</v>
          </cell>
        </row>
        <row r="2726">
          <cell r="E2726" t="str">
            <v/>
          </cell>
          <cell r="J2726">
            <v>6036000</v>
          </cell>
        </row>
        <row r="2727">
          <cell r="E2727" t="str">
            <v/>
          </cell>
          <cell r="J2727">
            <v>6036000</v>
          </cell>
        </row>
        <row r="2728">
          <cell r="E2728" t="str">
            <v/>
          </cell>
          <cell r="J2728">
            <v>6036000</v>
          </cell>
        </row>
        <row r="2729">
          <cell r="E2729" t="str">
            <v/>
          </cell>
          <cell r="J2729">
            <v>6036000</v>
          </cell>
        </row>
        <row r="2730">
          <cell r="E2730" t="str">
            <v/>
          </cell>
          <cell r="J2730">
            <v>6036000</v>
          </cell>
        </row>
        <row r="2731">
          <cell r="E2731" t="str">
            <v/>
          </cell>
          <cell r="J2731">
            <v>6036000</v>
          </cell>
        </row>
        <row r="2732">
          <cell r="E2732" t="str">
            <v/>
          </cell>
          <cell r="J2732">
            <v>6036000</v>
          </cell>
        </row>
        <row r="2733">
          <cell r="E2733" t="str">
            <v/>
          </cell>
          <cell r="J2733">
            <v>6036000</v>
          </cell>
        </row>
        <row r="2734">
          <cell r="E2734" t="str">
            <v/>
          </cell>
          <cell r="J2734">
            <v>6036000</v>
          </cell>
        </row>
        <row r="2735">
          <cell r="E2735" t="str">
            <v/>
          </cell>
          <cell r="J2735">
            <v>6036000</v>
          </cell>
        </row>
        <row r="2736">
          <cell r="E2736" t="str">
            <v/>
          </cell>
          <cell r="J2736">
            <v>6036000</v>
          </cell>
        </row>
        <row r="2737">
          <cell r="E2737" t="str">
            <v/>
          </cell>
          <cell r="J2737">
            <v>6036000</v>
          </cell>
        </row>
        <row r="2738">
          <cell r="E2738" t="str">
            <v/>
          </cell>
          <cell r="J2738">
            <v>6036000</v>
          </cell>
        </row>
        <row r="2739">
          <cell r="E2739" t="str">
            <v/>
          </cell>
          <cell r="J2739">
            <v>6036000</v>
          </cell>
        </row>
        <row r="2740">
          <cell r="E2740" t="str">
            <v/>
          </cell>
          <cell r="J2740">
            <v>6036000</v>
          </cell>
        </row>
        <row r="2741">
          <cell r="E2741" t="str">
            <v/>
          </cell>
          <cell r="J2741">
            <v>6036000</v>
          </cell>
        </row>
        <row r="2742">
          <cell r="E2742" t="str">
            <v/>
          </cell>
          <cell r="J2742">
            <v>6036000</v>
          </cell>
        </row>
        <row r="2743">
          <cell r="E2743" t="str">
            <v/>
          </cell>
          <cell r="J2743">
            <v>6036000</v>
          </cell>
        </row>
        <row r="2744">
          <cell r="E2744" t="str">
            <v/>
          </cell>
          <cell r="J2744">
            <v>6036000</v>
          </cell>
        </row>
        <row r="2745">
          <cell r="E2745" t="str">
            <v/>
          </cell>
          <cell r="J2745">
            <v>6036000</v>
          </cell>
        </row>
        <row r="2746">
          <cell r="E2746" t="str">
            <v/>
          </cell>
          <cell r="J2746">
            <v>6036000</v>
          </cell>
        </row>
        <row r="2747">
          <cell r="E2747" t="str">
            <v/>
          </cell>
          <cell r="J2747">
            <v>6036000</v>
          </cell>
        </row>
        <row r="2748">
          <cell r="E2748" t="str">
            <v/>
          </cell>
          <cell r="J2748">
            <v>6036000</v>
          </cell>
        </row>
        <row r="2749">
          <cell r="E2749" t="str">
            <v/>
          </cell>
          <cell r="J2749">
            <v>6036000</v>
          </cell>
        </row>
        <row r="2750">
          <cell r="E2750" t="str">
            <v/>
          </cell>
          <cell r="J2750">
            <v>6036000</v>
          </cell>
        </row>
        <row r="2751">
          <cell r="E2751" t="str">
            <v/>
          </cell>
          <cell r="J2751">
            <v>6036000</v>
          </cell>
        </row>
        <row r="2752">
          <cell r="E2752" t="str">
            <v/>
          </cell>
          <cell r="J2752">
            <v>6036000</v>
          </cell>
        </row>
        <row r="2753">
          <cell r="E2753" t="str">
            <v/>
          </cell>
          <cell r="J2753">
            <v>6036000</v>
          </cell>
        </row>
        <row r="2754">
          <cell r="E2754" t="str">
            <v/>
          </cell>
          <cell r="J2754">
            <v>6036000</v>
          </cell>
        </row>
        <row r="2755">
          <cell r="E2755" t="str">
            <v/>
          </cell>
          <cell r="J2755">
            <v>6036000</v>
          </cell>
        </row>
        <row r="2756">
          <cell r="E2756" t="str">
            <v/>
          </cell>
          <cell r="J2756">
            <v>6036000</v>
          </cell>
        </row>
        <row r="2757">
          <cell r="E2757" t="str">
            <v/>
          </cell>
          <cell r="J2757">
            <v>6036000</v>
          </cell>
        </row>
        <row r="2758">
          <cell r="E2758" t="str">
            <v/>
          </cell>
          <cell r="J2758">
            <v>6036000</v>
          </cell>
        </row>
        <row r="2759">
          <cell r="E2759" t="str">
            <v/>
          </cell>
          <cell r="J2759">
            <v>6036000</v>
          </cell>
        </row>
        <row r="2760">
          <cell r="E2760" t="str">
            <v/>
          </cell>
          <cell r="J2760">
            <v>6036000</v>
          </cell>
        </row>
        <row r="2761">
          <cell r="E2761" t="str">
            <v/>
          </cell>
          <cell r="J2761">
            <v>6036000</v>
          </cell>
        </row>
        <row r="2762">
          <cell r="E2762" t="str">
            <v/>
          </cell>
          <cell r="J2762">
            <v>6036000</v>
          </cell>
        </row>
        <row r="2763">
          <cell r="E2763" t="str">
            <v/>
          </cell>
          <cell r="J2763">
            <v>6036000</v>
          </cell>
        </row>
        <row r="2764">
          <cell r="E2764" t="str">
            <v/>
          </cell>
          <cell r="J2764">
            <v>6036000</v>
          </cell>
        </row>
        <row r="2765">
          <cell r="E2765" t="str">
            <v/>
          </cell>
          <cell r="J2765">
            <v>6036000</v>
          </cell>
        </row>
        <row r="2766">
          <cell r="E2766" t="str">
            <v/>
          </cell>
          <cell r="J2766">
            <v>6036000</v>
          </cell>
        </row>
        <row r="2767">
          <cell r="E2767" t="str">
            <v/>
          </cell>
          <cell r="J2767">
            <v>6036000</v>
          </cell>
        </row>
        <row r="2768">
          <cell r="E2768" t="str">
            <v/>
          </cell>
          <cell r="J2768">
            <v>6036000</v>
          </cell>
        </row>
        <row r="2769">
          <cell r="E2769" t="str">
            <v/>
          </cell>
          <cell r="J2769">
            <v>6036000</v>
          </cell>
        </row>
        <row r="2770">
          <cell r="E2770" t="str">
            <v/>
          </cell>
          <cell r="J2770">
            <v>6036000</v>
          </cell>
        </row>
        <row r="2771">
          <cell r="E2771" t="str">
            <v/>
          </cell>
          <cell r="J2771">
            <v>6036000</v>
          </cell>
        </row>
        <row r="2772">
          <cell r="E2772" t="str">
            <v/>
          </cell>
          <cell r="J2772">
            <v>6036000</v>
          </cell>
        </row>
        <row r="2773">
          <cell r="E2773" t="str">
            <v/>
          </cell>
          <cell r="J2773">
            <v>6036000</v>
          </cell>
        </row>
        <row r="2774">
          <cell r="E2774" t="str">
            <v/>
          </cell>
          <cell r="J2774">
            <v>6036000</v>
          </cell>
        </row>
        <row r="2775">
          <cell r="E2775" t="str">
            <v/>
          </cell>
          <cell r="J2775">
            <v>6036000</v>
          </cell>
        </row>
        <row r="2776">
          <cell r="E2776" t="str">
            <v/>
          </cell>
          <cell r="J2776">
            <v>6036000</v>
          </cell>
        </row>
        <row r="2777">
          <cell r="E2777" t="str">
            <v/>
          </cell>
          <cell r="J2777">
            <v>6036000</v>
          </cell>
        </row>
        <row r="2778">
          <cell r="E2778" t="str">
            <v/>
          </cell>
          <cell r="J2778">
            <v>6036000</v>
          </cell>
        </row>
        <row r="2779">
          <cell r="E2779" t="str">
            <v/>
          </cell>
          <cell r="J2779">
            <v>6036000</v>
          </cell>
        </row>
        <row r="2780">
          <cell r="E2780" t="str">
            <v/>
          </cell>
          <cell r="J2780">
            <v>6036000</v>
          </cell>
        </row>
        <row r="2781">
          <cell r="E2781" t="str">
            <v/>
          </cell>
          <cell r="J2781">
            <v>6036000</v>
          </cell>
        </row>
        <row r="2782">
          <cell r="E2782" t="str">
            <v/>
          </cell>
          <cell r="J2782">
            <v>6036000</v>
          </cell>
        </row>
        <row r="2783">
          <cell r="E2783" t="str">
            <v/>
          </cell>
          <cell r="J2783">
            <v>6036000</v>
          </cell>
        </row>
        <row r="2784">
          <cell r="E2784" t="str">
            <v/>
          </cell>
          <cell r="J2784">
            <v>6036000</v>
          </cell>
        </row>
        <row r="2785">
          <cell r="E2785" t="str">
            <v/>
          </cell>
          <cell r="J2785">
            <v>6036000</v>
          </cell>
        </row>
        <row r="2786">
          <cell r="E2786" t="str">
            <v/>
          </cell>
          <cell r="J2786">
            <v>6036000</v>
          </cell>
        </row>
        <row r="2787">
          <cell r="E2787" t="str">
            <v/>
          </cell>
          <cell r="J2787">
            <v>6036000</v>
          </cell>
        </row>
        <row r="2788">
          <cell r="E2788" t="str">
            <v/>
          </cell>
          <cell r="J2788">
            <v>6036000</v>
          </cell>
        </row>
        <row r="2789">
          <cell r="E2789" t="str">
            <v/>
          </cell>
          <cell r="J2789">
            <v>6036000</v>
          </cell>
        </row>
        <row r="2790">
          <cell r="E2790" t="str">
            <v/>
          </cell>
          <cell r="J2790">
            <v>6036000</v>
          </cell>
        </row>
        <row r="2791">
          <cell r="E2791" t="str">
            <v/>
          </cell>
          <cell r="J2791">
            <v>6036000</v>
          </cell>
        </row>
        <row r="2792">
          <cell r="E2792" t="str">
            <v/>
          </cell>
          <cell r="J2792">
            <v>6036000</v>
          </cell>
        </row>
        <row r="2793">
          <cell r="E2793" t="str">
            <v/>
          </cell>
          <cell r="J2793">
            <v>6036000</v>
          </cell>
        </row>
        <row r="2794">
          <cell r="E2794" t="str">
            <v/>
          </cell>
          <cell r="J2794">
            <v>6036000</v>
          </cell>
        </row>
        <row r="2795">
          <cell r="E2795" t="str">
            <v/>
          </cell>
          <cell r="J2795">
            <v>6036000</v>
          </cell>
        </row>
        <row r="2796">
          <cell r="E2796" t="str">
            <v/>
          </cell>
          <cell r="J2796">
            <v>6036000</v>
          </cell>
        </row>
        <row r="2797">
          <cell r="E2797" t="str">
            <v/>
          </cell>
          <cell r="J2797">
            <v>6036000</v>
          </cell>
        </row>
        <row r="2798">
          <cell r="E2798" t="str">
            <v/>
          </cell>
          <cell r="J2798">
            <v>6036000</v>
          </cell>
        </row>
        <row r="2799">
          <cell r="E2799" t="str">
            <v/>
          </cell>
          <cell r="J2799">
            <v>6036000</v>
          </cell>
        </row>
        <row r="2800">
          <cell r="E2800" t="str">
            <v/>
          </cell>
          <cell r="J2800">
            <v>6036000</v>
          </cell>
        </row>
        <row r="2801">
          <cell r="E2801" t="str">
            <v/>
          </cell>
          <cell r="J2801">
            <v>6036000</v>
          </cell>
        </row>
        <row r="2802">
          <cell r="E2802" t="str">
            <v/>
          </cell>
          <cell r="J2802">
            <v>6036000</v>
          </cell>
        </row>
        <row r="2803">
          <cell r="E2803" t="str">
            <v/>
          </cell>
          <cell r="J2803">
            <v>6036000</v>
          </cell>
        </row>
        <row r="2804">
          <cell r="E2804" t="str">
            <v/>
          </cell>
          <cell r="J2804">
            <v>6036000</v>
          </cell>
        </row>
        <row r="2805">
          <cell r="E2805" t="str">
            <v/>
          </cell>
          <cell r="J2805">
            <v>6036000</v>
          </cell>
        </row>
        <row r="2806">
          <cell r="E2806" t="str">
            <v/>
          </cell>
          <cell r="J2806">
            <v>6036000</v>
          </cell>
        </row>
        <row r="2807">
          <cell r="E2807" t="str">
            <v/>
          </cell>
          <cell r="J2807">
            <v>6036000</v>
          </cell>
        </row>
        <row r="2808">
          <cell r="E2808" t="str">
            <v/>
          </cell>
          <cell r="J2808">
            <v>6036000</v>
          </cell>
        </row>
        <row r="2809">
          <cell r="E2809" t="str">
            <v/>
          </cell>
          <cell r="J2809">
            <v>6036000</v>
          </cell>
        </row>
        <row r="2810">
          <cell r="E2810" t="str">
            <v/>
          </cell>
          <cell r="J2810">
            <v>6036000</v>
          </cell>
        </row>
        <row r="2811">
          <cell r="E2811" t="str">
            <v/>
          </cell>
          <cell r="J2811">
            <v>6036000</v>
          </cell>
        </row>
        <row r="2812">
          <cell r="E2812" t="str">
            <v/>
          </cell>
          <cell r="J2812">
            <v>6036000</v>
          </cell>
        </row>
        <row r="2813">
          <cell r="E2813" t="str">
            <v/>
          </cell>
          <cell r="J2813">
            <v>6036000</v>
          </cell>
        </row>
        <row r="2814">
          <cell r="E2814" t="str">
            <v/>
          </cell>
          <cell r="J2814">
            <v>6036000</v>
          </cell>
        </row>
        <row r="2815">
          <cell r="E2815" t="str">
            <v/>
          </cell>
          <cell r="J2815">
            <v>6036000</v>
          </cell>
        </row>
        <row r="2816">
          <cell r="E2816" t="str">
            <v/>
          </cell>
          <cell r="J2816">
            <v>6036000</v>
          </cell>
        </row>
        <row r="2817">
          <cell r="E2817" t="str">
            <v/>
          </cell>
          <cell r="J2817">
            <v>6036000</v>
          </cell>
        </row>
        <row r="2818">
          <cell r="E2818" t="str">
            <v/>
          </cell>
          <cell r="J2818">
            <v>6036000</v>
          </cell>
        </row>
        <row r="2819">
          <cell r="E2819" t="str">
            <v/>
          </cell>
          <cell r="J2819">
            <v>6036000</v>
          </cell>
        </row>
        <row r="2820">
          <cell r="E2820" t="str">
            <v/>
          </cell>
          <cell r="J2820">
            <v>6036000</v>
          </cell>
        </row>
        <row r="2821">
          <cell r="E2821" t="str">
            <v/>
          </cell>
          <cell r="J2821">
            <v>6036000</v>
          </cell>
        </row>
        <row r="2822">
          <cell r="E2822" t="str">
            <v/>
          </cell>
          <cell r="J2822">
            <v>6036000</v>
          </cell>
        </row>
        <row r="2823">
          <cell r="E2823" t="str">
            <v/>
          </cell>
          <cell r="J2823">
            <v>6036000</v>
          </cell>
        </row>
        <row r="2824">
          <cell r="E2824" t="str">
            <v/>
          </cell>
          <cell r="J2824">
            <v>6036000</v>
          </cell>
        </row>
        <row r="2825">
          <cell r="E2825" t="str">
            <v/>
          </cell>
          <cell r="J2825">
            <v>6036000</v>
          </cell>
        </row>
        <row r="2826">
          <cell r="E2826" t="str">
            <v/>
          </cell>
          <cell r="J2826">
            <v>6036000</v>
          </cell>
        </row>
        <row r="2827">
          <cell r="E2827" t="str">
            <v/>
          </cell>
          <cell r="J2827">
            <v>6036000</v>
          </cell>
        </row>
        <row r="2828">
          <cell r="E2828" t="str">
            <v/>
          </cell>
          <cell r="J2828">
            <v>6036000</v>
          </cell>
        </row>
        <row r="2829">
          <cell r="E2829" t="str">
            <v/>
          </cell>
          <cell r="J2829">
            <v>6036000</v>
          </cell>
        </row>
        <row r="2830">
          <cell r="E2830" t="str">
            <v/>
          </cell>
          <cell r="J2830">
            <v>6036000</v>
          </cell>
        </row>
        <row r="2831">
          <cell r="E2831" t="str">
            <v/>
          </cell>
          <cell r="J2831">
            <v>6036000</v>
          </cell>
        </row>
        <row r="2832">
          <cell r="E2832" t="str">
            <v/>
          </cell>
          <cell r="J2832">
            <v>6036000</v>
          </cell>
        </row>
        <row r="2833">
          <cell r="E2833" t="str">
            <v/>
          </cell>
          <cell r="J2833">
            <v>6036000</v>
          </cell>
        </row>
        <row r="2834">
          <cell r="E2834" t="str">
            <v/>
          </cell>
          <cell r="J2834">
            <v>6036000</v>
          </cell>
        </row>
        <row r="2835">
          <cell r="E2835" t="str">
            <v/>
          </cell>
          <cell r="J2835">
            <v>6036000</v>
          </cell>
        </row>
        <row r="2836">
          <cell r="E2836" t="str">
            <v/>
          </cell>
          <cell r="J2836">
            <v>6036000</v>
          </cell>
        </row>
        <row r="2837">
          <cell r="E2837" t="str">
            <v/>
          </cell>
          <cell r="J2837">
            <v>6036000</v>
          </cell>
        </row>
        <row r="2838">
          <cell r="E2838" t="str">
            <v/>
          </cell>
          <cell r="J2838">
            <v>6036000</v>
          </cell>
        </row>
        <row r="2839">
          <cell r="E2839" t="str">
            <v/>
          </cell>
          <cell r="J2839">
            <v>6036000</v>
          </cell>
        </row>
        <row r="2840">
          <cell r="E2840" t="str">
            <v/>
          </cell>
          <cell r="J2840">
            <v>6036000</v>
          </cell>
        </row>
        <row r="2841">
          <cell r="E2841" t="str">
            <v/>
          </cell>
          <cell r="J2841">
            <v>6036000</v>
          </cell>
        </row>
        <row r="2842">
          <cell r="E2842" t="str">
            <v/>
          </cell>
          <cell r="J2842">
            <v>6036000</v>
          </cell>
        </row>
        <row r="2843">
          <cell r="E2843" t="str">
            <v/>
          </cell>
          <cell r="J2843">
            <v>6036000</v>
          </cell>
        </row>
        <row r="2844">
          <cell r="E2844" t="str">
            <v/>
          </cell>
          <cell r="J2844">
            <v>6036000</v>
          </cell>
        </row>
        <row r="2845">
          <cell r="E2845" t="str">
            <v/>
          </cell>
          <cell r="J2845">
            <v>6036000</v>
          </cell>
        </row>
        <row r="2846">
          <cell r="E2846" t="str">
            <v/>
          </cell>
          <cell r="J2846">
            <v>6036000</v>
          </cell>
        </row>
        <row r="2847">
          <cell r="E2847" t="str">
            <v/>
          </cell>
          <cell r="J2847">
            <v>6036000</v>
          </cell>
        </row>
        <row r="2848">
          <cell r="E2848" t="str">
            <v/>
          </cell>
          <cell r="J2848">
            <v>6036000</v>
          </cell>
        </row>
        <row r="2849">
          <cell r="E2849" t="str">
            <v/>
          </cell>
          <cell r="J2849">
            <v>6036000</v>
          </cell>
        </row>
        <row r="2850">
          <cell r="E2850" t="str">
            <v/>
          </cell>
          <cell r="J2850">
            <v>6036000</v>
          </cell>
        </row>
        <row r="2851">
          <cell r="E2851" t="str">
            <v/>
          </cell>
          <cell r="J2851">
            <v>6036000</v>
          </cell>
        </row>
        <row r="2852">
          <cell r="E2852" t="str">
            <v/>
          </cell>
          <cell r="J2852">
            <v>6036000</v>
          </cell>
        </row>
        <row r="2853">
          <cell r="E2853" t="str">
            <v/>
          </cell>
          <cell r="J2853">
            <v>6036000</v>
          </cell>
        </row>
        <row r="2854">
          <cell r="E2854" t="str">
            <v/>
          </cell>
          <cell r="J2854">
            <v>6036000</v>
          </cell>
        </row>
        <row r="2855">
          <cell r="E2855" t="str">
            <v/>
          </cell>
          <cell r="J2855">
            <v>6036000</v>
          </cell>
        </row>
        <row r="2856">
          <cell r="E2856" t="str">
            <v/>
          </cell>
          <cell r="J2856">
            <v>6036000</v>
          </cell>
        </row>
        <row r="2857">
          <cell r="E2857" t="str">
            <v/>
          </cell>
          <cell r="J2857">
            <v>6036000</v>
          </cell>
        </row>
        <row r="2858">
          <cell r="E2858" t="str">
            <v/>
          </cell>
          <cell r="J2858">
            <v>6036000</v>
          </cell>
        </row>
        <row r="2859">
          <cell r="E2859" t="str">
            <v/>
          </cell>
          <cell r="J2859">
            <v>6036000</v>
          </cell>
        </row>
        <row r="2860">
          <cell r="E2860" t="str">
            <v/>
          </cell>
          <cell r="J2860">
            <v>6036000</v>
          </cell>
        </row>
        <row r="2861">
          <cell r="E2861" t="str">
            <v/>
          </cell>
          <cell r="J2861">
            <v>6036000</v>
          </cell>
        </row>
        <row r="2862">
          <cell r="E2862" t="str">
            <v/>
          </cell>
          <cell r="J2862">
            <v>6036000</v>
          </cell>
        </row>
        <row r="2863">
          <cell r="E2863" t="str">
            <v/>
          </cell>
          <cell r="J2863">
            <v>6036000</v>
          </cell>
        </row>
        <row r="2864">
          <cell r="E2864" t="str">
            <v/>
          </cell>
          <cell r="J2864">
            <v>6036000</v>
          </cell>
        </row>
        <row r="2865">
          <cell r="E2865" t="str">
            <v/>
          </cell>
          <cell r="J2865">
            <v>6036000</v>
          </cell>
        </row>
        <row r="2866">
          <cell r="E2866" t="str">
            <v/>
          </cell>
          <cell r="J2866">
            <v>6036000</v>
          </cell>
        </row>
        <row r="2867">
          <cell r="E2867" t="str">
            <v/>
          </cell>
          <cell r="J2867">
            <v>6036000</v>
          </cell>
        </row>
        <row r="2868">
          <cell r="E2868" t="str">
            <v/>
          </cell>
          <cell r="J2868">
            <v>6036000</v>
          </cell>
        </row>
        <row r="2869">
          <cell r="E2869" t="str">
            <v/>
          </cell>
          <cell r="J2869">
            <v>6036000</v>
          </cell>
        </row>
        <row r="2870">
          <cell r="E2870" t="str">
            <v/>
          </cell>
          <cell r="J2870">
            <v>6036000</v>
          </cell>
        </row>
        <row r="2871">
          <cell r="E2871" t="str">
            <v/>
          </cell>
          <cell r="J2871">
            <v>6036000</v>
          </cell>
        </row>
        <row r="2872">
          <cell r="E2872" t="str">
            <v/>
          </cell>
          <cell r="J2872">
            <v>6036000</v>
          </cell>
        </row>
        <row r="2873">
          <cell r="E2873" t="str">
            <v/>
          </cell>
          <cell r="J2873">
            <v>6036000</v>
          </cell>
        </row>
        <row r="2874">
          <cell r="E2874" t="str">
            <v/>
          </cell>
          <cell r="J2874">
            <v>6036000</v>
          </cell>
        </row>
        <row r="2875">
          <cell r="E2875" t="str">
            <v/>
          </cell>
          <cell r="J2875">
            <v>6036000</v>
          </cell>
        </row>
        <row r="2876">
          <cell r="E2876" t="str">
            <v/>
          </cell>
          <cell r="J2876">
            <v>6036000</v>
          </cell>
        </row>
        <row r="2877">
          <cell r="E2877" t="str">
            <v/>
          </cell>
          <cell r="J2877">
            <v>6036000</v>
          </cell>
        </row>
        <row r="2878">
          <cell r="E2878" t="str">
            <v/>
          </cell>
          <cell r="J2878">
            <v>6036000</v>
          </cell>
        </row>
        <row r="2879">
          <cell r="E2879" t="str">
            <v/>
          </cell>
          <cell r="J2879">
            <v>6036000</v>
          </cell>
        </row>
        <row r="2880">
          <cell r="E2880" t="str">
            <v/>
          </cell>
          <cell r="J2880">
            <v>6036000</v>
          </cell>
        </row>
        <row r="2881">
          <cell r="E2881" t="str">
            <v/>
          </cell>
          <cell r="J2881">
            <v>6036000</v>
          </cell>
        </row>
        <row r="2882">
          <cell r="E2882" t="str">
            <v/>
          </cell>
          <cell r="J2882">
            <v>6036000</v>
          </cell>
        </row>
        <row r="2883">
          <cell r="E2883" t="str">
            <v/>
          </cell>
          <cell r="J2883">
            <v>6036000</v>
          </cell>
        </row>
        <row r="2884">
          <cell r="E2884" t="str">
            <v/>
          </cell>
          <cell r="J2884">
            <v>6036000</v>
          </cell>
        </row>
        <row r="2885">
          <cell r="E2885" t="str">
            <v/>
          </cell>
          <cell r="J2885">
            <v>6036000</v>
          </cell>
        </row>
        <row r="2886">
          <cell r="E2886" t="str">
            <v/>
          </cell>
          <cell r="J2886">
            <v>6036000</v>
          </cell>
        </row>
        <row r="2887">
          <cell r="E2887" t="str">
            <v/>
          </cell>
          <cell r="J2887">
            <v>6036000</v>
          </cell>
        </row>
        <row r="2888">
          <cell r="E2888" t="str">
            <v/>
          </cell>
          <cell r="J2888">
            <v>6036000</v>
          </cell>
        </row>
        <row r="2889">
          <cell r="E2889" t="str">
            <v/>
          </cell>
          <cell r="J2889">
            <v>6036000</v>
          </cell>
        </row>
        <row r="2890">
          <cell r="E2890" t="str">
            <v/>
          </cell>
          <cell r="J2890">
            <v>6036000</v>
          </cell>
        </row>
        <row r="2891">
          <cell r="E2891" t="str">
            <v/>
          </cell>
          <cell r="J2891">
            <v>6036000</v>
          </cell>
        </row>
        <row r="2892">
          <cell r="E2892" t="str">
            <v/>
          </cell>
          <cell r="J2892">
            <v>6036000</v>
          </cell>
        </row>
        <row r="2893">
          <cell r="E2893" t="str">
            <v/>
          </cell>
          <cell r="J2893">
            <v>6036000</v>
          </cell>
        </row>
        <row r="2894">
          <cell r="E2894" t="str">
            <v/>
          </cell>
          <cell r="J2894">
            <v>6036000</v>
          </cell>
        </row>
        <row r="2895">
          <cell r="E2895" t="str">
            <v/>
          </cell>
          <cell r="J2895">
            <v>6036000</v>
          </cell>
        </row>
        <row r="2896">
          <cell r="E2896" t="str">
            <v/>
          </cell>
          <cell r="J2896">
            <v>6036000</v>
          </cell>
        </row>
        <row r="2897">
          <cell r="E2897" t="str">
            <v/>
          </cell>
          <cell r="J2897">
            <v>6036000</v>
          </cell>
        </row>
        <row r="2898">
          <cell r="E2898" t="str">
            <v/>
          </cell>
          <cell r="J2898">
            <v>6036000</v>
          </cell>
        </row>
        <row r="2899">
          <cell r="E2899" t="str">
            <v/>
          </cell>
          <cell r="J2899">
            <v>6036000</v>
          </cell>
        </row>
        <row r="2900">
          <cell r="E2900" t="str">
            <v/>
          </cell>
          <cell r="J2900">
            <v>6036000</v>
          </cell>
        </row>
        <row r="2901">
          <cell r="E2901" t="str">
            <v/>
          </cell>
          <cell r="J2901">
            <v>6036000</v>
          </cell>
        </row>
        <row r="2902">
          <cell r="E2902" t="str">
            <v/>
          </cell>
          <cell r="J2902">
            <v>6036000</v>
          </cell>
        </row>
        <row r="2903">
          <cell r="E2903" t="str">
            <v/>
          </cell>
          <cell r="J2903">
            <v>6036000</v>
          </cell>
        </row>
        <row r="2904">
          <cell r="E2904" t="str">
            <v/>
          </cell>
          <cell r="J2904">
            <v>6036000</v>
          </cell>
        </row>
        <row r="2905">
          <cell r="E2905" t="str">
            <v/>
          </cell>
          <cell r="J2905">
            <v>6036000</v>
          </cell>
        </row>
        <row r="2906">
          <cell r="E2906" t="str">
            <v/>
          </cell>
          <cell r="J2906">
            <v>6036000</v>
          </cell>
        </row>
        <row r="2907">
          <cell r="E2907" t="str">
            <v/>
          </cell>
          <cell r="J2907">
            <v>6036000</v>
          </cell>
        </row>
        <row r="2908">
          <cell r="E2908" t="str">
            <v/>
          </cell>
          <cell r="J2908">
            <v>6036000</v>
          </cell>
        </row>
        <row r="2909">
          <cell r="E2909" t="str">
            <v/>
          </cell>
          <cell r="J2909">
            <v>6036000</v>
          </cell>
        </row>
        <row r="2910">
          <cell r="E2910" t="str">
            <v/>
          </cell>
          <cell r="J2910">
            <v>6036000</v>
          </cell>
        </row>
        <row r="2911">
          <cell r="E2911" t="str">
            <v/>
          </cell>
          <cell r="J2911">
            <v>6036000</v>
          </cell>
        </row>
        <row r="2912">
          <cell r="E2912" t="str">
            <v/>
          </cell>
          <cell r="J2912">
            <v>6036000</v>
          </cell>
        </row>
        <row r="2913">
          <cell r="E2913" t="str">
            <v/>
          </cell>
          <cell r="J2913">
            <v>6036000</v>
          </cell>
        </row>
        <row r="2914">
          <cell r="E2914" t="str">
            <v/>
          </cell>
          <cell r="J2914">
            <v>6036000</v>
          </cell>
        </row>
        <row r="2915">
          <cell r="E2915" t="str">
            <v/>
          </cell>
          <cell r="J2915">
            <v>6036000</v>
          </cell>
        </row>
        <row r="2916">
          <cell r="E2916" t="str">
            <v/>
          </cell>
          <cell r="J2916">
            <v>6036000</v>
          </cell>
        </row>
        <row r="2917">
          <cell r="E2917" t="str">
            <v/>
          </cell>
          <cell r="J2917">
            <v>6036000</v>
          </cell>
        </row>
        <row r="2918">
          <cell r="E2918" t="str">
            <v/>
          </cell>
          <cell r="J2918">
            <v>6036000</v>
          </cell>
        </row>
        <row r="2919">
          <cell r="E2919" t="str">
            <v/>
          </cell>
          <cell r="J2919">
            <v>6036000</v>
          </cell>
        </row>
        <row r="2920">
          <cell r="E2920" t="str">
            <v/>
          </cell>
          <cell r="J2920">
            <v>6036000</v>
          </cell>
        </row>
        <row r="2921">
          <cell r="E2921" t="str">
            <v/>
          </cell>
          <cell r="J2921">
            <v>6036000</v>
          </cell>
        </row>
        <row r="2922">
          <cell r="E2922" t="str">
            <v/>
          </cell>
          <cell r="J2922">
            <v>6036000</v>
          </cell>
        </row>
        <row r="2923">
          <cell r="E2923" t="str">
            <v/>
          </cell>
          <cell r="J2923">
            <v>6036000</v>
          </cell>
        </row>
        <row r="2924">
          <cell r="E2924" t="str">
            <v/>
          </cell>
          <cell r="J2924">
            <v>6036000</v>
          </cell>
        </row>
        <row r="2925">
          <cell r="E2925" t="str">
            <v/>
          </cell>
          <cell r="J2925">
            <v>6036000</v>
          </cell>
        </row>
        <row r="2926">
          <cell r="E2926" t="str">
            <v/>
          </cell>
          <cell r="J2926">
            <v>6036000</v>
          </cell>
        </row>
        <row r="2927">
          <cell r="E2927" t="str">
            <v/>
          </cell>
          <cell r="J2927">
            <v>6036000</v>
          </cell>
        </row>
        <row r="2928">
          <cell r="E2928" t="str">
            <v/>
          </cell>
          <cell r="J2928">
            <v>6036000</v>
          </cell>
        </row>
        <row r="2929">
          <cell r="E2929" t="str">
            <v/>
          </cell>
          <cell r="J2929">
            <v>6036000</v>
          </cell>
        </row>
        <row r="2930">
          <cell r="E2930" t="str">
            <v/>
          </cell>
          <cell r="J2930">
            <v>6036000</v>
          </cell>
        </row>
        <row r="2931">
          <cell r="E2931" t="str">
            <v/>
          </cell>
          <cell r="J2931">
            <v>6036000</v>
          </cell>
        </row>
        <row r="2932">
          <cell r="E2932" t="str">
            <v/>
          </cell>
          <cell r="J2932">
            <v>6036000</v>
          </cell>
        </row>
        <row r="2933">
          <cell r="E2933" t="str">
            <v/>
          </cell>
          <cell r="J2933">
            <v>6036000</v>
          </cell>
        </row>
        <row r="2934">
          <cell r="E2934" t="str">
            <v/>
          </cell>
          <cell r="J2934">
            <v>6036000</v>
          </cell>
        </row>
        <row r="2935">
          <cell r="E2935" t="str">
            <v/>
          </cell>
          <cell r="J2935">
            <v>6036000</v>
          </cell>
        </row>
        <row r="2936">
          <cell r="E2936" t="str">
            <v/>
          </cell>
          <cell r="J2936">
            <v>6036000</v>
          </cell>
        </row>
        <row r="2937">
          <cell r="E2937" t="str">
            <v/>
          </cell>
          <cell r="J2937">
            <v>6036000</v>
          </cell>
        </row>
        <row r="2938">
          <cell r="E2938" t="str">
            <v/>
          </cell>
          <cell r="J2938">
            <v>6036000</v>
          </cell>
        </row>
        <row r="2939">
          <cell r="E2939" t="str">
            <v/>
          </cell>
          <cell r="J2939">
            <v>6036000</v>
          </cell>
        </row>
        <row r="2940">
          <cell r="E2940" t="str">
            <v/>
          </cell>
          <cell r="J2940">
            <v>6036000</v>
          </cell>
        </row>
        <row r="2941">
          <cell r="E2941" t="str">
            <v/>
          </cell>
          <cell r="J2941">
            <v>6036000</v>
          </cell>
        </row>
        <row r="2942">
          <cell r="E2942" t="str">
            <v/>
          </cell>
          <cell r="J2942">
            <v>6036000</v>
          </cell>
        </row>
        <row r="2943">
          <cell r="E2943" t="str">
            <v/>
          </cell>
          <cell r="J2943">
            <v>6036000</v>
          </cell>
        </row>
        <row r="2944">
          <cell r="E2944" t="str">
            <v/>
          </cell>
          <cell r="J2944">
            <v>6036000</v>
          </cell>
        </row>
        <row r="2945">
          <cell r="E2945" t="str">
            <v/>
          </cell>
          <cell r="J2945">
            <v>6036000</v>
          </cell>
        </row>
        <row r="2946">
          <cell r="E2946" t="str">
            <v/>
          </cell>
          <cell r="J2946">
            <v>6036000</v>
          </cell>
        </row>
        <row r="2947">
          <cell r="E2947" t="str">
            <v/>
          </cell>
          <cell r="J2947">
            <v>6036000</v>
          </cell>
        </row>
        <row r="2948">
          <cell r="E2948" t="str">
            <v/>
          </cell>
          <cell r="J2948">
            <v>6036000</v>
          </cell>
        </row>
        <row r="2949">
          <cell r="E2949" t="str">
            <v/>
          </cell>
          <cell r="J2949">
            <v>6036000</v>
          </cell>
        </row>
        <row r="2950">
          <cell r="E2950" t="str">
            <v/>
          </cell>
          <cell r="J2950">
            <v>6036000</v>
          </cell>
        </row>
        <row r="2951">
          <cell r="E2951" t="str">
            <v/>
          </cell>
          <cell r="J2951">
            <v>6036000</v>
          </cell>
        </row>
        <row r="2952">
          <cell r="E2952" t="str">
            <v/>
          </cell>
          <cell r="J2952">
            <v>6036000</v>
          </cell>
        </row>
        <row r="2953">
          <cell r="E2953" t="str">
            <v/>
          </cell>
          <cell r="J2953">
            <v>6036000</v>
          </cell>
        </row>
        <row r="2954">
          <cell r="E2954" t="str">
            <v/>
          </cell>
          <cell r="J2954">
            <v>6036000</v>
          </cell>
        </row>
        <row r="2955">
          <cell r="E2955" t="str">
            <v/>
          </cell>
          <cell r="J2955">
            <v>6036000</v>
          </cell>
        </row>
        <row r="2956">
          <cell r="E2956" t="str">
            <v/>
          </cell>
          <cell r="J2956">
            <v>6036000</v>
          </cell>
        </row>
        <row r="2957">
          <cell r="E2957" t="str">
            <v/>
          </cell>
          <cell r="J2957">
            <v>6036000</v>
          </cell>
        </row>
        <row r="2958">
          <cell r="E2958" t="str">
            <v/>
          </cell>
          <cell r="J2958">
            <v>6036000</v>
          </cell>
        </row>
        <row r="2959">
          <cell r="E2959" t="str">
            <v/>
          </cell>
          <cell r="J2959">
            <v>6036000</v>
          </cell>
        </row>
        <row r="2960">
          <cell r="E2960" t="str">
            <v/>
          </cell>
          <cell r="J2960">
            <v>6036000</v>
          </cell>
        </row>
        <row r="2961">
          <cell r="E2961" t="str">
            <v/>
          </cell>
          <cell r="J2961">
            <v>6036000</v>
          </cell>
        </row>
        <row r="2962">
          <cell r="E2962" t="str">
            <v/>
          </cell>
          <cell r="J2962">
            <v>6036000</v>
          </cell>
        </row>
        <row r="2963">
          <cell r="E2963" t="str">
            <v/>
          </cell>
          <cell r="J2963">
            <v>6036000</v>
          </cell>
        </row>
        <row r="2964">
          <cell r="E2964" t="str">
            <v/>
          </cell>
          <cell r="J2964">
            <v>6036000</v>
          </cell>
        </row>
        <row r="2965">
          <cell r="E2965" t="str">
            <v/>
          </cell>
          <cell r="J2965">
            <v>6036000</v>
          </cell>
        </row>
        <row r="2966">
          <cell r="E2966" t="str">
            <v/>
          </cell>
          <cell r="J2966">
            <v>6036000</v>
          </cell>
        </row>
        <row r="2967">
          <cell r="E2967" t="str">
            <v/>
          </cell>
          <cell r="J2967">
            <v>6036000</v>
          </cell>
        </row>
        <row r="2968">
          <cell r="E2968" t="str">
            <v/>
          </cell>
          <cell r="J2968">
            <v>6036000</v>
          </cell>
        </row>
        <row r="2969">
          <cell r="E2969" t="str">
            <v/>
          </cell>
          <cell r="J2969">
            <v>6036000</v>
          </cell>
        </row>
        <row r="2970">
          <cell r="E2970" t="str">
            <v/>
          </cell>
          <cell r="J2970">
            <v>6036000</v>
          </cell>
        </row>
        <row r="2971">
          <cell r="E2971" t="str">
            <v/>
          </cell>
          <cell r="J2971">
            <v>6036000</v>
          </cell>
        </row>
        <row r="2972">
          <cell r="E2972" t="str">
            <v/>
          </cell>
          <cell r="J2972">
            <v>6036000</v>
          </cell>
        </row>
        <row r="2973">
          <cell r="E2973" t="str">
            <v/>
          </cell>
          <cell r="J2973">
            <v>6036000</v>
          </cell>
        </row>
        <row r="2974">
          <cell r="E2974" t="str">
            <v/>
          </cell>
          <cell r="J2974">
            <v>6036000</v>
          </cell>
        </row>
        <row r="2975">
          <cell r="E2975" t="str">
            <v/>
          </cell>
          <cell r="J2975">
            <v>6036000</v>
          </cell>
        </row>
        <row r="2976">
          <cell r="E2976" t="str">
            <v/>
          </cell>
          <cell r="J2976">
            <v>6036000</v>
          </cell>
        </row>
        <row r="2977">
          <cell r="E2977" t="str">
            <v/>
          </cell>
          <cell r="J2977">
            <v>6036000</v>
          </cell>
        </row>
        <row r="2978">
          <cell r="E2978" t="str">
            <v/>
          </cell>
          <cell r="J2978">
            <v>6036000</v>
          </cell>
        </row>
        <row r="2979">
          <cell r="E2979" t="str">
            <v/>
          </cell>
          <cell r="J2979">
            <v>6036000</v>
          </cell>
        </row>
        <row r="2980">
          <cell r="E2980" t="str">
            <v/>
          </cell>
          <cell r="J2980">
            <v>6036000</v>
          </cell>
        </row>
        <row r="2981">
          <cell r="E2981" t="str">
            <v/>
          </cell>
          <cell r="J2981">
            <v>6036000</v>
          </cell>
        </row>
        <row r="2982">
          <cell r="E2982" t="str">
            <v/>
          </cell>
          <cell r="J2982">
            <v>6036000</v>
          </cell>
        </row>
        <row r="2983">
          <cell r="E2983" t="str">
            <v/>
          </cell>
          <cell r="J2983">
            <v>6036000</v>
          </cell>
        </row>
        <row r="2984">
          <cell r="E2984" t="str">
            <v/>
          </cell>
          <cell r="J2984">
            <v>6036000</v>
          </cell>
        </row>
        <row r="2985">
          <cell r="E2985" t="str">
            <v/>
          </cell>
          <cell r="J2985">
            <v>6036000</v>
          </cell>
        </row>
        <row r="2986">
          <cell r="E2986" t="str">
            <v/>
          </cell>
          <cell r="J2986">
            <v>6036000</v>
          </cell>
        </row>
        <row r="2987">
          <cell r="E2987" t="str">
            <v/>
          </cell>
          <cell r="J2987">
            <v>6036000</v>
          </cell>
        </row>
        <row r="2988">
          <cell r="E2988" t="str">
            <v/>
          </cell>
          <cell r="J2988">
            <v>6036000</v>
          </cell>
        </row>
        <row r="2989">
          <cell r="E2989" t="str">
            <v/>
          </cell>
          <cell r="J2989">
            <v>6036000</v>
          </cell>
        </row>
        <row r="2990">
          <cell r="E2990" t="str">
            <v/>
          </cell>
          <cell r="J2990">
            <v>6036000</v>
          </cell>
        </row>
        <row r="2991">
          <cell r="E2991" t="str">
            <v/>
          </cell>
          <cell r="J2991">
            <v>6036000</v>
          </cell>
        </row>
        <row r="2992">
          <cell r="E2992" t="str">
            <v/>
          </cell>
          <cell r="J2992">
            <v>6036000</v>
          </cell>
        </row>
        <row r="2993">
          <cell r="E2993" t="str">
            <v/>
          </cell>
          <cell r="J2993">
            <v>6036000</v>
          </cell>
        </row>
        <row r="2994">
          <cell r="E2994" t="str">
            <v/>
          </cell>
          <cell r="J2994">
            <v>6036000</v>
          </cell>
        </row>
        <row r="2995">
          <cell r="E2995" t="str">
            <v/>
          </cell>
          <cell r="J2995">
            <v>6036000</v>
          </cell>
        </row>
        <row r="2996">
          <cell r="E2996" t="str">
            <v/>
          </cell>
          <cell r="J2996">
            <v>6036000</v>
          </cell>
        </row>
        <row r="2997">
          <cell r="E2997" t="str">
            <v/>
          </cell>
          <cell r="J2997">
            <v>6036000</v>
          </cell>
        </row>
        <row r="2998">
          <cell r="E2998" t="str">
            <v/>
          </cell>
          <cell r="J2998">
            <v>6036000</v>
          </cell>
        </row>
        <row r="2999">
          <cell r="E2999" t="str">
            <v/>
          </cell>
          <cell r="J2999">
            <v>6036000</v>
          </cell>
        </row>
        <row r="3000">
          <cell r="E3000" t="str">
            <v/>
          </cell>
          <cell r="J3000">
            <v>6036000</v>
          </cell>
        </row>
        <row r="3001">
          <cell r="E3001" t="str">
            <v/>
          </cell>
          <cell r="J3001">
            <v>6036000</v>
          </cell>
        </row>
        <row r="3002">
          <cell r="E3002" t="str">
            <v/>
          </cell>
          <cell r="J3002">
            <v>6036000</v>
          </cell>
        </row>
        <row r="3003">
          <cell r="E3003" t="str">
            <v/>
          </cell>
          <cell r="J3003">
            <v>6036000</v>
          </cell>
        </row>
        <row r="3004">
          <cell r="E3004" t="str">
            <v/>
          </cell>
          <cell r="J3004">
            <v>6036000</v>
          </cell>
        </row>
        <row r="3005">
          <cell r="E3005" t="str">
            <v/>
          </cell>
          <cell r="J3005">
            <v>6036000</v>
          </cell>
        </row>
        <row r="3006">
          <cell r="E3006" t="str">
            <v/>
          </cell>
          <cell r="J3006">
            <v>6036000</v>
          </cell>
        </row>
        <row r="3007">
          <cell r="E3007" t="str">
            <v/>
          </cell>
          <cell r="J3007">
            <v>6036000</v>
          </cell>
        </row>
        <row r="3008">
          <cell r="E3008" t="str">
            <v/>
          </cell>
          <cell r="J3008">
            <v>6036000</v>
          </cell>
        </row>
        <row r="3009">
          <cell r="E3009" t="str">
            <v/>
          </cell>
          <cell r="J3009">
            <v>6036000</v>
          </cell>
        </row>
        <row r="3010">
          <cell r="E3010" t="str">
            <v/>
          </cell>
          <cell r="J3010">
            <v>6036000</v>
          </cell>
        </row>
        <row r="3011">
          <cell r="E3011" t="str">
            <v/>
          </cell>
          <cell r="J3011">
            <v>6036000</v>
          </cell>
        </row>
        <row r="3012">
          <cell r="E3012" t="str">
            <v/>
          </cell>
          <cell r="J3012">
            <v>6036000</v>
          </cell>
        </row>
        <row r="3013">
          <cell r="E3013" t="str">
            <v/>
          </cell>
          <cell r="J3013">
            <v>6036000</v>
          </cell>
        </row>
        <row r="3014">
          <cell r="E3014" t="str">
            <v/>
          </cell>
          <cell r="J3014">
            <v>6036000</v>
          </cell>
        </row>
        <row r="3015">
          <cell r="E3015" t="str">
            <v/>
          </cell>
          <cell r="J3015">
            <v>6036000</v>
          </cell>
        </row>
        <row r="3016">
          <cell r="E3016" t="str">
            <v/>
          </cell>
          <cell r="J3016">
            <v>6036000</v>
          </cell>
        </row>
        <row r="3017">
          <cell r="E3017" t="str">
            <v/>
          </cell>
          <cell r="J3017">
            <v>6036000</v>
          </cell>
        </row>
        <row r="3018">
          <cell r="E3018" t="str">
            <v/>
          </cell>
          <cell r="J3018">
            <v>6036000</v>
          </cell>
        </row>
        <row r="3019">
          <cell r="E3019" t="str">
            <v/>
          </cell>
          <cell r="J3019">
            <v>6036000</v>
          </cell>
        </row>
        <row r="3020">
          <cell r="E3020" t="str">
            <v/>
          </cell>
          <cell r="J3020">
            <v>6036000</v>
          </cell>
        </row>
        <row r="3021">
          <cell r="E3021" t="str">
            <v/>
          </cell>
          <cell r="J3021">
            <v>6036000</v>
          </cell>
        </row>
        <row r="3022">
          <cell r="E3022" t="str">
            <v/>
          </cell>
          <cell r="J3022">
            <v>6036000</v>
          </cell>
        </row>
        <row r="3023">
          <cell r="E3023" t="str">
            <v/>
          </cell>
          <cell r="J3023">
            <v>6036000</v>
          </cell>
        </row>
        <row r="3024">
          <cell r="E3024" t="str">
            <v/>
          </cell>
          <cell r="J3024">
            <v>6036000</v>
          </cell>
        </row>
        <row r="3025">
          <cell r="E3025" t="str">
            <v/>
          </cell>
          <cell r="J3025">
            <v>6036000</v>
          </cell>
        </row>
        <row r="3026">
          <cell r="E3026" t="str">
            <v/>
          </cell>
          <cell r="J3026">
            <v>6036000</v>
          </cell>
        </row>
        <row r="3027">
          <cell r="E3027" t="str">
            <v/>
          </cell>
          <cell r="J3027">
            <v>6036000</v>
          </cell>
        </row>
        <row r="3028">
          <cell r="E3028" t="str">
            <v/>
          </cell>
          <cell r="J3028">
            <v>6036000</v>
          </cell>
        </row>
        <row r="3029">
          <cell r="E3029" t="str">
            <v/>
          </cell>
          <cell r="J3029">
            <v>6036000</v>
          </cell>
        </row>
        <row r="3030">
          <cell r="E3030" t="str">
            <v/>
          </cell>
          <cell r="J3030">
            <v>6036000</v>
          </cell>
        </row>
        <row r="3031">
          <cell r="E3031" t="str">
            <v/>
          </cell>
          <cell r="J3031">
            <v>6036000</v>
          </cell>
        </row>
        <row r="3032">
          <cell r="E3032" t="str">
            <v/>
          </cell>
          <cell r="J3032">
            <v>6036000</v>
          </cell>
        </row>
        <row r="3033">
          <cell r="E3033" t="str">
            <v/>
          </cell>
          <cell r="J3033">
            <v>6036000</v>
          </cell>
        </row>
        <row r="3034">
          <cell r="E3034" t="str">
            <v/>
          </cell>
          <cell r="J3034">
            <v>6036000</v>
          </cell>
        </row>
        <row r="3035">
          <cell r="E3035" t="str">
            <v/>
          </cell>
          <cell r="J3035">
            <v>6036000</v>
          </cell>
        </row>
        <row r="3036">
          <cell r="E3036" t="str">
            <v/>
          </cell>
          <cell r="J3036">
            <v>6036000</v>
          </cell>
        </row>
        <row r="3037">
          <cell r="E3037" t="str">
            <v/>
          </cell>
          <cell r="J3037">
            <v>6036000</v>
          </cell>
        </row>
        <row r="3038">
          <cell r="E3038" t="str">
            <v/>
          </cell>
          <cell r="J3038">
            <v>6036000</v>
          </cell>
        </row>
        <row r="3039">
          <cell r="E3039" t="str">
            <v/>
          </cell>
          <cell r="J3039">
            <v>6036000</v>
          </cell>
        </row>
        <row r="3040">
          <cell r="E3040" t="str">
            <v/>
          </cell>
          <cell r="J3040">
            <v>6036000</v>
          </cell>
        </row>
        <row r="3041">
          <cell r="E3041" t="str">
            <v/>
          </cell>
          <cell r="J3041">
            <v>6036000</v>
          </cell>
        </row>
        <row r="3042">
          <cell r="E3042" t="str">
            <v/>
          </cell>
          <cell r="J3042">
            <v>6036000</v>
          </cell>
        </row>
        <row r="3043">
          <cell r="E3043" t="str">
            <v/>
          </cell>
          <cell r="J3043">
            <v>6036000</v>
          </cell>
        </row>
        <row r="3044">
          <cell r="E3044" t="str">
            <v/>
          </cell>
          <cell r="J3044">
            <v>6036000</v>
          </cell>
        </row>
        <row r="3045">
          <cell r="E3045" t="str">
            <v/>
          </cell>
          <cell r="J3045">
            <v>6036000</v>
          </cell>
        </row>
        <row r="3046">
          <cell r="E3046" t="str">
            <v/>
          </cell>
          <cell r="J3046">
            <v>6036000</v>
          </cell>
        </row>
        <row r="3047">
          <cell r="E3047" t="str">
            <v/>
          </cell>
          <cell r="J3047">
            <v>6036000</v>
          </cell>
        </row>
        <row r="3048">
          <cell r="E3048" t="str">
            <v/>
          </cell>
          <cell r="J3048">
            <v>6036000</v>
          </cell>
        </row>
        <row r="3049">
          <cell r="E3049" t="str">
            <v/>
          </cell>
          <cell r="J3049">
            <v>6036000</v>
          </cell>
        </row>
        <row r="3050">
          <cell r="E3050" t="str">
            <v/>
          </cell>
          <cell r="J3050">
            <v>6036000</v>
          </cell>
        </row>
        <row r="3051">
          <cell r="E3051" t="str">
            <v/>
          </cell>
          <cell r="J3051">
            <v>6036000</v>
          </cell>
        </row>
        <row r="3052">
          <cell r="E3052" t="str">
            <v/>
          </cell>
          <cell r="J3052">
            <v>6036000</v>
          </cell>
        </row>
        <row r="3053">
          <cell r="E3053" t="str">
            <v/>
          </cell>
          <cell r="J3053">
            <v>6036000</v>
          </cell>
        </row>
        <row r="3054">
          <cell r="E3054" t="str">
            <v/>
          </cell>
          <cell r="J3054">
            <v>6036000</v>
          </cell>
        </row>
        <row r="3055">
          <cell r="E3055" t="str">
            <v/>
          </cell>
          <cell r="J3055">
            <v>6036000</v>
          </cell>
        </row>
        <row r="3056">
          <cell r="E3056" t="str">
            <v/>
          </cell>
          <cell r="J3056">
            <v>6036000</v>
          </cell>
        </row>
        <row r="3057">
          <cell r="E3057" t="str">
            <v/>
          </cell>
          <cell r="J3057">
            <v>6036000</v>
          </cell>
        </row>
        <row r="3058">
          <cell r="E3058" t="str">
            <v/>
          </cell>
          <cell r="J3058">
            <v>6036000</v>
          </cell>
        </row>
        <row r="3059">
          <cell r="E3059" t="str">
            <v/>
          </cell>
          <cell r="J3059">
            <v>6036000</v>
          </cell>
        </row>
        <row r="3060">
          <cell r="E3060" t="str">
            <v/>
          </cell>
          <cell r="J3060">
            <v>6036000</v>
          </cell>
        </row>
        <row r="3061">
          <cell r="E3061" t="str">
            <v/>
          </cell>
          <cell r="J3061">
            <v>6036000</v>
          </cell>
        </row>
        <row r="3062">
          <cell r="E3062" t="str">
            <v/>
          </cell>
          <cell r="J3062">
            <v>6036000</v>
          </cell>
        </row>
        <row r="3063">
          <cell r="E3063" t="str">
            <v/>
          </cell>
          <cell r="J3063">
            <v>6036000</v>
          </cell>
        </row>
        <row r="3064">
          <cell r="E3064" t="str">
            <v/>
          </cell>
          <cell r="J3064">
            <v>6036000</v>
          </cell>
        </row>
        <row r="3065">
          <cell r="E3065" t="str">
            <v/>
          </cell>
          <cell r="J3065">
            <v>6036000</v>
          </cell>
        </row>
        <row r="3066">
          <cell r="E3066" t="str">
            <v/>
          </cell>
          <cell r="J3066">
            <v>6036000</v>
          </cell>
        </row>
        <row r="3067">
          <cell r="E3067" t="str">
            <v/>
          </cell>
          <cell r="J3067">
            <v>6036000</v>
          </cell>
        </row>
        <row r="3068">
          <cell r="E3068" t="str">
            <v/>
          </cell>
          <cell r="J3068">
            <v>6036000</v>
          </cell>
        </row>
        <row r="3069">
          <cell r="E3069" t="str">
            <v/>
          </cell>
          <cell r="J3069">
            <v>6036000</v>
          </cell>
        </row>
        <row r="3070">
          <cell r="E3070" t="str">
            <v/>
          </cell>
          <cell r="J3070">
            <v>6036000</v>
          </cell>
        </row>
        <row r="3071">
          <cell r="E3071" t="str">
            <v/>
          </cell>
          <cell r="J3071">
            <v>6036000</v>
          </cell>
        </row>
        <row r="3072">
          <cell r="E3072" t="str">
            <v/>
          </cell>
          <cell r="J3072">
            <v>6036000</v>
          </cell>
        </row>
        <row r="3073">
          <cell r="E3073" t="str">
            <v/>
          </cell>
          <cell r="J3073">
            <v>6036000</v>
          </cell>
        </row>
        <row r="3074">
          <cell r="E3074" t="str">
            <v/>
          </cell>
          <cell r="J3074">
            <v>6036000</v>
          </cell>
        </row>
        <row r="3075">
          <cell r="E3075" t="str">
            <v/>
          </cell>
          <cell r="J3075">
            <v>6036000</v>
          </cell>
        </row>
        <row r="3076">
          <cell r="E3076" t="str">
            <v/>
          </cell>
          <cell r="J3076">
            <v>6036000</v>
          </cell>
        </row>
        <row r="3077">
          <cell r="E3077" t="str">
            <v/>
          </cell>
          <cell r="J3077">
            <v>6036000</v>
          </cell>
        </row>
        <row r="3078">
          <cell r="E3078" t="str">
            <v/>
          </cell>
          <cell r="J3078">
            <v>6036000</v>
          </cell>
        </row>
        <row r="3079">
          <cell r="E3079" t="str">
            <v/>
          </cell>
          <cell r="J3079">
            <v>6036000</v>
          </cell>
        </row>
        <row r="3080">
          <cell r="E3080" t="str">
            <v/>
          </cell>
          <cell r="J3080">
            <v>6036000</v>
          </cell>
        </row>
        <row r="3081">
          <cell r="E3081" t="str">
            <v/>
          </cell>
          <cell r="J3081">
            <v>6036000</v>
          </cell>
        </row>
        <row r="3082">
          <cell r="E3082" t="str">
            <v/>
          </cell>
          <cell r="J3082">
            <v>6036000</v>
          </cell>
        </row>
        <row r="3083">
          <cell r="E3083" t="str">
            <v/>
          </cell>
          <cell r="J3083">
            <v>6036000</v>
          </cell>
        </row>
        <row r="3084">
          <cell r="E3084" t="str">
            <v/>
          </cell>
          <cell r="J3084">
            <v>6036000</v>
          </cell>
        </row>
        <row r="3085">
          <cell r="E3085" t="str">
            <v/>
          </cell>
          <cell r="J3085">
            <v>6036000</v>
          </cell>
        </row>
        <row r="3086">
          <cell r="E3086" t="str">
            <v/>
          </cell>
          <cell r="J3086">
            <v>6036000</v>
          </cell>
        </row>
        <row r="3087">
          <cell r="E3087" t="str">
            <v/>
          </cell>
          <cell r="J3087">
            <v>6036000</v>
          </cell>
        </row>
        <row r="3088">
          <cell r="E3088" t="str">
            <v/>
          </cell>
          <cell r="J3088">
            <v>6036000</v>
          </cell>
        </row>
        <row r="3089">
          <cell r="E3089" t="str">
            <v/>
          </cell>
          <cell r="J3089">
            <v>6036000</v>
          </cell>
        </row>
        <row r="3090">
          <cell r="E3090" t="str">
            <v/>
          </cell>
          <cell r="J3090">
            <v>6036000</v>
          </cell>
        </row>
        <row r="3091">
          <cell r="E3091" t="str">
            <v/>
          </cell>
          <cell r="J3091">
            <v>6036000</v>
          </cell>
        </row>
        <row r="3092">
          <cell r="E3092" t="str">
            <v/>
          </cell>
          <cell r="J3092">
            <v>6036000</v>
          </cell>
        </row>
        <row r="3093">
          <cell r="E3093" t="str">
            <v/>
          </cell>
          <cell r="J3093">
            <v>6036000</v>
          </cell>
        </row>
        <row r="3094">
          <cell r="E3094" t="str">
            <v/>
          </cell>
          <cell r="J3094">
            <v>6036000</v>
          </cell>
        </row>
        <row r="3095">
          <cell r="E3095" t="str">
            <v/>
          </cell>
          <cell r="J3095">
            <v>6036000</v>
          </cell>
        </row>
        <row r="3096">
          <cell r="E3096" t="str">
            <v/>
          </cell>
          <cell r="J3096">
            <v>6036000</v>
          </cell>
        </row>
        <row r="3097">
          <cell r="E3097" t="str">
            <v/>
          </cell>
          <cell r="J3097">
            <v>6036000</v>
          </cell>
        </row>
        <row r="3098">
          <cell r="E3098" t="str">
            <v/>
          </cell>
          <cell r="J3098">
            <v>6036000</v>
          </cell>
        </row>
        <row r="3099">
          <cell r="E3099" t="str">
            <v/>
          </cell>
          <cell r="J3099">
            <v>6036000</v>
          </cell>
        </row>
        <row r="3100">
          <cell r="E3100" t="str">
            <v/>
          </cell>
          <cell r="J3100">
            <v>6036000</v>
          </cell>
        </row>
        <row r="3101">
          <cell r="E3101" t="str">
            <v/>
          </cell>
          <cell r="J3101">
            <v>6036000</v>
          </cell>
        </row>
        <row r="3102">
          <cell r="E3102" t="str">
            <v/>
          </cell>
          <cell r="J3102">
            <v>6036000</v>
          </cell>
        </row>
        <row r="3103">
          <cell r="E3103" t="str">
            <v/>
          </cell>
          <cell r="J3103">
            <v>6036000</v>
          </cell>
        </row>
        <row r="3104">
          <cell r="E3104" t="str">
            <v/>
          </cell>
          <cell r="J3104">
            <v>6036000</v>
          </cell>
        </row>
        <row r="3105">
          <cell r="E3105" t="str">
            <v/>
          </cell>
          <cell r="J3105">
            <v>6036000</v>
          </cell>
        </row>
        <row r="3106">
          <cell r="E3106" t="str">
            <v/>
          </cell>
          <cell r="J3106">
            <v>6036000</v>
          </cell>
        </row>
        <row r="3107">
          <cell r="E3107" t="str">
            <v/>
          </cell>
          <cell r="J3107">
            <v>6036000</v>
          </cell>
        </row>
        <row r="3108">
          <cell r="E3108" t="str">
            <v/>
          </cell>
          <cell r="J3108">
            <v>6036000</v>
          </cell>
        </row>
        <row r="3109">
          <cell r="E3109" t="str">
            <v/>
          </cell>
          <cell r="J3109">
            <v>6036000</v>
          </cell>
        </row>
        <row r="3110">
          <cell r="E3110" t="str">
            <v/>
          </cell>
          <cell r="J3110">
            <v>6036000</v>
          </cell>
        </row>
        <row r="3111">
          <cell r="E3111" t="str">
            <v/>
          </cell>
          <cell r="J3111">
            <v>6036000</v>
          </cell>
        </row>
        <row r="3112">
          <cell r="E3112" t="str">
            <v/>
          </cell>
          <cell r="J3112">
            <v>6036000</v>
          </cell>
        </row>
        <row r="3113">
          <cell r="E3113" t="str">
            <v/>
          </cell>
          <cell r="J3113">
            <v>6036000</v>
          </cell>
        </row>
        <row r="3114">
          <cell r="E3114" t="str">
            <v/>
          </cell>
          <cell r="J3114">
            <v>6036000</v>
          </cell>
        </row>
        <row r="3115">
          <cell r="E3115" t="str">
            <v/>
          </cell>
          <cell r="J3115">
            <v>6036000</v>
          </cell>
        </row>
        <row r="3116">
          <cell r="E3116" t="str">
            <v/>
          </cell>
          <cell r="J3116">
            <v>6036000</v>
          </cell>
        </row>
        <row r="3117">
          <cell r="E3117" t="str">
            <v/>
          </cell>
          <cell r="J3117">
            <v>6036000</v>
          </cell>
        </row>
        <row r="3118">
          <cell r="E3118" t="str">
            <v/>
          </cell>
          <cell r="J3118">
            <v>6036000</v>
          </cell>
        </row>
        <row r="3119">
          <cell r="E3119" t="str">
            <v/>
          </cell>
          <cell r="J3119">
            <v>6036000</v>
          </cell>
        </row>
        <row r="3120">
          <cell r="E3120" t="str">
            <v/>
          </cell>
          <cell r="J3120">
            <v>6036000</v>
          </cell>
        </row>
        <row r="3121">
          <cell r="E3121" t="str">
            <v/>
          </cell>
          <cell r="J3121">
            <v>6036000</v>
          </cell>
        </row>
        <row r="3122">
          <cell r="E3122" t="str">
            <v/>
          </cell>
          <cell r="J3122">
            <v>6036000</v>
          </cell>
        </row>
        <row r="3123">
          <cell r="E3123" t="str">
            <v/>
          </cell>
          <cell r="J3123">
            <v>6036000</v>
          </cell>
        </row>
        <row r="3124">
          <cell r="E3124" t="str">
            <v/>
          </cell>
          <cell r="J3124">
            <v>6036000</v>
          </cell>
        </row>
        <row r="3125">
          <cell r="E3125" t="str">
            <v/>
          </cell>
          <cell r="J3125">
            <v>6036000</v>
          </cell>
        </row>
        <row r="3126">
          <cell r="E3126" t="str">
            <v/>
          </cell>
          <cell r="J3126">
            <v>6036000</v>
          </cell>
        </row>
        <row r="3127">
          <cell r="E3127" t="str">
            <v/>
          </cell>
          <cell r="J3127">
            <v>6036000</v>
          </cell>
        </row>
        <row r="3128">
          <cell r="E3128" t="str">
            <v/>
          </cell>
          <cell r="J3128">
            <v>6036000</v>
          </cell>
        </row>
        <row r="3129">
          <cell r="E3129" t="str">
            <v/>
          </cell>
          <cell r="J3129">
            <v>6036000</v>
          </cell>
        </row>
        <row r="3130">
          <cell r="E3130" t="str">
            <v/>
          </cell>
          <cell r="J3130">
            <v>6036000</v>
          </cell>
        </row>
        <row r="3131">
          <cell r="E3131" t="str">
            <v/>
          </cell>
          <cell r="J3131">
            <v>6036000</v>
          </cell>
        </row>
        <row r="3132">
          <cell r="E3132" t="str">
            <v/>
          </cell>
          <cell r="J3132">
            <v>6036000</v>
          </cell>
        </row>
        <row r="3133">
          <cell r="E3133" t="str">
            <v/>
          </cell>
          <cell r="J3133">
            <v>6036000</v>
          </cell>
        </row>
        <row r="3134">
          <cell r="E3134" t="str">
            <v/>
          </cell>
          <cell r="J3134">
            <v>6036000</v>
          </cell>
        </row>
        <row r="3135">
          <cell r="E3135" t="str">
            <v/>
          </cell>
          <cell r="J3135">
            <v>6036000</v>
          </cell>
        </row>
        <row r="3136">
          <cell r="E3136" t="str">
            <v/>
          </cell>
          <cell r="J3136">
            <v>6036000</v>
          </cell>
        </row>
        <row r="3137">
          <cell r="E3137" t="str">
            <v/>
          </cell>
          <cell r="J3137">
            <v>6036000</v>
          </cell>
        </row>
        <row r="3138">
          <cell r="E3138" t="str">
            <v/>
          </cell>
          <cell r="J3138">
            <v>6036000</v>
          </cell>
        </row>
        <row r="3139">
          <cell r="E3139" t="str">
            <v/>
          </cell>
          <cell r="J3139">
            <v>6036000</v>
          </cell>
        </row>
        <row r="3140">
          <cell r="E3140" t="str">
            <v/>
          </cell>
          <cell r="J3140">
            <v>6036000</v>
          </cell>
        </row>
        <row r="3141">
          <cell r="E3141" t="str">
            <v/>
          </cell>
          <cell r="J3141">
            <v>6036000</v>
          </cell>
        </row>
        <row r="3142">
          <cell r="E3142" t="str">
            <v/>
          </cell>
          <cell r="J3142">
            <v>6036000</v>
          </cell>
        </row>
        <row r="3143">
          <cell r="E3143" t="str">
            <v/>
          </cell>
          <cell r="J3143">
            <v>6036000</v>
          </cell>
        </row>
        <row r="3144">
          <cell r="E3144" t="str">
            <v/>
          </cell>
          <cell r="J3144">
            <v>6036000</v>
          </cell>
        </row>
        <row r="3145">
          <cell r="E3145" t="str">
            <v/>
          </cell>
          <cell r="J3145">
            <v>6036000</v>
          </cell>
        </row>
        <row r="3146">
          <cell r="E3146" t="str">
            <v/>
          </cell>
          <cell r="J3146">
            <v>6036000</v>
          </cell>
        </row>
        <row r="3147">
          <cell r="E3147" t="str">
            <v/>
          </cell>
          <cell r="J3147">
            <v>6036000</v>
          </cell>
        </row>
        <row r="3148">
          <cell r="E3148" t="str">
            <v/>
          </cell>
          <cell r="J3148">
            <v>6036000</v>
          </cell>
        </row>
        <row r="3149">
          <cell r="E3149" t="str">
            <v/>
          </cell>
          <cell r="J3149">
            <v>6036000</v>
          </cell>
        </row>
        <row r="3150">
          <cell r="E3150" t="str">
            <v/>
          </cell>
          <cell r="J3150">
            <v>6036000</v>
          </cell>
        </row>
        <row r="3151">
          <cell r="E3151" t="str">
            <v/>
          </cell>
          <cell r="J3151">
            <v>6036000</v>
          </cell>
        </row>
        <row r="3152">
          <cell r="E3152" t="str">
            <v/>
          </cell>
          <cell r="J3152">
            <v>6036000</v>
          </cell>
        </row>
        <row r="3153">
          <cell r="E3153" t="str">
            <v/>
          </cell>
          <cell r="J3153">
            <v>6036000</v>
          </cell>
        </row>
        <row r="3154">
          <cell r="E3154" t="str">
            <v/>
          </cell>
          <cell r="J3154">
            <v>6036000</v>
          </cell>
        </row>
        <row r="3155">
          <cell r="E3155" t="str">
            <v/>
          </cell>
          <cell r="J3155">
            <v>6036000</v>
          </cell>
        </row>
        <row r="3156">
          <cell r="E3156" t="str">
            <v/>
          </cell>
          <cell r="J3156">
            <v>6036000</v>
          </cell>
        </row>
        <row r="3157">
          <cell r="E3157" t="str">
            <v/>
          </cell>
          <cell r="J3157">
            <v>6036000</v>
          </cell>
        </row>
        <row r="3158">
          <cell r="E3158" t="str">
            <v/>
          </cell>
          <cell r="J3158">
            <v>6036000</v>
          </cell>
        </row>
        <row r="3159">
          <cell r="E3159" t="str">
            <v/>
          </cell>
          <cell r="J3159">
            <v>6036000</v>
          </cell>
        </row>
        <row r="3160">
          <cell r="E3160" t="str">
            <v/>
          </cell>
          <cell r="J3160">
            <v>6036000</v>
          </cell>
        </row>
        <row r="3161">
          <cell r="E3161" t="str">
            <v/>
          </cell>
          <cell r="J3161">
            <v>6036000</v>
          </cell>
        </row>
        <row r="3162">
          <cell r="E3162" t="str">
            <v/>
          </cell>
          <cell r="J3162">
            <v>6036000</v>
          </cell>
        </row>
        <row r="3163">
          <cell r="E3163" t="str">
            <v/>
          </cell>
          <cell r="J3163">
            <v>6036000</v>
          </cell>
        </row>
        <row r="3164">
          <cell r="E3164" t="str">
            <v/>
          </cell>
          <cell r="J3164">
            <v>6036000</v>
          </cell>
        </row>
        <row r="3165">
          <cell r="E3165" t="str">
            <v/>
          </cell>
          <cell r="J3165">
            <v>6036000</v>
          </cell>
        </row>
        <row r="3166">
          <cell r="E3166" t="str">
            <v/>
          </cell>
          <cell r="J3166">
            <v>6036000</v>
          </cell>
        </row>
        <row r="3167">
          <cell r="E3167" t="str">
            <v/>
          </cell>
          <cell r="J3167">
            <v>6036000</v>
          </cell>
        </row>
        <row r="3168">
          <cell r="E3168" t="str">
            <v/>
          </cell>
          <cell r="J3168">
            <v>6036000</v>
          </cell>
        </row>
        <row r="3169">
          <cell r="E3169" t="str">
            <v/>
          </cell>
          <cell r="J3169">
            <v>6036000</v>
          </cell>
        </row>
        <row r="3170">
          <cell r="E3170" t="str">
            <v/>
          </cell>
          <cell r="J3170">
            <v>6036000</v>
          </cell>
        </row>
        <row r="3171">
          <cell r="E3171" t="str">
            <v/>
          </cell>
          <cell r="J3171">
            <v>6036000</v>
          </cell>
        </row>
        <row r="3172">
          <cell r="E3172" t="str">
            <v/>
          </cell>
          <cell r="J3172">
            <v>6036000</v>
          </cell>
        </row>
        <row r="3173">
          <cell r="E3173" t="str">
            <v/>
          </cell>
          <cell r="J3173">
            <v>6036000</v>
          </cell>
        </row>
        <row r="3174">
          <cell r="E3174" t="str">
            <v/>
          </cell>
          <cell r="J3174">
            <v>6036000</v>
          </cell>
        </row>
        <row r="3175">
          <cell r="E3175" t="str">
            <v/>
          </cell>
          <cell r="J3175">
            <v>6036000</v>
          </cell>
        </row>
        <row r="3176">
          <cell r="E3176" t="str">
            <v/>
          </cell>
          <cell r="J3176">
            <v>6036000</v>
          </cell>
        </row>
        <row r="3177">
          <cell r="E3177" t="str">
            <v/>
          </cell>
          <cell r="J3177">
            <v>6036000</v>
          </cell>
        </row>
        <row r="3178">
          <cell r="E3178" t="str">
            <v/>
          </cell>
          <cell r="J3178">
            <v>6036000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7F83-F3B6-4688-A42F-BFA3DA2BFEA1}">
  <sheetPr>
    <tabColor rgb="FFFF00FF"/>
    <pageSetUpPr fitToPage="1"/>
  </sheetPr>
  <dimension ref="A1:AD26"/>
  <sheetViews>
    <sheetView zoomScale="80" zoomScaleNormal="80" workbookViewId="0">
      <selection activeCell="J16" sqref="J16:K16"/>
    </sheetView>
  </sheetViews>
  <sheetFormatPr defaultRowHeight="16.5"/>
  <cols>
    <col min="1" max="1" width="8.88671875" style="3" customWidth="1"/>
    <col min="2" max="2" width="12" style="3" customWidth="1"/>
    <col min="3" max="3" width="9.33203125" style="3" customWidth="1"/>
    <col min="4" max="4" width="4.5546875" style="3" customWidth="1"/>
    <col min="5" max="5" width="8.88671875" style="3"/>
    <col min="6" max="6" width="8.5546875" style="3" customWidth="1"/>
    <col min="7" max="7" width="9" style="3" customWidth="1"/>
    <col min="8" max="8" width="8.88671875" style="3"/>
    <col min="9" max="9" width="9.88671875" style="3" customWidth="1"/>
    <col min="10" max="10" width="14.5546875" style="3" customWidth="1"/>
    <col min="11" max="11" width="17.88671875" style="3" customWidth="1"/>
    <col min="12" max="12" width="10.77734375" style="3" customWidth="1"/>
    <col min="13" max="14" width="8.88671875" style="3"/>
    <col min="15" max="15" width="9.77734375" style="3" hidden="1" customWidth="1"/>
    <col min="16" max="16" width="8.77734375" style="3" hidden="1" customWidth="1"/>
    <col min="17" max="17" width="21.33203125" style="3" hidden="1" customWidth="1"/>
    <col min="18" max="23" width="1.77734375" style="3" hidden="1" customWidth="1"/>
    <col min="24" max="24" width="4" style="3" hidden="1" customWidth="1"/>
    <col min="25" max="25" width="4.44140625" style="3" hidden="1" customWidth="1"/>
    <col min="26" max="26" width="4" style="3" hidden="1" customWidth="1"/>
    <col min="27" max="28" width="2.6640625" style="3" hidden="1" customWidth="1"/>
    <col min="29" max="29" width="4.5546875" style="3" hidden="1" customWidth="1"/>
    <col min="30" max="30" width="8.88671875" style="3" hidden="1" customWidth="1"/>
    <col min="31" max="31" width="0" style="3" hidden="1" customWidth="1"/>
    <col min="32" max="16384" width="8.88671875" style="3"/>
  </cols>
  <sheetData>
    <row r="1" spans="1:29">
      <c r="A1" s="1" t="s">
        <v>69</v>
      </c>
      <c r="B1" s="1"/>
      <c r="C1" s="1"/>
      <c r="D1" s="2"/>
      <c r="E1" s="2"/>
      <c r="F1" s="2"/>
      <c r="G1" s="2"/>
      <c r="H1" s="48" t="s">
        <v>124</v>
      </c>
      <c r="I1" s="48"/>
      <c r="J1" s="48"/>
      <c r="K1" s="48"/>
      <c r="L1" s="52"/>
      <c r="P1" s="4">
        <f>C11</f>
        <v>0</v>
      </c>
      <c r="Q1" s="5" t="str">
        <f>RIGHT("000000000000"&amp;ROUND(P1,0),12)</f>
        <v>000000000000</v>
      </c>
      <c r="R1" s="6">
        <v>1</v>
      </c>
      <c r="S1" s="6">
        <v>2</v>
      </c>
      <c r="T1" s="6">
        <v>3</v>
      </c>
      <c r="U1" s="7">
        <v>4</v>
      </c>
      <c r="V1" s="7">
        <v>5</v>
      </c>
      <c r="W1" s="7">
        <v>6</v>
      </c>
      <c r="X1" s="8">
        <v>7</v>
      </c>
      <c r="Y1" s="8">
        <v>8</v>
      </c>
      <c r="Z1" s="8">
        <v>9</v>
      </c>
      <c r="AA1" s="9">
        <v>10</v>
      </c>
      <c r="AB1" s="9">
        <v>11</v>
      </c>
      <c r="AC1" s="9">
        <v>12</v>
      </c>
    </row>
    <row r="2" spans="1:29" ht="20.25">
      <c r="A2" s="1" t="s">
        <v>70</v>
      </c>
      <c r="B2" s="1"/>
      <c r="C2" s="1"/>
      <c r="D2" s="10"/>
      <c r="E2" s="10"/>
      <c r="F2" s="10"/>
      <c r="G2" s="10"/>
      <c r="H2" s="45" t="s">
        <v>1</v>
      </c>
      <c r="I2" s="45"/>
      <c r="J2" s="45"/>
      <c r="K2" s="45"/>
      <c r="L2" s="53"/>
      <c r="Q2" s="11"/>
      <c r="R2" s="12">
        <f>VALUE(MID(Q1,R1,1))</f>
        <v>0</v>
      </c>
      <c r="S2" s="12">
        <f>VALUE(MID(Q1,S1,1))</f>
        <v>0</v>
      </c>
      <c r="T2" s="12">
        <f>VALUE(MID(Q1,T1,1))</f>
        <v>0</v>
      </c>
      <c r="U2" s="13">
        <f>VALUE(MID(Q1,U1,1))</f>
        <v>0</v>
      </c>
      <c r="V2" s="13">
        <f>VALUE(MID(Q1,V1,1))</f>
        <v>0</v>
      </c>
      <c r="W2" s="13">
        <f>VALUE(MID(Q1,W1,1))</f>
        <v>0</v>
      </c>
      <c r="X2" s="14">
        <f>VALUE(MID(Q1,X1,1))</f>
        <v>0</v>
      </c>
      <c r="Y2" s="14">
        <f>VALUE(MID(Q1,Y1,1))</f>
        <v>0</v>
      </c>
      <c r="Z2" s="14">
        <f>VALUE(MID(Q1,Z1,1))</f>
        <v>0</v>
      </c>
      <c r="AA2" s="15">
        <f>VALUE(MID(Q1,AA1,1))</f>
        <v>0</v>
      </c>
      <c r="AB2" s="15">
        <f>VALUE(MID(Q1,AB1,1))</f>
        <v>0</v>
      </c>
      <c r="AC2" s="15">
        <f>VALUE(MID(Q1,AC1,1))</f>
        <v>0</v>
      </c>
    </row>
    <row r="3" spans="1:29">
      <c r="A3" s="2"/>
      <c r="B3" s="2"/>
      <c r="C3" s="2"/>
      <c r="D3" s="2"/>
      <c r="E3" s="2"/>
      <c r="F3" s="2"/>
      <c r="G3" s="2"/>
      <c r="H3" s="45" t="s">
        <v>2</v>
      </c>
      <c r="I3" s="45"/>
      <c r="J3" s="45"/>
      <c r="K3" s="45"/>
      <c r="Q3" s="11"/>
      <c r="R3" s="12">
        <f>SUM(R2:R2)</f>
        <v>0</v>
      </c>
      <c r="S3" s="12">
        <f>SUM(R2:S2)</f>
        <v>0</v>
      </c>
      <c r="T3" s="12">
        <f>SUM(R2:T2)</f>
        <v>0</v>
      </c>
      <c r="U3" s="13">
        <f>SUM(U2:U2)</f>
        <v>0</v>
      </c>
      <c r="V3" s="13">
        <f>SUM(U2:V2)</f>
        <v>0</v>
      </c>
      <c r="W3" s="13">
        <f>SUM(U2:W2)</f>
        <v>0</v>
      </c>
      <c r="X3" s="14">
        <f>SUM(X2:X2)</f>
        <v>0</v>
      </c>
      <c r="Y3" s="14">
        <f>SUM(X2:Y2)</f>
        <v>0</v>
      </c>
      <c r="Z3" s="14">
        <f>SUM(X2:Z2)</f>
        <v>0</v>
      </c>
      <c r="AA3" s="15">
        <f>SUM(AA2:AA2)</f>
        <v>0</v>
      </c>
      <c r="AB3" s="15">
        <f>SUM(AA2:AB2)</f>
        <v>0</v>
      </c>
      <c r="AC3" s="15">
        <f>SUM(AA2:AC2)</f>
        <v>0</v>
      </c>
    </row>
    <row r="4" spans="1:29" ht="20.25">
      <c r="A4" s="2"/>
      <c r="B4" s="2"/>
      <c r="C4" s="2"/>
      <c r="D4" s="2"/>
      <c r="E4" s="46" t="s">
        <v>120</v>
      </c>
      <c r="F4" s="46"/>
      <c r="G4" s="46"/>
      <c r="H4" s="46"/>
      <c r="I4" s="16" t="s">
        <v>4</v>
      </c>
      <c r="J4" s="18"/>
      <c r="K4" s="16"/>
      <c r="Q4" s="11"/>
      <c r="R4" s="12"/>
      <c r="S4" s="12"/>
      <c r="T4" s="12"/>
      <c r="U4" s="13"/>
      <c r="V4" s="13"/>
      <c r="W4" s="13"/>
      <c r="X4" s="14"/>
      <c r="Y4" s="14"/>
      <c r="Z4" s="14"/>
      <c r="AA4" s="15"/>
      <c r="AB4" s="15"/>
      <c r="AC4" s="15"/>
    </row>
    <row r="5" spans="1:29">
      <c r="A5" s="2"/>
      <c r="B5" s="2"/>
      <c r="C5" s="2"/>
      <c r="D5" s="2"/>
      <c r="E5" s="17"/>
      <c r="F5" s="197" t="s">
        <v>121</v>
      </c>
      <c r="G5" s="17"/>
      <c r="H5" s="17"/>
      <c r="I5" s="16" t="s">
        <v>26</v>
      </c>
      <c r="J5" s="16"/>
      <c r="K5" s="16"/>
      <c r="L5" s="19"/>
      <c r="Q5" s="11"/>
      <c r="R5" s="20" t="str">
        <f>IF(R2=0,"",CHOOSE(R2,"một","hai","ba","bốn","năm","sáu","bảy","tám","chín"))</f>
        <v/>
      </c>
      <c r="S5" s="20" t="str">
        <f>IF(S2=0,IF(AND(R2&lt;&gt;0,T2&lt;&gt;0),"lẻ",""),CHOOSE(S2,"mười","hai","ba","bốn","năm","sáu","bảy","tám","chín"))</f>
        <v/>
      </c>
      <c r="T5" s="20" t="str">
        <f>IF(T2=0,"",CHOOSE(T2,IF(S2&gt;1,"mốt","một"),"hai","ba","bốn",IF(S2=0,"năm","lăm"),"sáu","bảy","tám","chín"))</f>
        <v/>
      </c>
      <c r="U5" s="21" t="str">
        <f>IF(U2=0,"",CHOOSE(U2,"một","hai","ba","bốn","năm","sáu","bảy","tám","chín"))</f>
        <v/>
      </c>
      <c r="V5" s="21" t="str">
        <f>IF(V2=0,IF(AND(U2&lt;&gt;0,W2&lt;&gt;0),"lẻ",""),CHOOSE(V2,"mười","hai","ba","bốn","năm","sáu","bảy","tám","chín"))</f>
        <v/>
      </c>
      <c r="W5" s="21" t="str">
        <f>IF(W2=0,"",CHOOSE(W2,IF(V2&gt;1,"mốt","một"),"hai","ba","bốn",IF(V2=0,"năm","lăm"),"sáu","bảy","tám","chín"))</f>
        <v/>
      </c>
      <c r="X5" s="22" t="str">
        <f>IF(X2=0,"",CHOOSE(X2,"một","hai","ba","bốn","năm","sáu","bảy","tám","chín"))</f>
        <v/>
      </c>
      <c r="Y5" s="22" t="str">
        <f>IF(Y2=0,IF(AND(X2&lt;&gt;0,Z2&lt;&gt;0),"lẻ",""),CHOOSE(Y2,"mười","hai","ba","bốn","năm","sáu","bảy","tám","chín"))</f>
        <v/>
      </c>
      <c r="Z5" s="22" t="str">
        <f>IF(Z2=0,"",CHOOSE(Z2,IF(Y2&gt;1,"mốt","một"),"hai","ba","bốn",IF(Y2=0,"năm","lăm"),"sáu","bảy","tám","chín"))</f>
        <v/>
      </c>
      <c r="AA5" s="23" t="str">
        <f>IF(AA2=0,"",CHOOSE(AA2,"một","hai","ba","bốn","năm","sáu","bảy","tám","chín"))</f>
        <v/>
      </c>
      <c r="AB5" s="23" t="str">
        <f>IF(AB2=0,IF(AND(AA2&lt;&gt;0,AC2&lt;&gt;0),"lẻ",""),CHOOSE(AB2,"mười","hai","ba","bốn","năm","sáu","bảy","tám","chín"))</f>
        <v/>
      </c>
      <c r="AC5" s="23" t="str">
        <f>IF(AC2=0,"",CHOOSE(AC2,IF(AB2&gt;1,"mốt","một"),"hai","ba","bốn",IF(AB2=0,"năm","lăm"),"sáu","bảy","tám","chín"))</f>
        <v/>
      </c>
    </row>
    <row r="6" spans="1:29">
      <c r="A6" s="2"/>
      <c r="B6" s="2"/>
      <c r="C6" s="2"/>
      <c r="D6" s="2"/>
      <c r="E6" s="17"/>
      <c r="F6" s="17"/>
      <c r="G6" s="17"/>
      <c r="H6" s="17"/>
      <c r="I6" s="16" t="s">
        <v>27</v>
      </c>
      <c r="J6" s="16"/>
      <c r="K6" s="16"/>
      <c r="L6" s="19"/>
      <c r="Q6" s="11"/>
      <c r="R6" s="20"/>
      <c r="S6" s="20"/>
      <c r="T6" s="20"/>
      <c r="U6" s="21"/>
      <c r="V6" s="21"/>
      <c r="W6" s="21"/>
      <c r="X6" s="22"/>
      <c r="Y6" s="22"/>
      <c r="Z6" s="22"/>
      <c r="AA6" s="23"/>
      <c r="AB6" s="23"/>
      <c r="AC6" s="23"/>
    </row>
    <row r="7" spans="1:29">
      <c r="A7" s="2"/>
      <c r="B7" s="2"/>
      <c r="C7" s="2"/>
      <c r="D7" s="2"/>
      <c r="E7" s="47"/>
      <c r="F7" s="47"/>
      <c r="G7" s="47"/>
      <c r="H7" s="47"/>
      <c r="I7" s="24"/>
      <c r="J7" s="25"/>
      <c r="K7" s="26"/>
      <c r="L7" s="27"/>
      <c r="Q7" s="11"/>
      <c r="R7" s="28" t="str">
        <f>IF(R2=0,"","trăm")</f>
        <v/>
      </c>
      <c r="S7" s="28" t="str">
        <f>IF(S2=0,"",IF(S2=1,"","mươi"))</f>
        <v/>
      </c>
      <c r="T7" s="28" t="str">
        <f>IF(AND(T2=0,T3=0),"","tỷ")</f>
        <v/>
      </c>
      <c r="U7" s="29" t="str">
        <f>IF(U2=0,"","trăm")</f>
        <v/>
      </c>
      <c r="V7" s="29" t="str">
        <f>IF(V2=0,"",IF(V2=1,"","mươi"))</f>
        <v/>
      </c>
      <c r="W7" s="29" t="str">
        <f>IF(AND(W2=0,W3=0),"","triệu")</f>
        <v/>
      </c>
      <c r="X7" s="30" t="str">
        <f>IF(X2=0,"","trăm")</f>
        <v/>
      </c>
      <c r="Y7" s="30" t="str">
        <f>IF(Y2=0,"",IF(Y2=1,"","mươi"))</f>
        <v/>
      </c>
      <c r="Z7" s="30" t="str">
        <f>IF(AND(Z2=0,Z3=0),"","ngàn")</f>
        <v/>
      </c>
      <c r="AA7" s="31" t="str">
        <f>IF(AA2=0,"","trăm")</f>
        <v/>
      </c>
      <c r="AB7" s="31" t="str">
        <f>IF(AB2=0,"",IF(AB2=1,"","mươi"))</f>
        <v/>
      </c>
      <c r="AC7" s="31" t="s">
        <v>6</v>
      </c>
    </row>
    <row r="8" spans="1:29">
      <c r="A8" s="51" t="s">
        <v>7</v>
      </c>
      <c r="B8" s="51"/>
      <c r="C8" s="50"/>
      <c r="D8" s="50"/>
      <c r="E8" s="50"/>
      <c r="F8" s="50"/>
      <c r="G8" s="50"/>
      <c r="H8" s="50"/>
      <c r="I8" s="33"/>
      <c r="J8" s="33"/>
      <c r="K8" s="33"/>
      <c r="Q8" s="11"/>
      <c r="R8" s="28"/>
      <c r="S8" s="28"/>
      <c r="T8" s="28"/>
      <c r="U8" s="29"/>
      <c r="V8" s="29"/>
      <c r="W8" s="29"/>
      <c r="X8" s="30"/>
      <c r="Y8" s="30"/>
      <c r="Z8" s="30"/>
      <c r="AA8" s="31"/>
      <c r="AB8" s="31"/>
      <c r="AC8" s="31"/>
    </row>
    <row r="9" spans="1:29">
      <c r="A9" s="44" t="s">
        <v>8</v>
      </c>
      <c r="B9" s="44"/>
      <c r="C9" s="32"/>
      <c r="D9" s="32"/>
      <c r="E9" s="32"/>
      <c r="F9" s="32"/>
      <c r="G9" s="32"/>
      <c r="H9" s="32"/>
      <c r="I9" s="32"/>
      <c r="J9" s="32"/>
      <c r="K9" s="32"/>
      <c r="Q9" s="35" t="str">
        <f>UPPER(LEFT(TRIM(IF(P1=0,"không đồng.",R5&amp;" "&amp;R7&amp;" "&amp;S5&amp;" "&amp;S7&amp;" "&amp;T5&amp;" "&amp;T7&amp;" "&amp;U5&amp;" "&amp;U7&amp;" "&amp;V5&amp;" "&amp;V7&amp;" "&amp;W5&amp;" "&amp;W7&amp;" "&amp;X5&amp;" "&amp;X7&amp;" "&amp;Y5&amp;" "&amp;Y7&amp;" "&amp;Z5&amp;" "&amp;Z7&amp;" "&amp;AA5&amp;" "&amp;AA7&amp;" "&amp;AB5&amp;" "&amp;AB7&amp;" "&amp;AC5&amp;" "&amp;AC7)),1))&amp;RIGHT(TRIM(IF(P1=0,"không đồng.",R5&amp;" "&amp;R7&amp;" "&amp;S5&amp;" "&amp;S7&amp;" "&amp;T5&amp;" "&amp;T7&amp;" "&amp;U5&amp;" "&amp;U7&amp;" "&amp;V5&amp;" "&amp;V7&amp;" "&amp;W5&amp;" "&amp;W7&amp;" "&amp;X5&amp;" "&amp;X7&amp;" "&amp;Y5&amp;" "&amp;Y7&amp;" "&amp;Z5&amp;" "&amp;Z7&amp;" "&amp;AA5&amp;" "&amp;AA7&amp;" "&amp;AB5&amp;" "&amp;AB7&amp;" "&amp;AC5&amp;" "&amp;AC7)),LEN(TRIM(IF(P1=0,"không đồng.",R5&amp;" "&amp;R7&amp;" "&amp;S5&amp;" "&amp;S7&amp;" "&amp;T5&amp;" "&amp;T7&amp;" "&amp;U5&amp;" "&amp;U7&amp;" "&amp;V5&amp;" "&amp;V7&amp;" "&amp;W5&amp;" "&amp;W7&amp;" "&amp;X5&amp;" "&amp;X7&amp;" "&amp;Y5&amp;" "&amp;Y7&amp;" "&amp;Z5&amp;" "&amp;Z7&amp;" "&amp;AA5&amp;" "&amp;AA7&amp;" "&amp;AB5&amp;" "&amp;AB7&amp;" "&amp;AC5&amp;" "&amp;AC7)))-1)</f>
        <v>Không đồng.</v>
      </c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</row>
    <row r="10" spans="1:29">
      <c r="A10" s="44" t="s">
        <v>122</v>
      </c>
      <c r="B10" s="44"/>
      <c r="C10" s="32"/>
      <c r="D10" s="32"/>
      <c r="E10" s="32"/>
      <c r="F10" s="32"/>
      <c r="G10" s="32"/>
      <c r="H10" s="32"/>
      <c r="I10" s="32"/>
      <c r="J10" s="32"/>
      <c r="K10" s="32"/>
    </row>
    <row r="11" spans="1:29">
      <c r="A11" s="44" t="s">
        <v>10</v>
      </c>
      <c r="B11" s="44"/>
      <c r="C11" s="49"/>
      <c r="D11" s="49"/>
      <c r="E11" s="50" t="s">
        <v>11</v>
      </c>
      <c r="F11" s="50"/>
      <c r="G11" s="32"/>
      <c r="H11" s="32"/>
      <c r="I11" s="32"/>
      <c r="J11" s="32"/>
      <c r="K11" s="32"/>
    </row>
    <row r="12" spans="1:29">
      <c r="A12" s="44" t="s">
        <v>12</v>
      </c>
      <c r="B12" s="44"/>
      <c r="C12" s="36"/>
      <c r="D12" s="36"/>
      <c r="E12" s="36"/>
      <c r="F12" s="36"/>
      <c r="G12" s="36"/>
      <c r="H12" s="36"/>
      <c r="I12" s="36"/>
      <c r="J12" s="36"/>
      <c r="K12" s="36"/>
    </row>
    <row r="13" spans="1:29">
      <c r="A13" s="44" t="s">
        <v>13</v>
      </c>
      <c r="B13" s="44"/>
      <c r="C13" s="24"/>
      <c r="D13" s="24"/>
      <c r="E13" s="24" t="s">
        <v>14</v>
      </c>
      <c r="F13" s="24"/>
      <c r="G13" s="24"/>
      <c r="H13" s="34"/>
      <c r="I13" s="34"/>
      <c r="J13" s="34"/>
      <c r="K13" s="34"/>
    </row>
    <row r="14" spans="1:29" ht="6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29">
      <c r="A15" s="2"/>
      <c r="B15" s="2"/>
      <c r="C15" s="2"/>
      <c r="D15" s="2"/>
      <c r="E15" s="2"/>
      <c r="F15" s="2"/>
      <c r="G15" s="2"/>
      <c r="I15" s="37"/>
      <c r="J15" s="56" t="str">
        <f>F5</f>
        <v>Ngày   25   tháng  11  năm   2025</v>
      </c>
      <c r="K15" s="56"/>
      <c r="M15" s="43"/>
      <c r="N15" s="43"/>
    </row>
    <row r="16" spans="1:29" s="39" customFormat="1" ht="14.25">
      <c r="A16" s="43" t="s">
        <v>15</v>
      </c>
      <c r="B16" s="43"/>
      <c r="C16" s="54"/>
      <c r="D16" s="38" t="s">
        <v>16</v>
      </c>
      <c r="E16" s="54"/>
      <c r="F16" s="38" t="s">
        <v>28</v>
      </c>
      <c r="H16" s="38" t="s">
        <v>29</v>
      </c>
      <c r="I16" s="38"/>
      <c r="J16" s="43" t="s">
        <v>123</v>
      </c>
      <c r="K16" s="43"/>
      <c r="M16" s="43"/>
      <c r="N16" s="43"/>
    </row>
    <row r="17" spans="1:11" s="39" customFormat="1" ht="14.25">
      <c r="A17" s="43" t="s">
        <v>18</v>
      </c>
      <c r="B17" s="43"/>
      <c r="C17" s="54"/>
      <c r="D17" s="38" t="s">
        <v>19</v>
      </c>
      <c r="E17" s="54"/>
      <c r="F17" s="38" t="s">
        <v>19</v>
      </c>
      <c r="H17" s="38" t="s">
        <v>19</v>
      </c>
      <c r="I17" s="38"/>
      <c r="J17" s="43" t="s">
        <v>19</v>
      </c>
      <c r="K17" s="43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s="39" customFormat="1" ht="14.25">
      <c r="A21" s="43"/>
      <c r="B21" s="43"/>
      <c r="C21" s="43"/>
      <c r="D21" s="43"/>
      <c r="E21" s="43"/>
      <c r="F21" s="43"/>
      <c r="G21" s="43"/>
      <c r="H21" s="38"/>
      <c r="I21" s="38"/>
      <c r="J21" s="40"/>
      <c r="K21" s="38"/>
    </row>
    <row r="22" spans="1:11" ht="20.25" customHeight="1">
      <c r="A22" s="41" t="s">
        <v>20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</row>
    <row r="23" spans="1:11" ht="20.25" customHeight="1">
      <c r="A23" s="41" t="s">
        <v>21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</row>
    <row r="24" spans="1:11">
      <c r="A24" s="41" t="s">
        <v>22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</row>
    <row r="25" spans="1:11">
      <c r="A25" s="41" t="s">
        <v>23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</row>
    <row r="26" spans="1:1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</row>
  </sheetData>
  <mergeCells count="25">
    <mergeCell ref="A17:B17"/>
    <mergeCell ref="J17:K17"/>
    <mergeCell ref="A21:C21"/>
    <mergeCell ref="D21:E21"/>
    <mergeCell ref="F21:G21"/>
    <mergeCell ref="A12:B12"/>
    <mergeCell ref="A13:B13"/>
    <mergeCell ref="J15:K15"/>
    <mergeCell ref="M15:N15"/>
    <mergeCell ref="A16:B16"/>
    <mergeCell ref="J16:K16"/>
    <mergeCell ref="M16:N16"/>
    <mergeCell ref="E7:H7"/>
    <mergeCell ref="A8:B8"/>
    <mergeCell ref="C8:H8"/>
    <mergeCell ref="A9:B9"/>
    <mergeCell ref="A10:B10"/>
    <mergeCell ref="A11:B11"/>
    <mergeCell ref="C11:D11"/>
    <mergeCell ref="E11:F11"/>
    <mergeCell ref="H1:K1"/>
    <mergeCell ref="L1:L2"/>
    <mergeCell ref="H2:K2"/>
    <mergeCell ref="H3:K3"/>
    <mergeCell ref="E4:H4"/>
  </mergeCells>
  <pageMargins left="0.42" right="0.34" top="0.36" bottom="0.27" header="0.3" footer="0.25"/>
  <pageSetup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7660-1D9F-4DA5-9B87-068008587C50}">
  <sheetPr codeName="Sheet3">
    <tabColor rgb="FFFF00FF"/>
    <pageSetUpPr fitToPage="1"/>
  </sheetPr>
  <dimension ref="A1:AD26"/>
  <sheetViews>
    <sheetView zoomScale="80" zoomScaleNormal="80" workbookViewId="0">
      <selection activeCell="J21" sqref="J21"/>
    </sheetView>
  </sheetViews>
  <sheetFormatPr defaultRowHeight="16.5"/>
  <cols>
    <col min="1" max="1" width="8.88671875" style="3" customWidth="1"/>
    <col min="2" max="2" width="12" style="3" customWidth="1"/>
    <col min="3" max="3" width="9.33203125" style="3" customWidth="1"/>
    <col min="4" max="4" width="4.5546875" style="3" customWidth="1"/>
    <col min="5" max="5" width="8.88671875" style="3"/>
    <col min="6" max="6" width="8.5546875" style="3" customWidth="1"/>
    <col min="7" max="7" width="9" style="3" customWidth="1"/>
    <col min="8" max="8" width="8.88671875" style="3"/>
    <col min="9" max="9" width="9.88671875" style="3" customWidth="1"/>
    <col min="10" max="10" width="14.5546875" style="3" customWidth="1"/>
    <col min="11" max="11" width="17.88671875" style="3" customWidth="1"/>
    <col min="12" max="12" width="10.77734375" style="3" customWidth="1"/>
    <col min="13" max="14" width="8.88671875" style="3"/>
    <col min="15" max="15" width="9.77734375" style="3" hidden="1" customWidth="1"/>
    <col min="16" max="16" width="8.77734375" style="3" hidden="1" customWidth="1"/>
    <col min="17" max="17" width="21.33203125" style="3" hidden="1" customWidth="1"/>
    <col min="18" max="23" width="1.77734375" style="3" hidden="1" customWidth="1"/>
    <col min="24" max="24" width="4" style="3" hidden="1" customWidth="1"/>
    <col min="25" max="25" width="4.44140625" style="3" hidden="1" customWidth="1"/>
    <col min="26" max="26" width="4" style="3" hidden="1" customWidth="1"/>
    <col min="27" max="28" width="2.6640625" style="3" hidden="1" customWidth="1"/>
    <col min="29" max="29" width="4.5546875" style="3" hidden="1" customWidth="1"/>
    <col min="30" max="30" width="8.88671875" style="3" hidden="1" customWidth="1"/>
    <col min="31" max="31" width="0" style="3" hidden="1" customWidth="1"/>
    <col min="32" max="16384" width="8.88671875" style="3"/>
  </cols>
  <sheetData>
    <row r="1" spans="1:29">
      <c r="A1" s="1" t="s">
        <v>69</v>
      </c>
      <c r="B1" s="1"/>
      <c r="C1" s="1"/>
      <c r="D1" s="2"/>
      <c r="E1" s="2"/>
      <c r="F1" s="2"/>
      <c r="G1" s="2"/>
      <c r="H1" s="48" t="s">
        <v>0</v>
      </c>
      <c r="I1" s="48"/>
      <c r="J1" s="48"/>
      <c r="K1" s="48"/>
      <c r="L1" s="52"/>
      <c r="P1" s="4">
        <f>C11</f>
        <v>0</v>
      </c>
      <c r="Q1" s="5" t="str">
        <f>RIGHT("000000000000"&amp;ROUND(P1,0),12)</f>
        <v>000000000000</v>
      </c>
      <c r="R1" s="6">
        <v>1</v>
      </c>
      <c r="S1" s="6">
        <v>2</v>
      </c>
      <c r="T1" s="6">
        <v>3</v>
      </c>
      <c r="U1" s="7">
        <v>4</v>
      </c>
      <c r="V1" s="7">
        <v>5</v>
      </c>
      <c r="W1" s="7">
        <v>6</v>
      </c>
      <c r="X1" s="8">
        <v>7</v>
      </c>
      <c r="Y1" s="8">
        <v>8</v>
      </c>
      <c r="Z1" s="8">
        <v>9</v>
      </c>
      <c r="AA1" s="9">
        <v>10</v>
      </c>
      <c r="AB1" s="9">
        <v>11</v>
      </c>
      <c r="AC1" s="9">
        <v>12</v>
      </c>
    </row>
    <row r="2" spans="1:29" ht="20.25">
      <c r="A2" s="1" t="s">
        <v>70</v>
      </c>
      <c r="B2" s="1"/>
      <c r="C2" s="1"/>
      <c r="D2" s="10"/>
      <c r="E2" s="10"/>
      <c r="F2" s="10"/>
      <c r="G2" s="10"/>
      <c r="H2" s="45" t="s">
        <v>1</v>
      </c>
      <c r="I2" s="45"/>
      <c r="J2" s="45"/>
      <c r="K2" s="45"/>
      <c r="L2" s="53"/>
      <c r="Q2" s="11"/>
      <c r="R2" s="12">
        <f>VALUE(MID(Q1,R1,1))</f>
        <v>0</v>
      </c>
      <c r="S2" s="12">
        <f>VALUE(MID(Q1,S1,1))</f>
        <v>0</v>
      </c>
      <c r="T2" s="12">
        <f>VALUE(MID(Q1,T1,1))</f>
        <v>0</v>
      </c>
      <c r="U2" s="13">
        <f>VALUE(MID(Q1,U1,1))</f>
        <v>0</v>
      </c>
      <c r="V2" s="13">
        <f>VALUE(MID(Q1,V1,1))</f>
        <v>0</v>
      </c>
      <c r="W2" s="13">
        <f>VALUE(MID(Q1,W1,1))</f>
        <v>0</v>
      </c>
      <c r="X2" s="14">
        <f>VALUE(MID(Q1,X1,1))</f>
        <v>0</v>
      </c>
      <c r="Y2" s="14">
        <f>VALUE(MID(Q1,Y1,1))</f>
        <v>0</v>
      </c>
      <c r="Z2" s="14">
        <f>VALUE(MID(Q1,Z1,1))</f>
        <v>0</v>
      </c>
      <c r="AA2" s="15">
        <f>VALUE(MID(Q1,AA1,1))</f>
        <v>0</v>
      </c>
      <c r="AB2" s="15">
        <f>VALUE(MID(Q1,AB1,1))</f>
        <v>0</v>
      </c>
      <c r="AC2" s="15">
        <f>VALUE(MID(Q1,AC1,1))</f>
        <v>0</v>
      </c>
    </row>
    <row r="3" spans="1:29">
      <c r="A3" s="2"/>
      <c r="B3" s="2"/>
      <c r="C3" s="2"/>
      <c r="D3" s="2"/>
      <c r="E3" s="2"/>
      <c r="F3" s="2"/>
      <c r="G3" s="2"/>
      <c r="H3" s="45" t="s">
        <v>2</v>
      </c>
      <c r="I3" s="45"/>
      <c r="J3" s="45"/>
      <c r="K3" s="45"/>
      <c r="Q3" s="11"/>
      <c r="R3" s="12">
        <f>SUM(R2:R2)</f>
        <v>0</v>
      </c>
      <c r="S3" s="12">
        <f>SUM(R2:S2)</f>
        <v>0</v>
      </c>
      <c r="T3" s="12">
        <f>SUM(R2:T2)</f>
        <v>0</v>
      </c>
      <c r="U3" s="13">
        <f>SUM(U2:U2)</f>
        <v>0</v>
      </c>
      <c r="V3" s="13">
        <f>SUM(U2:V2)</f>
        <v>0</v>
      </c>
      <c r="W3" s="13">
        <f>SUM(U2:W2)</f>
        <v>0</v>
      </c>
      <c r="X3" s="14">
        <f>SUM(X2:X2)</f>
        <v>0</v>
      </c>
      <c r="Y3" s="14">
        <f>SUM(X2:Y2)</f>
        <v>0</v>
      </c>
      <c r="Z3" s="14">
        <f>SUM(X2:Z2)</f>
        <v>0</v>
      </c>
      <c r="AA3" s="15">
        <f>SUM(AA2:AA2)</f>
        <v>0</v>
      </c>
      <c r="AB3" s="15">
        <f>SUM(AA2:AB2)</f>
        <v>0</v>
      </c>
      <c r="AC3" s="15">
        <f>SUM(AA2:AC2)</f>
        <v>0</v>
      </c>
    </row>
    <row r="4" spans="1:29" ht="20.25">
      <c r="A4" s="2"/>
      <c r="B4" s="2"/>
      <c r="C4" s="2"/>
      <c r="D4" s="2"/>
      <c r="E4" s="46" t="s">
        <v>3</v>
      </c>
      <c r="F4" s="46"/>
      <c r="G4" s="46"/>
      <c r="H4" s="46"/>
      <c r="I4" s="16" t="s">
        <v>4</v>
      </c>
      <c r="J4" s="18" t="s">
        <v>5</v>
      </c>
      <c r="K4" s="16"/>
      <c r="Q4" s="11"/>
      <c r="R4" s="12"/>
      <c r="S4" s="12"/>
      <c r="T4" s="12"/>
      <c r="U4" s="13"/>
      <c r="V4" s="13"/>
      <c r="W4" s="13"/>
      <c r="X4" s="14"/>
      <c r="Y4" s="14"/>
      <c r="Z4" s="14"/>
      <c r="AA4" s="15"/>
      <c r="AB4" s="15"/>
      <c r="AC4" s="15"/>
    </row>
    <row r="5" spans="1:29">
      <c r="A5" s="2"/>
      <c r="B5" s="2"/>
      <c r="C5" s="2"/>
      <c r="D5" s="2"/>
      <c r="E5" s="55"/>
      <c r="F5" s="55" t="s">
        <v>121</v>
      </c>
      <c r="G5" s="55"/>
      <c r="H5" s="55"/>
      <c r="I5" s="16" t="s">
        <v>26</v>
      </c>
      <c r="J5" s="16"/>
      <c r="K5" s="16"/>
      <c r="L5" s="19"/>
      <c r="Q5" s="11"/>
      <c r="R5" s="20" t="str">
        <f>IF(R2=0,"",CHOOSE(R2,"một","hai","ba","bốn","năm","sáu","bảy","tám","chín"))</f>
        <v/>
      </c>
      <c r="S5" s="20" t="str">
        <f>IF(S2=0,IF(AND(R2&lt;&gt;0,T2&lt;&gt;0),"lẻ",""),CHOOSE(S2,"mười","hai","ba","bốn","năm","sáu","bảy","tám","chín"))</f>
        <v/>
      </c>
      <c r="T5" s="20" t="str">
        <f>IF(T2=0,"",CHOOSE(T2,IF(S2&gt;1,"mốt","một"),"hai","ba","bốn",IF(S2=0,"năm","lăm"),"sáu","bảy","tám","chín"))</f>
        <v/>
      </c>
      <c r="U5" s="21" t="str">
        <f>IF(U2=0,"",CHOOSE(U2,"một","hai","ba","bốn","năm","sáu","bảy","tám","chín"))</f>
        <v/>
      </c>
      <c r="V5" s="21" t="str">
        <f>IF(V2=0,IF(AND(U2&lt;&gt;0,W2&lt;&gt;0),"lẻ",""),CHOOSE(V2,"mười","hai","ba","bốn","năm","sáu","bảy","tám","chín"))</f>
        <v/>
      </c>
      <c r="W5" s="21" t="str">
        <f>IF(W2=0,"",CHOOSE(W2,IF(V2&gt;1,"mốt","một"),"hai","ba","bốn",IF(V2=0,"năm","lăm"),"sáu","bảy","tám","chín"))</f>
        <v/>
      </c>
      <c r="X5" s="22" t="str">
        <f>IF(X2=0,"",CHOOSE(X2,"một","hai","ba","bốn","năm","sáu","bảy","tám","chín"))</f>
        <v/>
      </c>
      <c r="Y5" s="22" t="str">
        <f>IF(Y2=0,IF(AND(X2&lt;&gt;0,Z2&lt;&gt;0),"lẻ",""),CHOOSE(Y2,"mười","hai","ba","bốn","năm","sáu","bảy","tám","chín"))</f>
        <v/>
      </c>
      <c r="Z5" s="22" t="str">
        <f>IF(Z2=0,"",CHOOSE(Z2,IF(Y2&gt;1,"mốt","một"),"hai","ba","bốn",IF(Y2=0,"năm","lăm"),"sáu","bảy","tám","chín"))</f>
        <v/>
      </c>
      <c r="AA5" s="23" t="str">
        <f>IF(AA2=0,"",CHOOSE(AA2,"một","hai","ba","bốn","năm","sáu","bảy","tám","chín"))</f>
        <v/>
      </c>
      <c r="AB5" s="23" t="str">
        <f>IF(AB2=0,IF(AND(AA2&lt;&gt;0,AC2&lt;&gt;0),"lẻ",""),CHOOSE(AB2,"mười","hai","ba","bốn","năm","sáu","bảy","tám","chín"))</f>
        <v/>
      </c>
      <c r="AC5" s="23" t="str">
        <f>IF(AC2=0,"",CHOOSE(AC2,IF(AB2&gt;1,"mốt","một"),"hai","ba","bốn",IF(AB2=0,"năm","lăm"),"sáu","bảy","tám","chín"))</f>
        <v/>
      </c>
    </row>
    <row r="6" spans="1:29">
      <c r="A6" s="2"/>
      <c r="B6" s="2"/>
      <c r="C6" s="2"/>
      <c r="D6" s="2"/>
      <c r="E6" s="17"/>
      <c r="F6" s="17"/>
      <c r="G6" s="17"/>
      <c r="H6" s="17"/>
      <c r="I6" s="16" t="s">
        <v>27</v>
      </c>
      <c r="J6" s="16"/>
      <c r="K6" s="16"/>
      <c r="L6" s="19"/>
      <c r="Q6" s="11"/>
      <c r="R6" s="20"/>
      <c r="S6" s="20"/>
      <c r="T6" s="20"/>
      <c r="U6" s="21"/>
      <c r="V6" s="21"/>
      <c r="W6" s="21"/>
      <c r="X6" s="22"/>
      <c r="Y6" s="22"/>
      <c r="Z6" s="22"/>
      <c r="AA6" s="23"/>
      <c r="AB6" s="23"/>
      <c r="AC6" s="23"/>
    </row>
    <row r="7" spans="1:29">
      <c r="A7" s="2"/>
      <c r="B7" s="2"/>
      <c r="C7" s="2"/>
      <c r="D7" s="2"/>
      <c r="E7" s="47"/>
      <c r="F7" s="47"/>
      <c r="G7" s="47"/>
      <c r="H7" s="47"/>
      <c r="I7" s="24"/>
      <c r="J7" s="25"/>
      <c r="K7" s="26"/>
      <c r="L7" s="27"/>
      <c r="Q7" s="11"/>
      <c r="R7" s="28" t="str">
        <f>IF(R2=0,"","trăm")</f>
        <v/>
      </c>
      <c r="S7" s="28" t="str">
        <f>IF(S2=0,"",IF(S2=1,"","mươi"))</f>
        <v/>
      </c>
      <c r="T7" s="28" t="str">
        <f>IF(AND(T2=0,T3=0),"","tỷ")</f>
        <v/>
      </c>
      <c r="U7" s="29" t="str">
        <f>IF(U2=0,"","trăm")</f>
        <v/>
      </c>
      <c r="V7" s="29" t="str">
        <f>IF(V2=0,"",IF(V2=1,"","mươi"))</f>
        <v/>
      </c>
      <c r="W7" s="29" t="str">
        <f>IF(AND(W2=0,W3=0),"","triệu")</f>
        <v/>
      </c>
      <c r="X7" s="30" t="str">
        <f>IF(X2=0,"","trăm")</f>
        <v/>
      </c>
      <c r="Y7" s="30" t="str">
        <f>IF(Y2=0,"",IF(Y2=1,"","mươi"))</f>
        <v/>
      </c>
      <c r="Z7" s="30" t="str">
        <f>IF(AND(Z2=0,Z3=0),"","ngàn")</f>
        <v/>
      </c>
      <c r="AA7" s="31" t="str">
        <f>IF(AA2=0,"","trăm")</f>
        <v/>
      </c>
      <c r="AB7" s="31" t="str">
        <f>IF(AB2=0,"",IF(AB2=1,"","mươi"))</f>
        <v/>
      </c>
      <c r="AC7" s="31" t="s">
        <v>6</v>
      </c>
    </row>
    <row r="8" spans="1:29">
      <c r="A8" s="51" t="s">
        <v>7</v>
      </c>
      <c r="B8" s="51"/>
      <c r="C8" s="50"/>
      <c r="D8" s="50"/>
      <c r="E8" s="50"/>
      <c r="F8" s="50"/>
      <c r="G8" s="50"/>
      <c r="H8" s="50"/>
      <c r="I8" s="33"/>
      <c r="J8" s="33"/>
      <c r="K8" s="33"/>
      <c r="Q8" s="11"/>
      <c r="R8" s="28"/>
      <c r="S8" s="28"/>
      <c r="T8" s="28"/>
      <c r="U8" s="29"/>
      <c r="V8" s="29"/>
      <c r="W8" s="29"/>
      <c r="X8" s="30"/>
      <c r="Y8" s="30"/>
      <c r="Z8" s="30"/>
      <c r="AA8" s="31"/>
      <c r="AB8" s="31"/>
      <c r="AC8" s="31"/>
    </row>
    <row r="9" spans="1:29">
      <c r="A9" s="44" t="s">
        <v>8</v>
      </c>
      <c r="B9" s="44"/>
      <c r="C9" s="32"/>
      <c r="D9" s="32"/>
      <c r="E9" s="32"/>
      <c r="F9" s="32"/>
      <c r="G9" s="32"/>
      <c r="H9" s="32"/>
      <c r="I9" s="32"/>
      <c r="J9" s="32"/>
      <c r="K9" s="32"/>
      <c r="Q9" s="35" t="str">
        <f>UPPER(LEFT(TRIM(IF(P1=0,"không đồng.",R5&amp;" "&amp;R7&amp;" "&amp;S5&amp;" "&amp;S7&amp;" "&amp;T5&amp;" "&amp;T7&amp;" "&amp;U5&amp;" "&amp;U7&amp;" "&amp;V5&amp;" "&amp;V7&amp;" "&amp;W5&amp;" "&amp;W7&amp;" "&amp;X5&amp;" "&amp;X7&amp;" "&amp;Y5&amp;" "&amp;Y7&amp;" "&amp;Z5&amp;" "&amp;Z7&amp;" "&amp;AA5&amp;" "&amp;AA7&amp;" "&amp;AB5&amp;" "&amp;AB7&amp;" "&amp;AC5&amp;" "&amp;AC7)),1))&amp;RIGHT(TRIM(IF(P1=0,"không đồng.",R5&amp;" "&amp;R7&amp;" "&amp;S5&amp;" "&amp;S7&amp;" "&amp;T5&amp;" "&amp;T7&amp;" "&amp;U5&amp;" "&amp;U7&amp;" "&amp;V5&amp;" "&amp;V7&amp;" "&amp;W5&amp;" "&amp;W7&amp;" "&amp;X5&amp;" "&amp;X7&amp;" "&amp;Y5&amp;" "&amp;Y7&amp;" "&amp;Z5&amp;" "&amp;Z7&amp;" "&amp;AA5&amp;" "&amp;AA7&amp;" "&amp;AB5&amp;" "&amp;AB7&amp;" "&amp;AC5&amp;" "&amp;AC7)),LEN(TRIM(IF(P1=0,"không đồng.",R5&amp;" "&amp;R7&amp;" "&amp;S5&amp;" "&amp;S7&amp;" "&amp;T5&amp;" "&amp;T7&amp;" "&amp;U5&amp;" "&amp;U7&amp;" "&amp;V5&amp;" "&amp;V7&amp;" "&amp;W5&amp;" "&amp;W7&amp;" "&amp;X5&amp;" "&amp;X7&amp;" "&amp;Y5&amp;" "&amp;Y7&amp;" "&amp;Z5&amp;" "&amp;Z7&amp;" "&amp;AA5&amp;" "&amp;AA7&amp;" "&amp;AB5&amp;" "&amp;AB7&amp;" "&amp;AC5&amp;" "&amp;AC7)))-1)</f>
        <v>Không đồng.</v>
      </c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</row>
    <row r="10" spans="1:29">
      <c r="A10" s="44" t="s">
        <v>9</v>
      </c>
      <c r="B10" s="44"/>
      <c r="C10" s="32"/>
      <c r="D10" s="32"/>
      <c r="E10" s="32"/>
      <c r="F10" s="32"/>
      <c r="G10" s="32"/>
      <c r="H10" s="32"/>
      <c r="I10" s="32"/>
      <c r="J10" s="32"/>
      <c r="K10" s="32"/>
    </row>
    <row r="11" spans="1:29">
      <c r="A11" s="44" t="s">
        <v>10</v>
      </c>
      <c r="B11" s="44"/>
      <c r="C11" s="49"/>
      <c r="D11" s="49"/>
      <c r="E11" s="50" t="s">
        <v>11</v>
      </c>
      <c r="F11" s="50"/>
      <c r="G11" s="32"/>
      <c r="H11" s="32"/>
      <c r="I11" s="32"/>
      <c r="J11" s="32"/>
      <c r="K11" s="32"/>
    </row>
    <row r="12" spans="1:29">
      <c r="A12" s="44" t="s">
        <v>12</v>
      </c>
      <c r="B12" s="44"/>
      <c r="C12" s="36"/>
      <c r="D12" s="36"/>
      <c r="E12" s="36"/>
      <c r="F12" s="36"/>
      <c r="G12" s="36"/>
      <c r="H12" s="36"/>
      <c r="I12" s="36"/>
      <c r="J12" s="36"/>
      <c r="K12" s="36"/>
    </row>
    <row r="13" spans="1:29">
      <c r="A13" s="44" t="s">
        <v>13</v>
      </c>
      <c r="B13" s="44"/>
      <c r="C13" s="24">
        <f>VLOOKUP($J$4,'[1]Tổng hợp'!$E$15:$O$3178,11,0)</f>
        <v>0</v>
      </c>
      <c r="D13" s="24"/>
      <c r="E13" s="24" t="s">
        <v>14</v>
      </c>
      <c r="F13" s="24"/>
      <c r="G13" s="24"/>
      <c r="H13" s="34"/>
      <c r="I13" s="34"/>
      <c r="J13" s="34"/>
      <c r="K13" s="34"/>
    </row>
    <row r="14" spans="1:29" ht="6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29">
      <c r="A15" s="2"/>
      <c r="B15" s="2"/>
      <c r="C15" s="2"/>
      <c r="D15" s="2"/>
      <c r="E15" s="2"/>
      <c r="F15" s="2"/>
      <c r="G15" s="2"/>
      <c r="I15" s="37"/>
      <c r="J15" s="56" t="str">
        <f>F5</f>
        <v>Ngày   25   tháng  11  năm   2025</v>
      </c>
      <c r="K15" s="56"/>
      <c r="M15" s="43"/>
      <c r="N15" s="43"/>
    </row>
    <row r="16" spans="1:29" s="39" customFormat="1" ht="14.25">
      <c r="A16" s="43" t="s">
        <v>15</v>
      </c>
      <c r="B16" s="43"/>
      <c r="C16" s="54"/>
      <c r="D16" s="38" t="s">
        <v>16</v>
      </c>
      <c r="E16" s="54"/>
      <c r="F16" s="38" t="s">
        <v>28</v>
      </c>
      <c r="H16" s="38" t="s">
        <v>29</v>
      </c>
      <c r="I16" s="38"/>
      <c r="J16" s="43" t="s">
        <v>17</v>
      </c>
      <c r="K16" s="43"/>
      <c r="M16" s="43"/>
      <c r="N16" s="43"/>
    </row>
    <row r="17" spans="1:11" s="39" customFormat="1" ht="14.25">
      <c r="A17" s="43" t="s">
        <v>18</v>
      </c>
      <c r="B17" s="43"/>
      <c r="C17" s="54"/>
      <c r="D17" s="38" t="s">
        <v>19</v>
      </c>
      <c r="E17" s="54"/>
      <c r="F17" s="38" t="s">
        <v>19</v>
      </c>
      <c r="H17" s="38" t="s">
        <v>19</v>
      </c>
      <c r="I17" s="38"/>
      <c r="J17" s="43" t="s">
        <v>19</v>
      </c>
      <c r="K17" s="43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s="39" customFormat="1" ht="14.25">
      <c r="A21" s="43"/>
      <c r="B21" s="43"/>
      <c r="C21" s="43"/>
      <c r="D21" s="43"/>
      <c r="E21" s="43"/>
      <c r="F21" s="43"/>
      <c r="G21" s="43"/>
      <c r="H21" s="38"/>
      <c r="I21" s="38"/>
      <c r="J21" s="40"/>
      <c r="K21" s="38"/>
    </row>
    <row r="22" spans="1:11" ht="20.25" customHeight="1">
      <c r="A22" s="41" t="s">
        <v>20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</row>
    <row r="23" spans="1:11" ht="20.25" customHeight="1">
      <c r="A23" s="41" t="s">
        <v>21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</row>
    <row r="24" spans="1:11">
      <c r="A24" s="41" t="s">
        <v>22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</row>
    <row r="25" spans="1:11">
      <c r="A25" s="41" t="s">
        <v>23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</row>
    <row r="26" spans="1:1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</row>
  </sheetData>
  <mergeCells count="25">
    <mergeCell ref="A10:B10"/>
    <mergeCell ref="H1:K1"/>
    <mergeCell ref="L1:L2"/>
    <mergeCell ref="H2:K2"/>
    <mergeCell ref="H3:K3"/>
    <mergeCell ref="E4:H4"/>
    <mergeCell ref="E7:H7"/>
    <mergeCell ref="A8:B8"/>
    <mergeCell ref="C8:H8"/>
    <mergeCell ref="A9:B9"/>
    <mergeCell ref="A11:B11"/>
    <mergeCell ref="C11:D11"/>
    <mergeCell ref="E11:F11"/>
    <mergeCell ref="A12:B12"/>
    <mergeCell ref="A13:B13"/>
    <mergeCell ref="M15:N15"/>
    <mergeCell ref="J15:K15"/>
    <mergeCell ref="A16:B16"/>
    <mergeCell ref="M16:N16"/>
    <mergeCell ref="J16:K16"/>
    <mergeCell ref="A21:C21"/>
    <mergeCell ref="D21:E21"/>
    <mergeCell ref="F21:G21"/>
    <mergeCell ref="A17:B17"/>
    <mergeCell ref="J17:K17"/>
  </mergeCells>
  <pageMargins left="0.42" right="0.34" top="0.36" bottom="0.27" header="0.3" footer="0.25"/>
  <pageSetup scale="7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5C031-1B3D-4CC4-A398-ECB2BA750083}">
  <sheetPr>
    <pageSetUpPr fitToPage="1"/>
  </sheetPr>
  <dimension ref="A1:Y36"/>
  <sheetViews>
    <sheetView topLeftCell="A13" workbookViewId="0">
      <selection activeCell="A25" sqref="A25:L26"/>
    </sheetView>
  </sheetViews>
  <sheetFormatPr defaultRowHeight="12.75"/>
  <cols>
    <col min="1" max="1" width="0.77734375" style="59" customWidth="1"/>
    <col min="2" max="2" width="0.44140625" style="59" customWidth="1"/>
    <col min="3" max="3" width="2.33203125" style="59" customWidth="1"/>
    <col min="4" max="4" width="7.44140625" style="59" customWidth="1"/>
    <col min="5" max="5" width="4.44140625" style="59" customWidth="1"/>
    <col min="6" max="6" width="3" style="59" customWidth="1"/>
    <col min="7" max="7" width="1.21875" style="59" customWidth="1"/>
    <col min="8" max="8" width="2" style="59" customWidth="1"/>
    <col min="9" max="9" width="0.6640625" style="59" customWidth="1"/>
    <col min="10" max="10" width="0.77734375" style="59" customWidth="1"/>
    <col min="11" max="11" width="9.44140625" style="59" customWidth="1"/>
    <col min="12" max="12" width="3.109375" style="59" customWidth="1"/>
    <col min="13" max="13" width="3.21875" style="59" customWidth="1"/>
    <col min="14" max="14" width="3.44140625" style="59" customWidth="1"/>
    <col min="15" max="15" width="0.44140625" style="59" customWidth="1"/>
    <col min="16" max="16" width="3.5546875" style="59" customWidth="1"/>
    <col min="17" max="17" width="3.44140625" style="59" customWidth="1"/>
    <col min="18" max="19" width="0.44140625" style="59" customWidth="1"/>
    <col min="20" max="20" width="2.6640625" style="59" customWidth="1"/>
    <col min="21" max="21" width="0.44140625" style="59" customWidth="1"/>
    <col min="22" max="22" width="1.21875" style="59" customWidth="1"/>
    <col min="23" max="23" width="0.44140625" style="59" customWidth="1"/>
    <col min="24" max="24" width="7.109375" style="59" customWidth="1"/>
    <col min="25" max="25" width="10.21875" style="59" customWidth="1"/>
    <col min="26" max="16384" width="8.88671875" style="59"/>
  </cols>
  <sheetData>
    <row r="1" spans="1:25" ht="17.850000000000001" customHeight="1">
      <c r="A1" s="57" t="s">
        <v>67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8" t="s">
        <v>31</v>
      </c>
      <c r="Q1" s="58"/>
      <c r="R1" s="58"/>
      <c r="S1" s="58"/>
      <c r="T1" s="58"/>
      <c r="U1" s="58"/>
      <c r="V1" s="58"/>
      <c r="W1" s="58"/>
      <c r="X1" s="58"/>
      <c r="Y1" s="58"/>
    </row>
    <row r="2" spans="1:25" ht="8.85" customHeight="1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60" t="s">
        <v>32</v>
      </c>
      <c r="Q2" s="60"/>
      <c r="R2" s="60"/>
      <c r="S2" s="60"/>
      <c r="T2" s="60"/>
      <c r="U2" s="60"/>
      <c r="V2" s="60"/>
      <c r="W2" s="60"/>
      <c r="X2" s="60"/>
      <c r="Y2" s="60"/>
    </row>
    <row r="3" spans="1:25" ht="19.899999999999999" customHeight="1">
      <c r="A3" s="57" t="s">
        <v>68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60"/>
      <c r="Q3" s="60"/>
      <c r="R3" s="60"/>
      <c r="S3" s="60"/>
      <c r="T3" s="60"/>
      <c r="U3" s="60"/>
      <c r="V3" s="60"/>
      <c r="W3" s="60"/>
      <c r="X3" s="60"/>
      <c r="Y3" s="60"/>
    </row>
    <row r="4" spans="1:25" ht="14.25" customHeight="1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</row>
    <row r="5" spans="1:25" ht="4.3499999999999996" customHeight="1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</row>
    <row r="6" spans="1:25" ht="14.85" customHeight="1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</row>
    <row r="7" spans="1:25" ht="22.9" customHeight="1">
      <c r="A7" s="61" t="s">
        <v>35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</row>
    <row r="8" spans="1:25" ht="17.850000000000001" customHeight="1">
      <c r="J8" s="62" t="s">
        <v>36</v>
      </c>
      <c r="K8" s="62"/>
      <c r="L8" s="62"/>
      <c r="M8" s="62"/>
      <c r="N8" s="62"/>
      <c r="O8" s="62"/>
      <c r="P8" s="62"/>
      <c r="Q8" s="62"/>
      <c r="R8" s="62"/>
      <c r="S8" s="63" t="s">
        <v>26</v>
      </c>
      <c r="T8" s="63"/>
      <c r="U8" s="64"/>
      <c r="V8" s="64"/>
      <c r="W8" s="64"/>
      <c r="X8" s="64"/>
      <c r="Y8" s="64"/>
    </row>
    <row r="9" spans="1:25" ht="17.850000000000001" customHeight="1">
      <c r="J9" s="65" t="s">
        <v>37</v>
      </c>
      <c r="K9" s="65"/>
      <c r="L9" s="65"/>
      <c r="M9" s="65"/>
      <c r="N9" s="65"/>
      <c r="O9" s="65"/>
      <c r="P9" s="65"/>
      <c r="Q9" s="65"/>
      <c r="R9" s="65"/>
      <c r="S9" s="63" t="s">
        <v>27</v>
      </c>
      <c r="T9" s="63"/>
      <c r="U9" s="64"/>
      <c r="V9" s="64"/>
      <c r="W9" s="64"/>
      <c r="X9" s="64"/>
      <c r="Y9" s="64"/>
    </row>
    <row r="10" spans="1:25" ht="17.850000000000001" customHeight="1">
      <c r="A10" s="63" t="s">
        <v>38</v>
      </c>
      <c r="B10" s="63"/>
      <c r="C10" s="63"/>
      <c r="D10" s="63"/>
      <c r="E10" s="63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</row>
    <row r="11" spans="1:25" ht="29.65" customHeight="1">
      <c r="A11" s="119" t="s">
        <v>71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</row>
    <row r="12" spans="1:25" ht="12.6" customHeight="1">
      <c r="A12" s="66" t="s">
        <v>39</v>
      </c>
      <c r="B12" s="63"/>
      <c r="C12" s="63"/>
      <c r="D12" s="63"/>
      <c r="E12" s="67"/>
      <c r="F12" s="64"/>
      <c r="G12" s="64"/>
      <c r="H12" s="64"/>
      <c r="I12" s="64"/>
      <c r="J12" s="64"/>
      <c r="K12" s="64"/>
      <c r="L12" s="64"/>
      <c r="M12" s="64"/>
      <c r="N12" s="64"/>
      <c r="O12" s="66" t="s">
        <v>40</v>
      </c>
      <c r="P12" s="63"/>
      <c r="Q12" s="63"/>
      <c r="R12" s="68"/>
      <c r="S12" s="68"/>
      <c r="T12" s="68"/>
      <c r="U12" s="68"/>
      <c r="V12" s="68"/>
      <c r="W12" s="68"/>
      <c r="X12" s="68"/>
      <c r="Y12" s="68"/>
    </row>
    <row r="13" spans="1:25" ht="5.0999999999999996" customHeight="1">
      <c r="A13" s="66"/>
      <c r="B13" s="66"/>
      <c r="C13" s="66"/>
      <c r="D13" s="66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6"/>
      <c r="P13" s="66"/>
      <c r="Q13" s="66"/>
      <c r="R13" s="69"/>
      <c r="S13" s="69"/>
      <c r="T13" s="69"/>
      <c r="U13" s="69"/>
      <c r="V13" s="69"/>
      <c r="W13" s="69"/>
      <c r="X13" s="69"/>
      <c r="Y13" s="69"/>
    </row>
    <row r="14" spans="1:25" ht="19.899999999999999" customHeight="1">
      <c r="A14" s="70" t="s">
        <v>41</v>
      </c>
      <c r="B14" s="71"/>
      <c r="C14" s="72"/>
      <c r="D14" s="73" t="s">
        <v>42</v>
      </c>
      <c r="E14" s="74"/>
      <c r="F14" s="74"/>
      <c r="G14" s="74"/>
      <c r="H14" s="74"/>
      <c r="I14" s="74"/>
      <c r="J14" s="75"/>
      <c r="K14" s="70" t="s">
        <v>43</v>
      </c>
      <c r="L14" s="73" t="s">
        <v>44</v>
      </c>
      <c r="M14" s="75"/>
      <c r="N14" s="70" t="s">
        <v>45</v>
      </c>
      <c r="O14" s="76"/>
      <c r="P14" s="76"/>
      <c r="Q14" s="76"/>
      <c r="R14" s="76"/>
      <c r="S14" s="76"/>
      <c r="T14" s="76"/>
      <c r="U14" s="77"/>
      <c r="V14" s="70" t="s">
        <v>46</v>
      </c>
      <c r="W14" s="71"/>
      <c r="X14" s="72"/>
      <c r="Y14" s="70" t="s">
        <v>47</v>
      </c>
    </row>
    <row r="15" spans="1:25" ht="32.65" customHeight="1">
      <c r="A15" s="78"/>
      <c r="B15" s="79"/>
      <c r="C15" s="80"/>
      <c r="D15" s="81"/>
      <c r="E15" s="82"/>
      <c r="F15" s="82"/>
      <c r="G15" s="82"/>
      <c r="H15" s="82"/>
      <c r="I15" s="82"/>
      <c r="J15" s="83"/>
      <c r="K15" s="84"/>
      <c r="L15" s="81"/>
      <c r="M15" s="83"/>
      <c r="N15" s="73" t="s">
        <v>48</v>
      </c>
      <c r="O15" s="85"/>
      <c r="P15" s="86"/>
      <c r="Q15" s="73" t="s">
        <v>49</v>
      </c>
      <c r="R15" s="85"/>
      <c r="S15" s="85"/>
      <c r="T15" s="85"/>
      <c r="U15" s="86"/>
      <c r="V15" s="78"/>
      <c r="W15" s="79"/>
      <c r="X15" s="80"/>
      <c r="Y15" s="84"/>
    </row>
    <row r="16" spans="1:25" ht="17.100000000000001" customHeight="1">
      <c r="A16" s="70" t="s">
        <v>50</v>
      </c>
      <c r="B16" s="76"/>
      <c r="C16" s="77"/>
      <c r="D16" s="70" t="s">
        <v>51</v>
      </c>
      <c r="E16" s="76"/>
      <c r="F16" s="76"/>
      <c r="G16" s="76"/>
      <c r="H16" s="76"/>
      <c r="I16" s="76"/>
      <c r="J16" s="77"/>
      <c r="K16" s="87" t="s">
        <v>52</v>
      </c>
      <c r="L16" s="70" t="s">
        <v>53</v>
      </c>
      <c r="M16" s="77"/>
      <c r="N16" s="70" t="s">
        <v>54</v>
      </c>
      <c r="O16" s="76"/>
      <c r="P16" s="77"/>
      <c r="Q16" s="70" t="s">
        <v>55</v>
      </c>
      <c r="R16" s="76"/>
      <c r="S16" s="76"/>
      <c r="T16" s="76"/>
      <c r="U16" s="77"/>
      <c r="V16" s="70" t="s">
        <v>56</v>
      </c>
      <c r="W16" s="76"/>
      <c r="X16" s="77"/>
      <c r="Y16" s="87" t="s">
        <v>57</v>
      </c>
    </row>
    <row r="17" spans="1:25" ht="0.75" customHeight="1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</row>
    <row r="18" spans="1:25" ht="25.15" customHeight="1">
      <c r="A18" s="89" t="s">
        <v>54</v>
      </c>
      <c r="B18" s="90"/>
      <c r="C18" s="91"/>
      <c r="D18" s="92"/>
      <c r="E18" s="93"/>
      <c r="F18" s="93"/>
      <c r="G18" s="93"/>
      <c r="H18" s="93"/>
      <c r="I18" s="93"/>
      <c r="J18" s="94"/>
      <c r="K18" s="95"/>
      <c r="L18" s="92"/>
      <c r="M18" s="94"/>
      <c r="N18" s="96"/>
      <c r="O18" s="97"/>
      <c r="P18" s="98"/>
      <c r="Q18" s="96"/>
      <c r="R18" s="97"/>
      <c r="S18" s="97"/>
      <c r="T18" s="97"/>
      <c r="U18" s="98"/>
      <c r="V18" s="96"/>
      <c r="W18" s="97"/>
      <c r="X18" s="98"/>
      <c r="Y18" s="99"/>
    </row>
    <row r="19" spans="1:25" ht="17.850000000000001" customHeight="1">
      <c r="A19" s="100"/>
      <c r="B19" s="101"/>
      <c r="C19" s="102"/>
      <c r="D19" s="103" t="s">
        <v>58</v>
      </c>
      <c r="E19" s="104"/>
      <c r="F19" s="104"/>
      <c r="G19" s="104"/>
      <c r="H19" s="104"/>
      <c r="I19" s="104"/>
      <c r="J19" s="105"/>
      <c r="K19" s="106"/>
      <c r="L19" s="107"/>
      <c r="M19" s="108"/>
      <c r="N19" s="107"/>
      <c r="O19" s="109"/>
      <c r="P19" s="108"/>
      <c r="Q19" s="107"/>
      <c r="R19" s="109"/>
      <c r="S19" s="109"/>
      <c r="T19" s="109"/>
      <c r="U19" s="108"/>
      <c r="V19" s="110"/>
      <c r="W19" s="111"/>
      <c r="X19" s="112"/>
      <c r="Y19" s="113"/>
    </row>
    <row r="20" spans="1:25" ht="11.85" customHeight="1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</row>
    <row r="21" spans="1:25" ht="17.100000000000001" customHeight="1">
      <c r="A21" s="63" t="s">
        <v>59</v>
      </c>
      <c r="B21" s="63"/>
      <c r="C21" s="63" t="s">
        <v>60</v>
      </c>
      <c r="D21" s="63"/>
      <c r="E21" s="63"/>
      <c r="F21" s="63"/>
      <c r="G21" s="63"/>
      <c r="H21" s="63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</row>
    <row r="22" spans="1:25" ht="12.6" customHeight="1">
      <c r="A22" s="63" t="s">
        <v>61</v>
      </c>
      <c r="B22" s="63"/>
      <c r="C22" s="63"/>
      <c r="D22" s="63"/>
      <c r="E22" s="63"/>
      <c r="F22" s="63"/>
      <c r="G22" s="63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spans="1:25" ht="5.0999999999999996" customHeight="1">
      <c r="A23" s="63"/>
      <c r="B23" s="63"/>
      <c r="C23" s="63"/>
      <c r="D23" s="63"/>
      <c r="E23" s="63"/>
      <c r="F23" s="63"/>
      <c r="G23" s="63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</row>
    <row r="24" spans="1:25" ht="17.850000000000001" customHeight="1">
      <c r="R24" s="116" t="s">
        <v>62</v>
      </c>
      <c r="S24" s="116"/>
      <c r="T24" s="116"/>
      <c r="U24" s="116"/>
      <c r="V24" s="116"/>
      <c r="W24" s="116"/>
      <c r="X24" s="116"/>
      <c r="Y24" s="116"/>
    </row>
    <row r="25" spans="1:25" ht="17.100000000000001" customHeight="1">
      <c r="A25" s="58" t="s">
        <v>25</v>
      </c>
      <c r="B25" s="58"/>
      <c r="C25" s="58"/>
      <c r="D25" s="58"/>
      <c r="E25" s="58"/>
      <c r="F25" s="58"/>
      <c r="G25" s="58" t="s">
        <v>63</v>
      </c>
      <c r="H25" s="58"/>
      <c r="I25" s="58"/>
      <c r="J25" s="58"/>
      <c r="K25" s="58"/>
      <c r="L25" s="58"/>
      <c r="M25" s="58" t="s">
        <v>64</v>
      </c>
      <c r="N25" s="58"/>
      <c r="O25" s="58"/>
      <c r="P25" s="58"/>
      <c r="Q25" s="58"/>
      <c r="R25" s="58" t="s">
        <v>117</v>
      </c>
      <c r="S25" s="58"/>
      <c r="T25" s="58"/>
      <c r="U25" s="58"/>
      <c r="V25" s="58"/>
      <c r="W25" s="58"/>
      <c r="X25" s="58"/>
      <c r="Y25" s="58"/>
    </row>
    <row r="26" spans="1:25" ht="17.850000000000001" customHeight="1">
      <c r="A26" s="116" t="s">
        <v>19</v>
      </c>
      <c r="B26" s="116"/>
      <c r="C26" s="116"/>
      <c r="D26" s="116"/>
      <c r="E26" s="116"/>
      <c r="F26" s="116"/>
      <c r="G26" s="116" t="s">
        <v>19</v>
      </c>
      <c r="H26" s="116"/>
      <c r="I26" s="116"/>
      <c r="J26" s="116"/>
      <c r="K26" s="116"/>
      <c r="L26" s="116"/>
      <c r="M26" s="116" t="s">
        <v>19</v>
      </c>
      <c r="N26" s="116"/>
      <c r="O26" s="116"/>
      <c r="P26" s="116"/>
      <c r="Q26" s="116"/>
      <c r="R26" s="190" t="s">
        <v>19</v>
      </c>
      <c r="S26" s="190"/>
      <c r="T26" s="190"/>
      <c r="U26" s="190"/>
      <c r="V26" s="190"/>
      <c r="W26" s="190"/>
      <c r="X26" s="190"/>
      <c r="Y26" s="190"/>
    </row>
    <row r="27" spans="1:25" ht="17.850000000000001" customHeight="1">
      <c r="R27" s="116"/>
      <c r="S27" s="116"/>
      <c r="T27" s="116"/>
      <c r="U27" s="116"/>
      <c r="V27" s="116"/>
      <c r="W27" s="116"/>
      <c r="X27" s="116"/>
      <c r="Y27" s="116"/>
    </row>
    <row r="28" spans="1:25" ht="37.700000000000003" customHeight="1"/>
    <row r="29" spans="1:25" ht="37.700000000000003" customHeight="1"/>
    <row r="30" spans="1:25" ht="17.100000000000001" customHeight="1"/>
    <row r="31" spans="1:25" ht="74.099999999999994" customHeight="1"/>
    <row r="32" spans="1:25" ht="74.099999999999994" customHeight="1"/>
    <row r="33" spans="1:22" ht="74.099999999999994" customHeight="1"/>
    <row r="34" spans="1:22" ht="40.700000000000003" customHeight="1"/>
    <row r="35" spans="1:22" ht="40.700000000000003" customHeight="1"/>
    <row r="36" spans="1:22" ht="17.850000000000001" customHeight="1">
      <c r="A36" s="117" t="s">
        <v>66</v>
      </c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</row>
  </sheetData>
  <mergeCells count="62">
    <mergeCell ref="R27:Y27"/>
    <mergeCell ref="A36:V36"/>
    <mergeCell ref="A25:F25"/>
    <mergeCell ref="G25:L25"/>
    <mergeCell ref="M25:Q25"/>
    <mergeCell ref="R25:Y25"/>
    <mergeCell ref="A26:F26"/>
    <mergeCell ref="G26:L26"/>
    <mergeCell ref="M26:Q26"/>
    <mergeCell ref="R26:Y26"/>
    <mergeCell ref="A21:B21"/>
    <mergeCell ref="C21:H21"/>
    <mergeCell ref="I21:Y21"/>
    <mergeCell ref="A22:G23"/>
    <mergeCell ref="H22:Y22"/>
    <mergeCell ref="R24:Y24"/>
    <mergeCell ref="A19:C19"/>
    <mergeCell ref="D19:J19"/>
    <mergeCell ref="L19:M19"/>
    <mergeCell ref="N19:P19"/>
    <mergeCell ref="Q19:U19"/>
    <mergeCell ref="V19:X19"/>
    <mergeCell ref="A18:C18"/>
    <mergeCell ref="D18:J18"/>
    <mergeCell ref="L18:M18"/>
    <mergeCell ref="N18:P18"/>
    <mergeCell ref="Q18:U18"/>
    <mergeCell ref="V18:X18"/>
    <mergeCell ref="Y14:Y15"/>
    <mergeCell ref="N15:P15"/>
    <mergeCell ref="Q15:U15"/>
    <mergeCell ref="A16:C16"/>
    <mergeCell ref="D16:J16"/>
    <mergeCell ref="L16:M16"/>
    <mergeCell ref="N16:P16"/>
    <mergeCell ref="Q16:U16"/>
    <mergeCell ref="V16:X16"/>
    <mergeCell ref="A14:C15"/>
    <mergeCell ref="D14:J15"/>
    <mergeCell ref="K14:K15"/>
    <mergeCell ref="L14:M15"/>
    <mergeCell ref="N14:U14"/>
    <mergeCell ref="V14:X15"/>
    <mergeCell ref="A10:E10"/>
    <mergeCell ref="F10:Y10"/>
    <mergeCell ref="A11:Y11"/>
    <mergeCell ref="A12:D13"/>
    <mergeCell ref="E12:N13"/>
    <mergeCell ref="O12:Q13"/>
    <mergeCell ref="R12:Y12"/>
    <mergeCell ref="J8:R8"/>
    <mergeCell ref="S8:T8"/>
    <mergeCell ref="U8:Y8"/>
    <mergeCell ref="J9:R9"/>
    <mergeCell ref="S9:T9"/>
    <mergeCell ref="U9:Y9"/>
    <mergeCell ref="A1:O2"/>
    <mergeCell ref="P1:Y1"/>
    <mergeCell ref="P2:Y3"/>
    <mergeCell ref="A3:O5"/>
    <mergeCell ref="A6:O6"/>
    <mergeCell ref="A7:Y7"/>
  </mergeCells>
  <pageMargins left="0.59055118110236204" right="0.39370078740157499" top="0.196850393700787" bottom="0.196850393700787" header="0" footer="0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D60B-08E7-4318-B353-E92D1DAD69AD}">
  <sheetPr>
    <pageSetUpPr fitToPage="1"/>
  </sheetPr>
  <dimension ref="A1:AB127"/>
  <sheetViews>
    <sheetView workbookViewId="0">
      <selection activeCell="A13" sqref="A13:AB13"/>
    </sheetView>
  </sheetViews>
  <sheetFormatPr defaultRowHeight="12.75"/>
  <cols>
    <col min="1" max="1" width="0.77734375" style="59" customWidth="1"/>
    <col min="2" max="2" width="0.44140625" style="59" customWidth="1"/>
    <col min="3" max="3" width="2.33203125" style="59" customWidth="1"/>
    <col min="4" max="4" width="11.109375" style="59" customWidth="1"/>
    <col min="5" max="5" width="2.33203125" style="59" customWidth="1"/>
    <col min="6" max="6" width="2.44140625" style="59" customWidth="1"/>
    <col min="7" max="7" width="1.5546875" style="59" customWidth="1"/>
    <col min="8" max="8" width="0.77734375" style="59" customWidth="1"/>
    <col min="9" max="9" width="3.44140625" style="59" customWidth="1"/>
    <col min="10" max="10" width="3.88671875" style="59" customWidth="1"/>
    <col min="11" max="11" width="3.5546875" style="59" customWidth="1"/>
    <col min="12" max="12" width="6.33203125" style="59" customWidth="1"/>
    <col min="13" max="13" width="3.44140625" style="59" customWidth="1"/>
    <col min="14" max="14" width="0.44140625" style="59" customWidth="1"/>
    <col min="15" max="15" width="0.77734375" style="59" customWidth="1"/>
    <col min="16" max="16" width="2.77734375" style="59" customWidth="1"/>
    <col min="17" max="18" width="3.109375" style="59" customWidth="1"/>
    <col min="19" max="19" width="0.109375" style="59" customWidth="1"/>
    <col min="20" max="20" width="1.109375" style="59" customWidth="1"/>
    <col min="21" max="21" width="0.109375" style="59" customWidth="1"/>
    <col min="22" max="22" width="1.109375" style="59" customWidth="1"/>
    <col min="23" max="23" width="0.44140625" style="59" customWidth="1"/>
    <col min="24" max="24" width="2.77734375" style="59" customWidth="1"/>
    <col min="25" max="25" width="4.33203125" style="59" customWidth="1"/>
    <col min="26" max="27" width="9.88671875" style="59" customWidth="1"/>
    <col min="28" max="28" width="0.33203125" style="59" customWidth="1"/>
    <col min="29" max="16384" width="8.88671875" style="59"/>
  </cols>
  <sheetData>
    <row r="1" spans="1:28" ht="17.850000000000001" customHeight="1">
      <c r="A1" s="57" t="s">
        <v>69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8" t="s">
        <v>75</v>
      </c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</row>
    <row r="2" spans="1:28" ht="8.85" customHeight="1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60" t="s">
        <v>32</v>
      </c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</row>
    <row r="3" spans="1:28" ht="19.899999999999999" customHeight="1">
      <c r="A3" s="57" t="s">
        <v>70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</row>
    <row r="4" spans="1:28" ht="3" customHeight="1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</row>
    <row r="5" spans="1:28" ht="4.3499999999999996" customHeight="1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</row>
    <row r="6" spans="1:28" ht="14.85" customHeight="1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</row>
    <row r="7" spans="1:28" ht="22.9" customHeight="1">
      <c r="A7" s="61" t="s">
        <v>76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</row>
    <row r="8" spans="1:28" ht="14.85" customHeight="1">
      <c r="I8" s="120" t="s">
        <v>77</v>
      </c>
      <c r="J8" s="120"/>
      <c r="K8" s="120"/>
      <c r="L8" s="120"/>
      <c r="M8" s="120"/>
      <c r="N8" s="120"/>
      <c r="O8" s="120"/>
      <c r="P8" s="120"/>
      <c r="Q8" s="120"/>
      <c r="R8" s="63" t="s">
        <v>26</v>
      </c>
      <c r="S8" s="64"/>
      <c r="T8" s="64"/>
      <c r="U8" s="64"/>
      <c r="V8" s="64"/>
      <c r="W8" s="64"/>
      <c r="X8" s="64"/>
      <c r="Y8" s="64"/>
      <c r="Z8" s="64"/>
      <c r="AA8" s="64"/>
      <c r="AB8" s="64"/>
    </row>
    <row r="9" spans="1:28" ht="3" customHeight="1">
      <c r="I9" s="62" t="s">
        <v>79</v>
      </c>
      <c r="J9" s="62"/>
      <c r="K9" s="62"/>
      <c r="L9" s="62"/>
      <c r="M9" s="62"/>
      <c r="N9" s="62"/>
      <c r="O9" s="62"/>
      <c r="P9" s="62"/>
      <c r="Q9" s="62"/>
      <c r="R9" s="63"/>
      <c r="S9" s="64"/>
      <c r="T9" s="64"/>
      <c r="U9" s="64"/>
      <c r="V9" s="64"/>
      <c r="W9" s="64"/>
      <c r="X9" s="64"/>
      <c r="Y9" s="64"/>
      <c r="Z9" s="64"/>
      <c r="AA9" s="64"/>
      <c r="AB9" s="64"/>
    </row>
    <row r="10" spans="1:28" ht="14.85" customHeight="1">
      <c r="I10" s="62"/>
      <c r="J10" s="62"/>
      <c r="K10" s="62"/>
      <c r="L10" s="62"/>
      <c r="M10" s="62"/>
      <c r="N10" s="62"/>
      <c r="O10" s="62"/>
      <c r="P10" s="62"/>
      <c r="Q10" s="62"/>
      <c r="R10" s="63" t="s">
        <v>27</v>
      </c>
      <c r="S10" s="64"/>
      <c r="T10" s="64"/>
      <c r="U10" s="64"/>
      <c r="V10" s="64"/>
      <c r="W10" s="64"/>
      <c r="X10" s="64"/>
      <c r="Y10" s="64"/>
      <c r="Z10" s="64"/>
      <c r="AA10" s="64"/>
      <c r="AB10" s="64"/>
    </row>
    <row r="11" spans="1:28" ht="3" customHeight="1">
      <c r="I11" s="194" t="s">
        <v>116</v>
      </c>
      <c r="J11" s="65"/>
      <c r="K11" s="65"/>
      <c r="L11" s="65"/>
      <c r="M11" s="65"/>
      <c r="N11" s="65"/>
      <c r="O11" s="65"/>
      <c r="P11" s="65"/>
      <c r="Q11" s="65"/>
      <c r="R11" s="63"/>
      <c r="S11" s="64"/>
      <c r="T11" s="64"/>
      <c r="U11" s="64"/>
      <c r="V11" s="64"/>
      <c r="W11" s="64"/>
      <c r="X11" s="64"/>
      <c r="Y11" s="64"/>
      <c r="Z11" s="64"/>
      <c r="AA11" s="64"/>
      <c r="AB11" s="64"/>
    </row>
    <row r="12" spans="1:28" ht="14.85" customHeight="1">
      <c r="I12" s="65"/>
      <c r="J12" s="65"/>
      <c r="K12" s="65"/>
      <c r="L12" s="65"/>
      <c r="M12" s="65"/>
      <c r="N12" s="65"/>
      <c r="O12" s="65"/>
      <c r="P12" s="65"/>
      <c r="Q12" s="65"/>
    </row>
    <row r="13" spans="1:28" ht="17.100000000000001" customHeight="1">
      <c r="A13" s="119" t="s">
        <v>100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</row>
    <row r="14" spans="1:28" ht="17.850000000000001" customHeight="1">
      <c r="A14" s="119" t="s">
        <v>101</v>
      </c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</row>
    <row r="15" spans="1:28" ht="17.850000000000001" customHeight="1">
      <c r="A15" s="119" t="s">
        <v>103</v>
      </c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</row>
    <row r="16" spans="1:28" ht="11.85" customHeight="1">
      <c r="A16" s="163" t="s">
        <v>85</v>
      </c>
      <c r="B16" s="163"/>
      <c r="C16" s="163" t="s">
        <v>86</v>
      </c>
      <c r="D16" s="163"/>
      <c r="E16" s="163"/>
      <c r="F16" s="119" t="s">
        <v>104</v>
      </c>
      <c r="G16" s="118"/>
      <c r="H16" s="118"/>
      <c r="I16" s="118"/>
      <c r="J16" s="118"/>
      <c r="K16" s="118"/>
      <c r="L16" s="118"/>
      <c r="M16" s="118"/>
      <c r="N16" s="163" t="s">
        <v>40</v>
      </c>
      <c r="O16" s="163"/>
      <c r="P16" s="163"/>
      <c r="Q16" s="163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</row>
    <row r="17" spans="1:28" ht="5.0999999999999996" customHeight="1">
      <c r="A17" s="163"/>
      <c r="B17" s="163"/>
      <c r="C17" s="163"/>
      <c r="D17" s="163"/>
      <c r="E17" s="163"/>
      <c r="F17" s="118"/>
      <c r="G17" s="118"/>
      <c r="H17" s="118"/>
      <c r="I17" s="118"/>
      <c r="J17" s="118"/>
      <c r="K17" s="118"/>
      <c r="L17" s="118"/>
      <c r="M17" s="118"/>
      <c r="N17" s="163"/>
      <c r="O17" s="163"/>
      <c r="P17" s="163"/>
      <c r="Q17" s="163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</row>
    <row r="18" spans="1:28" ht="5.85" customHeight="1">
      <c r="A18" s="121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</row>
    <row r="19" spans="1:28" ht="20.65" customHeight="1">
      <c r="A19" s="70" t="s">
        <v>41</v>
      </c>
      <c r="B19" s="71"/>
      <c r="C19" s="72"/>
      <c r="D19" s="73" t="s">
        <v>42</v>
      </c>
      <c r="E19" s="74"/>
      <c r="F19" s="74"/>
      <c r="G19" s="74"/>
      <c r="H19" s="74"/>
      <c r="I19" s="75"/>
      <c r="J19" s="70" t="s">
        <v>43</v>
      </c>
      <c r="K19" s="72"/>
      <c r="L19" s="73" t="s">
        <v>44</v>
      </c>
      <c r="M19" s="70" t="s">
        <v>45</v>
      </c>
      <c r="N19" s="76"/>
      <c r="O19" s="76"/>
      <c r="P19" s="76"/>
      <c r="Q19" s="76"/>
      <c r="R19" s="76"/>
      <c r="S19" s="76"/>
      <c r="T19" s="77"/>
      <c r="U19" s="70" t="s">
        <v>46</v>
      </c>
      <c r="V19" s="71"/>
      <c r="W19" s="71"/>
      <c r="X19" s="71"/>
      <c r="Y19" s="72"/>
      <c r="Z19" s="173" t="s">
        <v>47</v>
      </c>
      <c r="AA19" s="174" t="s">
        <v>102</v>
      </c>
      <c r="AB19" s="72"/>
    </row>
    <row r="20" spans="1:28" ht="28.9" customHeight="1">
      <c r="A20" s="78"/>
      <c r="B20" s="79"/>
      <c r="C20" s="80"/>
      <c r="D20" s="81"/>
      <c r="E20" s="82"/>
      <c r="F20" s="82"/>
      <c r="G20" s="82"/>
      <c r="H20" s="82"/>
      <c r="I20" s="83"/>
      <c r="J20" s="78"/>
      <c r="K20" s="80"/>
      <c r="L20" s="122"/>
      <c r="M20" s="73" t="s">
        <v>88</v>
      </c>
      <c r="N20" s="85"/>
      <c r="O20" s="85"/>
      <c r="P20" s="86"/>
      <c r="Q20" s="73" t="s">
        <v>89</v>
      </c>
      <c r="R20" s="85"/>
      <c r="S20" s="85"/>
      <c r="T20" s="86"/>
      <c r="U20" s="123"/>
      <c r="V20" s="79"/>
      <c r="W20" s="79"/>
      <c r="X20" s="79"/>
      <c r="Y20" s="80"/>
      <c r="Z20" s="84"/>
      <c r="AA20" s="78"/>
      <c r="AB20" s="80"/>
    </row>
    <row r="21" spans="1:28" ht="17.850000000000001" customHeight="1">
      <c r="A21" s="70" t="s">
        <v>50</v>
      </c>
      <c r="B21" s="76"/>
      <c r="C21" s="77"/>
      <c r="D21" s="70" t="s">
        <v>51</v>
      </c>
      <c r="E21" s="76"/>
      <c r="F21" s="76"/>
      <c r="G21" s="76"/>
      <c r="H21" s="76"/>
      <c r="I21" s="77"/>
      <c r="J21" s="70" t="s">
        <v>52</v>
      </c>
      <c r="K21" s="77"/>
      <c r="L21" s="87" t="s">
        <v>53</v>
      </c>
      <c r="M21" s="70" t="s">
        <v>54</v>
      </c>
      <c r="N21" s="76"/>
      <c r="O21" s="76"/>
      <c r="P21" s="77"/>
      <c r="Q21" s="70" t="s">
        <v>55</v>
      </c>
      <c r="R21" s="76"/>
      <c r="S21" s="76"/>
      <c r="T21" s="77"/>
      <c r="U21" s="70" t="s">
        <v>56</v>
      </c>
      <c r="V21" s="76"/>
      <c r="W21" s="76"/>
      <c r="X21" s="76"/>
      <c r="Y21" s="77"/>
      <c r="Z21" s="168">
        <v>4</v>
      </c>
      <c r="AA21" s="70">
        <v>5</v>
      </c>
      <c r="AB21" s="77"/>
    </row>
    <row r="22" spans="1:28" ht="36.950000000000003" customHeight="1">
      <c r="A22" s="124" t="s">
        <v>54</v>
      </c>
      <c r="B22" s="125"/>
      <c r="C22" s="126"/>
      <c r="D22" s="127"/>
      <c r="E22" s="128"/>
      <c r="F22" s="128"/>
      <c r="G22" s="128"/>
      <c r="H22" s="128"/>
      <c r="I22" s="129"/>
      <c r="J22" s="127"/>
      <c r="K22" s="129"/>
      <c r="L22" s="130"/>
      <c r="M22" s="131"/>
      <c r="N22" s="132"/>
      <c r="O22" s="132"/>
      <c r="P22" s="133"/>
      <c r="Q22" s="131">
        <v>0</v>
      </c>
      <c r="R22" s="132"/>
      <c r="S22" s="132"/>
      <c r="T22" s="133"/>
      <c r="U22" s="131">
        <v>0</v>
      </c>
      <c r="V22" s="132"/>
      <c r="W22" s="132"/>
      <c r="X22" s="132"/>
      <c r="Y22" s="133"/>
      <c r="Z22" s="169"/>
      <c r="AA22" s="134">
        <v>0</v>
      </c>
      <c r="AB22" s="135"/>
    </row>
    <row r="23" spans="1:28" ht="36.200000000000003" customHeight="1">
      <c r="A23" s="136" t="s">
        <v>55</v>
      </c>
      <c r="B23" s="137"/>
      <c r="C23" s="138"/>
      <c r="D23" s="139"/>
      <c r="E23" s="140"/>
      <c r="F23" s="140"/>
      <c r="G23" s="140"/>
      <c r="H23" s="140"/>
      <c r="I23" s="141"/>
      <c r="J23" s="139"/>
      <c r="K23" s="141"/>
      <c r="L23" s="142"/>
      <c r="M23" s="143"/>
      <c r="N23" s="144"/>
      <c r="O23" s="144"/>
      <c r="P23" s="145"/>
      <c r="Q23" s="143">
        <v>0</v>
      </c>
      <c r="R23" s="144"/>
      <c r="S23" s="144"/>
      <c r="T23" s="145"/>
      <c r="U23" s="143">
        <v>0</v>
      </c>
      <c r="V23" s="144"/>
      <c r="W23" s="144"/>
      <c r="X23" s="144"/>
      <c r="Y23" s="145"/>
      <c r="Z23" s="170"/>
      <c r="AA23" s="146">
        <v>0</v>
      </c>
      <c r="AB23" s="147"/>
    </row>
    <row r="24" spans="1:28" ht="17.850000000000001" customHeight="1">
      <c r="A24" s="148" t="s">
        <v>56</v>
      </c>
      <c r="B24" s="149"/>
      <c r="C24" s="150"/>
      <c r="D24" s="151"/>
      <c r="E24" s="152"/>
      <c r="F24" s="152"/>
      <c r="G24" s="152"/>
      <c r="H24" s="152"/>
      <c r="I24" s="153"/>
      <c r="J24" s="151"/>
      <c r="K24" s="153"/>
      <c r="L24" s="154"/>
      <c r="M24" s="155"/>
      <c r="N24" s="156"/>
      <c r="O24" s="156"/>
      <c r="P24" s="157"/>
      <c r="Q24" s="155">
        <v>0</v>
      </c>
      <c r="R24" s="156"/>
      <c r="S24" s="156"/>
      <c r="T24" s="157"/>
      <c r="U24" s="155">
        <v>0</v>
      </c>
      <c r="V24" s="156"/>
      <c r="W24" s="156"/>
      <c r="X24" s="156"/>
      <c r="Y24" s="157"/>
      <c r="Z24" s="171"/>
      <c r="AA24" s="158">
        <v>0</v>
      </c>
      <c r="AB24" s="159"/>
    </row>
    <row r="25" spans="1:28" ht="17.850000000000001" customHeight="1">
      <c r="A25" s="100"/>
      <c r="B25" s="101"/>
      <c r="C25" s="102"/>
      <c r="D25" s="103" t="s">
        <v>58</v>
      </c>
      <c r="E25" s="104"/>
      <c r="F25" s="104"/>
      <c r="G25" s="104"/>
      <c r="H25" s="104"/>
      <c r="I25" s="105"/>
      <c r="J25" s="107"/>
      <c r="K25" s="108"/>
      <c r="L25" s="106"/>
      <c r="M25" s="107"/>
      <c r="N25" s="109"/>
      <c r="O25" s="109"/>
      <c r="P25" s="108"/>
      <c r="Q25" s="107"/>
      <c r="R25" s="109"/>
      <c r="S25" s="109"/>
      <c r="T25" s="108"/>
      <c r="U25" s="110"/>
      <c r="V25" s="111"/>
      <c r="W25" s="111"/>
      <c r="X25" s="111"/>
      <c r="Y25" s="112"/>
      <c r="Z25" s="172"/>
      <c r="AA25" s="160">
        <v>0</v>
      </c>
      <c r="AB25" s="161"/>
    </row>
    <row r="26" spans="1:28" ht="11.85" customHeight="1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</row>
    <row r="27" spans="1:28" ht="17.850000000000001" customHeight="1">
      <c r="A27" s="63" t="s">
        <v>85</v>
      </c>
      <c r="B27" s="63"/>
      <c r="C27" s="63" t="s">
        <v>60</v>
      </c>
      <c r="D27" s="63"/>
      <c r="E27" s="63"/>
      <c r="F27" s="63"/>
      <c r="G27" s="63"/>
    </row>
    <row r="28" spans="1:28" ht="2.25" customHeight="1"/>
    <row r="29" spans="1:28" ht="12.6" customHeight="1">
      <c r="A29" s="63" t="s">
        <v>61</v>
      </c>
      <c r="B29" s="63"/>
      <c r="C29" s="63"/>
      <c r="D29" s="63"/>
      <c r="E29" s="63"/>
      <c r="F29" s="63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</row>
    <row r="30" spans="1:28" ht="5.0999999999999996" customHeight="1">
      <c r="A30" s="63"/>
      <c r="B30" s="63"/>
      <c r="C30" s="63"/>
      <c r="D30" s="63"/>
      <c r="E30" s="63"/>
      <c r="F30" s="63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</row>
    <row r="31" spans="1:28" ht="17.850000000000001" customHeight="1">
      <c r="T31" s="116" t="s">
        <v>62</v>
      </c>
      <c r="U31" s="116"/>
      <c r="V31" s="116"/>
      <c r="W31" s="116"/>
      <c r="X31" s="116"/>
      <c r="Y31" s="116"/>
      <c r="Z31" s="116"/>
      <c r="AA31" s="116"/>
      <c r="AB31" s="116"/>
    </row>
    <row r="32" spans="1:28" ht="17.100000000000001" customHeight="1">
      <c r="A32" s="58" t="s">
        <v>25</v>
      </c>
      <c r="B32" s="58"/>
      <c r="C32" s="58"/>
      <c r="D32" s="58"/>
      <c r="E32" s="58" t="s">
        <v>97</v>
      </c>
      <c r="F32" s="58"/>
      <c r="G32" s="58"/>
      <c r="H32" s="58"/>
      <c r="I32" s="58"/>
      <c r="J32" s="58"/>
      <c r="K32" s="58" t="s">
        <v>64</v>
      </c>
      <c r="L32" s="58"/>
      <c r="M32" s="58"/>
      <c r="N32" s="58"/>
      <c r="O32" s="58"/>
      <c r="P32" s="191" t="s">
        <v>117</v>
      </c>
      <c r="Q32" s="58"/>
      <c r="R32" s="58"/>
      <c r="S32" s="58"/>
      <c r="T32" s="58"/>
      <c r="U32" s="58"/>
      <c r="V32" s="58"/>
      <c r="W32" s="58"/>
      <c r="X32" s="58"/>
      <c r="Y32" s="58" t="s">
        <v>74</v>
      </c>
      <c r="Z32" s="58"/>
      <c r="AA32" s="58"/>
      <c r="AB32" s="58"/>
    </row>
    <row r="33" spans="1:28" ht="17.850000000000001" customHeight="1">
      <c r="A33" s="116" t="s">
        <v>19</v>
      </c>
      <c r="B33" s="116"/>
      <c r="C33" s="116"/>
      <c r="D33" s="116"/>
      <c r="E33" s="116" t="s">
        <v>19</v>
      </c>
      <c r="F33" s="116"/>
      <c r="G33" s="116"/>
      <c r="H33" s="116"/>
      <c r="I33" s="116"/>
      <c r="J33" s="116"/>
      <c r="K33" s="116" t="s">
        <v>19</v>
      </c>
      <c r="L33" s="116"/>
      <c r="M33" s="116"/>
      <c r="N33" s="116"/>
      <c r="O33" s="116"/>
      <c r="P33" s="193" t="s">
        <v>19</v>
      </c>
      <c r="Q33" s="193"/>
      <c r="R33" s="193"/>
      <c r="S33" s="193"/>
      <c r="T33" s="193"/>
      <c r="U33" s="193"/>
      <c r="V33" s="193"/>
      <c r="W33" s="193"/>
      <c r="X33" s="193"/>
      <c r="Y33" s="116" t="s">
        <v>18</v>
      </c>
      <c r="Z33" s="116"/>
      <c r="AA33" s="116"/>
      <c r="AB33" s="116"/>
    </row>
    <row r="34" spans="1:28" ht="14.85" customHeight="1">
      <c r="P34" s="192"/>
      <c r="Q34" s="192"/>
      <c r="R34" s="192"/>
      <c r="S34" s="192"/>
      <c r="T34" s="192"/>
      <c r="U34" s="192"/>
      <c r="V34" s="192"/>
      <c r="W34" s="192"/>
      <c r="X34" s="192"/>
    </row>
    <row r="35" spans="1:28" ht="17.100000000000001" customHeight="1">
      <c r="P35" s="116"/>
      <c r="Q35" s="116"/>
      <c r="R35" s="116"/>
      <c r="S35" s="116"/>
      <c r="T35" s="116"/>
      <c r="U35" s="116"/>
      <c r="V35" s="116"/>
      <c r="W35" s="116"/>
      <c r="X35" s="116"/>
    </row>
    <row r="36" spans="1:28" ht="38.450000000000003" customHeight="1"/>
    <row r="37" spans="1:28" ht="37.700000000000003" customHeight="1"/>
    <row r="38" spans="1:28" ht="17.100000000000001" customHeight="1"/>
    <row r="39" spans="1:28" ht="74.099999999999994" customHeight="1"/>
    <row r="40" spans="1:28" ht="62.1" customHeight="1"/>
    <row r="41" spans="1:28" ht="61.35" customHeight="1"/>
    <row r="42" spans="1:28" ht="17.850000000000001" customHeight="1">
      <c r="A42" s="117" t="s">
        <v>66</v>
      </c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</row>
    <row r="43" spans="1:28" ht="17.850000000000001" customHeight="1">
      <c r="A43" s="57" t="s">
        <v>30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8" t="s">
        <v>75</v>
      </c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</row>
    <row r="44" spans="1:28" ht="8.8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60" t="s">
        <v>32</v>
      </c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</row>
    <row r="45" spans="1:28" ht="19.899999999999999" customHeight="1">
      <c r="A45" s="57" t="s">
        <v>33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</row>
    <row r="46" spans="1:28" ht="3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</row>
    <row r="47" spans="1:28" ht="4.3499999999999996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</row>
    <row r="48" spans="1:28" ht="14.1" customHeight="1">
      <c r="A48" s="57" t="s">
        <v>34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</row>
    <row r="49" spans="1:28" ht="23.65" customHeight="1">
      <c r="A49" s="61" t="s">
        <v>76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</row>
    <row r="50" spans="1:28" ht="14.85" customHeight="1">
      <c r="I50" s="120" t="s">
        <v>98</v>
      </c>
      <c r="J50" s="120"/>
      <c r="K50" s="120"/>
      <c r="L50" s="120"/>
      <c r="M50" s="120"/>
      <c r="N50" s="120"/>
      <c r="O50" s="120"/>
      <c r="P50" s="120"/>
      <c r="Q50" s="120"/>
      <c r="R50" s="63" t="s">
        <v>26</v>
      </c>
      <c r="S50" s="64" t="s">
        <v>78</v>
      </c>
      <c r="T50" s="64"/>
      <c r="U50" s="64"/>
      <c r="V50" s="64"/>
      <c r="W50" s="64"/>
      <c r="X50" s="64"/>
      <c r="Y50" s="64"/>
      <c r="Z50" s="64"/>
      <c r="AA50" s="64"/>
      <c r="AB50" s="64"/>
    </row>
    <row r="51" spans="1:28" ht="3" customHeight="1">
      <c r="I51" s="62" t="s">
        <v>79</v>
      </c>
      <c r="J51" s="62"/>
      <c r="K51" s="62"/>
      <c r="L51" s="62"/>
      <c r="M51" s="62"/>
      <c r="N51" s="62"/>
      <c r="O51" s="62"/>
      <c r="P51" s="62"/>
      <c r="Q51" s="62"/>
      <c r="R51" s="63"/>
      <c r="S51" s="64"/>
      <c r="T51" s="64"/>
      <c r="U51" s="64"/>
      <c r="V51" s="64"/>
      <c r="W51" s="64"/>
      <c r="X51" s="64"/>
      <c r="Y51" s="64"/>
      <c r="Z51" s="64"/>
      <c r="AA51" s="64"/>
      <c r="AB51" s="64"/>
    </row>
    <row r="52" spans="1:28" ht="14.85" customHeight="1">
      <c r="I52" s="62"/>
      <c r="J52" s="62"/>
      <c r="K52" s="62"/>
      <c r="L52" s="62"/>
      <c r="M52" s="62"/>
      <c r="N52" s="62"/>
      <c r="O52" s="62"/>
      <c r="P52" s="62"/>
      <c r="Q52" s="62"/>
      <c r="R52" s="63" t="s">
        <v>27</v>
      </c>
      <c r="S52" s="64" t="s">
        <v>80</v>
      </c>
      <c r="T52" s="64"/>
      <c r="U52" s="64"/>
      <c r="V52" s="64"/>
      <c r="W52" s="64"/>
      <c r="X52" s="64"/>
      <c r="Y52" s="64"/>
      <c r="Z52" s="64"/>
      <c r="AA52" s="64"/>
      <c r="AB52" s="64"/>
    </row>
    <row r="53" spans="1:28" ht="3" customHeight="1">
      <c r="I53" s="65" t="s">
        <v>81</v>
      </c>
      <c r="J53" s="65"/>
      <c r="K53" s="65"/>
      <c r="L53" s="65"/>
      <c r="M53" s="65"/>
      <c r="N53" s="65"/>
      <c r="O53" s="65"/>
      <c r="P53" s="65"/>
      <c r="Q53" s="65"/>
      <c r="R53" s="63"/>
      <c r="S53" s="64"/>
      <c r="T53" s="64"/>
      <c r="U53" s="64"/>
      <c r="V53" s="64"/>
      <c r="W53" s="64"/>
      <c r="X53" s="64"/>
      <c r="Y53" s="64"/>
      <c r="Z53" s="64"/>
      <c r="AA53" s="64"/>
      <c r="AB53" s="64"/>
    </row>
    <row r="54" spans="1:28" ht="14.85" customHeight="1">
      <c r="I54" s="65"/>
      <c r="J54" s="65"/>
      <c r="K54" s="65"/>
      <c r="L54" s="65"/>
      <c r="M54" s="65"/>
      <c r="N54" s="65"/>
      <c r="O54" s="65"/>
      <c r="P54" s="65"/>
      <c r="Q54" s="65"/>
    </row>
    <row r="55" spans="1:28" ht="17.100000000000001" customHeight="1">
      <c r="A55" s="64" t="s">
        <v>82</v>
      </c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</row>
    <row r="56" spans="1:28" ht="17.850000000000001" customHeight="1">
      <c r="A56" s="64" t="s">
        <v>83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</row>
    <row r="57" spans="1:28" ht="17.850000000000001" customHeight="1">
      <c r="A57" s="64" t="s">
        <v>84</v>
      </c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</row>
    <row r="58" spans="1:28" ht="11.85" customHeight="1">
      <c r="A58" s="63" t="s">
        <v>85</v>
      </c>
      <c r="B58" s="63"/>
      <c r="C58" s="63" t="s">
        <v>86</v>
      </c>
      <c r="D58" s="63"/>
      <c r="E58" s="63"/>
      <c r="F58" s="64" t="s">
        <v>87</v>
      </c>
      <c r="G58" s="64"/>
      <c r="H58" s="64"/>
      <c r="I58" s="64"/>
      <c r="J58" s="64"/>
      <c r="K58" s="64"/>
      <c r="L58" s="64"/>
      <c r="M58" s="64"/>
      <c r="N58" s="63" t="s">
        <v>40</v>
      </c>
      <c r="O58" s="63"/>
      <c r="P58" s="63"/>
      <c r="Q58" s="63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</row>
    <row r="59" spans="1:28" ht="5.0999999999999996" customHeight="1">
      <c r="A59" s="63"/>
      <c r="B59" s="63"/>
      <c r="C59" s="63"/>
      <c r="D59" s="63"/>
      <c r="E59" s="63"/>
      <c r="F59" s="64"/>
      <c r="G59" s="64"/>
      <c r="H59" s="64"/>
      <c r="I59" s="64"/>
      <c r="J59" s="64"/>
      <c r="K59" s="64"/>
      <c r="L59" s="64"/>
      <c r="M59" s="64"/>
      <c r="N59" s="63"/>
      <c r="O59" s="63"/>
      <c r="P59" s="63"/>
      <c r="Q59" s="63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</row>
    <row r="60" spans="1:28" ht="5.8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</row>
    <row r="61" spans="1:28" ht="20.65" customHeight="1">
      <c r="A61" s="70" t="s">
        <v>41</v>
      </c>
      <c r="B61" s="71"/>
      <c r="C61" s="72"/>
      <c r="D61" s="73" t="s">
        <v>42</v>
      </c>
      <c r="E61" s="74"/>
      <c r="F61" s="74"/>
      <c r="G61" s="74"/>
      <c r="H61" s="74"/>
      <c r="I61" s="75"/>
      <c r="J61" s="70" t="s">
        <v>43</v>
      </c>
      <c r="K61" s="72"/>
      <c r="L61" s="73" t="s">
        <v>44</v>
      </c>
      <c r="M61" s="70" t="s">
        <v>45</v>
      </c>
      <c r="N61" s="76"/>
      <c r="O61" s="76"/>
      <c r="P61" s="76"/>
      <c r="Q61" s="76"/>
      <c r="R61" s="76"/>
      <c r="S61" s="76"/>
      <c r="T61" s="77"/>
      <c r="U61" s="70" t="s">
        <v>46</v>
      </c>
      <c r="V61" s="71"/>
      <c r="W61" s="71"/>
      <c r="X61" s="71"/>
      <c r="Y61" s="72"/>
      <c r="Z61" s="166"/>
      <c r="AA61" s="70" t="s">
        <v>47</v>
      </c>
      <c r="AB61" s="72"/>
    </row>
    <row r="62" spans="1:28" ht="28.9" customHeight="1">
      <c r="A62" s="78"/>
      <c r="B62" s="79"/>
      <c r="C62" s="80"/>
      <c r="D62" s="81"/>
      <c r="E62" s="82"/>
      <c r="F62" s="82"/>
      <c r="G62" s="82"/>
      <c r="H62" s="82"/>
      <c r="I62" s="83"/>
      <c r="J62" s="78"/>
      <c r="K62" s="80"/>
      <c r="L62" s="122"/>
      <c r="M62" s="73" t="s">
        <v>88</v>
      </c>
      <c r="N62" s="85"/>
      <c r="O62" s="85"/>
      <c r="P62" s="86"/>
      <c r="Q62" s="73" t="s">
        <v>89</v>
      </c>
      <c r="R62" s="85"/>
      <c r="S62" s="85"/>
      <c r="T62" s="86"/>
      <c r="U62" s="123"/>
      <c r="V62" s="79"/>
      <c r="W62" s="79"/>
      <c r="X62" s="79"/>
      <c r="Y62" s="80"/>
      <c r="Z62" s="167"/>
      <c r="AA62" s="78"/>
      <c r="AB62" s="80"/>
    </row>
    <row r="63" spans="1:28" ht="17.850000000000001" customHeight="1">
      <c r="A63" s="70" t="s">
        <v>50</v>
      </c>
      <c r="B63" s="76"/>
      <c r="C63" s="77"/>
      <c r="D63" s="70" t="s">
        <v>51</v>
      </c>
      <c r="E63" s="76"/>
      <c r="F63" s="76"/>
      <c r="G63" s="76"/>
      <c r="H63" s="76"/>
      <c r="I63" s="77"/>
      <c r="J63" s="70" t="s">
        <v>52</v>
      </c>
      <c r="K63" s="77"/>
      <c r="L63" s="87" t="s">
        <v>53</v>
      </c>
      <c r="M63" s="70" t="s">
        <v>54</v>
      </c>
      <c r="N63" s="76"/>
      <c r="O63" s="76"/>
      <c r="P63" s="77"/>
      <c r="Q63" s="70" t="s">
        <v>55</v>
      </c>
      <c r="R63" s="76"/>
      <c r="S63" s="76"/>
      <c r="T63" s="77"/>
      <c r="U63" s="70" t="s">
        <v>56</v>
      </c>
      <c r="V63" s="76"/>
      <c r="W63" s="76"/>
      <c r="X63" s="76"/>
      <c r="Y63" s="77"/>
      <c r="Z63" s="168"/>
      <c r="AA63" s="70" t="s">
        <v>57</v>
      </c>
      <c r="AB63" s="77"/>
    </row>
    <row r="64" spans="1:28" ht="36.200000000000003" customHeight="1">
      <c r="A64" s="124" t="s">
        <v>54</v>
      </c>
      <c r="B64" s="125"/>
      <c r="C64" s="126"/>
      <c r="D64" s="127" t="s">
        <v>90</v>
      </c>
      <c r="E64" s="128"/>
      <c r="F64" s="128"/>
      <c r="G64" s="128"/>
      <c r="H64" s="128"/>
      <c r="I64" s="129"/>
      <c r="J64" s="127" t="s">
        <v>91</v>
      </c>
      <c r="K64" s="129"/>
      <c r="L64" s="130" t="s">
        <v>92</v>
      </c>
      <c r="M64" s="131">
        <v>371</v>
      </c>
      <c r="N64" s="132"/>
      <c r="O64" s="132"/>
      <c r="P64" s="133"/>
      <c r="Q64" s="131">
        <v>0</v>
      </c>
      <c r="R64" s="132"/>
      <c r="S64" s="132"/>
      <c r="T64" s="133"/>
      <c r="U64" s="131">
        <v>0</v>
      </c>
      <c r="V64" s="132"/>
      <c r="W64" s="132"/>
      <c r="X64" s="132"/>
      <c r="Y64" s="133"/>
      <c r="Z64" s="169"/>
      <c r="AA64" s="134">
        <v>0</v>
      </c>
      <c r="AB64" s="135"/>
    </row>
    <row r="65" spans="1:28" ht="36.950000000000003" customHeight="1">
      <c r="A65" s="136" t="s">
        <v>55</v>
      </c>
      <c r="B65" s="137"/>
      <c r="C65" s="138"/>
      <c r="D65" s="139" t="s">
        <v>93</v>
      </c>
      <c r="E65" s="140"/>
      <c r="F65" s="140"/>
      <c r="G65" s="140"/>
      <c r="H65" s="140"/>
      <c r="I65" s="141"/>
      <c r="J65" s="139" t="s">
        <v>94</v>
      </c>
      <c r="K65" s="141"/>
      <c r="L65" s="142" t="s">
        <v>92</v>
      </c>
      <c r="M65" s="143">
        <v>678</v>
      </c>
      <c r="N65" s="144"/>
      <c r="O65" s="144"/>
      <c r="P65" s="145"/>
      <c r="Q65" s="143">
        <v>0</v>
      </c>
      <c r="R65" s="144"/>
      <c r="S65" s="144"/>
      <c r="T65" s="145"/>
      <c r="U65" s="143">
        <v>0</v>
      </c>
      <c r="V65" s="144"/>
      <c r="W65" s="144"/>
      <c r="X65" s="144"/>
      <c r="Y65" s="145"/>
      <c r="Z65" s="170"/>
      <c r="AA65" s="146">
        <v>0</v>
      </c>
      <c r="AB65" s="147"/>
    </row>
    <row r="66" spans="1:28" ht="17.850000000000001" customHeight="1">
      <c r="A66" s="148" t="s">
        <v>56</v>
      </c>
      <c r="B66" s="149"/>
      <c r="C66" s="150"/>
      <c r="D66" s="151" t="s">
        <v>95</v>
      </c>
      <c r="E66" s="152"/>
      <c r="F66" s="152"/>
      <c r="G66" s="152"/>
      <c r="H66" s="152"/>
      <c r="I66" s="153"/>
      <c r="J66" s="151" t="s">
        <v>96</v>
      </c>
      <c r="K66" s="153"/>
      <c r="L66" s="154"/>
      <c r="M66" s="155">
        <v>0</v>
      </c>
      <c r="N66" s="156"/>
      <c r="O66" s="156"/>
      <c r="P66" s="157"/>
      <c r="Q66" s="155">
        <v>0</v>
      </c>
      <c r="R66" s="156"/>
      <c r="S66" s="156"/>
      <c r="T66" s="157"/>
      <c r="U66" s="155">
        <v>0</v>
      </c>
      <c r="V66" s="156"/>
      <c r="W66" s="156"/>
      <c r="X66" s="156"/>
      <c r="Y66" s="157"/>
      <c r="Z66" s="171"/>
      <c r="AA66" s="158">
        <v>0</v>
      </c>
      <c r="AB66" s="159"/>
    </row>
    <row r="67" spans="1:28" ht="17.850000000000001" customHeight="1">
      <c r="A67" s="100"/>
      <c r="B67" s="101"/>
      <c r="C67" s="102"/>
      <c r="D67" s="103" t="s">
        <v>58</v>
      </c>
      <c r="E67" s="104"/>
      <c r="F67" s="104"/>
      <c r="G67" s="104"/>
      <c r="H67" s="104"/>
      <c r="I67" s="105"/>
      <c r="J67" s="107"/>
      <c r="K67" s="108"/>
      <c r="L67" s="106"/>
      <c r="M67" s="107"/>
      <c r="N67" s="109"/>
      <c r="O67" s="109"/>
      <c r="P67" s="108"/>
      <c r="Q67" s="107"/>
      <c r="R67" s="109"/>
      <c r="S67" s="109"/>
      <c r="T67" s="108"/>
      <c r="U67" s="110"/>
      <c r="V67" s="111"/>
      <c r="W67" s="111"/>
      <c r="X67" s="111"/>
      <c r="Y67" s="112"/>
      <c r="Z67" s="172"/>
      <c r="AA67" s="160">
        <v>0</v>
      </c>
      <c r="AB67" s="161"/>
    </row>
    <row r="68" spans="1:28" ht="11.85" customHeight="1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</row>
    <row r="69" spans="1:28" ht="17.850000000000001" customHeight="1">
      <c r="A69" s="63" t="s">
        <v>85</v>
      </c>
      <c r="B69" s="63"/>
      <c r="C69" s="63" t="s">
        <v>60</v>
      </c>
      <c r="D69" s="63"/>
      <c r="E69" s="63"/>
      <c r="F69" s="63"/>
      <c r="G69" s="63"/>
    </row>
    <row r="70" spans="1:28" ht="2.25" customHeight="1"/>
    <row r="71" spans="1:28" ht="12.6" customHeight="1">
      <c r="A71" s="63" t="s">
        <v>61</v>
      </c>
      <c r="B71" s="63"/>
      <c r="C71" s="63"/>
      <c r="D71" s="63"/>
      <c r="E71" s="63"/>
      <c r="F71" s="63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</row>
    <row r="72" spans="1:28" ht="5.0999999999999996" customHeight="1">
      <c r="A72" s="63"/>
      <c r="B72" s="63"/>
      <c r="C72" s="63"/>
      <c r="D72" s="63"/>
      <c r="E72" s="63"/>
      <c r="F72" s="63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</row>
    <row r="73" spans="1:28" ht="17.850000000000001" customHeight="1">
      <c r="T73" s="116" t="s">
        <v>62</v>
      </c>
      <c r="U73" s="116"/>
      <c r="V73" s="116"/>
      <c r="W73" s="116"/>
      <c r="X73" s="116"/>
      <c r="Y73" s="116"/>
      <c r="Z73" s="116"/>
      <c r="AA73" s="116"/>
      <c r="AB73" s="116"/>
    </row>
    <row r="74" spans="1:28" ht="17.100000000000001" customHeight="1">
      <c r="A74" s="58" t="s">
        <v>25</v>
      </c>
      <c r="B74" s="58"/>
      <c r="C74" s="58"/>
      <c r="D74" s="58"/>
      <c r="E74" s="58" t="s">
        <v>97</v>
      </c>
      <c r="F74" s="58"/>
      <c r="G74" s="58"/>
      <c r="H74" s="58"/>
      <c r="I74" s="58"/>
      <c r="J74" s="58"/>
      <c r="K74" s="58" t="s">
        <v>64</v>
      </c>
      <c r="L74" s="58"/>
      <c r="M74" s="58"/>
      <c r="N74" s="58"/>
      <c r="O74" s="58"/>
      <c r="P74" s="58" t="s">
        <v>16</v>
      </c>
      <c r="Q74" s="58"/>
      <c r="R74" s="58"/>
      <c r="S74" s="58"/>
      <c r="T74" s="58"/>
      <c r="U74" s="58"/>
      <c r="V74" s="58"/>
      <c r="W74" s="58"/>
      <c r="X74" s="58"/>
      <c r="Y74" s="58" t="s">
        <v>74</v>
      </c>
      <c r="Z74" s="58"/>
      <c r="AA74" s="58"/>
      <c r="AB74" s="58"/>
    </row>
    <row r="75" spans="1:28" ht="17.850000000000001" customHeight="1">
      <c r="A75" s="116" t="s">
        <v>19</v>
      </c>
      <c r="B75" s="116"/>
      <c r="C75" s="116"/>
      <c r="D75" s="116"/>
      <c r="E75" s="116" t="s">
        <v>19</v>
      </c>
      <c r="F75" s="116"/>
      <c r="G75" s="116"/>
      <c r="H75" s="116"/>
      <c r="I75" s="116"/>
      <c r="J75" s="116"/>
      <c r="K75" s="116" t="s">
        <v>19</v>
      </c>
      <c r="L75" s="116"/>
      <c r="M75" s="116"/>
      <c r="N75" s="116"/>
      <c r="O75" s="116"/>
      <c r="P75" s="162" t="s">
        <v>65</v>
      </c>
      <c r="Q75" s="162"/>
      <c r="R75" s="162"/>
      <c r="S75" s="162"/>
      <c r="T75" s="162"/>
      <c r="U75" s="162"/>
      <c r="V75" s="162"/>
      <c r="W75" s="162"/>
      <c r="X75" s="162"/>
      <c r="Y75" s="116" t="s">
        <v>18</v>
      </c>
      <c r="Z75" s="116"/>
      <c r="AA75" s="116"/>
      <c r="AB75" s="116"/>
    </row>
    <row r="76" spans="1:28" ht="14.85" customHeight="1">
      <c r="P76" s="162"/>
      <c r="Q76" s="162"/>
      <c r="R76" s="162"/>
      <c r="S76" s="162"/>
      <c r="T76" s="162"/>
      <c r="U76" s="162"/>
      <c r="V76" s="162"/>
      <c r="W76" s="162"/>
      <c r="X76" s="162"/>
    </row>
    <row r="77" spans="1:28" ht="17.100000000000001" customHeight="1">
      <c r="P77" s="116" t="s">
        <v>19</v>
      </c>
      <c r="Q77" s="116"/>
      <c r="R77" s="116"/>
      <c r="S77" s="116"/>
      <c r="T77" s="116"/>
      <c r="U77" s="116"/>
      <c r="V77" s="116"/>
      <c r="W77" s="116"/>
      <c r="X77" s="116"/>
    </row>
    <row r="78" spans="1:28" ht="38.450000000000003" customHeight="1"/>
    <row r="79" spans="1:28" ht="37.700000000000003" customHeight="1"/>
    <row r="80" spans="1:28" ht="17.100000000000001" customHeight="1"/>
    <row r="81" spans="1:28" ht="74.099999999999994" customHeight="1"/>
    <row r="82" spans="1:28" ht="62.1" customHeight="1"/>
    <row r="83" spans="1:28" ht="61.35" customHeight="1"/>
    <row r="84" spans="1:28" ht="17.850000000000001" customHeight="1">
      <c r="A84" s="117" t="s">
        <v>66</v>
      </c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</row>
    <row r="85" spans="1:28" ht="17.100000000000001" customHeight="1">
      <c r="A85" s="57" t="s">
        <v>30</v>
      </c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8" t="s">
        <v>75</v>
      </c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</row>
    <row r="86" spans="1:28" ht="9.6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60" t="s">
        <v>32</v>
      </c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</row>
    <row r="87" spans="1:28" ht="19.899999999999999" customHeight="1">
      <c r="A87" s="57" t="s">
        <v>33</v>
      </c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</row>
    <row r="88" spans="1:28" ht="3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</row>
    <row r="89" spans="1:28" ht="4.3499999999999996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</row>
    <row r="90" spans="1:28" ht="14.1" customHeight="1">
      <c r="A90" s="57" t="s">
        <v>34</v>
      </c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</row>
    <row r="91" spans="1:28" ht="22.9" customHeight="1">
      <c r="A91" s="61" t="s">
        <v>76</v>
      </c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</row>
    <row r="92" spans="1:28" ht="0.75" customHeight="1">
      <c r="R92" s="63" t="s">
        <v>26</v>
      </c>
      <c r="S92" s="64" t="s">
        <v>78</v>
      </c>
      <c r="T92" s="64"/>
      <c r="U92" s="64"/>
      <c r="V92" s="64"/>
      <c r="W92" s="64"/>
      <c r="X92" s="64"/>
      <c r="Y92" s="64"/>
      <c r="Z92" s="64"/>
      <c r="AA92" s="64"/>
      <c r="AB92" s="64"/>
    </row>
    <row r="93" spans="1:28" ht="14.85" customHeight="1">
      <c r="I93" s="120" t="s">
        <v>99</v>
      </c>
      <c r="J93" s="120"/>
      <c r="K93" s="120"/>
      <c r="L93" s="120"/>
      <c r="M93" s="120"/>
      <c r="N93" s="120"/>
      <c r="O93" s="120"/>
      <c r="P93" s="120"/>
      <c r="Q93" s="120"/>
      <c r="R93" s="63"/>
      <c r="S93" s="64"/>
      <c r="T93" s="64"/>
      <c r="U93" s="64"/>
      <c r="V93" s="64"/>
      <c r="W93" s="64"/>
      <c r="X93" s="64"/>
      <c r="Y93" s="64"/>
      <c r="Z93" s="64"/>
      <c r="AA93" s="64"/>
      <c r="AB93" s="64"/>
    </row>
    <row r="94" spans="1:28" ht="2.25" customHeight="1">
      <c r="I94" s="62" t="s">
        <v>79</v>
      </c>
      <c r="J94" s="62"/>
      <c r="K94" s="62"/>
      <c r="L94" s="62"/>
      <c r="M94" s="62"/>
      <c r="N94" s="62"/>
      <c r="O94" s="62"/>
      <c r="P94" s="62"/>
      <c r="Q94" s="62"/>
      <c r="R94" s="63"/>
      <c r="S94" s="64"/>
      <c r="T94" s="64"/>
      <c r="U94" s="64"/>
      <c r="V94" s="64"/>
      <c r="W94" s="64"/>
      <c r="X94" s="64"/>
      <c r="Y94" s="64"/>
      <c r="Z94" s="64"/>
      <c r="AA94" s="64"/>
      <c r="AB94" s="64"/>
    </row>
    <row r="95" spans="1:28" ht="15.6" customHeight="1">
      <c r="I95" s="62"/>
      <c r="J95" s="62"/>
      <c r="K95" s="62"/>
      <c r="L95" s="62"/>
      <c r="M95" s="62"/>
      <c r="N95" s="62"/>
      <c r="O95" s="62"/>
      <c r="P95" s="62"/>
      <c r="Q95" s="62"/>
      <c r="R95" s="63" t="s">
        <v>27</v>
      </c>
      <c r="S95" s="64" t="s">
        <v>80</v>
      </c>
      <c r="T95" s="64"/>
      <c r="U95" s="64"/>
      <c r="V95" s="64"/>
      <c r="W95" s="64"/>
      <c r="X95" s="64"/>
      <c r="Y95" s="64"/>
      <c r="Z95" s="64"/>
      <c r="AA95" s="64"/>
      <c r="AB95" s="64"/>
    </row>
    <row r="96" spans="1:28" ht="2.25" customHeight="1">
      <c r="I96" s="65" t="s">
        <v>81</v>
      </c>
      <c r="J96" s="65"/>
      <c r="K96" s="65"/>
      <c r="L96" s="65"/>
      <c r="M96" s="65"/>
      <c r="N96" s="65"/>
      <c r="O96" s="65"/>
      <c r="P96" s="65"/>
      <c r="Q96" s="65"/>
      <c r="R96" s="63"/>
      <c r="S96" s="64"/>
      <c r="T96" s="64"/>
      <c r="U96" s="64"/>
      <c r="V96" s="64"/>
      <c r="W96" s="64"/>
      <c r="X96" s="64"/>
      <c r="Y96" s="64"/>
      <c r="Z96" s="64"/>
      <c r="AA96" s="64"/>
      <c r="AB96" s="64"/>
    </row>
    <row r="97" spans="1:28" ht="15.6" customHeight="1">
      <c r="I97" s="65"/>
      <c r="J97" s="65"/>
      <c r="K97" s="65"/>
      <c r="L97" s="65"/>
      <c r="M97" s="65"/>
      <c r="N97" s="65"/>
      <c r="O97" s="65"/>
      <c r="P97" s="65"/>
      <c r="Q97" s="65"/>
    </row>
    <row r="98" spans="1:28" ht="17.100000000000001" customHeight="1">
      <c r="A98" s="64" t="s">
        <v>82</v>
      </c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</row>
    <row r="99" spans="1:28" ht="17.850000000000001" customHeight="1">
      <c r="A99" s="64" t="s">
        <v>83</v>
      </c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</row>
    <row r="100" spans="1:28" ht="17.100000000000001" customHeight="1">
      <c r="A100" s="64" t="s">
        <v>84</v>
      </c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</row>
    <row r="101" spans="1:28" ht="12.6" customHeight="1">
      <c r="A101" s="63" t="s">
        <v>85</v>
      </c>
      <c r="B101" s="63"/>
      <c r="C101" s="63" t="s">
        <v>86</v>
      </c>
      <c r="D101" s="63"/>
      <c r="E101" s="63"/>
      <c r="F101" s="64" t="s">
        <v>87</v>
      </c>
      <c r="G101" s="64"/>
      <c r="H101" s="64"/>
      <c r="I101" s="64"/>
      <c r="J101" s="64"/>
      <c r="K101" s="64"/>
      <c r="L101" s="64"/>
      <c r="M101" s="64"/>
      <c r="N101" s="63" t="s">
        <v>40</v>
      </c>
      <c r="O101" s="63"/>
      <c r="P101" s="63"/>
      <c r="Q101" s="63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</row>
    <row r="102" spans="1:28" ht="5.0999999999999996" customHeight="1">
      <c r="A102" s="63"/>
      <c r="B102" s="63"/>
      <c r="C102" s="63"/>
      <c r="D102" s="63"/>
      <c r="E102" s="63"/>
      <c r="F102" s="64"/>
      <c r="G102" s="64"/>
      <c r="H102" s="64"/>
      <c r="I102" s="64"/>
      <c r="J102" s="64"/>
      <c r="K102" s="64"/>
      <c r="L102" s="64"/>
      <c r="M102" s="64"/>
      <c r="N102" s="63"/>
      <c r="O102" s="63"/>
      <c r="P102" s="63"/>
      <c r="Q102" s="63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</row>
    <row r="103" spans="1:28" ht="5.8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</row>
    <row r="104" spans="1:28" ht="20.65" customHeight="1">
      <c r="A104" s="70" t="s">
        <v>41</v>
      </c>
      <c r="B104" s="71"/>
      <c r="C104" s="72"/>
      <c r="D104" s="73" t="s">
        <v>42</v>
      </c>
      <c r="E104" s="74"/>
      <c r="F104" s="74"/>
      <c r="G104" s="74"/>
      <c r="H104" s="74"/>
      <c r="I104" s="75"/>
      <c r="J104" s="70" t="s">
        <v>43</v>
      </c>
      <c r="K104" s="72"/>
      <c r="L104" s="73" t="s">
        <v>44</v>
      </c>
      <c r="M104" s="70" t="s">
        <v>45</v>
      </c>
      <c r="N104" s="76"/>
      <c r="O104" s="76"/>
      <c r="P104" s="76"/>
      <c r="Q104" s="76"/>
      <c r="R104" s="76"/>
      <c r="S104" s="76"/>
      <c r="T104" s="77"/>
      <c r="U104" s="70" t="s">
        <v>46</v>
      </c>
      <c r="V104" s="71"/>
      <c r="W104" s="71"/>
      <c r="X104" s="71"/>
      <c r="Y104" s="72"/>
      <c r="Z104" s="166"/>
      <c r="AA104" s="70" t="s">
        <v>47</v>
      </c>
      <c r="AB104" s="72"/>
    </row>
    <row r="105" spans="1:28" ht="28.9" customHeight="1">
      <c r="A105" s="78"/>
      <c r="B105" s="79"/>
      <c r="C105" s="80"/>
      <c r="D105" s="81"/>
      <c r="E105" s="82"/>
      <c r="F105" s="82"/>
      <c r="G105" s="82"/>
      <c r="H105" s="82"/>
      <c r="I105" s="83"/>
      <c r="J105" s="78"/>
      <c r="K105" s="80"/>
      <c r="L105" s="122"/>
      <c r="M105" s="73" t="s">
        <v>88</v>
      </c>
      <c r="N105" s="85"/>
      <c r="O105" s="85"/>
      <c r="P105" s="86"/>
      <c r="Q105" s="73" t="s">
        <v>89</v>
      </c>
      <c r="R105" s="85"/>
      <c r="S105" s="85"/>
      <c r="T105" s="86"/>
      <c r="U105" s="123"/>
      <c r="V105" s="79"/>
      <c r="W105" s="79"/>
      <c r="X105" s="79"/>
      <c r="Y105" s="80"/>
      <c r="Z105" s="167"/>
      <c r="AA105" s="78"/>
      <c r="AB105" s="80"/>
    </row>
    <row r="106" spans="1:28" ht="17.850000000000001" customHeight="1">
      <c r="A106" s="70" t="s">
        <v>50</v>
      </c>
      <c r="B106" s="76"/>
      <c r="C106" s="77"/>
      <c r="D106" s="70" t="s">
        <v>51</v>
      </c>
      <c r="E106" s="76"/>
      <c r="F106" s="76"/>
      <c r="G106" s="76"/>
      <c r="H106" s="76"/>
      <c r="I106" s="77"/>
      <c r="J106" s="70" t="s">
        <v>52</v>
      </c>
      <c r="K106" s="77"/>
      <c r="L106" s="87" t="s">
        <v>53</v>
      </c>
      <c r="M106" s="70" t="s">
        <v>54</v>
      </c>
      <c r="N106" s="76"/>
      <c r="O106" s="76"/>
      <c r="P106" s="77"/>
      <c r="Q106" s="70" t="s">
        <v>55</v>
      </c>
      <c r="R106" s="76"/>
      <c r="S106" s="76"/>
      <c r="T106" s="77"/>
      <c r="U106" s="70" t="s">
        <v>56</v>
      </c>
      <c r="V106" s="76"/>
      <c r="W106" s="76"/>
      <c r="X106" s="76"/>
      <c r="Y106" s="77"/>
      <c r="Z106" s="168"/>
      <c r="AA106" s="70" t="s">
        <v>57</v>
      </c>
      <c r="AB106" s="77"/>
    </row>
    <row r="107" spans="1:28" ht="36.200000000000003" customHeight="1">
      <c r="A107" s="124" t="s">
        <v>54</v>
      </c>
      <c r="B107" s="125"/>
      <c r="C107" s="126"/>
      <c r="D107" s="127" t="s">
        <v>90</v>
      </c>
      <c r="E107" s="128"/>
      <c r="F107" s="128"/>
      <c r="G107" s="128"/>
      <c r="H107" s="128"/>
      <c r="I107" s="129"/>
      <c r="J107" s="127" t="s">
        <v>91</v>
      </c>
      <c r="K107" s="129"/>
      <c r="L107" s="130" t="s">
        <v>92</v>
      </c>
      <c r="M107" s="131">
        <v>371</v>
      </c>
      <c r="N107" s="132"/>
      <c r="O107" s="132"/>
      <c r="P107" s="133"/>
      <c r="Q107" s="131">
        <v>0</v>
      </c>
      <c r="R107" s="132"/>
      <c r="S107" s="132"/>
      <c r="T107" s="133"/>
      <c r="U107" s="131">
        <v>0</v>
      </c>
      <c r="V107" s="132"/>
      <c r="W107" s="132"/>
      <c r="X107" s="132"/>
      <c r="Y107" s="133"/>
      <c r="Z107" s="169"/>
      <c r="AA107" s="134">
        <v>0</v>
      </c>
      <c r="AB107" s="135"/>
    </row>
    <row r="108" spans="1:28" ht="36.950000000000003" customHeight="1">
      <c r="A108" s="136" t="s">
        <v>55</v>
      </c>
      <c r="B108" s="137"/>
      <c r="C108" s="138"/>
      <c r="D108" s="139" t="s">
        <v>93</v>
      </c>
      <c r="E108" s="140"/>
      <c r="F108" s="140"/>
      <c r="G108" s="140"/>
      <c r="H108" s="140"/>
      <c r="I108" s="141"/>
      <c r="J108" s="139" t="s">
        <v>94</v>
      </c>
      <c r="K108" s="141"/>
      <c r="L108" s="142" t="s">
        <v>92</v>
      </c>
      <c r="M108" s="143">
        <v>678</v>
      </c>
      <c r="N108" s="144"/>
      <c r="O108" s="144"/>
      <c r="P108" s="145"/>
      <c r="Q108" s="143">
        <v>0</v>
      </c>
      <c r="R108" s="144"/>
      <c r="S108" s="144"/>
      <c r="T108" s="145"/>
      <c r="U108" s="143">
        <v>0</v>
      </c>
      <c r="V108" s="144"/>
      <c r="W108" s="144"/>
      <c r="X108" s="144"/>
      <c r="Y108" s="145"/>
      <c r="Z108" s="170"/>
      <c r="AA108" s="146">
        <v>0</v>
      </c>
      <c r="AB108" s="147"/>
    </row>
    <row r="109" spans="1:28" ht="17.850000000000001" customHeight="1">
      <c r="A109" s="148" t="s">
        <v>56</v>
      </c>
      <c r="B109" s="149"/>
      <c r="C109" s="150"/>
      <c r="D109" s="151" t="s">
        <v>95</v>
      </c>
      <c r="E109" s="152"/>
      <c r="F109" s="152"/>
      <c r="G109" s="152"/>
      <c r="H109" s="152"/>
      <c r="I109" s="153"/>
      <c r="J109" s="151" t="s">
        <v>96</v>
      </c>
      <c r="K109" s="153"/>
      <c r="L109" s="154"/>
      <c r="M109" s="155">
        <v>0</v>
      </c>
      <c r="N109" s="156"/>
      <c r="O109" s="156"/>
      <c r="P109" s="157"/>
      <c r="Q109" s="155">
        <v>0</v>
      </c>
      <c r="R109" s="156"/>
      <c r="S109" s="156"/>
      <c r="T109" s="157"/>
      <c r="U109" s="155">
        <v>0</v>
      </c>
      <c r="V109" s="156"/>
      <c r="W109" s="156"/>
      <c r="X109" s="156"/>
      <c r="Y109" s="157"/>
      <c r="Z109" s="171"/>
      <c r="AA109" s="158">
        <v>0</v>
      </c>
      <c r="AB109" s="159"/>
    </row>
    <row r="110" spans="1:28" ht="17.850000000000001" customHeight="1">
      <c r="A110" s="100"/>
      <c r="B110" s="101"/>
      <c r="C110" s="102"/>
      <c r="D110" s="103" t="s">
        <v>58</v>
      </c>
      <c r="E110" s="104"/>
      <c r="F110" s="104"/>
      <c r="G110" s="104"/>
      <c r="H110" s="104"/>
      <c r="I110" s="105"/>
      <c r="J110" s="107"/>
      <c r="K110" s="108"/>
      <c r="L110" s="106"/>
      <c r="M110" s="107"/>
      <c r="N110" s="109"/>
      <c r="O110" s="109"/>
      <c r="P110" s="108"/>
      <c r="Q110" s="107"/>
      <c r="R110" s="109"/>
      <c r="S110" s="109"/>
      <c r="T110" s="108"/>
      <c r="U110" s="110"/>
      <c r="V110" s="111"/>
      <c r="W110" s="111"/>
      <c r="X110" s="111"/>
      <c r="Y110" s="112"/>
      <c r="Z110" s="172"/>
      <c r="AA110" s="160">
        <v>0</v>
      </c>
      <c r="AB110" s="161"/>
    </row>
    <row r="111" spans="1:28" ht="11.85" customHeight="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</row>
    <row r="112" spans="1:28" ht="17.850000000000001" customHeight="1">
      <c r="A112" s="63" t="s">
        <v>85</v>
      </c>
      <c r="B112" s="63"/>
      <c r="C112" s="63" t="s">
        <v>60</v>
      </c>
      <c r="D112" s="63"/>
      <c r="E112" s="63"/>
      <c r="F112" s="63"/>
      <c r="G112" s="63"/>
    </row>
    <row r="113" spans="1:28" ht="2.25" customHeight="1"/>
    <row r="114" spans="1:28" ht="12.6" customHeight="1">
      <c r="A114" s="63" t="s">
        <v>61</v>
      </c>
      <c r="B114" s="63"/>
      <c r="C114" s="63"/>
      <c r="D114" s="63"/>
      <c r="E114" s="63"/>
      <c r="F114" s="63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</row>
    <row r="115" spans="1:28" ht="5.0999999999999996" customHeight="1">
      <c r="A115" s="63"/>
      <c r="B115" s="63"/>
      <c r="C115" s="63"/>
      <c r="D115" s="63"/>
      <c r="E115" s="63"/>
      <c r="F115" s="63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</row>
    <row r="116" spans="1:28" ht="17.850000000000001" customHeight="1">
      <c r="T116" s="116" t="s">
        <v>62</v>
      </c>
      <c r="U116" s="116"/>
      <c r="V116" s="116"/>
      <c r="W116" s="116"/>
      <c r="X116" s="116"/>
      <c r="Y116" s="116"/>
      <c r="Z116" s="116"/>
      <c r="AA116" s="116"/>
      <c r="AB116" s="116"/>
    </row>
    <row r="117" spans="1:28" ht="17.100000000000001" customHeight="1">
      <c r="A117" s="58" t="s">
        <v>25</v>
      </c>
      <c r="B117" s="58"/>
      <c r="C117" s="58"/>
      <c r="D117" s="58"/>
      <c r="E117" s="58" t="s">
        <v>97</v>
      </c>
      <c r="F117" s="58"/>
      <c r="G117" s="58"/>
      <c r="H117" s="58"/>
      <c r="I117" s="58"/>
      <c r="J117" s="58"/>
      <c r="K117" s="58" t="s">
        <v>64</v>
      </c>
      <c r="L117" s="58"/>
      <c r="M117" s="58"/>
      <c r="N117" s="58"/>
      <c r="O117" s="58"/>
      <c r="P117" s="58" t="s">
        <v>16</v>
      </c>
      <c r="Q117" s="58"/>
      <c r="R117" s="58"/>
      <c r="S117" s="58"/>
      <c r="T117" s="58"/>
      <c r="U117" s="58"/>
      <c r="V117" s="58"/>
      <c r="W117" s="58"/>
      <c r="X117" s="58"/>
      <c r="Y117" s="58" t="s">
        <v>74</v>
      </c>
      <c r="Z117" s="58"/>
      <c r="AA117" s="58"/>
      <c r="AB117" s="58"/>
    </row>
    <row r="118" spans="1:28" ht="17.850000000000001" customHeight="1">
      <c r="A118" s="116" t="s">
        <v>19</v>
      </c>
      <c r="B118" s="116"/>
      <c r="C118" s="116"/>
      <c r="D118" s="116"/>
      <c r="E118" s="116" t="s">
        <v>19</v>
      </c>
      <c r="F118" s="116"/>
      <c r="G118" s="116"/>
      <c r="H118" s="116"/>
      <c r="I118" s="116"/>
      <c r="J118" s="116"/>
      <c r="K118" s="116" t="s">
        <v>19</v>
      </c>
      <c r="L118" s="116"/>
      <c r="M118" s="116"/>
      <c r="N118" s="116"/>
      <c r="O118" s="116"/>
      <c r="P118" s="162" t="s">
        <v>65</v>
      </c>
      <c r="Q118" s="162"/>
      <c r="R118" s="162"/>
      <c r="S118" s="162"/>
      <c r="T118" s="162"/>
      <c r="U118" s="162"/>
      <c r="V118" s="162"/>
      <c r="W118" s="162"/>
      <c r="X118" s="162"/>
      <c r="Y118" s="116" t="s">
        <v>18</v>
      </c>
      <c r="Z118" s="116"/>
      <c r="AA118" s="116"/>
      <c r="AB118" s="116"/>
    </row>
    <row r="119" spans="1:28" ht="14.1" customHeight="1">
      <c r="P119" s="162"/>
      <c r="Q119" s="162"/>
      <c r="R119" s="162"/>
      <c r="S119" s="162"/>
      <c r="T119" s="162"/>
      <c r="U119" s="162"/>
      <c r="V119" s="162"/>
      <c r="W119" s="162"/>
      <c r="X119" s="162"/>
    </row>
    <row r="120" spans="1:28" ht="17.850000000000001" customHeight="1">
      <c r="P120" s="116" t="s">
        <v>19</v>
      </c>
      <c r="Q120" s="116"/>
      <c r="R120" s="116"/>
      <c r="S120" s="116"/>
      <c r="T120" s="116"/>
      <c r="U120" s="116"/>
      <c r="V120" s="116"/>
      <c r="W120" s="116"/>
      <c r="X120" s="116"/>
    </row>
    <row r="121" spans="1:28" ht="37.700000000000003" customHeight="1"/>
    <row r="122" spans="1:28" ht="37.700000000000003" customHeight="1"/>
    <row r="123" spans="1:28" ht="17.850000000000001" customHeight="1"/>
    <row r="124" spans="1:28" ht="74.099999999999994" customHeight="1"/>
    <row r="125" spans="1:28" ht="62.1" customHeight="1"/>
    <row r="126" spans="1:28" ht="61.35" customHeight="1"/>
    <row r="127" spans="1:28" ht="17.850000000000001" customHeight="1">
      <c r="A127" s="117" t="s">
        <v>66</v>
      </c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</row>
  </sheetData>
  <mergeCells count="247">
    <mergeCell ref="A127:V127"/>
    <mergeCell ref="Z19:Z20"/>
    <mergeCell ref="P33:X33"/>
    <mergeCell ref="A118:D118"/>
    <mergeCell ref="E118:J118"/>
    <mergeCell ref="K118:O118"/>
    <mergeCell ref="P118:X119"/>
    <mergeCell ref="Y118:AB118"/>
    <mergeCell ref="P120:X120"/>
    <mergeCell ref="A112:B112"/>
    <mergeCell ref="C112:G112"/>
    <mergeCell ref="A114:F115"/>
    <mergeCell ref="G114:AB114"/>
    <mergeCell ref="T116:AB116"/>
    <mergeCell ref="A117:D117"/>
    <mergeCell ref="E117:J117"/>
    <mergeCell ref="K117:O117"/>
    <mergeCell ref="P117:X117"/>
    <mergeCell ref="Y117:AB117"/>
    <mergeCell ref="AA109:AB109"/>
    <mergeCell ref="A110:C110"/>
    <mergeCell ref="D110:I110"/>
    <mergeCell ref="J110:K110"/>
    <mergeCell ref="M110:P110"/>
    <mergeCell ref="Q110:T110"/>
    <mergeCell ref="U110:Y110"/>
    <mergeCell ref="AA110:AB110"/>
    <mergeCell ref="A109:C109"/>
    <mergeCell ref="D109:I109"/>
    <mergeCell ref="J109:K109"/>
    <mergeCell ref="M109:P109"/>
    <mergeCell ref="Q109:T109"/>
    <mergeCell ref="U109:Y109"/>
    <mergeCell ref="AA107:AB107"/>
    <mergeCell ref="A108:C108"/>
    <mergeCell ref="D108:I108"/>
    <mergeCell ref="J108:K108"/>
    <mergeCell ref="M108:P108"/>
    <mergeCell ref="Q108:T108"/>
    <mergeCell ref="U108:Y108"/>
    <mergeCell ref="AA108:AB108"/>
    <mergeCell ref="A107:C107"/>
    <mergeCell ref="D107:I107"/>
    <mergeCell ref="J107:K107"/>
    <mergeCell ref="M107:P107"/>
    <mergeCell ref="Q107:T107"/>
    <mergeCell ref="U107:Y107"/>
    <mergeCell ref="AA104:AB105"/>
    <mergeCell ref="M105:P105"/>
    <mergeCell ref="Q105:T105"/>
    <mergeCell ref="A106:C106"/>
    <mergeCell ref="D106:I106"/>
    <mergeCell ref="J106:K106"/>
    <mergeCell ref="M106:P106"/>
    <mergeCell ref="Q106:T106"/>
    <mergeCell ref="U106:Y106"/>
    <mergeCell ref="AA106:AB106"/>
    <mergeCell ref="A104:C105"/>
    <mergeCell ref="D104:I105"/>
    <mergeCell ref="J104:K105"/>
    <mergeCell ref="L104:L105"/>
    <mergeCell ref="M104:T104"/>
    <mergeCell ref="U104:Y105"/>
    <mergeCell ref="A98:AB98"/>
    <mergeCell ref="A99:AB99"/>
    <mergeCell ref="A100:AB100"/>
    <mergeCell ref="A101:B102"/>
    <mergeCell ref="C101:E102"/>
    <mergeCell ref="F101:M102"/>
    <mergeCell ref="N101:Q102"/>
    <mergeCell ref="R101:AB101"/>
    <mergeCell ref="A91:AB91"/>
    <mergeCell ref="R92:R94"/>
    <mergeCell ref="S92:AB94"/>
    <mergeCell ref="I93:Q93"/>
    <mergeCell ref="I94:Q95"/>
    <mergeCell ref="R95:R96"/>
    <mergeCell ref="S95:AB96"/>
    <mergeCell ref="I96:Q97"/>
    <mergeCell ref="A84:V84"/>
    <mergeCell ref="A85:N86"/>
    <mergeCell ref="O85:AB85"/>
    <mergeCell ref="O86:AB87"/>
    <mergeCell ref="A87:N89"/>
    <mergeCell ref="A90:N90"/>
    <mergeCell ref="A75:D75"/>
    <mergeCell ref="E75:J75"/>
    <mergeCell ref="K75:O75"/>
    <mergeCell ref="P75:X76"/>
    <mergeCell ref="Y75:AB75"/>
    <mergeCell ref="P77:X77"/>
    <mergeCell ref="A69:B69"/>
    <mergeCell ref="C69:G69"/>
    <mergeCell ref="A71:F72"/>
    <mergeCell ref="G71:AB71"/>
    <mergeCell ref="T73:AB73"/>
    <mergeCell ref="A74:D74"/>
    <mergeCell ref="E74:J74"/>
    <mergeCell ref="K74:O74"/>
    <mergeCell ref="P74:X74"/>
    <mergeCell ref="Y74:AB74"/>
    <mergeCell ref="AA66:AB66"/>
    <mergeCell ref="A67:C67"/>
    <mergeCell ref="D67:I67"/>
    <mergeCell ref="J67:K67"/>
    <mergeCell ref="M67:P67"/>
    <mergeCell ref="Q67:T67"/>
    <mergeCell ref="U67:Y67"/>
    <mergeCell ref="AA67:AB67"/>
    <mergeCell ref="A66:C66"/>
    <mergeCell ref="D66:I66"/>
    <mergeCell ref="J66:K66"/>
    <mergeCell ref="M66:P66"/>
    <mergeCell ref="Q66:T66"/>
    <mergeCell ref="U66:Y66"/>
    <mergeCell ref="AA64:AB64"/>
    <mergeCell ref="A65:C65"/>
    <mergeCell ref="D65:I65"/>
    <mergeCell ref="J65:K65"/>
    <mergeCell ref="M65:P65"/>
    <mergeCell ref="Q65:T65"/>
    <mergeCell ref="U65:Y65"/>
    <mergeCell ref="AA65:AB65"/>
    <mergeCell ref="A64:C64"/>
    <mergeCell ref="D64:I64"/>
    <mergeCell ref="J64:K64"/>
    <mergeCell ref="M64:P64"/>
    <mergeCell ref="Q64:T64"/>
    <mergeCell ref="U64:Y64"/>
    <mergeCell ref="AA61:AB62"/>
    <mergeCell ref="M62:P62"/>
    <mergeCell ref="Q62:T62"/>
    <mergeCell ref="A63:C63"/>
    <mergeCell ref="D63:I63"/>
    <mergeCell ref="J63:K63"/>
    <mergeCell ref="M63:P63"/>
    <mergeCell ref="Q63:T63"/>
    <mergeCell ref="U63:Y63"/>
    <mergeCell ref="AA63:AB63"/>
    <mergeCell ref="A61:C62"/>
    <mergeCell ref="D61:I62"/>
    <mergeCell ref="J61:K62"/>
    <mergeCell ref="L61:L62"/>
    <mergeCell ref="M61:T61"/>
    <mergeCell ref="U61:Y62"/>
    <mergeCell ref="A55:AB55"/>
    <mergeCell ref="A56:AB56"/>
    <mergeCell ref="A57:AB57"/>
    <mergeCell ref="A58:B59"/>
    <mergeCell ref="C58:E59"/>
    <mergeCell ref="F58:M59"/>
    <mergeCell ref="N58:Q59"/>
    <mergeCell ref="R58:AB58"/>
    <mergeCell ref="A49:AB49"/>
    <mergeCell ref="I50:Q50"/>
    <mergeCell ref="R50:R51"/>
    <mergeCell ref="S50:AB51"/>
    <mergeCell ref="I51:Q52"/>
    <mergeCell ref="R52:R53"/>
    <mergeCell ref="S52:AB53"/>
    <mergeCell ref="I53:Q54"/>
    <mergeCell ref="A42:V42"/>
    <mergeCell ref="A43:N44"/>
    <mergeCell ref="O43:AB43"/>
    <mergeCell ref="O44:AB45"/>
    <mergeCell ref="A45:N47"/>
    <mergeCell ref="A48:N48"/>
    <mergeCell ref="A33:D33"/>
    <mergeCell ref="E33:J33"/>
    <mergeCell ref="K33:O33"/>
    <mergeCell ref="Y33:AB33"/>
    <mergeCell ref="P35:X35"/>
    <mergeCell ref="A27:B27"/>
    <mergeCell ref="C27:G27"/>
    <mergeCell ref="A29:F30"/>
    <mergeCell ref="G29:AB29"/>
    <mergeCell ref="T31:AB31"/>
    <mergeCell ref="A32:D32"/>
    <mergeCell ref="E32:J32"/>
    <mergeCell ref="K32:O32"/>
    <mergeCell ref="P32:X32"/>
    <mergeCell ref="Y32:AB32"/>
    <mergeCell ref="AA24:AB24"/>
    <mergeCell ref="A25:C25"/>
    <mergeCell ref="D25:I25"/>
    <mergeCell ref="J25:K25"/>
    <mergeCell ref="M25:P25"/>
    <mergeCell ref="Q25:T25"/>
    <mergeCell ref="U25:Y25"/>
    <mergeCell ref="AA25:AB25"/>
    <mergeCell ref="A24:C24"/>
    <mergeCell ref="D24:I24"/>
    <mergeCell ref="J24:K24"/>
    <mergeCell ref="M24:P24"/>
    <mergeCell ref="Q24:T24"/>
    <mergeCell ref="U24:Y24"/>
    <mergeCell ref="AA22:AB22"/>
    <mergeCell ref="A23:C23"/>
    <mergeCell ref="D23:I23"/>
    <mergeCell ref="J23:K23"/>
    <mergeCell ref="M23:P23"/>
    <mergeCell ref="Q23:T23"/>
    <mergeCell ref="U23:Y23"/>
    <mergeCell ref="AA23:AB23"/>
    <mergeCell ref="A22:C22"/>
    <mergeCell ref="D22:I22"/>
    <mergeCell ref="J22:K22"/>
    <mergeCell ref="M22:P22"/>
    <mergeCell ref="Q22:T22"/>
    <mergeCell ref="U22:Y22"/>
    <mergeCell ref="AA19:AB20"/>
    <mergeCell ref="M20:P20"/>
    <mergeCell ref="Q20:T20"/>
    <mergeCell ref="A21:C21"/>
    <mergeCell ref="D21:I21"/>
    <mergeCell ref="J21:K21"/>
    <mergeCell ref="M21:P21"/>
    <mergeCell ref="Q21:T21"/>
    <mergeCell ref="U21:Y21"/>
    <mergeCell ref="AA21:AB21"/>
    <mergeCell ref="A19:C20"/>
    <mergeCell ref="D19:I20"/>
    <mergeCell ref="J19:K20"/>
    <mergeCell ref="L19:L20"/>
    <mergeCell ref="M19:T19"/>
    <mergeCell ref="U19:Y20"/>
    <mergeCell ref="A13:AB13"/>
    <mergeCell ref="A14:AB14"/>
    <mergeCell ref="A15:AB15"/>
    <mergeCell ref="A16:B17"/>
    <mergeCell ref="C16:E17"/>
    <mergeCell ref="F16:M17"/>
    <mergeCell ref="N16:Q17"/>
    <mergeCell ref="R16:AB16"/>
    <mergeCell ref="I8:Q8"/>
    <mergeCell ref="R8:R9"/>
    <mergeCell ref="S8:AB9"/>
    <mergeCell ref="I9:Q10"/>
    <mergeCell ref="R10:R11"/>
    <mergeCell ref="S10:AB11"/>
    <mergeCell ref="I11:Q12"/>
    <mergeCell ref="A1:N2"/>
    <mergeCell ref="O1:AB1"/>
    <mergeCell ref="O2:AB3"/>
    <mergeCell ref="A3:N5"/>
    <mergeCell ref="A6:N6"/>
    <mergeCell ref="A7:AB7"/>
  </mergeCells>
  <pageMargins left="0.59055118110236204" right="0.39370078740157499" top="0.196850393700787" bottom="0.196850393700787" header="0" footer="0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ED84B-ACE6-4F8B-9ACF-62DD375931F6}">
  <dimension ref="A1:G16"/>
  <sheetViews>
    <sheetView tabSelected="1" workbookViewId="0">
      <selection activeCell="G18" sqref="G18"/>
    </sheetView>
  </sheetViews>
  <sheetFormatPr defaultRowHeight="16.5"/>
  <cols>
    <col min="1" max="1" width="4.88671875" style="177" customWidth="1"/>
    <col min="2" max="2" width="35.109375" style="177" customWidth="1"/>
    <col min="3" max="3" width="5.88671875" style="177" customWidth="1"/>
    <col min="4" max="4" width="9.77734375" style="177" customWidth="1"/>
    <col min="5" max="5" width="1.88671875" style="177" customWidth="1"/>
    <col min="6" max="6" width="7.88671875" style="177" customWidth="1"/>
    <col min="7" max="7" width="14.5546875" style="177" customWidth="1"/>
    <col min="8" max="16384" width="8.88671875" style="177"/>
  </cols>
  <sheetData>
    <row r="1" spans="1:7">
      <c r="A1" s="175" t="s">
        <v>69</v>
      </c>
      <c r="B1" s="176"/>
      <c r="C1" s="176"/>
      <c r="D1" s="176"/>
      <c r="E1" s="176"/>
      <c r="F1" s="176"/>
      <c r="G1" s="176"/>
    </row>
    <row r="2" spans="1:7">
      <c r="A2" s="175" t="s">
        <v>115</v>
      </c>
      <c r="B2" s="176"/>
      <c r="C2" s="176"/>
      <c r="D2" s="176"/>
      <c r="E2" s="176"/>
      <c r="F2" s="176"/>
      <c r="G2" s="176"/>
    </row>
    <row r="4" spans="1:7">
      <c r="A4" s="178" t="s">
        <v>105</v>
      </c>
      <c r="B4" s="176"/>
      <c r="C4" s="176"/>
      <c r="D4" s="176"/>
      <c r="E4" s="176"/>
      <c r="F4" s="176"/>
      <c r="G4" s="176"/>
    </row>
    <row r="6" spans="1:7">
      <c r="A6" s="176" t="s">
        <v>106</v>
      </c>
      <c r="B6" s="176"/>
      <c r="C6" s="176"/>
      <c r="D6" s="176"/>
      <c r="E6" s="176"/>
      <c r="F6" s="176" t="s">
        <v>116</v>
      </c>
      <c r="G6" s="176"/>
    </row>
    <row r="7" spans="1:7">
      <c r="A7" s="176" t="s">
        <v>107</v>
      </c>
      <c r="B7" s="176"/>
      <c r="C7" s="176"/>
      <c r="D7" s="176"/>
      <c r="E7" s="176"/>
      <c r="F7" s="176" t="s">
        <v>118</v>
      </c>
      <c r="G7" s="176"/>
    </row>
    <row r="8" spans="1:7">
      <c r="A8" s="176" t="s">
        <v>108</v>
      </c>
      <c r="B8" s="176"/>
      <c r="C8" s="176"/>
      <c r="D8" s="176"/>
      <c r="E8" s="176"/>
      <c r="F8" s="176"/>
      <c r="G8" s="176"/>
    </row>
    <row r="9" spans="1:7">
      <c r="A9" s="179" t="s">
        <v>41</v>
      </c>
      <c r="B9" s="180" t="s">
        <v>72</v>
      </c>
      <c r="C9" s="181"/>
      <c r="D9" s="179" t="s">
        <v>109</v>
      </c>
      <c r="E9" s="180" t="s">
        <v>110</v>
      </c>
      <c r="F9" s="181"/>
      <c r="G9" s="179" t="s">
        <v>47</v>
      </c>
    </row>
    <row r="10" spans="1:7">
      <c r="A10" s="182" t="s">
        <v>54</v>
      </c>
      <c r="B10" s="183" t="s">
        <v>111</v>
      </c>
      <c r="C10" s="181"/>
      <c r="D10" s="184" t="s">
        <v>112</v>
      </c>
      <c r="E10" s="183" t="s">
        <v>113</v>
      </c>
      <c r="F10" s="181"/>
      <c r="G10" s="185">
        <v>100000</v>
      </c>
    </row>
    <row r="11" spans="1:7">
      <c r="A11" s="180" t="s">
        <v>58</v>
      </c>
      <c r="B11" s="181"/>
      <c r="C11" s="181"/>
      <c r="D11" s="179" t="s">
        <v>24</v>
      </c>
      <c r="E11" s="180" t="s">
        <v>24</v>
      </c>
      <c r="F11" s="181"/>
      <c r="G11" s="186">
        <v>100000</v>
      </c>
    </row>
    <row r="12" spans="1:7">
      <c r="A12" s="176" t="s">
        <v>114</v>
      </c>
      <c r="B12" s="176"/>
      <c r="C12" s="176"/>
      <c r="D12" s="176"/>
      <c r="E12" s="176"/>
      <c r="F12" s="176"/>
      <c r="G12" s="176"/>
    </row>
    <row r="13" spans="1:7">
      <c r="A13" s="176" t="s">
        <v>73</v>
      </c>
      <c r="B13" s="176"/>
      <c r="C13" s="176"/>
      <c r="D13" s="176"/>
      <c r="E13" s="176"/>
      <c r="F13" s="176"/>
      <c r="G13" s="176"/>
    </row>
    <row r="14" spans="1:7">
      <c r="A14" s="176"/>
      <c r="B14" s="176"/>
      <c r="C14" s="176"/>
      <c r="D14" s="176"/>
      <c r="E14" s="176"/>
      <c r="F14" s="176"/>
      <c r="G14" s="176"/>
    </row>
    <row r="15" spans="1:7" ht="16.5" customHeight="1">
      <c r="A15" s="187"/>
      <c r="B15" s="196" t="s">
        <v>119</v>
      </c>
      <c r="C15" s="187"/>
      <c r="D15" s="188"/>
      <c r="E15" s="188"/>
      <c r="F15" s="195" t="s">
        <v>16</v>
      </c>
      <c r="G15" s="188"/>
    </row>
    <row r="16" spans="1:7" ht="16.5" customHeight="1">
      <c r="A16" s="189"/>
      <c r="B16" s="188"/>
      <c r="C16" s="189"/>
      <c r="D16" s="188"/>
      <c r="E16" s="188"/>
      <c r="F16" s="188"/>
      <c r="G16" s="188"/>
    </row>
  </sheetData>
  <mergeCells count="17">
    <mergeCell ref="A12:G12"/>
    <mergeCell ref="A13:G13"/>
    <mergeCell ref="A14:G14"/>
    <mergeCell ref="A8:G8"/>
    <mergeCell ref="B9:C9"/>
    <mergeCell ref="E9:F9"/>
    <mergeCell ref="B10:C10"/>
    <mergeCell ref="E10:F10"/>
    <mergeCell ref="A11:C11"/>
    <mergeCell ref="E11:F11"/>
    <mergeCell ref="A1:G1"/>
    <mergeCell ref="A2:G2"/>
    <mergeCell ref="A4:G4"/>
    <mergeCell ref="A6:E6"/>
    <mergeCell ref="F6:G6"/>
    <mergeCell ref="A7:E7"/>
    <mergeCell ref="F7:G7"/>
  </mergeCells>
  <pageMargins left="0.39370078740157499" right="0.39370078740157499" top="0.196850393700787" bottom="0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Phiếu thu</vt:lpstr>
      <vt:lpstr>Phiếu chi</vt:lpstr>
      <vt:lpstr>Phiếu nhập kho</vt:lpstr>
      <vt:lpstr>Phiếu xuất kho</vt:lpstr>
      <vt:lpstr>Thu chi ngân hàng-khác</vt:lpstr>
      <vt:lpstr>'Phiếu chi'!Print_Area</vt:lpstr>
      <vt:lpstr>'Phiếu nhập kho'!Print_Area</vt:lpstr>
      <vt:lpstr>'Phiếu thu'!Print_Area</vt:lpstr>
      <vt:lpstr>'Phiếu xuất kho'!Print_Area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 Trần</dc:creator>
  <cp:lastModifiedBy>AnhBanLap0917420711</cp:lastModifiedBy>
  <dcterms:created xsi:type="dcterms:W3CDTF">2025-12-17T01:35:18Z</dcterms:created>
  <dcterms:modified xsi:type="dcterms:W3CDTF">2025-12-17T05:18:23Z</dcterms:modified>
</cp:coreProperties>
</file>