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731E0804-1404-4C52-B7E1-40C096E7517F}"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D13" i="1"/>
  <c r="E13" i="1"/>
  <c r="B14" i="1"/>
  <c r="D14" i="1"/>
  <c r="E14" i="1"/>
  <c r="B15" i="1"/>
  <c r="D15" i="1"/>
  <c r="E15" i="1"/>
  <c r="B16" i="1"/>
  <c r="D16" i="1"/>
  <c r="E16" i="1"/>
  <c r="B17" i="1"/>
  <c r="D17" i="1"/>
  <c r="E17" i="1"/>
  <c r="B18" i="1"/>
  <c r="D18" i="1"/>
  <c r="E18" i="1"/>
  <c r="B19" i="1"/>
  <c r="D19" i="1"/>
  <c r="E19" i="1"/>
  <c r="B5" i="1"/>
  <c r="D5" i="1"/>
  <c r="E5" i="1"/>
  <c r="B6" i="1"/>
  <c r="D6" i="1"/>
  <c r="E6" i="1"/>
  <c r="B7" i="1"/>
  <c r="D7" i="1"/>
  <c r="E7" i="1"/>
  <c r="B8" i="1"/>
  <c r="D8" i="1"/>
  <c r="E8" i="1"/>
  <c r="B9" i="1"/>
  <c r="D9" i="1"/>
  <c r="E9" i="1"/>
  <c r="B10" i="1"/>
  <c r="D10" i="1"/>
  <c r="E10" i="1"/>
  <c r="B11" i="1"/>
  <c r="D11" i="1"/>
  <c r="E11" i="1"/>
  <c r="B12" i="1"/>
  <c r="D12" i="1"/>
  <c r="E12"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<sst xmlns="http://schemas.openxmlformats.org/spreadsheetml/2006/main" count="7100" uniqueCount="4101">
  <si>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</si>
  <si>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</si>
  <si>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</si>
  <si>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</si>
  <si>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</si>
  <si>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</si>
  <si>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</si>
  <si>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</si>
  <si>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</si>
  <si>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</si>
  <si>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</si>
  <si>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</si>
  <si>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</si>
  <si>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</si>
  <si>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</si>
  <si>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</si>
  <si>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</si>
  <si>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</si>
  <si>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</si>
  <si>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</si>
  <si>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</si>
  <si>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</si>
  <si>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</si>
  <si>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</si>
  <si>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</si>
  <si>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</si>
  <si>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</si>
  <si>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</si>
  <si>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</si>
  <si>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</si>
  <si>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</si>
  <si>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</si>
  <si>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</si>
  <si>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</si>
  <si>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</si>
  <si>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</si>
  <si>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</si>
  <si>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</si>
  <si>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</si>
  <si>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</si>
  <si>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</si>
  <si>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</si>
  <si>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</si>
  <si>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</si>
  <si>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</si>
  <si>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</si>
  <si>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</si>
  <si>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</si>
  <si>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</si>
  <si>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</si>
  <si>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</si>
  <si>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</si>
  <si>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</si>
  <si>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</si>
  <si>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</si>
  <si>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</si>
  <si>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</si>
  <si>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</si>
  <si>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</si>
  <si>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</si>
  <si>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</si>
  <si>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</si>
  <si>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</si>
  <si>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</si>
  <si>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</si>
  <si>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</si>
  <si>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</si>
  <si>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</si>
  <si>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</si>
  <si>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</si>
  <si>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</si>
  <si>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</si>
  <si>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</si>
  <si>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</si>
  <si>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</si>
  <si>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</si>
  <si>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</si>
  <si>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</si>
  <si>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</si>
  <si>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</si>
  <si>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</si>
  <si>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</si>
  <si>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</si>
  <si>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</si>
  <si>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</si>
  <si>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</si>
  <si>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</si>
  <si>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</si>
  <si>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</si>
  <si>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</si>
  <si>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</si>
  <si>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</si>
  <si>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</si>
  <si>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</si>
  <si>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</si>
  <si>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</si>
  <si>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</si>
  <si>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</si>
  <si>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</si>
  <si>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</si>
  <si>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</si>
  <si>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</si>
  <si>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</si>
  <si>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</si>
  <si>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</si>
  <si>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</si>
  <si>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</si>
  <si>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</si>
  <si>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</si>
  <si>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</si>
  <si>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</si>
  <si>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</si>
  <si>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</si>
  <si>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</si>
  <si>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</si>
  <si>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</si>
  <si>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</si>
  <si>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</si>
  <si>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</si>
  <si>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</si>
  <si>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</si>
  <si>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</si>
  <si>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</si>
  <si>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</si>
  <si>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</si>
  <si>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</si>
  <si>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</si>
  <si>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</si>
  <si>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</si>
  <si>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</si>
  <si>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</si>
  <si>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</si>
  <si>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</si>
  <si>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</si>
  <si>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</si>
  <si>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</si>
  <si>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</si>
  <si>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</si>
  <si>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</si>
  <si>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</si>
  <si>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</si>
  <si>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</si>
  <si>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</si>
  <si>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</si>
  <si>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</si>
  <si>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</si>
  <si>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</si>
  <si>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</si>
  <si>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</si>
  <si>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</si>
  <si>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</si>
  <si>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</si>
  <si>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</si>
  <si>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</si>
  <si>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</si>
  <si>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</si>
  <si>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</si>
  <si>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</si>
  <si>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</si>
  <si>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</si>
  <si>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</si>
  <si>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</si>
  <si>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</si>
  <si>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</si>
  <si>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</si>
  <si>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</si>
  <si>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</si>
  <si>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</si>
  <si>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</si>
  <si>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</si>
  <si>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</si>
  <si>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</si>
  <si>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</si>
  <si>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</si>
  <si>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</si>
  <si>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</si>
  <si>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</si>
  <si>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</si>
  <si>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</si>
  <si>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</si>
  <si>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</si>
  <si>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</si>
  <si>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</si>
  <si>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</si>
  <si>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</si>
  <si>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</si>
  <si>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</si>
  <si>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</si>
  <si>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</si>
  <si>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</si>
  <si>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</si>
  <si>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</si>
  <si>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</si>
  <si>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</si>
  <si>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</si>
  <si>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</si>
  <si>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</si>
  <si>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</si>
  <si>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</si>
  <si>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</si>
  <si>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</si>
  <si>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</si>
  <si>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</si>
  <si>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</si>
  <si>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</si>
  <si>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</si>
  <si>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</si>
  <si>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</si>
  <si>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</si>
  <si>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</si>
  <si>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</si>
  <si>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</si>
  <si>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</si>
  <si>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</si>
  <si>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</si>
  <si>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</si>
  <si>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</si>
  <si>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</si>
  <si>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</si>
  <si>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</si>
  <si>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</si>
  <si>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</si>
  <si>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</si>
  <si>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</si>
  <si>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</si>
  <si>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</si>
  <si>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</si>
  <si>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</si>
  <si>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</si>
  <si>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</si>
  <si>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</si>
  <si>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</si>
  <si>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</si>
  <si>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</si>
  <si>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</si>
  <si>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</si>
  <si>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</si>
  <si>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</si>
  <si>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</si>
  <si>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</si>
  <si>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</si>
  <si>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</si>
  <si>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</si>
  <si>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</si>
  <si>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</si>
  <si>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</si>
  <si>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</si>
  <si>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</si>
  <si>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</si>
  <si>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</si>
  <si>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</si>
  <si>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</si>
  <si>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</si>
  <si>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</si>
  <si>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</si>
  <si>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</si>
  <si>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</si>
  <si>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</si>
  <si>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</si>
  <si>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</si>
  <si>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</si>
  <si>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</si>
  <si>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</si>
  <si>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</si>
  <si>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</si>
  <si>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</si>
  <si>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</si>
  <si>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</si>
  <si>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</si>
  <si>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</si>
  <si>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</si>
  <si>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</si>
  <si>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</si>
  <si>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</si>
  <si>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</si>
  <si>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</si>
  <si>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</si>
  <si>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</si>
  <si>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</si>
  <si>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</si>
  <si>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</si>
  <si>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</si>
  <si>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</si>
  <si>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</si>
  <si>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</si>
  <si>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</si>
  <si>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</si>
  <si>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</si>
  <si>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</si>
  <si>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</si>
  <si>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</si>
  <si>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</si>
  <si>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</si>
  <si>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</si>
  <si>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</si>
  <si>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</si>
  <si>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</si>
  <si>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</si>
  <si>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</si>
  <si>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</si>
  <si>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</si>
  <si>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</si>
  <si>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</si>
  <si>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</si>
  <si>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</si>
  <si>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</si>
  <si>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</si>
  <si>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</si>
  <si>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</si>
  <si>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</si>
  <si>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</si>
  <si>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</si>
  <si>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</si>
  <si>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</si>
  <si>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</si>
  <si>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</si>
  <si>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</si>
  <si>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</si>
  <si>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</si>
  <si>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</si>
  <si>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</si>
  <si>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</si>
  <si>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</si>
  <si>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</si>
  <si>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</si>
  <si>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</si>
  <si>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</si>
  <si>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</si>
  <si>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</si>
  <si>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</si>
  <si>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</si>
  <si>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</si>
  <si>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</si>
  <si>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</si>
  <si>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</si>
  <si>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</si>
  <si>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</si>
  <si>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</si>
  <si>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</si>
  <si>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</si>
  <si>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</si>
  <si>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</si>
  <si>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</si>
  <si>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</si>
  <si>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</si>
  <si>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</si>
  <si>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</si>
  <si>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</si>
  <si>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</si>
  <si>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</si>
  <si>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</si>
  <si>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</si>
  <si>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</si>
  <si>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</si>
  <si>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</si>
  <si>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</si>
  <si>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</si>
  <si>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</si>
  <si>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</si>
  <si>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</si>
  <si>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</si>
  <si>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</si>
  <si>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</si>
  <si>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</si>
  <si>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</si>
  <si>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</si>
  <si>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</si>
  <si>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</si>
  <si>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</si>
  <si>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</si>
  <si>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</si>
  <si>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</si>
  <si>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</si>
  <si>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</si>
  <si>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</si>
  <si>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</si>
  <si>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</si>
  <si>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</si>
  <si>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</si>
  <si>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</si>
  <si>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</si>
  <si>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</si>
  <si>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</si>
  <si>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</si>
  <si>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</si>
  <si>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</si>
  <si>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</si>
  <si>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</si>
  <si>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</si>
  <si>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</si>
  <si>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</si>
  <si>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</si>
  <si>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</si>
  <si>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</si>
  <si>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</si>
  <si>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</si>
  <si>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</si>
  <si>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</si>
  <si>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</si>
  <si>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</si>
  <si>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</si>
  <si>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</si>
  <si>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</si>
  <si>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</si>
  <si>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</si>
  <si>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</si>
  <si>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</si>
  <si>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</si>
  <si>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</si>
  <si>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</si>
  <si>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</si>
  <si>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</si>
  <si>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</si>
  <si>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</si>
  <si>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</si>
  <si>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</si>
  <si>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</si>
  <si>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</si>
  <si>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</si>
  <si>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</si>
  <si>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</si>
  <si>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</si>
  <si>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</si>
  <si>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</si>
  <si>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</si>
  <si>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</si>
  <si>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</si>
  <si>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</si>
  <si>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</si>
  <si>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</si>
  <si>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</si>
  <si>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</si>
  <si>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</si>
  <si>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</si>
  <si>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</si>
  <si>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</si>
  <si>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</si>
  <si>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</si>
  <si>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</si>
  <si>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</si>
  <si>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</si>
  <si>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</si>
  <si>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</si>
  <si>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</si>
  <si>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</si>
  <si>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</si>
  <si>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</si>
  <si>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</si>
  <si>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</si>
  <si>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</si>
  <si>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</si>
  <si>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</si>
  <si>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</si>
  <si>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</si>
  <si>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</si>
  <si>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</si>
  <si>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</si>
  <si>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</si>
  <si>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</si>
  <si>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</si>
  <si>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</si>
  <si>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</si>
  <si>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</si>
  <si>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</si>
  <si>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</si>
  <si>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</si>
  <si>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</si>
  <si>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</si>
  <si>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</si>
  <si>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</si>
  <si>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</si>
  <si>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</si>
  <si>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</si>
  <si>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</si>
  <si>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</si>
  <si>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</si>
  <si>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</si>
  <si>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</si>
  <si>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</si>
  <si>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</si>
  <si>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</si>
  <si>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</si>
  <si>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</si>
  <si>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</si>
  <si>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</si>
  <si>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</si>
  <si>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</si>
  <si>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</si>
  <si>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</si>
  <si>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</si>
  <si>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</si>
  <si>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</si>
  <si>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</si>
  <si>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</si>
  <si>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</si>
  <si>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</si>
  <si>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</si>
  <si>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</si>
  <si>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</si>
  <si>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</si>
  <si>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</si>
  <si>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</si>
  <si>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</si>
  <si>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</si>
  <si>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</si>
  <si>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</si>
  <si>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</si>
  <si>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</si>
  <si>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</si>
  <si>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</si>
  <si>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</si>
  <si>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</si>
  <si>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</si>
  <si>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</si>
  <si>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</si>
  <si>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</si>
  <si>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</si>
  <si>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</si>
  <si>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</si>
  <si>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</si>
  <si>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</si>
  <si>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</si>
  <si>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</si>
  <si>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</si>
  <si>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</si>
  <si>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</si>
  <si>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</si>
  <si>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</si>
  <si>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</si>
  <si>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</si>
  <si>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</si>
  <si>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</si>
  <si>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</si>
  <si>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</si>
  <si>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</si>
  <si>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</si>
  <si>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</si>
  <si>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</si>
  <si>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</si>
  <si>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</si>
  <si>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</si>
  <si>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</si>
  <si>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</si>
  <si>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</si>
  <si>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</si>
  <si>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</si>
  <si>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</si>
  <si>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</si>
  <si>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</si>
  <si>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</si>
  <si>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</si>
  <si>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</si>
  <si>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</si>
  <si>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</si>
  <si>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</si>
  <si>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</si>
  <si>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</si>
  <si>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</si>
  <si>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</si>
  <si>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</si>
  <si>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</si>
  <si>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</si>
  <si>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</si>
  <si>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</si>
  <si>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</si>
  <si>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</si>
  <si>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</si>
  <si>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</si>
  <si>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</si>
  <si>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</si>
  <si>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</si>
  <si>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</si>
  <si>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</si>
  <si>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</si>
  <si>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</si>
  <si>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</si>
  <si>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</si>
  <si>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</si>
  <si>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</si>
  <si>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</si>
  <si>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</si>
  <si>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</si>
  <si>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</si>
  <si>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</si>
  <si>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</si>
  <si>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</si>
  <si>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</si>
  <si>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</si>
  <si>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</si>
  <si>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</si>
  <si>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</si>
  <si>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</si>
  <si>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</si>
  <si>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</si>
  <si>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</si>
  <si>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</si>
  <si>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</si>
  <si>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</si>
  <si>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</si>
  <si>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</si>
  <si>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</si>
  <si>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</si>
  <si>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</si>
  <si>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</si>
  <si>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</si>
  <si>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</si>
  <si>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</si>
  <si>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</si>
  <si>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</si>
  <si>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</si>
  <si>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</si>
  <si>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</si>
  <si>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</si>
  <si>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</si>
  <si>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</si>
  <si>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</si>
  <si>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</si>
  <si>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</si>
  <si>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</si>
  <si>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</si>
  <si>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</si>
  <si>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</si>
  <si>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</si>
  <si>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</si>
  <si>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</si>
  <si>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</si>
  <si>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</si>
  <si>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</si>
  <si>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</si>
  <si>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</si>
  <si>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</si>
  <si>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</si>
  <si>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</si>
  <si>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</si>
  <si>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</si>
  <si>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</si>
  <si>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</si>
  <si>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</si>
  <si>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</si>
  <si>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</si>
  <si>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</si>
  <si>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</si>
  <si>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</si>
  <si>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</si>
  <si>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</si>
  <si>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</si>
  <si>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</si>
  <si>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</si>
  <si>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</si>
  <si>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</si>
  <si>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</si>
  <si>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</si>
  <si>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</si>
  <si>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</si>
  <si>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</si>
  <si>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</si>
  <si>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</si>
  <si>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</si>
  <si>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</si>
  <si>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</si>
  <si>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</si>
  <si>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</si>
  <si>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</si>
  <si>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</si>
  <si>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</si>
  <si>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</si>
  <si>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</si>
  <si>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</si>
  <si>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</si>
  <si>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</si>
  <si>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</si>
  <si>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</si>
  <si>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</si>
  <si>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</si>
  <si>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</si>
  <si>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</si>
  <si>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</si>
  <si>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</si>
  <si>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</si>
  <si>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</si>
  <si>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</si>
  <si>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</si>
  <si>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</si>
  <si>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</si>
  <si>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</si>
  <si>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</si>
  <si>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</si>
  <si>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</si>
  <si>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</si>
  <si>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</si>
  <si>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</si>
  <si>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</si>
  <si>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</si>
  <si>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</si>
  <si>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</si>
  <si>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</si>
  <si>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</si>
  <si>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</si>
  <si>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</si>
  <si>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</si>
  <si>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</si>
  <si>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</si>
  <si>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</si>
  <si>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</si>
  <si>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</si>
  <si>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</si>
  <si>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</si>
  <si>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</si>
  <si>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</si>
  <si>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</si>
  <si>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</si>
  <si>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</si>
  <si>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</si>
  <si>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</si>
  <si>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</si>
  <si>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</si>
  <si>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</si>
  <si>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</si>
  <si>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</si>
  <si>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</si>
  <si>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</si>
  <si>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</si>
  <si>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</si>
  <si>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</si>
  <si>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</si>
  <si>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</si>
  <si>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</si>
  <si>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</si>
  <si>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</si>
  <si>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</si>
  <si>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</si>
  <si>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</si>
  <si>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</si>
  <si>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</si>
  <si>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</si>
  <si>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</si>
  <si>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</si>
  <si>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</si>
  <si>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</si>
  <si>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</si>
  <si>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</si>
  <si>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</si>
  <si>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</si>
  <si>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</si>
  <si>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</si>
  <si>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</si>
  <si>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</si>
  <si>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</si>
  <si>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</si>
  <si>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</si>
  <si>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</si>
  <si>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</si>
  <si>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</si>
  <si>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</si>
  <si>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</si>
  <si>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</si>
  <si>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</si>
  <si>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</si>
  <si>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</si>
  <si>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</si>
  <si>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</si>
  <si>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</si>
  <si>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</si>
  <si>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</si>
  <si>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</si>
  <si>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</si>
  <si>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</si>
  <si>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</si>
  <si>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</si>
  <si>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</si>
  <si>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</si>
  <si>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</si>
  <si>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</si>
  <si>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</si>
  <si>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</si>
  <si>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</si>
  <si>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</si>
  <si>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</si>
  <si>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</si>
  <si>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</si>
  <si>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</si>
  <si>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</si>
  <si>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</si>
  <si>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</si>
  <si>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</si>
  <si>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</si>
  <si>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</si>
  <si>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</si>
  <si>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</si>
  <si>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</si>
  <si>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</si>
  <si>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</si>
  <si>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</si>
  <si>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</si>
  <si>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</si>
  <si>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</si>
  <si>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</si>
  <si>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</si>
  <si>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</si>
  <si>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</si>
  <si>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</si>
  <si>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</si>
  <si>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</si>
  <si>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</si>
  <si>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</si>
  <si>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</si>
  <si>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</si>
  <si>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</si>
  <si>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</si>
  <si>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</si>
  <si>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</si>
  <si>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</si>
  <si>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</si>
  <si>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</si>
  <si>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</si>
  <si>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</si>
  <si>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</si>
  <si>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</si>
  <si>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</si>
  <si>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</si>
  <si>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</si>
  <si>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</si>
  <si>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</si>
  <si>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</si>
  <si>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</si>
  <si>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</si>
  <si>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</si>
  <si>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</si>
  <si>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</si>
  <si>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</si>
  <si>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</si>
  <si>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</si>
  <si>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</si>
  <si>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</si>
  <si>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</si>
  <si>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</si>
  <si>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</si>
  <si>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</si>
  <si>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</si>
  <si>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</si>
  <si>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</si>
  <si>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</si>
  <si>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</si>
  <si>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</si>
  <si>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</si>
  <si>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</si>
  <si>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</si>
  <si>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</si>
  <si>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</si>
  <si>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</si>
  <si>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</si>
  <si>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</si>
  <si>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</si>
  <si>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</si>
  <si>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</si>
  <si>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</si>
  <si>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</si>
  <si>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</si>
  <si>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</si>
  <si>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</si>
  <si>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</si>
  <si>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</si>
  <si>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</si>
  <si>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</si>
  <si>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</si>
  <si>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</si>
  <si>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</si>
  <si>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</si>
  <si>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</si>
  <si>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</si>
  <si>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</si>
  <si>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</si>
  <si>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</si>
  <si>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</si>
  <si>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</si>
  <si>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</si>
  <si>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</si>
  <si>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</si>
  <si>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</si>
  <si>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</si>
  <si>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</si>
  <si>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</si>
  <si>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</si>
  <si>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</si>
  <si>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</si>
  <si>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</si>
  <si>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</si>
  <si>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</si>
  <si>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</si>
  <si>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</si>
  <si>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</si>
  <si>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</si>
  <si>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</si>
  <si>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</si>
  <si>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</si>
  <si>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</si>
  <si>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</si>
  <si>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</si>
  <si>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</si>
  <si>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</si>
  <si>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</si>
  <si>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</si>
  <si>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</si>
  <si>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</si>
  <si>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</si>
  <si>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</si>
  <si>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</si>
  <si>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</si>
  <si>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</si>
  <si>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</si>
  <si>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</si>
  <si>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</si>
  <si>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</si>
  <si>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</si>
  <si>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</si>
  <si>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</si>
  <si>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</si>
  <si>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</si>
  <si>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</si>
  <si>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</si>
  <si>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</si>
  <si>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</si>
  <si>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</si>
  <si>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</si>
  <si>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</si>
  <si>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</si>
  <si>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</si>
  <si>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</si>
  <si>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</si>
  <si>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</si>
  <si>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</si>
  <si>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</si>
  <si>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</si>
  <si>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</si>
  <si>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</si>
  <si>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</si>
  <si>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</si>
  <si>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</si>
  <si>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</si>
  <si>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</si>
  <si>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</si>
  <si>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</si>
  <si>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</si>
  <si>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</si>
  <si>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</si>
  <si>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</si>
  <si>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</si>
  <si>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</si>
  <si>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</si>
  <si>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</si>
  <si>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</si>
  <si>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</si>
  <si>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</si>
  <si>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</si>
  <si>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</si>
  <si>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</si>
  <si>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</si>
  <si>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</si>
  <si>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</si>
  <si>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</si>
  <si>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</si>
  <si>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</si>
  <si>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</si>
  <si>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</si>
  <si>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</si>
  <si>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</si>
  <si>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</si>
  <si>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</si>
  <si>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</si>
  <si>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</si>
  <si>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</si>
  <si>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</si>
  <si>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</si>
  <si>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</si>
  <si>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</si>
  <si>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</si>
  <si>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</si>
  <si>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</si>
  <si>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</si>
  <si>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</si>
  <si>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</si>
  <si>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</si>
  <si>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</si>
  <si>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</si>
  <si>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</si>
  <si>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</si>
  <si>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</si>
  <si>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</si>
  <si>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</si>
  <si>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</si>
  <si>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</si>
  <si>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</si>
  <si>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</si>
  <si>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</si>
  <si>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</si>
  <si>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</si>
  <si>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</si>
  <si>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</si>
  <si>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</si>
  <si>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</si>
  <si>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</si>
  <si>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</si>
  <si>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</si>
  <si>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</si>
  <si>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</si>
  <si>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</si>
  <si>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</si>
  <si>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</si>
  <si>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</si>
  <si>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</si>
  <si>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</si>
  <si>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</si>
  <si>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</si>
  <si>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</si>
  <si>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</si>
  <si>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</si>
  <si>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</si>
  <si>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</si>
  <si>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</si>
  <si>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</si>
  <si>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</si>
  <si>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</si>
  <si>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</si>
  <si>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</si>
  <si>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</si>
  <si>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</si>
  <si>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</si>
  <si>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</si>
  <si>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</si>
  <si>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</si>
  <si>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</si>
  <si>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</si>
  <si>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</si>
  <si>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</si>
  <si>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</si>
  <si>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</si>
  <si>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</si>
  <si>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</si>
  <si>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</si>
  <si>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</si>
  <si>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</si>
  <si>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</si>
  <si>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</si>
  <si>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</si>
  <si>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</si>
  <si>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</si>
  <si>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</si>
  <si>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</si>
  <si>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</si>
  <si>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</si>
  <si>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</si>
  <si>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</si>
  <si>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</si>
  <si>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</si>
  <si>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</si>
  <si>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</si>
  <si>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</si>
  <si>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</si>
  <si>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</si>
  <si>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</si>
  <si>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</si>
  <si>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</si>
  <si>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</si>
  <si>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</si>
  <si>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</si>
  <si>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</si>
  <si>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</si>
  <si>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</si>
  <si>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</si>
  <si>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</si>
  <si>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</si>
  <si>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</si>
  <si>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</si>
  <si>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</si>
  <si>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</si>
  <si>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</si>
  <si>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</si>
  <si>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</si>
  <si>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</si>
  <si>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</si>
  <si>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</si>
  <si>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</si>
  <si>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</si>
  <si>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</si>
  <si>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</si>
  <si>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</si>
  <si>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</si>
  <si>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</si>
  <si>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</si>
  <si>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</si>
  <si>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</si>
  <si>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</si>
  <si>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</si>
  <si>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</si>
  <si>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</si>
  <si>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</si>
  <si>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</si>
  <si>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</si>
  <si>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</si>
  <si>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</si>
  <si>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</si>
  <si>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</si>
  <si>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</si>
  <si>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</si>
  <si>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</si>
  <si>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</si>
  <si>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</si>
  <si>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</si>
  <si>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</si>
  <si>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</si>
  <si>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</si>
  <si>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</si>
  <si>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</si>
  <si>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</si>
  <si>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</si>
  <si>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</si>
  <si>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</si>
  <si>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</si>
  <si>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</si>
  <si>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</si>
  <si>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</si>
  <si>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</si>
  <si>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</si>
  <si>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</si>
  <si>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</si>
  <si>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</si>
  <si>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</si>
  <si>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</si>
  <si>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</si>
  <si>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</si>
  <si>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</si>
  <si>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</si>
  <si>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</si>
  <si>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</si>
  <si>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</si>
  <si>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</si>
  <si>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</si>
  <si>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</si>
  <si>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</si>
  <si>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</si>
  <si>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</si>
  <si>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</si>
  <si>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</si>
  <si>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</si>
  <si>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</si>
  <si>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</si>
  <si>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</si>
  <si>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</si>
  <si>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</si>
  <si>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</si>
  <si>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</si>
  <si>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</si>
  <si>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</si>
  <si>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</si>
  <si>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</si>
  <si>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</si>
  <si>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</si>
  <si>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</si>
  <si>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</si>
  <si>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</si>
  <si>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</si>
  <si>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</si>
  <si>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</si>
  <si>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</si>
  <si>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</si>
  <si>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</si>
  <si>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</si>
  <si>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</si>
  <si>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</si>
  <si>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</si>
  <si>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</si>
  <si>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</si>
  <si>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</si>
  <si>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</si>
  <si>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</si>
  <si>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</si>
  <si>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</si>
  <si>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</si>
  <si>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</si>
  <si>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</si>
  <si>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</si>
  <si>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</si>
  <si>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</si>
  <si>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</si>
  <si>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</si>
  <si>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</si>
  <si>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</si>
  <si>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</si>
  <si>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</si>
  <si>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</si>
  <si>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</si>
  <si>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</si>
  <si>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</si>
  <si>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</si>
  <si>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</si>
  <si>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</si>
  <si>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</si>
  <si>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</si>
  <si>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</si>
  <si>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</si>
  <si>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</si>
  <si>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</si>
  <si>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</si>
  <si>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</si>
  <si>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</si>
  <si>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</si>
  <si>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</si>
  <si>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</si>
  <si>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</si>
  <si>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</si>
  <si>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</si>
  <si>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</si>
  <si>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</si>
  <si>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</si>
  <si>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</si>
  <si>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</si>
  <si>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</si>
  <si>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</si>
  <si>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</si>
  <si>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</si>
  <si>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</si>
  <si>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</si>
  <si>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</si>
  <si>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</si>
  <si>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</si>
  <si>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</si>
  <si>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</si>
  <si>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</si>
  <si>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</si>
  <si>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</si>
  <si>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</si>
  <si>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</si>
  <si>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</si>
  <si>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</si>
  <si>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</si>
  <si>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</si>
  <si>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</si>
  <si>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</si>
  <si>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</si>
  <si>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</si>
  <si>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</si>
  <si>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</si>
  <si>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</si>
  <si>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</si>
  <si>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</si>
  <si>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</si>
  <si>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</si>
  <si>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</si>
  <si>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</si>
  <si>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</si>
  <si>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</si>
  <si>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</si>
  <si>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</si>
  <si>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</si>
  <si>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</si>
  <si>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</si>
  <si>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</si>
  <si>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</si>
  <si>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</si>
  <si>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</si>
  <si>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</si>
  <si>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</si>
  <si>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</si>
  <si>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</si>
  <si>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</si>
  <si>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</si>
  <si>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</si>
  <si>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</si>
  <si>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</si>
  <si>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</si>
  <si>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</si>
  <si>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</si>
  <si>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</si>
  <si>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</si>
  <si>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</si>
  <si>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</si>
  <si>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</si>
  <si>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</si>
  <si>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</si>
  <si>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</si>
  <si>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</si>
  <si>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</si>
  <si>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</si>
  <si>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</si>
  <si>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</si>
  <si>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</si>
  <si>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</si>
  <si>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</si>
  <si>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</si>
  <si>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</si>
  <si>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</si>
  <si>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</si>
  <si>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</si>
  <si>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</si>
  <si>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</si>
  <si>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</si>
  <si>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</si>
  <si>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</si>
  <si>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</si>
  <si>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</si>
  <si>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</si>
  <si>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</si>
  <si>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</si>
  <si>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</si>
  <si>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</si>
  <si>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</si>
  <si>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</si>
  <si>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</si>
  <si>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</si>
  <si>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</si>
  <si>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</si>
  <si>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</si>
  <si>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</si>
  <si>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</si>
  <si>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</si>
  <si>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</si>
  <si>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</si>
  <si>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</si>
  <si>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</si>
  <si>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</si>
  <si>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</si>
  <si>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</si>
  <si>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</si>
  <si>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</si>
  <si>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</si>
  <si>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</si>
  <si>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</si>
  <si>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</si>
  <si>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</si>
  <si>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</si>
  <si>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</si>
  <si>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</si>
  <si>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</si>
  <si>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</si>
  <si>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</si>
  <si>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</si>
  <si>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</si>
  <si>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</si>
  <si>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</si>
  <si>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</si>
  <si>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</si>
  <si>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</si>
  <si>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</si>
  <si>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</si>
  <si>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</si>
  <si>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</si>
  <si>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</si>
  <si>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</si>
  <si>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</si>
  <si>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</si>
  <si>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</si>
  <si>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</si>
  <si>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</si>
  <si>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</si>
  <si>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</si>
  <si>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</si>
  <si>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</si>
  <si>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</si>
  <si>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</si>
  <si>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</si>
  <si>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</si>
  <si>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</si>
  <si>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</si>
  <si>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</si>
  <si>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</si>
  <si>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</si>
  <si>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</si>
  <si>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</si>
  <si>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</si>
  <si>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</si>
  <si>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</si>
  <si>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</si>
  <si>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</si>
  <si>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</si>
  <si>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</si>
  <si>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</si>
  <si>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</si>
  <si>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</si>
  <si>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</si>
  <si>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</si>
  <si>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</si>
  <si>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</si>
  <si>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</si>
  <si>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</si>
  <si>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</si>
  <si>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</si>
  <si>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</si>
  <si>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</si>
  <si>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</si>
  <si>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</si>
  <si>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</si>
  <si>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</si>
  <si>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</si>
  <si>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</si>
  <si>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</si>
  <si>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</si>
  <si>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</si>
  <si>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</si>
  <si>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</si>
  <si>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</si>
  <si>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</si>
  <si>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</si>
  <si>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</si>
  <si>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</si>
  <si>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</si>
  <si>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</si>
  <si>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</si>
  <si>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</si>
  <si>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</si>
  <si>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</si>
  <si>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</si>
  <si>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</si>
  <si>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</si>
  <si>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</si>
  <si>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</si>
  <si>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</si>
  <si>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</si>
  <si>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</si>
  <si>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</si>
  <si>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</si>
  <si>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</si>
  <si>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</si>
  <si>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</si>
  <si>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</si>
  <si>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</si>
  <si>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</si>
  <si>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</si>
  <si>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</si>
  <si>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</si>
  <si>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</si>
  <si>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</si>
  <si>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</si>
  <si>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</si>
  <si>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</si>
  <si>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</si>
  <si>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</si>
  <si>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</si>
  <si>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</si>
  <si>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</si>
  <si>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</si>
  <si>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</si>
  <si>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</si>
  <si>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</si>
  <si>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</si>
  <si>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</si>
  <si>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</si>
  <si>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</si>
  <si>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</si>
  <si>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</si>
  <si>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</si>
  <si>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</si>
  <si>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</si>
  <si>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</si>
  <si>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</si>
  <si>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</si>
  <si>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</si>
  <si>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</si>
  <si>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</si>
  <si>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</si>
  <si>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</si>
  <si>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</si>
  <si>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</si>
  <si>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</si>
  <si>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</si>
  <si>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</si>
  <si>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</si>
  <si>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</si>
  <si>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</si>
  <si>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</si>
  <si>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</si>
  <si>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</si>
  <si>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</si>
  <si>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</si>
  <si>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</si>
  <si>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</si>
  <si>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</si>
  <si>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</si>
  <si>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</si>
  <si>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</si>
  <si>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</si>
  <si>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</si>
  <si>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</si>
  <si>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</si>
  <si>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</si>
  <si>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</si>
  <si>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</si>
  <si>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</si>
  <si>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</si>
  <si>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</si>
  <si>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</si>
  <si>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</si>
  <si>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</si>
  <si>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</si>
  <si>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</si>
  <si>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</si>
  <si>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</si>
  <si>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</si>
  <si>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</si>
  <si>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</si>
  <si>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</si>
  <si>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</si>
  <si>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</si>
  <si>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</si>
  <si>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</si>
  <si>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</si>
  <si>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</si>
  <si>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</si>
  <si>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</si>
  <si>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</si>
  <si>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</si>
  <si>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</si>
  <si>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</si>
  <si>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</si>
  <si>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</si>
  <si>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</si>
  <si>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</si>
  <si>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</si>
  <si>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</si>
  <si>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</si>
  <si>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</si>
  <si>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</si>
  <si>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</si>
  <si>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</si>
  <si>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</si>
  <si>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</si>
  <si>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</si>
  <si>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</si>
  <si>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</si>
  <si>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</si>
  <si>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</si>
  <si>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</si>
  <si>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</si>
  <si>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</si>
  <si>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</si>
  <si>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</si>
  <si>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</si>
  <si>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</si>
  <si>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</si>
  <si>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</si>
  <si>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</si>
  <si>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</si>
  <si>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</si>
  <si>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</si>
  <si>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</si>
  <si>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</si>
  <si>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</si>
  <si>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</si>
  <si>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</si>
  <si>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</si>
  <si>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</si>
  <si>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</si>
  <si>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</si>
  <si>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</si>
  <si>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</si>
  <si>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</si>
  <si>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</si>
  <si>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</si>
  <si>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</si>
  <si>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</si>
  <si>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</si>
  <si>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</si>
  <si>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</si>
  <si>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</si>
  <si>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</si>
  <si>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</si>
  <si>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</si>
  <si>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</si>
  <si>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</si>
  <si>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</si>
  <si>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</si>
  <si>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</si>
  <si>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</si>
  <si>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</si>
  <si>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</si>
  <si>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</si>
  <si>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</si>
  <si>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</si>
  <si>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</si>
  <si>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</si>
  <si>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</si>
  <si>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</si>
  <si>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</si>
  <si>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</si>
  <si>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</si>
  <si>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</si>
  <si>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</si>
  <si>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</si>
  <si>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</si>
  <si>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</si>
  <si>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</si>
  <si>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</si>
  <si>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</si>
  <si>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</si>
  <si>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</si>
  <si>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</si>
  <si>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</si>
  <si>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</si>
  <si>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</si>
  <si>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</si>
  <si>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</si>
  <si>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</si>
  <si>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</si>
  <si>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</si>
  <si>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</si>
  <si>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</si>
  <si>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</si>
  <si>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</si>
  <si>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</si>
  <si>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</si>
  <si>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</si>
  <si>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</si>
  <si>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</si>
  <si>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</si>
  <si>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</si>
  <si>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</si>
  <si>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</si>
  <si>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</si>
  <si>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</si>
  <si>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</si>
  <si>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</si>
  <si>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</si>
  <si>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</si>
  <si>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</si>
  <si>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</si>
  <si>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</si>
  <si>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</si>
  <si>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</si>
  <si>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</si>
  <si>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</si>
  <si>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</si>
  <si>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</si>
  <si>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</si>
  <si>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</si>
  <si>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</si>
  <si>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</si>
  <si>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</si>
  <si>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</si>
  <si>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</si>
  <si>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</si>
  <si>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</si>
  <si>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</si>
  <si>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</si>
  <si>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</si>
  <si>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</si>
  <si>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</si>
  <si>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</si>
  <si>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</si>
  <si>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</si>
  <si>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</si>
  <si>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</si>
  <si>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</si>
  <si>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</si>
  <si>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</si>
  <si>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</si>
  <si>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</si>
  <si>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</si>
  <si>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</si>
  <si>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</si>
  <si>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</si>
  <si>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</si>
  <si>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</si>
  <si>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</si>
  <si>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</si>
  <si>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</si>
  <si>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</si>
  <si>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</si>
  <si>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</si>
  <si>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</si>
  <si>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</si>
  <si>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</si>
  <si>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</si>
  <si>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</si>
  <si>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</si>
  <si>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</si>
  <si>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</si>
  <si>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</si>
  <si>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</si>
  <si>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</si>
  <si>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</si>
  <si>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</si>
  <si>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</si>
  <si>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</si>
  <si>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</si>
  <si>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</si>
  <si>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</si>
  <si>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</si>
  <si>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</si>
  <si>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</si>
  <si>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</si>
  <si>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</si>
  <si>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</si>
  <si>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</si>
  <si>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</si>
  <si>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</si>
  <si>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</si>
  <si>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</si>
  <si>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</si>
  <si>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</si>
  <si>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</si>
  <si>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</si>
  <si>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</si>
  <si>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</si>
  <si>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</si>
  <si>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</si>
  <si>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</si>
  <si>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</si>
  <si>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</si>
  <si>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</si>
  <si>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</si>
  <si>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</si>
  <si>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</si>
  <si>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</si>
  <si>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</si>
  <si>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</si>
  <si>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</si>
  <si>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</si>
  <si>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</si>
  <si>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</si>
  <si>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</si>
  <si>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</si>
  <si>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</si>
  <si>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</si>
  <si>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</si>
  <si>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</si>
  <si>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</si>
  <si>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</si>
  <si>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</si>
  <si>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</si>
  <si>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</si>
  <si>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</si>
  <si>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</si>
  <si>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</si>
  <si>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</si>
  <si>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</si>
  <si>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</si>
  <si>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</si>
  <si>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</si>
  <si>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</si>
  <si>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</si>
  <si>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</si>
  <si>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</si>
  <si>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</si>
  <si>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</si>
  <si>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</si>
  <si>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</si>
  <si>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</si>
  <si>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</si>
  <si>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</si>
  <si>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</si>
  <si>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</si>
  <si>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</si>
  <si>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</si>
  <si>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</si>
  <si>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</si>
  <si>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</si>
  <si>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</si>
  <si>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</si>
  <si>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</si>
  <si>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</si>
  <si>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</si>
  <si>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</si>
  <si>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</si>
  <si>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</si>
  <si>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</si>
  <si>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</si>
  <si>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</si>
  <si>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</si>
  <si>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</si>
  <si>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</si>
  <si>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</si>
  <si>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</si>
  <si>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</si>
  <si>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</si>
  <si>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</si>
  <si>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</si>
  <si>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</si>
  <si>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</si>
  <si>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</si>
  <si>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</si>
  <si>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</si>
  <si>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</si>
  <si>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</si>
  <si>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</si>
  <si>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</si>
  <si>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</si>
  <si>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</si>
  <si>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</si>
  <si>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</si>
  <si>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</si>
  <si>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</si>
  <si>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</si>
  <si>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</si>
  <si>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</si>
  <si>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</si>
  <si>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</si>
  <si>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</si>
  <si>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</si>
  <si>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</si>
  <si>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</si>
  <si>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</si>
  <si>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</si>
  <si>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</si>
  <si>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</si>
  <si>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</si>
  <si>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</si>
  <si>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</si>
  <si>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</si>
  <si>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</si>
  <si>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</si>
  <si>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</si>
  <si>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</si>
  <si>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</si>
  <si>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</si>
  <si>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</si>
  <si>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</si>
  <si>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</si>
  <si>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</si>
  <si>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</si>
  <si>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</si>
  <si>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</si>
  <si>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</si>
  <si>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</si>
  <si>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</si>
  <si>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</si>
  <si>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</si>
  <si>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</si>
  <si>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</si>
  <si>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</si>
  <si>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</si>
  <si>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</si>
  <si>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</si>
  <si>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</si>
  <si>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</si>
  <si>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</si>
  <si>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</si>
  <si>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</si>
  <si>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</si>
  <si>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</si>
  <si>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</si>
  <si>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</si>
  <si>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</si>
  <si>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</si>
  <si>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</si>
  <si>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</si>
  <si>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</si>
  <si>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</si>
  <si>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</si>
  <si>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</si>
  <si>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</si>
  <si>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</si>
  <si>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</si>
  <si>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</si>
  <si>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</si>
  <si>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</si>
  <si>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</si>
  <si>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</si>
  <si>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</si>
  <si>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</si>
  <si>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</si>
  <si>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</si>
  <si>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</si>
  <si>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</si>
  <si>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</si>
  <si>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</si>
  <si>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</si>
  <si>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</si>
  <si>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</si>
  <si>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</si>
  <si>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</si>
  <si>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</si>
  <si>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</si>
  <si>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</si>
  <si>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</si>
  <si>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</si>
  <si>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</si>
  <si>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</si>
  <si>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</si>
  <si>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</si>
  <si>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</si>
  <si>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</si>
  <si>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</si>
  <si>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</si>
  <si>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</si>
  <si>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</si>
  <si>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</si>
  <si>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</si>
  <si>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</si>
  <si>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</si>
  <si>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</si>
  <si>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</si>
  <si>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</si>
  <si>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</si>
  <si>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</si>
  <si>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</si>
  <si>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</si>
  <si>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</si>
  <si>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</si>
  <si>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</si>
  <si>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</si>
  <si>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</si>
  <si>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</si>
  <si>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</si>
  <si>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</si>
  <si>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</si>
  <si>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</si>
  <si>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</si>
  <si>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</si>
  <si>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</si>
  <si>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</si>
  <si>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</si>
  <si>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</si>
  <si>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</si>
  <si>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</si>
  <si>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</si>
  <si>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</si>
  <si>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</si>
  <si>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</si>
  <si>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</si>
  <si>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</si>
  <si>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</si>
  <si>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</si>
  <si>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</si>
  <si>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</si>
  <si>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</si>
  <si>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</si>
  <si>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</si>
  <si>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</si>
  <si>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</si>
  <si>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</si>
  <si>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</si>
  <si>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</si>
  <si>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</si>
  <si>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</si>
  <si>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</si>
  <si>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</si>
  <si>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</si>
  <si>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</si>
  <si>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</si>
  <si>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</si>
  <si>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</si>
  <si>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</si>
  <si>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</si>
  <si>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</si>
  <si>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</si>
  <si>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</si>
  <si>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</si>
  <si>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</si>
  <si>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</si>
  <si>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</si>
  <si>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</si>
  <si>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</si>
  <si>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</si>
  <si>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</si>
  <si>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</si>
  <si>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</si>
  <si>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</si>
  <si>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</si>
  <si>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</si>
  <si>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</si>
  <si>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</si>
  <si>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</si>
  <si>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</si>
  <si>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</si>
  <si>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</si>
  <si>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</si>
  <si>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</si>
  <si>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</si>
  <si>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</si>
  <si>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</si>
  <si>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</si>
  <si>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</si>
  <si>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</si>
  <si>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</si>
  <si>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</si>
  <si>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</si>
  <si>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</si>
  <si>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</si>
  <si>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</si>
  <si>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</si>
  <si>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</si>
  <si>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</si>
  <si>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</si>
  <si>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</si>
  <si>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</si>
  <si>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</si>
  <si>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</si>
  <si>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</si>
  <si>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</si>
  <si>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</si>
  <si>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</si>
  <si>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</si>
  <si>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</si>
  <si>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</si>
  <si>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</si>
  <si>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</si>
  <si>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</si>
  <si>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</si>
  <si>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</si>
  <si>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</si>
  <si>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</si>
  <si>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</si>
  <si>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</si>
  <si>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</si>
  <si>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</si>
  <si>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</si>
  <si>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</si>
  <si>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</si>
  <si>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</si>
  <si>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</si>
  <si>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</si>
  <si>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</si>
  <si>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</si>
  <si>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</si>
  <si>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</si>
  <si>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</si>
  <si>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</si>
  <si>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</si>
  <si>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</si>
  <si>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</si>
  <si>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</si>
  <si>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</si>
  <si>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</si>
  <si>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</si>
  <si>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</si>
  <si>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</si>
  <si>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</si>
  <si>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</si>
  <si>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</si>
  <si>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</si>
  <si>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</si>
  <si>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</si>
  <si>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</si>
  <si>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</si>
  <si>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</si>
  <si>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</si>
  <si>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</si>
  <si>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</si>
  <si>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</si>
  <si>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</si>
  <si>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</si>
  <si>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</si>
  <si>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</si>
  <si>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</si>
  <si>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</si>
  <si>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</si>
  <si>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</si>
  <si>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</si>
  <si>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</si>
  <si>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</si>
  <si>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</si>
  <si>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</si>
  <si>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</si>
  <si>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</si>
  <si>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</si>
  <si>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</si>
  <si>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</si>
  <si>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</si>
  <si>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</si>
  <si>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</si>
  <si>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</si>
  <si>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</si>
  <si>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</si>
  <si>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</si>
  <si>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</si>
  <si>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</si>
  <si>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</si>
  <si>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</si>
  <si>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</si>
  <si>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</si>
  <si>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</si>
  <si>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</si>
  <si>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</si>
  <si>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</si>
  <si>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</si>
  <si>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</si>
  <si>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</si>
  <si>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</si>
  <si>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</si>
  <si>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</si>
  <si>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</si>
  <si>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</si>
  <si>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</si>
  <si>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</si>
  <si>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</si>
  <si>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</si>
  <si>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</si>
  <si>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</si>
  <si>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</si>
  <si>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</si>
  <si>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</si>
  <si>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</si>
  <si>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</si>
  <si>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</si>
  <si>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</si>
  <si>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</si>
  <si>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</si>
  <si>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</si>
  <si>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</si>
  <si>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</si>
  <si>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</si>
  <si>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</si>
  <si>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</si>
  <si>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</si>
  <si>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</si>
  <si>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</si>
  <si>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</si>
  <si>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</si>
  <si>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</si>
  <si>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</si>
  <si>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</si>
  <si>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</si>
  <si>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</si>
  <si>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</si>
  <si>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</si>
  <si>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</si>
  <si>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</si>
  <si>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</si>
  <si>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</si>
  <si>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</si>
  <si>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</si>
  <si>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</si>
  <si>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</si>
  <si>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</si>
  <si>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</si>
  <si>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</si>
  <si>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</si>
  <si>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</si>
  <si>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</si>
  <si>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</si>
  <si>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</si>
  <si>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</si>
  <si>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</si>
  <si>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</si>
  <si>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</si>
  <si>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</si>
  <si>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</si>
  <si>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</si>
  <si>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</si>
  <si>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</si>
  <si>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</si>
  <si>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</si>
  <si>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</si>
  <si>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</si>
  <si>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</si>
  <si>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</si>
  <si>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</si>
  <si>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</si>
  <si>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</si>
  <si>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</si>
  <si>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</si>
  <si>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</si>
  <si>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</si>
  <si>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</si>
  <si>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</si>
  <si>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</si>
  <si>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</si>
  <si>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</si>
  <si>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</si>
  <si>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</si>
  <si>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</si>
  <si>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</si>
  <si>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</si>
  <si>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</si>
  <si>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</si>
  <si>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</si>
  <si>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</si>
  <si>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</si>
  <si>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</si>
  <si>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</si>
  <si>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</si>
  <si>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</si>
  <si>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</si>
  <si>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</si>
  <si>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</si>
  <si>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</si>
  <si>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</si>
  <si>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</si>
  <si>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</si>
  <si>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</si>
  <si>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</si>
  <si>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</si>
  <si>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</si>
  <si>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</si>
  <si>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</si>
  <si>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</si>
  <si>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</si>
  <si>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</si>
  <si>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</si>
  <si>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</si>
  <si>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</si>
  <si>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</si>
  <si>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</si>
  <si>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</si>
  <si>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</si>
  <si>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</si>
  <si>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</si>
  <si>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</si>
  <si>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</si>
  <si>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</si>
  <si>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</si>
  <si>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</si>
  <si>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</si>
  <si>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</si>
  <si>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</si>
  <si>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</si>
  <si>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</si>
  <si>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</si>
  <si>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</si>
  <si>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</si>
  <si>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</si>
  <si>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</si>
  <si>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</si>
  <si>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</si>
  <si>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</si>
  <si>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</si>
  <si>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</si>
  <si>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</si>
  <si>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</si>
  <si>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</si>
  <si>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</si>
  <si>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</si>
  <si>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</si>
  <si>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</si>
  <si>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</si>
  <si>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</si>
  <si>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</si>
  <si>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</si>
  <si>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</si>
  <si>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</si>
  <si>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</si>
  <si>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</si>
  <si>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</si>
  <si>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</si>
  <si>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</si>
  <si>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</si>
  <si>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</si>
  <si>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</si>
  <si>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</si>
  <si>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</si>
  <si>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</si>
  <si>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</si>
  <si>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</si>
  <si>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</si>
  <si>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</si>
  <si>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</si>
  <si>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</si>
  <si>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</si>
  <si>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</si>
  <si>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</si>
  <si>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</si>
  <si>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</si>
  <si>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</si>
  <si>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</si>
  <si>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</si>
  <si>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</si>
  <si>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</si>
  <si>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</si>
  <si>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</si>
  <si>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</si>
  <si>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</si>
  <si>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</si>
  <si>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</si>
  <si>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</si>
  <si>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</si>
  <si>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</si>
  <si>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</si>
  <si>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</si>
  <si>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</si>
  <si>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</si>
  <si>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</si>
  <si>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</si>
  <si>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</si>
  <si>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</si>
  <si>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</si>
  <si>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</si>
  <si>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</si>
  <si>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</si>
  <si>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</si>
  <si>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</si>
  <si>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</si>
  <si>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</si>
  <si>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</si>
  <si>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</si>
  <si>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</si>
  <si>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</si>
  <si>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</si>
  <si>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</si>
  <si>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</si>
  <si>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</si>
  <si>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</si>
  <si>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</si>
  <si>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</si>
  <si>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</si>
  <si>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</si>
  <si>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</si>
  <si>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</si>
  <si>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</si>
  <si>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</si>
  <si>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</si>
  <si>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</si>
  <si>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</si>
  <si>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</si>
  <si>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</si>
  <si>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</si>
  <si>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</si>
  <si>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</si>
  <si>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</si>
  <si>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</si>
  <si>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</si>
  <si>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</si>
  <si>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</si>
  <si>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</si>
  <si>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</si>
  <si>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</si>
  <si>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</si>
  <si>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</si>
  <si>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</si>
  <si>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</si>
  <si>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</si>
  <si>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</si>
  <si>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</si>
  <si>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</si>
  <si>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</si>
  <si>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</si>
  <si>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</si>
  <si>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</si>
  <si>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</si>
  <si>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</si>
  <si>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</si>
  <si>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</si>
  <si>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</si>
  <si>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</si>
  <si>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</si>
  <si>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</si>
  <si>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</si>
  <si>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</si>
  <si>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</si>
  <si>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</si>
  <si>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</si>
  <si>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</si>
  <si>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</si>
  <si>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</si>
  <si>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</si>
  <si>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</si>
  <si>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</si>
  <si>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</si>
  <si>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</si>
  <si>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</si>
  <si>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</si>
  <si>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</si>
  <si>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</si>
  <si>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</si>
  <si>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</si>
  <si>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</si>
  <si>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</si>
  <si>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</si>
  <si>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</si>
  <si>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</si>
  <si>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</si>
  <si>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</si>
  <si>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</si>
  <si>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</si>
  <si>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</si>
  <si>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</si>
  <si>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</si>
  <si>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</si>
  <si>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</si>
  <si>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</si>
  <si>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</si>
  <si>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</si>
  <si>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</si>
  <si>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</si>
  <si>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</si>
  <si>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</si>
  <si>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</si>
  <si>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</si>
  <si>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</si>
  <si>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</si>
  <si>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</si>
  <si>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</si>
  <si>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</si>
  <si>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</si>
  <si>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</si>
  <si>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</si>
  <si>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</si>
  <si>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</si>
  <si>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</si>
  <si>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</si>
  <si>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</si>
  <si>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</si>
  <si>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</si>
  <si>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</si>
  <si>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</si>
  <si>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</si>
  <si>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</si>
  <si>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</si>
  <si>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</si>
  <si>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</si>
  <si>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</si>
  <si>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</si>
  <si>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</si>
  <si>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</si>
  <si>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</si>
  <si>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</si>
  <si>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</si>
  <si>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</si>
  <si>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</si>
  <si>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</si>
  <si>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</si>
  <si>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</si>
  <si>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</si>
  <si>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</si>
  <si>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</si>
  <si>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</si>
  <si>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</si>
  <si>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</si>
  <si>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</si>
  <si>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</si>
  <si>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</si>
  <si>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</si>
  <si>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</si>
  <si>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</si>
  <si>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</si>
  <si>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</si>
  <si>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</si>
  <si>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</si>
  <si>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</si>
  <si>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</si>
  <si>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</si>
  <si>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</si>
  <si>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</si>
  <si>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</si>
  <si>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</si>
  <si>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</si>
  <si>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</si>
  <si>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</si>
  <si>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</si>
  <si>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</si>
  <si>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</si>
  <si>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</si>
  <si>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</si>
  <si>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</si>
  <si>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</si>
  <si>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</si>
  <si>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</si>
  <si>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</si>
  <si>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</si>
  <si>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</si>
  <si>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</si>
  <si>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</si>
  <si>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</si>
  <si>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</si>
  <si>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</si>
  <si>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</si>
  <si>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</si>
  <si>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</si>
  <si>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</si>
  <si>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</si>
  <si>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</si>
  <si>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</si>
  <si>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</si>
  <si>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</si>
  <si>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</si>
  <si>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</si>
  <si>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</si>
  <si>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</si>
  <si>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</si>
  <si>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</si>
  <si>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</si>
  <si>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</si>
  <si>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</si>
  <si>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</si>
  <si>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</si>
  <si>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</si>
  <si>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</si>
  <si>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</si>
  <si>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</si>
  <si>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</si>
  <si>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</si>
  <si>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</si>
  <si>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</si>
  <si>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</si>
  <si>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</si>
  <si>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</si>
  <si>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</si>
  <si>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</si>
  <si>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</si>
  <si>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</si>
  <si>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</si>
  <si>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</si>
  <si>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</si>
  <si>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</si>
  <si>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</si>
  <si>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</si>
  <si>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</si>
  <si>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</si>
  <si>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</si>
  <si>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</si>
  <si>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</si>
  <si>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</si>
  <si>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</si>
  <si>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</si>
  <si>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</si>
  <si>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</si>
  <si>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</si>
  <si>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</si>
  <si>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</si>
  <si>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</si>
  <si>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</si>
  <si>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</si>
  <si>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</si>
  <si>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</si>
  <si>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</si>
  <si>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</si>
  <si>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</si>
  <si>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</si>
  <si>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</si>
  <si>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</si>
  <si>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</si>
  <si>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</si>
  <si>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</si>
  <si>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</si>
  <si>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</si>
  <si>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</si>
  <si>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</si>
  <si>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</si>
  <si>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</si>
  <si>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</si>
  <si>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</si>
  <si>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</si>
  <si>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</si>
  <si>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</si>
  <si>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</si>
  <si>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</si>
  <si>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</si>
  <si>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</si>
  <si>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</si>
  <si>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</si>
  <si>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</si>
  <si>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</si>
  <si>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</si>
  <si>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</si>
  <si>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</si>
  <si>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</si>
  <si>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</si>
  <si>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</si>
  <si>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</si>
  <si>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</si>
  <si>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</si>
  <si>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</si>
  <si>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</si>
  <si>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</si>
  <si>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</si>
  <si>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</si>
  <si>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</si>
  <si>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</si>
  <si>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</si>
  <si>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</si>
  <si>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</si>
  <si>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</si>
  <si>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</si>
  <si>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</si>
  <si>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</si>
  <si>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</si>
  <si>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</si>
  <si>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</si>
  <si>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</si>
  <si>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</si>
  <si>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</si>
  <si>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</si>
  <si>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</si>
  <si>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</si>
  <si>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</si>
  <si>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</si>
  <si>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</si>
  <si>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</si>
  <si>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</si>
  <si>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</si>
  <si>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</si>
  <si>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</si>
  <si>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</si>
  <si>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</si>
  <si>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</si>
  <si>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</si>
  <si>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</si>
  <si>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</si>
  <si>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</si>
  <si>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</si>
  <si>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</si>
  <si>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</si>
  <si>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</si>
  <si>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</si>
  <si>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</si>
  <si>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</si>
  <si>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</si>
  <si>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</si>
  <si>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</si>
  <si>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</si>
  <si>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</si>
  <si>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</si>
  <si>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</si>
  <si>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</si>
  <si>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</si>
  <si>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</si>
  <si>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</si>
  <si>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</si>
  <si>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</si>
  <si>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</si>
  <si>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</si>
  <si>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</si>
  <si>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</si>
  <si>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</si>
  <si>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</si>
  <si>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</si>
  <si>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</si>
  <si>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</si>
  <si>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</si>
  <si>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</si>
  <si>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</si>
  <si>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</si>
  <si>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</si>
  <si>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</si>
  <si>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</si>
  <si>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</si>
  <si>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</si>
  <si>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</si>
  <si>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</si>
  <si>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</si>
  <si>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</si>
  <si>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</si>
  <si>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</si>
  <si>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</si>
  <si>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</si>
  <si>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</si>
  <si>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</si>
  <si>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</si>
  <si>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</si>
  <si>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</si>
  <si>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</si>
  <si>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</si>
  <si>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</si>
  <si>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</si>
  <si>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</si>
  <si>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</si>
  <si>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</si>
  <si>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</si>
  <si>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</si>
  <si>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</si>
  <si>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</si>
  <si>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</si>
  <si>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</si>
  <si>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</si>
  <si>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</si>
  <si>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</si>
  <si>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</si>
  <si>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</si>
  <si>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</si>
  <si>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</si>
  <si>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</si>
  <si>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</si>
  <si>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</si>
  <si>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</si>
  <si>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</si>
  <si>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</si>
  <si>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</si>
  <si>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</si>
  <si>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</si>
  <si>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</si>
  <si>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</si>
  <si>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</si>
  <si>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</si>
  <si>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</si>
  <si>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</si>
  <si>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</si>
  <si>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</si>
  <si>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</si>
  <si>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</si>
  <si>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</si>
  <si>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</si>
  <si>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</si>
  <si>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</si>
  <si>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</si>
  <si>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</si>
  <si>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</si>
  <si>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</si>
  <si>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</si>
  <si>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</si>
  <si>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</si>
  <si>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</si>
  <si>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</si>
  <si>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</si>
  <si>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</si>
  <si>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</si>
  <si>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</si>
  <si>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</si>
  <si>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</si>
  <si>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</si>
  <si>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</si>
  <si>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</si>
  <si>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</si>
  <si>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</si>
  <si>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</si>
  <si>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</si>
  <si>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</si>
  <si>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</si>
  <si>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</si>
  <si>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</si>
  <si>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</si>
  <si>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</si>
  <si>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</si>
  <si>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</si>
  <si>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</si>
  <si>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</si>
  <si>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</si>
  <si>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</si>
  <si>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</si>
  <si>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</si>
  <si>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</si>
  <si>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</si>
  <si>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</si>
  <si>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</si>
  <si>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</si>
  <si>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</si>
  <si>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</si>
  <si>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</si>
  <si>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</si>
  <si>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</si>
  <si>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</si>
  <si>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</si>
  <si>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</si>
  <si>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</si>
  <si>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</si>
  <si>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</si>
  <si>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</si>
  <si>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</si>
  <si>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</si>
  <si>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</si>
  <si>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</si>
  <si>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</si>
  <si>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</si>
  <si>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</si>
  <si>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</si>
  <si>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</si>
  <si>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</si>
  <si>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</si>
  <si>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</si>
  <si>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</si>
  <si>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</si>
  <si>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</si>
  <si>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</si>
  <si>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</si>
  <si>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</si>
  <si>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</si>
  <si>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</si>
  <si>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</si>
  <si>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</si>
  <si>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</si>
  <si>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</si>
  <si>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</si>
  <si>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</si>
  <si>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</si>
  <si>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</si>
  <si>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</si>
  <si>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</si>
  <si>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</si>
  <si>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</si>
  <si>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</si>
  <si>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</si>
  <si>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</si>
  <si>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</si>
  <si>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</si>
  <si>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</si>
  <si>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</si>
  <si>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</si>
  <si>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</si>
  <si>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</si>
  <si>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</si>
  <si>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</si>
  <si>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</si>
  <si>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</si>
  <si>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</si>
  <si>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</si>
  <si>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</si>
  <si>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</si>
  <si>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</si>
  <si>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</si>
  <si>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</si>
  <si>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</si>
  <si>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</si>
  <si>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</si>
  <si>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</si>
  <si>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</si>
  <si>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</si>
  <si>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</si>
  <si>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</si>
  <si>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</si>
  <si>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</si>
  <si>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</si>
  <si>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</si>
  <si>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</si>
  <si>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</si>
  <si>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</si>
  <si>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</si>
  <si>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</si>
  <si>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</si>
  <si>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</si>
  <si>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</si>
  <si>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</si>
  <si>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</si>
  <si>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</si>
  <si>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</si>
  <si>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</si>
  <si>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</si>
  <si>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</si>
  <si>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</si>
  <si>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</si>
  <si>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</si>
  <si>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</si>
  <si>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</si>
  <si>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</si>
  <si>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</si>
  <si>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</si>
  <si>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</si>
  <si>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</si>
  <si>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</si>
  <si>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</si>
  <si>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</si>
  <si>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</si>
  <si>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</si>
  <si>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</si>
  <si>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</si>
  <si>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</si>
  <si>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</si>
  <si>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</si>
  <si>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</si>
  <si>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</si>
  <si>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</si>
  <si>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</si>
  <si>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</si>
  <si>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</si>
  <si>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</si>
  <si>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</si>
  <si>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</si>
  <si>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</si>
  <si>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</si>
  <si>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</si>
  <si>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</si>
  <si>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</si>
  <si>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</si>
  <si>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</si>
  <si>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</si>
  <si>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</si>
  <si>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</si>
  <si>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</si>
  <si>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</si>
  <si>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</si>
  <si>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</si>
  <si>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</si>
  <si>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</si>
  <si>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</si>
  <si>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</si>
  <si>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</si>
  <si>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</si>
  <si>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</si>
  <si>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</si>
  <si>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</si>
  <si>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</si>
  <si>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</si>
  <si>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</si>
  <si>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</si>
  <si>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</si>
  <si>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</si>
  <si>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</si>
  <si>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</si>
  <si>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</si>
  <si>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</si>
  <si>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</si>
  <si>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</si>
  <si>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</si>
  <si>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</si>
  <si>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</si>
  <si>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</si>
  <si>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</si>
  <si>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</si>
  <si>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</si>
  <si>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</si>
  <si>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</si>
  <si>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</si>
  <si>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</si>
  <si>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</si>
  <si>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</si>
  <si>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</si>
  <si>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</si>
  <si>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</si>
  <si>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</si>
  <si>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</si>
  <si>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</si>
  <si>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</si>
  <si>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</si>
  <si>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</si>
  <si>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</si>
  <si>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</si>
  <si>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</si>
  <si>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</si>
  <si>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</si>
  <si>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</si>
  <si>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</si>
  <si>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</si>
  <si>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</si>
  <si>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</si>
  <si>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</si>
  <si>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</si>
  <si>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</si>
  <si>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</si>
  <si>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</si>
  <si>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</si>
  <si>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</si>
  <si>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</si>
  <si>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</si>
  <si>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</si>
  <si>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</si>
  <si>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</si>
  <si>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</si>
  <si>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</si>
  <si>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</si>
  <si>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</si>
  <si>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</si>
  <si>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</si>
  <si>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</si>
  <si>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</si>
  <si>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</si>
  <si>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</si>
  <si>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</si>
  <si>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</si>
  <si>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</si>
  <si>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</si>
  <si>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</si>
  <si>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</si>
  <si>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</si>
  <si>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</si>
  <si>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</si>
  <si>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</si>
  <si>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</si>
  <si>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</si>
  <si>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</si>
  <si>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</si>
  <si>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</si>
  <si>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</si>
  <si>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</si>
  <si>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</si>
  <si>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</si>
  <si>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</si>
  <si>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</si>
  <si>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</si>
  <si>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</si>
  <si>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</si>
  <si>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</si>
  <si>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</si>
  <si>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</si>
  <si>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</si>
  <si>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</si>
  <si>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</si>
  <si>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</si>
  <si>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</si>
  <si>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</si>
  <si>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</si>
  <si>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</si>
  <si>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</si>
  <si>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</si>
  <si>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</si>
  <si>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</si>
  <si>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</si>
  <si>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</si>
  <si>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</si>
  <si>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</si>
  <si>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</si>
  <si>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</si>
  <si>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</si>
  <si>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</si>
  <si>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</si>
  <si>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</si>
  <si>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</si>
  <si>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</si>
  <si>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</si>
  <si>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</si>
  <si>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</si>
  <si>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</si>
  <si>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</si>
  <si>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</si>
  <si>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</si>
  <si>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</si>
  <si>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</si>
  <si>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</si>
  <si>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</si>
  <si>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</si>
  <si>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</si>
  <si>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</si>
  <si>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</si>
  <si>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</si>
  <si>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</si>
  <si>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</si>
  <si>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</si>
  <si>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</si>
  <si>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</si>
  <si>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</si>
  <si>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</si>
  <si>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</si>
  <si>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</si>
  <si>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</si>
  <si>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</si>
  <si>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</si>
  <si>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</si>
  <si>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</si>
  <si>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</si>
  <si>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</si>
  <si>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</si>
  <si>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</si>
  <si>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</si>
  <si>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</si>
  <si>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</si>
  <si>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</si>
  <si>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</si>
  <si>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</si>
  <si>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</si>
  <si>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</si>
  <si>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</si>
  <si>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</si>
  <si>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</si>
  <si>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</si>
  <si>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</si>
  <si>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</si>
  <si>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</si>
  <si>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</si>
  <si>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</si>
  <si>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</si>
  <si>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</si>
  <si>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</si>
  <si>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</si>
  <si>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</si>
  <si>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</si>
  <si>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</si>
  <si>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</si>
  <si>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</si>
  <si>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</si>
  <si>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</si>
  <si>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</si>
  <si>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</si>
  <si>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</si>
  <si>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</si>
  <si>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</si>
  <si>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</si>
  <si>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</si>
  <si>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</si>
  <si>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</si>
  <si>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</si>
  <si>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</si>
  <si>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</si>
  <si>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</si>
  <si>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</si>
  <si>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</si>
  <si>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</si>
  <si>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</si>
  <si>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</si>
  <si>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</si>
  <si>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</si>
  <si>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</si>
  <si>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</si>
  <si>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</si>
  <si>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</si>
  <si>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</si>
  <si>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</si>
  <si>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</si>
  <si>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</si>
  <si>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</si>
  <si>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</si>
  <si>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</si>
  <si>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</si>
  <si>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</si>
  <si>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</si>
  <si>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</si>
  <si>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</si>
  <si>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</si>
  <si>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</si>
  <si>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</si>
  <si>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</si>
  <si>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</si>
  <si>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</si>
  <si>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</si>
  <si>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</si>
  <si>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</si>
  <si>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</si>
  <si>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</si>
  <si>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</si>
  <si>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</si>
  <si>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</si>
  <si>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</si>
  <si>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</si>
  <si>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</si>
  <si>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</si>
  <si>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</si>
  <si>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</si>
  <si>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</si>
  <si>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</si>
  <si>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</si>
  <si>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</si>
  <si>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</si>
  <si>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</si>
  <si>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</si>
  <si>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</si>
  <si>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</si>
  <si>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</si>
  <si>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</si>
  <si>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</si>
  <si>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</si>
  <si>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</si>
  <si>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</si>
  <si>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</si>
  <si>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</si>
  <si>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</si>
  <si>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</si>
  <si>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</si>
  <si>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</si>
  <si>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</si>
  <si>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</si>
  <si>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</si>
  <si>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</si>
  <si>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</si>
  <si>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</si>
  <si>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</si>
  <si>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</si>
  <si>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</si>
  <si>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</si>
  <si>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</si>
  <si>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</si>
  <si>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</si>
  <si>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</si>
  <si>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</si>
  <si>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</si>
  <si>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</si>
  <si>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</si>
  <si>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</si>
  <si>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</si>
  <si>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</si>
  <si>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</si>
  <si>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</si>
  <si>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</si>
  <si>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</si>
  <si>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</si>
  <si>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</si>
  <si>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</si>
  <si>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</si>
  <si>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</si>
  <si>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</si>
  <si>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</si>
  <si>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</si>
  <si>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</si>
  <si>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</si>
  <si>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</si>
  <si>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</si>
  <si>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</si>
  <si>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</si>
  <si>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</si>
  <si>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</si>
  <si>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</si>
  <si>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</si>
  <si>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</si>
  <si>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</si>
  <si>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</si>
  <si>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</si>
  <si>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</si>
  <si>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</si>
  <si>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</si>
  <si>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</si>
  <si>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</si>
  <si>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</si>
  <si>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</si>
  <si>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</si>
  <si>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</si>
  <si>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</si>
  <si>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</si>
  <si>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</si>
  <si>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</si>
  <si>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</si>
  <si>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</si>
  <si>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</si>
  <si>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</si>
  <si>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</si>
  <si>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</si>
  <si>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</si>
  <si>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</si>
  <si>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</si>
  <si>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</si>
  <si>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</si>
  <si>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</si>
  <si>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</si>
  <si>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</si>
  <si>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</si>
  <si>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</si>
  <si>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</si>
  <si>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</si>
  <si>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</si>
  <si>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</si>
  <si>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</si>
  <si>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</si>
  <si>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</si>
  <si>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</si>
  <si>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</si>
  <si>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</si>
  <si>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</si>
  <si>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</si>
  <si>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</si>
  <si>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</si>
  <si>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</si>
  <si>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</si>
  <si>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</si>
  <si>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</si>
  <si>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</si>
  <si>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</si>
  <si>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</si>
  <si>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</si>
  <si>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</si>
  <si>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</si>
  <si>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</si>
  <si>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</si>
  <si>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</si>
  <si>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</si>
  <si>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</si>
  <si>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</si>
  <si>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</si>
  <si>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</si>
  <si>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</si>
  <si>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</si>
  <si>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</si>
  <si>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</si>
  <si>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</si>
  <si>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</si>
  <si>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</si>
  <si>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</si>
  <si>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</si>
  <si>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</si>
  <si>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</si>
  <si>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</si>
  <si>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</si>
  <si>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</si>
  <si>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</si>
  <si>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</si>
  <si>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</si>
  <si>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</si>
  <si>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</si>
  <si>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</si>
  <si>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</si>
  <si>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</si>
  <si>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</si>
  <si>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</si>
  <si>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</si>
  <si>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</si>
  <si>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</si>
  <si>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</si>
  <si>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</si>
  <si>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</si>
  <si>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</si>
  <si>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</si>
  <si>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</si>
  <si>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</si>
  <si>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</si>
  <si>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</si>
  <si>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</si>
  <si>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</si>
  <si>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</si>
  <si>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</si>
  <si>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</si>
  <si>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</si>
  <si>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</si>
  <si>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</si>
  <si>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</si>
  <si>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</si>
  <si>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</si>
  <si>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</si>
  <si>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</si>
  <si>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</si>
  <si>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</si>
  <si>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</si>
  <si>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</si>
  <si>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</si>
  <si>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</si>
  <si>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</si>
  <si>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</si>
  <si>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</si>
  <si>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</si>
  <si>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</si>
  <si>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</si>
  <si>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</si>
  <si>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</si>
  <si>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</si>
  <si>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</si>
  <si>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</si>
  <si>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</si>
  <si>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</si>
  <si>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</si>
  <si>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</si>
  <si>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</si>
  <si>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</si>
  <si>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</si>
  <si>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</si>
  <si>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</si>
  <si>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</si>
  <si>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</si>
  <si>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</si>
  <si>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</si>
  <si>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</si>
  <si>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</si>
  <si>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</si>
  <si>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</si>
  <si>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</si>
  <si>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</si>
  <si>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</si>
  <si>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</si>
  <si>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</si>
  <si>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</si>
  <si>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</si>
  <si>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</si>
  <si>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</si>
  <si>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</si>
  <si>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</si>
  <si>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</si>
  <si>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</si>
  <si>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</si>
  <si>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</si>
  <si>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</si>
  <si>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</si>
  <si>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</si>
  <si>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</si>
  <si>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</si>
  <si>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</si>
  <si>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</si>
  <si>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</si>
  <si>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</si>
  <si>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</si>
  <si>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</si>
  <si>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</si>
  <si>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</si>
  <si>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</si>
  <si>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</si>
  <si>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</si>
  <si>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</si>
  <si>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</si>
  <si>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</si>
  <si>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</si>
  <si>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</si>
  <si>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</si>
  <si>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</si>
  <si>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</si>
  <si>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</si>
  <si>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</si>
  <si>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</si>
  <si>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</si>
  <si>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</si>
  <si>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</si>
  <si>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</si>
  <si>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</si>
  <si>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</si>
  <si>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</si>
  <si>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</si>
  <si>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</si>
  <si>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</si>
  <si>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</si>
  <si>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</si>
  <si>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</si>
  <si>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</si>
  <si>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</si>
  <si>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</si>
  <si>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</si>
  <si>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</si>
  <si>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</si>
  <si>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</si>
  <si>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</si>
  <si>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</si>
  <si>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</si>
  <si>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</si>
  <si>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</si>
  <si>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</si>
  <si>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</si>
  <si>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</si>
  <si>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</si>
  <si>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</si>
  <si>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</si>
  <si>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</si>
  <si>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</si>
  <si>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</si>
  <si>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</si>
  <si>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</si>
  <si>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</si>
  <si>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</si>
  <si>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</si>
  <si>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</si>
  <si>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</si>
  <si>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</si>
  <si>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</si>
  <si>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</si>
  <si>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</si>
  <si>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</si>
  <si>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</si>
  <si>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</si>
  <si>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</si>
  <si>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</si>
  <si>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</si>
  <si>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</si>
  <si>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</si>
  <si>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</si>
  <si>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</si>
  <si>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</si>
  <si>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</si>
  <si>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</si>
  <si>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</si>
  <si>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</si>
  <si>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</si>
  <si>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</si>
  <si>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</si>
  <si>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</si>
  <si>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</si>
  <si>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</si>
  <si>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</si>
  <si>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</si>
  <si>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</si>
  <si>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</si>
  <si>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</si>
  <si>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</si>
  <si>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</si>
  <si>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</si>
  <si>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</si>
  <si>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</si>
  <si>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</si>
  <si>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</si>
  <si>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</si>
  <si>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</si>
  <si>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</si>
  <si>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</si>
  <si>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</si>
  <si>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</si>
  <si>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</si>
  <si>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</si>
  <si>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</si>
  <si>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</si>
  <si>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</si>
  <si>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</si>
  <si>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</si>
  <si>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</si>
  <si>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</si>
  <si>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</si>
  <si>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</si>
  <si>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</si>
  <si>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</si>
  <si>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</si>
  <si>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</si>
  <si>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</si>
  <si>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</si>
  <si>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</si>
  <si>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</si>
  <si>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</si>
  <si>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</si>
  <si>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</si>
  <si>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</si>
  <si>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</si>
  <si>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</si>
  <si>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</si>
  <si>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</si>
  <si>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</si>
  <si>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</si>
  <si>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</si>
  <si>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</si>
  <si>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</si>
  <si>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</si>
  <si>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</si>
  <si>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</si>
  <si>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</si>
  <si>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</si>
  <si>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</si>
  <si>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</si>
  <si>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</si>
  <si>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</si>
  <si>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</si>
  <si>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</si>
  <si>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</si>
  <si>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</si>
  <si>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</si>
  <si>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</si>
  <si>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</si>
  <si>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</si>
  <si>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</si>
  <si>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</si>
  <si>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</si>
  <si>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</si>
  <si>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</si>
  <si>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</si>
  <si>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</si>
  <si>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</si>
  <si>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</si>
  <si>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</si>
  <si>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</si>
  <si>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</si>
  <si>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</si>
  <si>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</si>
  <si>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</si>
  <si>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</si>
  <si>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</si>
  <si>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</si>
  <si>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</si>
  <si>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</si>
  <si>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</si>
  <si>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</si>
  <si>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</si>
  <si>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</si>
  <si>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</si>
  <si>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</si>
  <si>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</si>
  <si>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</si>
  <si>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</si>
  <si>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</si>
  <si>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</si>
  <si>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</si>
  <si>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</si>
  <si>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</si>
  <si>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</si>
  <si>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</si>
  <si>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</si>
  <si>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</si>
  <si>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</si>
  <si>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</si>
  <si>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</si>
  <si>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</si>
  <si>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</si>
  <si>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</si>
  <si>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</si>
  <si>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</si>
  <si>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</si>
  <si>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</si>
  <si>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</si>
  <si>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</si>
  <si>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</si>
  <si>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</si>
  <si>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</si>
  <si>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</si>
  <si>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</si>
  <si>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</si>
  <si>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</si>
  <si>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</si>
  <si>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</si>
  <si>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</si>
  <si>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</si>
  <si>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</si>
  <si>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</si>
  <si>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</si>
  <si>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</si>
  <si>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</si>
  <si>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</si>
  <si>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</si>
  <si>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</si>
  <si>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</si>
  <si>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</si>
  <si>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</si>
  <si>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</si>
  <si>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</si>
  <si>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</si>
  <si>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</si>
  <si>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</si>
  <si>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</si>
  <si>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</si>
  <si>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</si>
  <si>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</si>
  <si>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</si>
  <si>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</si>
  <si>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</si>
  <si>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</si>
  <si>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</si>
  <si>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</si>
  <si>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</si>
  <si>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</si>
  <si>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</si>
  <si>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</si>
  <si>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</si>
  <si>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</si>
  <si>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</si>
  <si>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</si>
  <si>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</si>
  <si>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</si>
  <si>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</si>
  <si>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</si>
  <si>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</si>
  <si>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</si>
  <si>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</si>
  <si>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</si>
  <si>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</si>
  <si>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</si>
  <si>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</si>
  <si>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</si>
  <si>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</si>
  <si>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</si>
  <si>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</si>
  <si>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</si>
  <si>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</si>
  <si>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</si>
  <si>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</si>
  <si>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</si>
  <si>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</si>
  <si>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</si>
  <si>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</si>
  <si>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</si>
  <si>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</si>
  <si>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</si>
  <si>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</si>
  <si>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</si>
  <si>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</si>
  <si>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</si>
  <si>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</si>
  <si>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</si>
  <si>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</si>
  <si>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</si>
  <si>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</si>
  <si>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</si>
  <si>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</si>
  <si>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</si>
  <si>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</si>
  <si>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</si>
  <si>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</si>
  <si>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</si>
  <si>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</si>
  <si>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</si>
  <si>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</si>
  <si>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</si>
  <si>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</si>
  <si>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</si>
  <si>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</si>
  <si>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</si>
  <si>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</si>
  <si>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</si>
  <si>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</si>
  <si>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</si>
  <si>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</si>
  <si>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</si>
  <si>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</si>
  <si>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</si>
  <si>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</si>
  <si>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</si>
  <si>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</si>
  <si>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</si>
  <si>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</si>
  <si>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</si>
  <si>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</si>
  <si>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</si>
  <si>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</si>
  <si>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</si>
  <si>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</si>
  <si>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</si>
  <si>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</si>
  <si>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</si>
  <si>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</si>
  <si>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</si>
  <si>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</si>
  <si>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</si>
  <si>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</si>
  <si>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</si>
  <si>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</si>
  <si>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</si>
  <si>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</si>
  <si>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</si>
  <si>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</si>
  <si>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</si>
  <si>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</si>
  <si>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</si>
  <si>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</si>
  <si>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</si>
  <si>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</si>
  <si>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</si>
  <si>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</si>
  <si>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</si>
  <si>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</si>
  <si>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</si>
  <si>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</si>
  <si>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</si>
  <si>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</si>
  <si>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</si>
  <si>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</si>
  <si>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</si>
  <si>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</si>
  <si>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</si>
  <si>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</si>
  <si>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</si>
  <si>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</si>
  <si>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</si>
  <si>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</si>
  <si>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</si>
  <si>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</si>
  <si>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</si>
  <si>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</si>
  <si>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</si>
  <si>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</si>
  <si>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</si>
  <si>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</si>
  <si>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</si>
  <si>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</si>
  <si>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</si>
  <si>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</si>
  <si>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</si>
  <si>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</si>
  <si>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</si>
  <si>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</si>
  <si>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</si>
  <si>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</si>
  <si>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</si>
  <si>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</si>
  <si>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</si>
  <si>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</si>
  <si>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</si>
  <si>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</si>
  <si>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</si>
  <si>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</si>
  <si>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</si>
  <si>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</si>
  <si>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</si>
  <si>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</si>
  <si>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</si>
  <si>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</si>
  <si>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</si>
  <si>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</si>
  <si>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</si>
  <si>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</si>
  <si>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</si>
  <si>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</si>
  <si>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</si>
  <si>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</si>
  <si>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</si>
  <si>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</si>
  <si>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</si>
  <si>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</si>
  <si>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</si>
  <si>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</si>
  <si>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</si>
  <si>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</si>
  <si>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</si>
  <si>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</si>
  <si>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</si>
  <si>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</si>
  <si>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</si>
  <si>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</si>
  <si>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</si>
  <si>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</si>
  <si>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</si>
  <si>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</si>
  <si>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</si>
  <si>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</si>
  <si>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</si>
  <si>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</si>
  <si>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</si>
  <si>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</si>
  <si>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</si>
  <si>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</si>
  <si>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</si>
  <si>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</si>
  <si>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</si>
  <si>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</si>
  <si>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</si>
  <si>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</si>
  <si>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</si>
  <si>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</si>
  <si>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</si>
  <si>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</si>
  <si>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</si>
  <si>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</si>
  <si>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</si>
  <si>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</si>
  <si>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</si>
  <si>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</si>
  <si>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</si>
  <si>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</si>
  <si>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</si>
  <si>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</si>
  <si>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</si>
  <si>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</si>
  <si>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</si>
  <si>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</si>
  <si>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</si>
  <si>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</si>
  <si>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</si>
  <si>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</si>
  <si>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</si>
  <si>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</si>
  <si>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</si>
  <si>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</si>
  <si>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</si>
  <si>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</si>
  <si>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</si>
  <si>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</si>
  <si>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</si>
  <si>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</si>
  <si>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</si>
  <si>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</si>
  <si>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</si>
  <si>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</si>
  <si>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</si>
  <si>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</si>
  <si>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</si>
  <si>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</si>
  <si>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</si>
  <si>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</si>
  <si>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</si>
  <si>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</si>
  <si>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</si>
  <si>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</si>
  <si>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</si>
  <si>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</si>
  <si>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</si>
  <si>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</si>
  <si>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</si>
  <si>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</si>
  <si>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</si>
  <si>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</si>
  <si>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</si>
  <si>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</si>
  <si>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</si>
  <si>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</si>
  <si>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</si>
  <si>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</si>
  <si>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</si>
  <si>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</si>
  <si>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</si>
  <si>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</si>
  <si>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</si>
  <si>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</si>
  <si>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</si>
  <si>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</si>
  <si>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</si>
  <si>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</si>
  <si>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</si>
  <si>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</si>
  <si>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</si>
  <si>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</si>
  <si>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</si>
  <si>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</si>
  <si>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</si>
  <si>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</si>
  <si>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</si>
  <si>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</si>
  <si>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</si>
  <si>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</si>
  <si>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</si>
  <si>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</si>
  <si>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</si>
  <si>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</si>
  <si>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</si>
  <si>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</si>
  <si>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</si>
  <si>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</si>
  <si>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</si>
  <si>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</si>
  <si>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</si>
  <si>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</si>
  <si>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</si>
  <si>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</si>
  <si>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</si>
  <si>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</si>
  <si>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</si>
  <si>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</si>
  <si>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</si>
  <si>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</si>
  <si>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</si>
  <si>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</si>
  <si>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</si>
  <si>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</si>
  <si>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</si>
  <si>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</si>
  <si>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</si>
  <si>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</si>
  <si>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</si>
  <si>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</si>
  <si>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</si>
  <si>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</si>
  <si>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</si>
  <si>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</si>
  <si>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</si>
  <si>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</si>
  <si>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</si>
  <si>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</si>
  <si>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</si>
  <si>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</si>
  <si>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</si>
  <si>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</si>
  <si>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</si>
  <si>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</si>
  <si>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</si>
  <si>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</si>
  <si>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</si>
  <si>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</si>
  <si>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</si>
  <si>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</si>
  <si>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</si>
  <si>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</si>
  <si>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</si>
  <si>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</si>
  <si>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</si>
  <si>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</si>
  <si>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</si>
  <si>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</si>
  <si>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</si>
  <si>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</si>
  <si>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</si>
  <si>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</si>
  <si>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</si>
  <si>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</si>
  <si>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</si>
  <si>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</si>
  <si>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</si>
  <si>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</si>
  <si>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</si>
  <si>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</si>
  <si>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</si>
  <si>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</si>
  <si>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</si>
  <si>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</si>
  <si>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</si>
  <si>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</si>
  <si>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</si>
  <si>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</si>
  <si>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</si>
  <si>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</si>
  <si>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</si>
  <si>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</si>
  <si>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</si>
  <si>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</si>
  <si>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</si>
  <si>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</si>
  <si>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</si>
  <si>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</si>
  <si>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</si>
  <si>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</si>
  <si>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</si>
  <si>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</si>
  <si>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</si>
  <si>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</si>
  <si>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</si>
  <si>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</si>
  <si>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</si>
  <si>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</si>
  <si>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</si>
  <si>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</si>
  <si>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</si>
  <si>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</si>
  <si>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</si>
  <si>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</si>
  <si>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</si>
  <si>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</si>
  <si>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</si>
  <si>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</si>
  <si>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</si>
  <si>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</si>
  <si>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</si>
  <si>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</si>
  <si>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</si>
  <si>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</si>
  <si>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</si>
  <si>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</si>
  <si>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</si>
  <si>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</si>
  <si>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</si>
  <si>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</si>
  <si>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</si>
  <si>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</si>
  <si>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</si>
  <si>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</si>
  <si>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</si>
  <si>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</si>
  <si>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</si>
  <si>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</si>
  <si>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</si>
  <si>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</si>
  <si>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</si>
  <si>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</si>
  <si>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</si>
  <si>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</si>
  <si>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</si>
  <si>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</si>
  <si>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</si>
  <si>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</si>
  <si>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</si>
  <si>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</si>
  <si>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</si>
  <si>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</si>
  <si>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</si>
  <si>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</si>
  <si>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</si>
  <si>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</si>
  <si>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</si>
  <si>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</si>
  <si>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</si>
  <si>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</si>
  <si>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</si>
  <si>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</si>
  <si>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</si>
  <si>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</si>
  <si>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</si>
  <si>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</si>
  <si>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</si>
  <si>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</si>
  <si>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</si>
  <si>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</si>
  <si>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</si>
  <si>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</si>
  <si>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</si>
  <si>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</si>
  <si>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</si>
  <si>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</si>
  <si>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</si>
  <si>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</si>
  <si>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</si>
  <si>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</si>
  <si>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</si>
  <si>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</si>
  <si>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</si>
  <si>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</si>
  <si>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</si>
  <si>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</si>
  <si>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</si>
  <si>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</si>
  <si>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</si>
  <si>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</si>
  <si>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</si>
  <si>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</si>
  <si>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</si>
  <si>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</si>
  <si>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</si>
  <si>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</si>
  <si>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</si>
  <si>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</si>
  <si>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</si>
  <si>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</si>
  <si>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</si>
  <si>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</si>
  <si>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</si>
  <si>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</si>
  <si>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</si>
  <si>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</si>
  <si>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</si>
  <si>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giasach</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</si>
  <si>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</si>
  <si>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</si>
  <si>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</si>
  <si>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</si>
  <si>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</si>
  <si>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</si>
  <si>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</si>
  <si>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</si>
  <si>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</si>
  <si>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</si>
  <si>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</si>
  <si>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</si>
  <si>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</si>
  <si>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</si>
  <si>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</si>
  <si>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</si>
  <si>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</si>
  <si>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</si>
  <si>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</si>
  <si>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</si>
  <si>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</si>
  <si>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</si>
  <si>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</si>
  <si>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</si>
  <si>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</si>
  <si>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</si>
  <si>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</si>
  <si>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</si>
  <si>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</si>
  <si>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</si>
  <si>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</si>
  <si>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</si>
  <si>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</si>
  <si>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</si>
  <si>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</si>
  <si>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</si>
  <si>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</si>
  <si>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</si>
  <si>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</si>
  <si>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</si>
  <si>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</si>
  <si>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</si>
  <si>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</si>
  <si>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</si>
  <si>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dotsusu</t>
  </si>
  <si>
    <t>sacay</t>
  </si>
  <si>
    <t>saxay</t>
  </si>
  <si>
    <t>tieuxanh</t>
  </si>
  <si>
    <t>nambaongutrang</t>
  </si>
  <si>
    <t>lagiang</t>
  </si>
  <si>
    <t>baptraitim</t>
  </si>
  <si>
    <t>lachanh</t>
  </si>
  <si>
    <t>bacha</t>
  </si>
  <si>
    <t>keoneo</t>
  </si>
  <si>
    <t>hanhla</t>
  </si>
  <si>
    <t>cachua</t>
  </si>
  <si>
    <t>bapmytrai</t>
  </si>
  <si>
    <t>daubap</t>
  </si>
  <si>
    <t>4 bịch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</si>
</sst>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F20" sqref="F20"/>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4086</v>
      </c>
      <c r="B2" s="1" t="str">
        <f>VLOOKUP(A2,'CODE NOTE'!A:B,2,0)</f>
        <v>I100086</v>
      </c>
      <c r="C2" s="1"/>
      <c r="D2" s="1" t="str">
        <f>VLOOKUP(A2,'CODE NOTE'!A:C,3,0)</f>
        <v>Đọt su su</v>
      </c>
      <c r="E2" s="1" t="str">
        <f>VLOOKUP(A2,'CODE NOTE'!D:E,2,0)</f>
        <v>Kg</v>
      </c>
      <c r="F2" s="90">
        <v>5</v>
      </c>
      <c r="G2" s="90"/>
      <c r="H2" s="13">
        <f>VLOOKUP(A2,'CODE NOTE'!D:F,3,0)</f>
        <v>0</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4087</v>
      </c>
      <c r="B3" s="1" t="str">
        <f>VLOOKUP(A3,'CODE NOTE'!A:B,2,0)</f>
        <v>I100198</v>
      </c>
      <c r="C3" s="1"/>
      <c r="D3" s="1" t="str">
        <f>VLOOKUP(A3,'CODE NOTE'!A:C,3,0)</f>
        <v>Sả cây</v>
      </c>
      <c r="E3" s="1" t="str">
        <f>VLOOKUP(A3,'CODE NOTE'!D:E,2,0)</f>
        <v>Kg</v>
      </c>
      <c r="F3" s="90">
        <v>1</v>
      </c>
      <c r="G3" s="90"/>
      <c r="H3" s="13">
        <f>VLOOKUP(A3,'CODE NOTE'!D:F,3,0)</f>
        <v>0</v>
      </c>
      <c r="I3" s="106"/>
      <c r="J3" s="93" t="s">
        <v>1865</v>
      </c>
      <c r="K3" t="s">
        <v>3796</v>
      </c>
    </row>
    <row r="4" spans="1:11">
      <c r="A4" s="2" t="s">
        <v>4088</v>
      </c>
      <c r="B4" s="1" t="str">
        <f>VLOOKUP(A4,'CODE NOTE'!A:B,2,0)</f>
        <v>I100199</v>
      </c>
      <c r="C4" s="1"/>
      <c r="D4" s="1" t="str">
        <f>VLOOKUP(A4,'CODE NOTE'!A:C,3,0)</f>
        <v>Sả xay</v>
      </c>
      <c r="E4" s="1" t="str">
        <f>VLOOKUP(A4,'CODE NOTE'!D:E,2,0)</f>
        <v>Kg</v>
      </c>
      <c r="F4" s="90">
        <v>0.5</v>
      </c>
      <c r="G4" s="90"/>
      <c r="H4" s="13" t="str">
        <f>VLOOKUP(A4,'CODE NOTE'!D:F,3,0)</f>
        <v>Vũ mua</v>
      </c>
      <c r="I4" s="106"/>
      <c r="J4" s="93" t="s">
        <v>519</v>
      </c>
      <c r="K4" t="s">
        <v>3797</v>
      </c>
    </row>
    <row r="5" spans="1:11">
      <c r="A5" s="2" t="s">
        <v>4040</v>
      </c>
      <c r="B5" s="1" t="str">
        <f>VLOOKUP(A5,'CODE NOTE'!A:B,2,0)</f>
        <v>I100229</v>
      </c>
      <c r="C5" s="1"/>
      <c r="D5" s="1" t="str">
        <f>VLOOKUP(A5,'CODE NOTE'!A:C,3,0)</f>
        <v>Tỏi lột</v>
      </c>
      <c r="E5" s="1" t="str">
        <f>VLOOKUP(A5,'CODE NOTE'!D:E,2,0)</f>
        <v>Kg</v>
      </c>
      <c r="F5" s="90">
        <v>1</v>
      </c>
      <c r="G5" s="90"/>
      <c r="H5" s="13" t="str">
        <f>VLOOKUP(A5,'CODE NOTE'!D:F,3,0)</f>
        <v>bỏ lột</v>
      </c>
      <c r="I5" s="106"/>
      <c r="J5" s="93" t="s">
        <v>1660</v>
      </c>
      <c r="K5" t="s">
        <v>3798</v>
      </c>
    </row>
    <row r="6" spans="1:11">
      <c r="A6" s="2" t="s">
        <v>4089</v>
      </c>
      <c r="B6" s="1" t="str">
        <f>VLOOKUP(A6,'CODE NOTE'!A:B,2,0)</f>
        <v>I100222</v>
      </c>
      <c r="C6" s="1"/>
      <c r="D6" s="1" t="str">
        <f>VLOOKUP(A6,'CODE NOTE'!A:C,3,0)</f>
        <v>Tiêu xanh Tươi</v>
      </c>
      <c r="E6" s="1" t="str">
        <f>VLOOKUP(A6,'CODE NOTE'!D:E,2,0)</f>
        <v>Kg</v>
      </c>
      <c r="F6" s="90">
        <v>0.3</v>
      </c>
      <c r="G6" s="90"/>
      <c r="H6" s="13" t="str">
        <f>VLOOKUP(A6,'CODE NOTE'!D:F,3,0)</f>
        <v>0.2kg, 0.5kg/hộp</v>
      </c>
      <c r="I6" s="106"/>
      <c r="J6" s="93" t="s">
        <v>3799</v>
      </c>
      <c r="K6" t="s">
        <v>3800</v>
      </c>
    </row>
    <row r="7" spans="1:11">
      <c r="A7" s="2" t="s">
        <v>4090</v>
      </c>
      <c r="B7" s="1" t="str">
        <f>VLOOKUP(A7,'CODE NOTE'!A:B,2,0)</f>
        <v>I100234</v>
      </c>
      <c r="C7" s="1"/>
      <c r="D7" s="1" t="str">
        <f>VLOOKUP(A7,'CODE NOTE'!A:C,3,0)</f>
        <v>Nấm bào ngư trắng</v>
      </c>
      <c r="E7" s="1" t="str">
        <f>VLOOKUP(A7,'CODE NOTE'!D:E,2,0)</f>
        <v>Kg</v>
      </c>
      <c r="F7" s="90">
        <v>1</v>
      </c>
      <c r="G7" s="90"/>
      <c r="H7" s="13">
        <f>VLOOKUP(A7,'CODE NOTE'!D:F,3,0)</f>
        <v>0</v>
      </c>
      <c r="I7" s="106"/>
      <c r="J7" s="93" t="s">
        <v>258</v>
      </c>
      <c r="K7" t="s">
        <v>3795</v>
      </c>
    </row>
    <row r="8" spans="1:11">
      <c r="A8" s="2" t="s">
        <v>3686</v>
      </c>
      <c r="B8" s="1" t="str">
        <f>VLOOKUP(A8,'CODE NOTE'!A:B,2,0)</f>
        <v>I100237</v>
      </c>
      <c r="C8" s="1"/>
      <c r="D8" s="1" t="str">
        <f>VLOOKUP(A8,'CODE NOTE'!A:C,3,0)</f>
        <v>Nấm đùi gà</v>
      </c>
      <c r="E8" s="1" t="str">
        <f>VLOOKUP(A8,'CODE NOTE'!D:E,2,0)</f>
        <v>Kg</v>
      </c>
      <c r="F8" s="90">
        <v>1</v>
      </c>
      <c r="G8" s="90"/>
      <c r="H8" s="13" t="str">
        <f>VLOOKUP(A8,'CODE NOTE'!D:F,3,0)</f>
        <v>0.5KG, 1KG/GÓI</v>
      </c>
      <c r="I8" s="106"/>
      <c r="J8" s="93" t="s">
        <v>3814</v>
      </c>
    </row>
    <row r="9" spans="1:11">
      <c r="A9" s="2" t="s">
        <v>2309</v>
      </c>
      <c r="B9" s="1" t="str">
        <f>VLOOKUP(A9,'CODE NOTE'!A:B,2,0)</f>
        <v>I100785</v>
      </c>
      <c r="C9" s="1"/>
      <c r="D9" s="1" t="str">
        <f>VLOOKUP(A9,'CODE NOTE'!A:C,3,0)</f>
        <v>Nấm đông cô gói</v>
      </c>
      <c r="E9" s="1" t="str">
        <f>VLOOKUP(A9,'CODE NOTE'!D:E,2,0)</f>
        <v>Gói</v>
      </c>
      <c r="F9" s="90">
        <v>3</v>
      </c>
      <c r="G9" s="90"/>
      <c r="H9" s="13" t="str">
        <f>VLOOKUP(A9,'CODE NOTE'!D:F,3,0)</f>
        <v>0.175kg/gói</v>
      </c>
      <c r="I9" s="106"/>
      <c r="J9" s="93" t="s">
        <v>350</v>
      </c>
      <c r="K9" t="s">
        <v>3825</v>
      </c>
    </row>
    <row r="10" spans="1:11" ht="15.6" customHeight="1">
      <c r="A10" s="2" t="s">
        <v>4091</v>
      </c>
      <c r="B10" s="1" t="str">
        <f>VLOOKUP(A10,'CODE NOTE'!A:B,2,0)</f>
        <v>I100137</v>
      </c>
      <c r="C10" s="1"/>
      <c r="D10" s="1" t="str">
        <f>VLOOKUP(A10,'CODE NOTE'!A:C,3,0)</f>
        <v>Lá Giang</v>
      </c>
      <c r="E10" s="1" t="str">
        <f>VLOOKUP(A10,'CODE NOTE'!D:E,2,0)</f>
        <v>Bó</v>
      </c>
      <c r="F10" s="90">
        <v>1</v>
      </c>
      <c r="G10" s="90"/>
      <c r="H10" s="13" t="str">
        <f>VLOOKUP(A10,'CODE NOTE'!D:F,3,0)</f>
        <v>1 bó = 0.3kg</v>
      </c>
      <c r="I10" s="106"/>
      <c r="J10" s="93" t="s">
        <v>3824</v>
      </c>
      <c r="K10" t="s">
        <v>3831</v>
      </c>
    </row>
    <row r="11" spans="1:11">
      <c r="A11" s="2" t="s">
        <v>4093</v>
      </c>
      <c r="B11" s="1" t="str">
        <f>VLOOKUP(A11,'CODE NOTE'!A:B,2,0)</f>
        <v>I100133</v>
      </c>
      <c r="C11" s="1"/>
      <c r="D11" s="1" t="str">
        <f>VLOOKUP(A11,'CODE NOTE'!A:C,3,0)</f>
        <v>Lá chanh</v>
      </c>
      <c r="E11" s="1" t="str">
        <f>VLOOKUP(A11,'CODE NOTE'!D:E,2,0)</f>
        <v>Kg</v>
      </c>
      <c r="F11" s="90">
        <v>0.5</v>
      </c>
      <c r="G11" s="90"/>
      <c r="H11" s="13">
        <f>VLOOKUP(A11,'CODE NOTE'!D:F,3,0)</f>
        <v>0</v>
      </c>
      <c r="I11" s="106"/>
      <c r="J11" s="93" t="s">
        <v>274</v>
      </c>
      <c r="K11" t="s">
        <v>3827</v>
      </c>
    </row>
    <row r="12" spans="1:11" ht="14.4" customHeight="1">
      <c r="A12" s="2" t="s">
        <v>4092</v>
      </c>
      <c r="B12" s="1" t="str">
        <f>VLOOKUP(A12,'CODE NOTE'!A:B,2,0)</f>
        <v>I100547</v>
      </c>
      <c r="C12" s="1"/>
      <c r="D12" s="1" t="str">
        <f>VLOOKUP(A12,'CODE NOTE'!A:C,3,0)</f>
        <v>Bắp cải trái tim</v>
      </c>
      <c r="E12" s="1" t="str">
        <f>VLOOKUP(A12,'CODE NOTE'!D:E,2,0)</f>
        <v>Kg</v>
      </c>
      <c r="F12" s="90">
        <v>2</v>
      </c>
      <c r="G12" s="90"/>
      <c r="H12" s="13">
        <f>VLOOKUP(A12,'CODE NOTE'!D:F,3,0)</f>
        <v>0</v>
      </c>
      <c r="I12" s="106"/>
      <c r="J12" s="93" t="s">
        <v>778</v>
      </c>
      <c r="K12" t="s">
        <v>3828</v>
      </c>
    </row>
    <row r="13" spans="1:11">
      <c r="A13" s="2" t="s">
        <v>4094</v>
      </c>
      <c r="B13" s="1" t="str">
        <f>VLOOKUP(A13,'CODE NOTE'!A:B,2,0)</f>
        <v>I100001</v>
      </c>
      <c r="C13" s="1"/>
      <c r="D13" s="1" t="str">
        <f>VLOOKUP(A13,'CODE NOTE'!A:C,3,0)</f>
        <v>Bạc hà</v>
      </c>
      <c r="E13" s="1" t="str">
        <f>VLOOKUP(A13,'CODE NOTE'!D:E,2,0)</f>
        <v>Kg</v>
      </c>
      <c r="F13" s="90">
        <v>0.5</v>
      </c>
      <c r="G13" s="90"/>
      <c r="H13" s="13" t="str">
        <f>VLOOKUP(A13,'CODE NOTE'!D:F,3,0)</f>
        <v>1 bó = 5kg, (dọc mùng/cây bạc hà)</v>
      </c>
      <c r="I13" s="106"/>
      <c r="J13" s="93" t="s">
        <v>813</v>
      </c>
      <c r="K13" t="s">
        <v>3832</v>
      </c>
    </row>
    <row r="14" spans="1:11">
      <c r="A14" s="2" t="s">
        <v>4095</v>
      </c>
      <c r="B14" s="1" t="str">
        <f>VLOOKUP(A14,'CODE NOTE'!A:B,2,0)</f>
        <v>I100115</v>
      </c>
      <c r="C14" s="1"/>
      <c r="D14" s="1" t="str">
        <f>VLOOKUP(A14,'CODE NOTE'!A:C,3,0)</f>
        <v>Kèo nèo</v>
      </c>
      <c r="E14" s="1" t="str">
        <f>VLOOKUP(A14,'CODE NOTE'!D:E,2,0)</f>
        <v>Kg</v>
      </c>
      <c r="F14" s="90">
        <v>0.3</v>
      </c>
      <c r="G14" s="90"/>
      <c r="H14" s="13" t="str">
        <f>VLOOKUP(A14,'CODE NOTE'!D:F,3,0)</f>
        <v>1 bó = 0.3kg</v>
      </c>
      <c r="I14" s="106"/>
      <c r="J14" s="93" t="s">
        <v>2356</v>
      </c>
    </row>
    <row r="15" spans="1:11">
      <c r="A15" s="2" t="s">
        <v>4096</v>
      </c>
      <c r="B15" s="1" t="str">
        <f>VLOOKUP(A15,'CODE NOTE'!A:B,2,0)</f>
        <v>I100098</v>
      </c>
      <c r="C15" s="1"/>
      <c r="D15" s="1" t="str">
        <f>VLOOKUP(A15,'CODE NOTE'!A:C,3,0)</f>
        <v>Hành lá</v>
      </c>
      <c r="E15" s="1" t="str">
        <f>VLOOKUP(A15,'CODE NOTE'!D:E,2,0)</f>
        <v>Kg</v>
      </c>
      <c r="F15" s="90">
        <v>0.5</v>
      </c>
      <c r="G15" s="90"/>
      <c r="H15" s="13" t="str">
        <f>VLOOKUP(A15,'CODE NOTE'!D:F,3,0)</f>
        <v>0.1kg/gói</v>
      </c>
      <c r="I15" s="106"/>
      <c r="J15" s="93" t="s">
        <v>2412</v>
      </c>
      <c r="K15" t="s">
        <v>2844</v>
      </c>
    </row>
    <row r="16" spans="1:11">
      <c r="A16" s="2" t="s">
        <v>4097</v>
      </c>
      <c r="B16" s="1" t="str">
        <f>VLOOKUP(A16,'CODE NOTE'!A:B,2,0)</f>
        <v>I100034</v>
      </c>
      <c r="C16" s="1"/>
      <c r="D16" s="1" t="str">
        <f>VLOOKUP(A16,'CODE NOTE'!A:C,3,0)</f>
        <v>Cà chua</v>
      </c>
      <c r="E16" s="1" t="str">
        <f>VLOOKUP(A16,'CODE NOTE'!D:E,2,0)</f>
        <v>Kg</v>
      </c>
      <c r="F16" s="91">
        <v>1</v>
      </c>
      <c r="G16" s="90"/>
      <c r="H16" s="13" t="str">
        <f>VLOOKUP(A16,'CODE NOTE'!D:F,3,0)</f>
        <v>0.06-0.08kg/trái</v>
      </c>
      <c r="I16" s="106"/>
    </row>
    <row r="17" spans="1:12">
      <c r="A17" s="2" t="s">
        <v>4041</v>
      </c>
      <c r="B17" s="1" t="str">
        <f>VLOOKUP(A17,'CODE NOTE'!A:B,2,0)</f>
        <v>I100938</v>
      </c>
      <c r="C17" s="1"/>
      <c r="D17" s="1" t="str">
        <f>VLOOKUP(A17,'CODE NOTE'!A:C,3,0)</f>
        <v>GIÁ SẠCH</v>
      </c>
      <c r="E17" s="1" t="str">
        <f>VLOOKUP(A17,'CODE NOTE'!D:E,2,0)</f>
        <v>Kg</v>
      </c>
      <c r="F17" s="90">
        <v>0.8</v>
      </c>
      <c r="G17" s="90" t="s">
        <v>4100</v>
      </c>
      <c r="H17" s="13">
        <f>VLOOKUP(A17,'CODE NOTE'!D:F,3,0)</f>
        <v>0</v>
      </c>
      <c r="I17" s="106"/>
    </row>
    <row r="18" spans="1:12">
      <c r="A18" s="2" t="s">
        <v>4098</v>
      </c>
      <c r="B18" s="1" t="str">
        <f>VLOOKUP(A18,'CODE NOTE'!A:B,2,0)</f>
        <v>I100008</v>
      </c>
      <c r="C18" s="1"/>
      <c r="D18" s="1" t="str">
        <f>VLOOKUP(A18,'CODE NOTE'!A:C,3,0)</f>
        <v>Bắp mỹ trái (Loại 1)</v>
      </c>
      <c r="E18" s="1" t="str">
        <f>VLOOKUP(A18,'CODE NOTE'!D:E,2,0)</f>
        <v>Trái</v>
      </c>
      <c r="F18" s="90">
        <v>6</v>
      </c>
      <c r="G18" s="90"/>
      <c r="H18" s="13" t="str">
        <f>VLOOKUP(A18,'CODE NOTE'!D:F,3,0)</f>
        <v>3 trái/kg</v>
      </c>
      <c r="I18" s="106"/>
    </row>
    <row r="19" spans="1:12">
      <c r="A19" s="2" t="s">
        <v>4099</v>
      </c>
      <c r="B19" s="1" t="str">
        <f>VLOOKUP(A19,'CODE NOTE'!A:B,2,0)</f>
        <v>I100075</v>
      </c>
      <c r="C19" s="1"/>
      <c r="D19" s="1" t="str">
        <f>VLOOKUP(A19,'CODE NOTE'!A:C,3,0)</f>
        <v>Đậu bắp</v>
      </c>
      <c r="E19" s="1" t="str">
        <f>VLOOKUP(A19,'CODE NOTE'!D:E,2,0)</f>
        <v>Kg</v>
      </c>
      <c r="F19" s="90">
        <v>1</v>
      </c>
      <c r="G19" s="90"/>
      <c r="H19" s="13">
        <f>VLOOKUP(A19,'CODE NOTE'!D:F,3,0)</f>
        <v>0</v>
      </c>
      <c r="I19" s="106"/>
    </row>
    <row r="20" spans="1:12">
      <c r="B20" s="1"/>
      <c r="C20" s="1"/>
      <c r="D20" s="1"/>
      <c r="E20" s="1"/>
      <c r="F20" s="90"/>
      <c r="G20" s="90"/>
      <c r="H20" s="13" t="e">
        <f>VLOOKUP(A20,'CODE NOTE'!D:F,3,0)</f>
        <v>#N/A</v>
      </c>
      <c r="I20" s="106"/>
      <c r="J20" s="98" t="s">
        <v>3829</v>
      </c>
      <c r="K20" s="99"/>
    </row>
    <row r="21" spans="1:12">
      <c r="B21" s="1"/>
      <c r="C21" s="1"/>
      <c r="D21" s="1"/>
      <c r="E21" s="1"/>
      <c r="F21" s="90"/>
      <c r="G21" s="90"/>
      <c r="H21" s="13" t="e">
        <f>VLOOKUP(A21,'CODE NOTE'!D:F,3,0)</f>
        <v>#N/A</v>
      </c>
      <c r="I21" s="106"/>
    </row>
    <row r="22" spans="1:12">
      <c r="B22" s="1"/>
      <c r="C22" s="1"/>
      <c r="D22" s="1"/>
      <c r="E22" s="1"/>
      <c r="F22" s="90"/>
      <c r="G22" s="90"/>
      <c r="H22" s="13" t="e">
        <f>VLOOKUP(A22,'CODE NOTE'!D:F,3,0)</f>
        <v>#N/A</v>
      </c>
      <c r="I22" s="106"/>
    </row>
    <row r="23" spans="1:12">
      <c r="B23" s="1"/>
      <c r="C23" s="1"/>
      <c r="D23" s="1"/>
      <c r="E23" s="1"/>
      <c r="F23" s="90"/>
      <c r="G23" s="90"/>
      <c r="H23" s="13" t="e">
        <f>VLOOKUP(A23,'CODE NOTE'!D:F,3,0)</f>
        <v>#N/A</v>
      </c>
      <c r="I23" s="106"/>
    </row>
    <row r="24" spans="1:12">
      <c r="B24" s="1"/>
      <c r="C24" s="1"/>
      <c r="D24" s="1"/>
      <c r="E24" s="1"/>
      <c r="F24" s="90"/>
      <c r="H24" s="13" t="e">
        <f>VLOOKUP(A24,'CODE NOTE'!D:F,3,0)</f>
        <v>#N/A</v>
      </c>
      <c r="I24" s="106"/>
    </row>
    <row r="25" spans="1:12">
      <c r="B25" s="1"/>
      <c r="C25" s="1"/>
      <c r="D25" s="1"/>
      <c r="E25" s="1"/>
      <c r="F25" s="90"/>
      <c r="H25" s="13" t="e">
        <f>VLOOKUP(A25,'CODE NOTE'!D:F,3,0)</f>
        <v>#N/A</v>
      </c>
      <c r="I25" s="106"/>
    </row>
    <row r="26" spans="1:12">
      <c r="B26" s="1"/>
      <c r="C26" s="1"/>
      <c r="D26" s="1"/>
      <c r="E26" s="1"/>
      <c r="H26" s="13" t="e">
        <f>VLOOKUP(A26,'CODE NOTE'!D:F,3,0)</f>
        <v>#N/A</v>
      </c>
      <c r="I26" s="106"/>
    </row>
    <row r="27" spans="1:12">
      <c r="B27" s="1"/>
      <c r="C27" s="1"/>
      <c r="D27" s="1"/>
      <c r="E27" s="1"/>
      <c r="H27" s="13" t="e">
        <f>VLOOKUP(A27,'CODE NOTE'!D:F,3,0)</f>
        <v>#N/A</v>
      </c>
      <c r="I27" s="106"/>
    </row>
    <row r="28" spans="1:12" ht="14.4" customHeight="1">
      <c r="B28" s="1"/>
      <c r="C28" s="1"/>
      <c r="D28" s="1"/>
      <c r="E28" s="1"/>
      <c r="H28" s="13" t="e">
        <f>VLOOKUP(A28,'CODE NOTE'!D:F,3,0)</f>
        <v>#N/A</v>
      </c>
      <c r="I28" s="106"/>
    </row>
    <row r="29" spans="1:12">
      <c r="B29" s="1"/>
      <c r="C29" s="1"/>
      <c r="D29" s="1"/>
      <c r="E29" s="1"/>
      <c r="H29" s="13" t="e">
        <f>VLOOKUP(A29,'CODE NOTE'!D:F,3,0)</f>
        <v>#N/A</v>
      </c>
      <c r="I29" s="106"/>
      <c r="J29" s="15" t="s">
        <v>3006</v>
      </c>
      <c r="K29" s="14" t="s">
        <v>3067</v>
      </c>
      <c r="L29" s="14" t="s">
        <v>1511</v>
      </c>
    </row>
    <row r="30" spans="1:12">
      <c r="B30" s="1"/>
      <c r="C30" s="1"/>
      <c r="D30" s="1"/>
      <c r="E30" s="1"/>
      <c r="H30" s="13" t="e">
        <f>VLOOKUP(A30,'CODE NOTE'!D:F,3,0)</f>
        <v>#N/A</v>
      </c>
      <c r="I30" s="106"/>
      <c r="J30" s="15" t="s">
        <v>2990</v>
      </c>
      <c r="K30" s="14" t="s">
        <v>2903</v>
      </c>
      <c r="L30" s="14" t="s">
        <v>568</v>
      </c>
    </row>
    <row r="31" spans="1:12">
      <c r="B31" s="1"/>
      <c r="C31" s="1"/>
      <c r="D31" s="1"/>
      <c r="E31" s="1"/>
      <c r="H31" s="13" t="e">
        <f>VLOOKUP(A31,'CODE NOTE'!D:F,3,0)</f>
        <v>#N/A</v>
      </c>
      <c r="I31" s="106"/>
      <c r="J31" s="15" t="s">
        <v>3008</v>
      </c>
      <c r="K31" s="14" t="s">
        <v>1438</v>
      </c>
      <c r="L31" s="14" t="s">
        <v>1436</v>
      </c>
    </row>
    <row r="32" spans="1: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4042</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4081</v>
      </c>
      <c r="B1009" t="s">
        <v>4082</v>
      </c>
      <c r="C1009" t="s">
        <v>4083</v>
      </c>
      <c r="D1009" t="s">
        <v>4081</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4057</v>
      </c>
      <c r="M3" s="103" t="s">
        <v>3669</v>
      </c>
    </row>
    <row r="4" spans="1:13">
      <c r="A4" s="5">
        <v>2</v>
      </c>
      <c r="B4" s="6" t="s">
        <v>4027</v>
      </c>
      <c r="C4" s="96" t="s">
        <v>3808</v>
      </c>
      <c r="D4" s="96" t="s">
        <v>3809</v>
      </c>
      <c r="H4" s="7" t="s">
        <v>4044</v>
      </c>
      <c r="I4" s="96" t="s">
        <v>3808</v>
      </c>
      <c r="J4" s="96" t="s">
        <v>3809</v>
      </c>
      <c r="K4" s="102"/>
      <c r="L4" s="103" t="s">
        <v>4058</v>
      </c>
      <c r="M4" s="103" t="s">
        <v>4059</v>
      </c>
    </row>
    <row r="5" spans="1:13">
      <c r="A5" s="5">
        <v>3</v>
      </c>
      <c r="B5" s="6" t="s">
        <v>3802</v>
      </c>
      <c r="C5" s="96" t="s">
        <v>3808</v>
      </c>
      <c r="D5" s="96" t="s">
        <v>3809</v>
      </c>
      <c r="H5" s="7" t="s">
        <v>4045</v>
      </c>
      <c r="I5" s="96" t="s">
        <v>3808</v>
      </c>
      <c r="J5" s="96" t="s">
        <v>3809</v>
      </c>
      <c r="K5" s="102"/>
      <c r="L5" s="103" t="s">
        <v>4060</v>
      </c>
      <c r="M5" s="103" t="s">
        <v>4061</v>
      </c>
    </row>
    <row r="6" spans="1:13">
      <c r="A6" s="5">
        <v>4</v>
      </c>
      <c r="B6" s="6" t="s">
        <v>3803</v>
      </c>
      <c r="C6" s="96" t="s">
        <v>3808</v>
      </c>
      <c r="D6" s="96" t="s">
        <v>3809</v>
      </c>
      <c r="H6" s="7" t="s">
        <v>4046</v>
      </c>
      <c r="I6" s="96" t="s">
        <v>3808</v>
      </c>
      <c r="J6" s="96" t="s">
        <v>3809</v>
      </c>
      <c r="K6" s="102"/>
      <c r="L6" s="103" t="s">
        <v>4062</v>
      </c>
      <c r="M6" s="103" t="s">
        <v>4063</v>
      </c>
    </row>
    <row r="7" spans="1:13">
      <c r="A7" s="5">
        <v>5</v>
      </c>
      <c r="B7" s="6" t="s">
        <v>3804</v>
      </c>
      <c r="C7" s="96" t="s">
        <v>3808</v>
      </c>
      <c r="D7" s="96" t="s">
        <v>3809</v>
      </c>
      <c r="H7" s="7" t="s">
        <v>4047</v>
      </c>
      <c r="I7" s="96" t="s">
        <v>3808</v>
      </c>
      <c r="J7" s="96" t="s">
        <v>3809</v>
      </c>
      <c r="K7" s="102"/>
      <c r="L7" s="103" t="s">
        <v>4064</v>
      </c>
      <c r="M7" s="103" t="s">
        <v>4065</v>
      </c>
    </row>
    <row r="8" spans="1:13">
      <c r="A8" s="5">
        <v>6</v>
      </c>
      <c r="B8" s="6" t="s">
        <v>3805</v>
      </c>
      <c r="C8" s="96" t="s">
        <v>3808</v>
      </c>
      <c r="D8" s="96" t="s">
        <v>3809</v>
      </c>
      <c r="H8" s="7" t="s">
        <v>4048</v>
      </c>
      <c r="I8" s="96" t="s">
        <v>3808</v>
      </c>
      <c r="J8" s="96" t="s">
        <v>3809</v>
      </c>
      <c r="K8" s="102"/>
      <c r="L8" s="103" t="s">
        <v>3099</v>
      </c>
      <c r="M8" s="103" t="s">
        <v>3099</v>
      </c>
    </row>
    <row r="9" spans="1:13">
      <c r="A9" s="5">
        <v>7</v>
      </c>
      <c r="B9" s="6" t="s">
        <v>4021</v>
      </c>
      <c r="C9" s="96" t="s">
        <v>3808</v>
      </c>
      <c r="D9" s="96" t="s">
        <v>3809</v>
      </c>
      <c r="H9" s="7" t="s">
        <v>4049</v>
      </c>
      <c r="I9" s="96" t="s">
        <v>3808</v>
      </c>
      <c r="J9" s="96" t="s">
        <v>3809</v>
      </c>
      <c r="K9" s="102"/>
      <c r="L9" s="103" t="s">
        <v>4066</v>
      </c>
      <c r="M9" s="103" t="s">
        <v>4067</v>
      </c>
    </row>
    <row r="10" spans="1:13">
      <c r="A10" s="5">
        <v>8</v>
      </c>
      <c r="B10" s="7" t="s">
        <v>4026</v>
      </c>
      <c r="C10" s="96" t="s">
        <v>3808</v>
      </c>
      <c r="D10" s="96" t="s">
        <v>3809</v>
      </c>
      <c r="H10" s="6" t="s">
        <v>4050</v>
      </c>
      <c r="I10" s="96" t="s">
        <v>3808</v>
      </c>
      <c r="J10" s="96" t="s">
        <v>3809</v>
      </c>
      <c r="K10" s="102"/>
      <c r="L10" s="103" t="s">
        <v>4068</v>
      </c>
      <c r="M10" s="103" t="s">
        <v>4069</v>
      </c>
    </row>
    <row r="11" spans="1:13">
      <c r="A11" s="5">
        <v>9</v>
      </c>
      <c r="B11" s="6" t="s">
        <v>4036</v>
      </c>
      <c r="C11" s="96" t="s">
        <v>3808</v>
      </c>
      <c r="D11" s="96" t="s">
        <v>3809</v>
      </c>
      <c r="H11" s="7" t="s">
        <v>4051</v>
      </c>
      <c r="I11" s="96" t="s">
        <v>3808</v>
      </c>
      <c r="J11" s="96" t="s">
        <v>3809</v>
      </c>
      <c r="K11" s="102"/>
      <c r="L11" s="103" t="s">
        <v>4070</v>
      </c>
      <c r="M11" s="103" t="s">
        <v>4071</v>
      </c>
    </row>
    <row r="12" spans="1:13">
      <c r="A12" s="5">
        <v>10</v>
      </c>
      <c r="B12" s="6" t="s">
        <v>4037</v>
      </c>
      <c r="C12" s="96" t="s">
        <v>3808</v>
      </c>
      <c r="D12" s="96" t="s">
        <v>3809</v>
      </c>
      <c r="H12" s="7" t="s">
        <v>4052</v>
      </c>
      <c r="I12" s="96" t="s">
        <v>3808</v>
      </c>
      <c r="J12" s="96" t="s">
        <v>3809</v>
      </c>
      <c r="K12" s="102"/>
      <c r="L12" s="103" t="s">
        <v>3120</v>
      </c>
      <c r="M12" s="103" t="s">
        <v>4072</v>
      </c>
    </row>
    <row r="13" spans="1:13">
      <c r="A13" s="5">
        <v>11</v>
      </c>
      <c r="B13" s="6" t="s">
        <v>4084</v>
      </c>
      <c r="C13" s="96" t="s">
        <v>3808</v>
      </c>
      <c r="D13" s="96" t="s">
        <v>3809</v>
      </c>
      <c r="H13" s="7"/>
      <c r="I13" s="96"/>
      <c r="J13" s="96"/>
      <c r="K13" s="102"/>
      <c r="L13" s="103"/>
      <c r="M13" s="103"/>
    </row>
    <row r="14" spans="1:13">
      <c r="A14" s="5">
        <v>12</v>
      </c>
      <c r="B14" s="6" t="s">
        <v>4038</v>
      </c>
      <c r="C14" s="96" t="s">
        <v>3808</v>
      </c>
      <c r="D14" s="96" t="s">
        <v>3809</v>
      </c>
      <c r="H14" s="7" t="s">
        <v>4053</v>
      </c>
      <c r="I14" s="96" t="s">
        <v>3808</v>
      </c>
      <c r="J14" s="96" t="s">
        <v>3809</v>
      </c>
      <c r="K14" s="102"/>
      <c r="L14" s="103" t="s">
        <v>4073</v>
      </c>
      <c r="M14" s="103" t="s">
        <v>4074</v>
      </c>
    </row>
    <row r="15" spans="1:13">
      <c r="A15" s="5">
        <v>13</v>
      </c>
      <c r="B15" s="6" t="s">
        <v>3022</v>
      </c>
      <c r="C15" s="96" t="s">
        <v>3808</v>
      </c>
      <c r="D15" s="96" t="s">
        <v>3809</v>
      </c>
      <c r="H15" s="7" t="s">
        <v>4054</v>
      </c>
      <c r="I15" s="96" t="s">
        <v>3808</v>
      </c>
      <c r="J15" s="96" t="s">
        <v>3809</v>
      </c>
      <c r="K15" s="102"/>
      <c r="L15" s="103" t="s">
        <v>4073</v>
      </c>
      <c r="M15" s="103" t="s">
        <v>4075</v>
      </c>
    </row>
    <row r="16" spans="1:13">
      <c r="A16" s="5">
        <v>14</v>
      </c>
      <c r="B16" s="6" t="s">
        <v>4080</v>
      </c>
      <c r="C16" s="96" t="s">
        <v>3808</v>
      </c>
      <c r="D16" s="96" t="s">
        <v>3809</v>
      </c>
      <c r="H16" s="7" t="s">
        <v>4055</v>
      </c>
      <c r="I16" s="96" t="s">
        <v>3808</v>
      </c>
      <c r="J16" s="96" t="s">
        <v>3809</v>
      </c>
      <c r="K16" s="102"/>
      <c r="L16" s="103"/>
      <c r="M16" s="103" t="s">
        <v>4076</v>
      </c>
    </row>
    <row r="17" spans="1:13">
      <c r="A17" s="5">
        <v>15</v>
      </c>
      <c r="B17" s="6" t="s">
        <v>4079</v>
      </c>
      <c r="C17" s="96" t="s">
        <v>3808</v>
      </c>
      <c r="D17" s="96" t="s">
        <v>3809</v>
      </c>
      <c r="H17" s="7" t="s">
        <v>4056</v>
      </c>
      <c r="I17" s="96" t="s">
        <v>3808</v>
      </c>
      <c r="J17" s="96" t="s">
        <v>3809</v>
      </c>
      <c r="K17" s="102"/>
      <c r="L17" s="103" t="s">
        <v>4077</v>
      </c>
      <c r="M17" s="103" t="s">
        <v>4078</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4043</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4085</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2025-04-11T15:46:22Z</dcterms:modified>
</cp:coreProperties>
</file>