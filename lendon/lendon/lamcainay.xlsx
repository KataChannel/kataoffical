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13_ncr:1_{2C7992F7-110C-47E8-927B-F8C51CF1894F}" xr6:coauthVersionLast="47" xr6:coauthVersionMax="47" xr10:uidLastSave="{00000000-0000-0000-0000-000000000000}"/>
  <bookViews>
    <workbookView xWindow="7428" yWindow="0" windowWidth="15708" windowHeight="12336" activeTab="3"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 r="D5" i="1"/>
  <c r="E5" i="1"/>
  <c r="B6" i="1"/>
  <c r="D6" i="1"/>
  <c r="E6" i="1"/>
  <c r="B7" i="1"/>
  <c r="D7" i="1"/>
  <c r="E7" i="1"/>
  <c r="B8" i="1"/>
  <c r="D8" i="1"/>
  <c r="E8" i="1"/>
  <c r="B9" i="1"/>
  <c r="D9" i="1"/>
  <c r="E9" i="1"/>
  <c r="B10" i="1"/>
  <c r="D10" i="1"/>
  <c r="E10" i="1"/>
  <c r="B11" i="1"/>
  <c r="D11" i="1"/>
  <c r="E11" i="1"/>
  <c r="B12" i="1"/>
  <c r="D12" i="1"/>
  <c r="E12" i="1"/>
  <c r="B13" i="1"/>
  <c r="D13" i="1"/>
  <c r="E13" i="1"/>
  <c r="I2" i="1"/>
  <c r="B3" i="1"/>
  <c r="D3" i="1"/>
  <c r="E3" i="1"/>
  <c r="B4" i="1"/>
  <c r="D4" i="1"/>
  <c r="E4"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l="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<sst xmlns="http://schemas.openxmlformats.org/spreadsheetml/2006/main" count="7085" uniqueCount="4088">
  <si>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</si>
  <si>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</si>
  <si>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</si>
  <si>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</si>
  <si>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</si>
  <si>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</si>
  <si>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</si>
  <si>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</si>
  <si>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</si>
  <si>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</si>
  <si>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</si>
  <si>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</si>
  <si>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</si>
  <si>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</si>
  <si>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</si>
  <si>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</si>
  <si>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</si>
  <si>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</si>
  <si>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</si>
  <si>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</si>
  <si>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</si>
  <si>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</si>
  <si>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</si>
  <si>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</si>
  <si>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</si>
  <si>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</si>
  <si>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</si>
  <si>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</si>
  <si>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</si>
  <si>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</si>
  <si>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</si>
  <si>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</si>
  <si>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</si>
  <si>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</si>
  <si>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</si>
  <si>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</si>
  <si>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</si>
  <si>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</si>
  <si>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</si>
  <si>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</si>
  <si>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</si>
  <si>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</si>
  <si>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</si>
  <si>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</si>
  <si>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</si>
  <si>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</si>
  <si>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</si>
  <si>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</si>
  <si>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</si>
  <si>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</si>
  <si>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</si>
  <si>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</si>
  <si>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</si>
  <si>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</si>
  <si>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</si>
  <si>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</si>
  <si>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</si>
  <si>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</si>
  <si>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</si>
  <si>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</si>
  <si>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</si>
  <si>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</si>
  <si>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</si>
  <si>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</si>
  <si>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</si>
  <si>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</si>
  <si>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</si>
  <si>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</si>
  <si>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</si>
  <si>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</si>
  <si>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</si>
  <si>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</si>
  <si>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</si>
  <si>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</si>
  <si>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</si>
  <si>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</si>
  <si>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</si>
  <si>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</si>
  <si>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</si>
  <si>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</si>
  <si>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</si>
  <si>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</si>
  <si>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</si>
  <si>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</si>
  <si>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</si>
  <si>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</si>
  <si>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</si>
  <si>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</si>
  <si>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</si>
  <si>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</si>
  <si>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</si>
  <si>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</si>
  <si>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</si>
  <si>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</si>
  <si>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</si>
  <si>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</si>
  <si>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</si>
  <si>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</si>
  <si>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</si>
  <si>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</si>
  <si>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</si>
  <si>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</si>
  <si>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</si>
  <si>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</si>
  <si>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</si>
  <si>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</si>
  <si>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</si>
  <si>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</si>
  <si>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</si>
  <si>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</si>
  <si>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</si>
  <si>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</si>
  <si>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</si>
  <si>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</si>
  <si>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</si>
  <si>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</si>
  <si>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</si>
  <si>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</si>
  <si>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</si>
  <si>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</si>
  <si>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</si>
  <si>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</si>
  <si>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</si>
  <si>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</si>
  <si>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</si>
  <si>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</si>
  <si>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</si>
  <si>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</si>
  <si>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</si>
  <si>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</si>
  <si>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</si>
  <si>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</si>
  <si>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</si>
  <si>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</si>
  <si>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</si>
  <si>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</si>
  <si>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</si>
  <si>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</si>
  <si>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</si>
  <si>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</si>
  <si>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</si>
  <si>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</si>
  <si>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</si>
  <si>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</si>
  <si>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</si>
  <si>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</si>
  <si>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</si>
  <si>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</si>
  <si>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</si>
  <si>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</si>
  <si>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</si>
  <si>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</si>
  <si>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</si>
  <si>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</si>
  <si>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</si>
  <si>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</si>
  <si>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</si>
  <si>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</si>
  <si>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</si>
  <si>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</si>
  <si>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</si>
  <si>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</si>
  <si>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</si>
  <si>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</si>
  <si>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</si>
  <si>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</si>
  <si>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</si>
  <si>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</si>
  <si>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</si>
  <si>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</si>
  <si>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</si>
  <si>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</si>
  <si>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</si>
  <si>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</si>
  <si>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</si>
  <si>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</si>
  <si>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</si>
  <si>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</si>
  <si>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</si>
  <si>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</si>
  <si>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</si>
  <si>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</si>
  <si>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</si>
  <si>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</si>
  <si>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</si>
  <si>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</si>
  <si>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</si>
  <si>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</si>
  <si>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</si>
  <si>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</si>
  <si>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</si>
  <si>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</si>
  <si>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</si>
  <si>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</si>
  <si>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</si>
  <si>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</si>
  <si>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</si>
  <si>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</si>
  <si>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</si>
  <si>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</si>
  <si>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</si>
  <si>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</si>
  <si>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</si>
  <si>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</si>
  <si>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</si>
  <si>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</si>
  <si>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</si>
  <si>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</si>
  <si>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</si>
  <si>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</si>
  <si>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</si>
  <si>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</si>
  <si>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</si>
  <si>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</si>
  <si>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</si>
  <si>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</si>
  <si>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</si>
  <si>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</si>
  <si>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</si>
  <si>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</si>
  <si>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</si>
  <si>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</si>
  <si>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</si>
  <si>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</si>
  <si>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</si>
  <si>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</si>
  <si>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</si>
  <si>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</si>
  <si>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</si>
  <si>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</si>
  <si>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</si>
  <si>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</si>
  <si>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</si>
  <si>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</si>
  <si>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</si>
  <si>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</si>
  <si>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</si>
  <si>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</si>
  <si>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</si>
  <si>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</si>
  <si>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</si>
  <si>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</si>
  <si>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</si>
  <si>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</si>
  <si>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</si>
  <si>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</si>
  <si>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</si>
  <si>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</si>
  <si>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</si>
  <si>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</si>
  <si>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</si>
  <si>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</si>
  <si>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</si>
  <si>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</si>
  <si>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</si>
  <si>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</si>
  <si>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</si>
  <si>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</si>
  <si>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</si>
  <si>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</si>
  <si>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</si>
  <si>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</si>
  <si>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</si>
  <si>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</si>
  <si>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</si>
  <si>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</si>
  <si>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</si>
  <si>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</si>
  <si>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</si>
  <si>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</si>
  <si>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</si>
  <si>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</si>
  <si>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</si>
  <si>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</si>
  <si>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</si>
  <si>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</si>
  <si>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</si>
  <si>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</si>
  <si>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</si>
  <si>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</si>
  <si>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</si>
  <si>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</si>
  <si>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</si>
  <si>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</si>
  <si>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</si>
  <si>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</si>
  <si>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</si>
  <si>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</si>
  <si>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</si>
  <si>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</si>
  <si>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</si>
  <si>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</si>
  <si>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</si>
  <si>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</si>
  <si>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</si>
  <si>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</si>
  <si>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</si>
  <si>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</si>
  <si>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</si>
  <si>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</si>
  <si>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</si>
  <si>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</si>
  <si>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</si>
  <si>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</si>
  <si>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</si>
  <si>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</si>
  <si>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</si>
  <si>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</si>
  <si>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</si>
  <si>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</si>
  <si>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</si>
  <si>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</si>
  <si>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</si>
  <si>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</si>
  <si>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</si>
  <si>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</si>
  <si>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</si>
  <si>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</si>
  <si>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</si>
  <si>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</si>
  <si>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</si>
  <si>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</si>
  <si>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</si>
  <si>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</si>
  <si>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</si>
  <si>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</si>
  <si>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</si>
  <si>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</si>
  <si>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</si>
  <si>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</si>
  <si>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</si>
  <si>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</si>
  <si>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</si>
  <si>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</si>
  <si>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</si>
  <si>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</si>
  <si>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</si>
  <si>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</si>
  <si>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</si>
  <si>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</si>
  <si>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</si>
  <si>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</si>
  <si>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</si>
  <si>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</si>
  <si>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</si>
  <si>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</si>
  <si>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</si>
  <si>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</si>
  <si>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</si>
  <si>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</si>
  <si>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</si>
  <si>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</si>
  <si>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</si>
  <si>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</si>
  <si>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</si>
  <si>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</si>
  <si>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</si>
  <si>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</si>
  <si>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</si>
  <si>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</si>
  <si>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</si>
  <si>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</si>
  <si>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</si>
  <si>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</si>
  <si>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</si>
  <si>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</si>
  <si>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</si>
  <si>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</si>
  <si>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</si>
  <si>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</si>
  <si>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</si>
  <si>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</si>
  <si>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</si>
  <si>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</si>
  <si>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</si>
  <si>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</si>
  <si>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</si>
  <si>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</si>
  <si>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</si>
  <si>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</si>
  <si>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</si>
  <si>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</si>
  <si>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</si>
  <si>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</si>
  <si>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</si>
  <si>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</si>
  <si>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</si>
  <si>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</si>
  <si>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</si>
  <si>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</si>
  <si>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</si>
  <si>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</si>
  <si>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</si>
  <si>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</si>
  <si>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</si>
  <si>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</si>
  <si>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</si>
  <si>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</si>
  <si>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</si>
  <si>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</si>
  <si>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</si>
  <si>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</si>
  <si>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</si>
  <si>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</si>
  <si>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</si>
  <si>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</si>
  <si>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</si>
  <si>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</si>
  <si>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</si>
  <si>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</si>
  <si>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</si>
  <si>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</si>
  <si>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</si>
  <si>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</si>
  <si>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</si>
  <si>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</si>
  <si>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</si>
  <si>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</si>
  <si>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</si>
  <si>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</si>
  <si>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</si>
  <si>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</si>
  <si>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</si>
  <si>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</si>
  <si>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</si>
  <si>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</si>
  <si>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</si>
  <si>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</si>
  <si>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</si>
  <si>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</si>
  <si>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</si>
  <si>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</si>
  <si>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</si>
  <si>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</si>
  <si>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</si>
  <si>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</si>
  <si>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</si>
  <si>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</si>
  <si>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</si>
  <si>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</si>
  <si>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</si>
  <si>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</si>
  <si>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</si>
  <si>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</si>
  <si>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</si>
  <si>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</si>
  <si>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</si>
  <si>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</si>
  <si>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</si>
  <si>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</si>
  <si>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</si>
  <si>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</si>
  <si>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</si>
  <si>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</si>
  <si>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</si>
  <si>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</si>
  <si>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</si>
  <si>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</si>
  <si>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</si>
  <si>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</si>
  <si>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</si>
  <si>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</si>
  <si>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</si>
  <si>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</si>
  <si>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</si>
  <si>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</si>
  <si>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</si>
  <si>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</si>
  <si>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</si>
  <si>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</si>
  <si>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</si>
  <si>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</si>
  <si>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</si>
  <si>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</si>
  <si>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</si>
  <si>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</si>
  <si>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</si>
  <si>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</si>
  <si>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</si>
  <si>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</si>
  <si>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</si>
  <si>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</si>
  <si>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</si>
  <si>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</si>
  <si>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</si>
  <si>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</si>
  <si>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</si>
  <si>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</si>
  <si>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</si>
  <si>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</si>
  <si>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</si>
  <si>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</si>
  <si>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</si>
  <si>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</si>
  <si>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</si>
  <si>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</si>
  <si>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</si>
  <si>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</si>
  <si>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</si>
  <si>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</si>
  <si>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</si>
  <si>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</si>
  <si>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</si>
  <si>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</si>
  <si>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</si>
  <si>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</si>
  <si>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</si>
  <si>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</si>
  <si>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</si>
  <si>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</si>
  <si>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</si>
  <si>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</si>
  <si>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</si>
  <si>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</si>
  <si>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</si>
  <si>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</si>
  <si>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</si>
  <si>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</si>
  <si>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</si>
  <si>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</si>
  <si>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</si>
  <si>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</si>
  <si>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</si>
  <si>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</si>
  <si>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</si>
  <si>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</si>
  <si>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</si>
  <si>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</si>
  <si>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</si>
  <si>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</si>
  <si>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</si>
  <si>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</si>
  <si>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</si>
  <si>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</si>
  <si>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</si>
  <si>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</si>
  <si>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</si>
  <si>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</si>
  <si>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</si>
  <si>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</si>
  <si>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</si>
  <si>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</si>
  <si>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</si>
  <si>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</si>
  <si>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</si>
  <si>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</si>
  <si>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</si>
  <si>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</si>
  <si>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</si>
  <si>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</si>
  <si>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</si>
  <si>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</si>
  <si>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</si>
  <si>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</si>
  <si>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</si>
  <si>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</si>
  <si>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</si>
  <si>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</si>
  <si>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</si>
  <si>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</si>
  <si>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</si>
  <si>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</si>
  <si>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</si>
  <si>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</si>
  <si>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</si>
  <si>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</si>
  <si>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</si>
  <si>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</si>
  <si>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</si>
  <si>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</si>
  <si>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</si>
  <si>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</si>
  <si>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</si>
  <si>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</si>
  <si>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</si>
  <si>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</si>
  <si>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</si>
  <si>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</si>
  <si>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</si>
  <si>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</si>
  <si>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</si>
  <si>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</si>
  <si>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</si>
  <si>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</si>
  <si>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</si>
  <si>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</si>
  <si>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</si>
  <si>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</si>
  <si>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</si>
  <si>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</si>
  <si>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</si>
  <si>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</si>
  <si>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</si>
  <si>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</si>
  <si>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</si>
  <si>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</si>
  <si>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</si>
  <si>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</si>
  <si>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</si>
  <si>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</si>
  <si>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</si>
  <si>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</si>
  <si>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</si>
  <si>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</si>
  <si>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</si>
  <si>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</si>
  <si>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</si>
  <si>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</si>
  <si>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</si>
  <si>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</si>
  <si>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</si>
  <si>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</si>
  <si>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</si>
  <si>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</si>
  <si>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</si>
  <si>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</si>
  <si>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</si>
  <si>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</si>
  <si>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</si>
  <si>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</si>
  <si>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</si>
  <si>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</si>
  <si>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</si>
  <si>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</si>
  <si>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</si>
  <si>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</si>
  <si>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</si>
  <si>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</si>
  <si>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</si>
  <si>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</si>
  <si>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</si>
  <si>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</si>
  <si>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</si>
  <si>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</si>
  <si>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</si>
  <si>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</si>
  <si>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</si>
  <si>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</si>
  <si>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</si>
  <si>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</si>
  <si>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</si>
  <si>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</si>
  <si>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</si>
  <si>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</si>
  <si>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</si>
  <si>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</si>
  <si>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</si>
  <si>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</si>
  <si>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</si>
  <si>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</si>
  <si>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</si>
  <si>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</si>
  <si>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</si>
  <si>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</si>
  <si>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</si>
  <si>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</si>
  <si>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</si>
  <si>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</si>
  <si>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</si>
  <si>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</si>
  <si>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</si>
  <si>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</si>
  <si>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</si>
  <si>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</si>
  <si>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</si>
  <si>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</si>
  <si>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</si>
  <si>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</si>
  <si>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</si>
  <si>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</si>
  <si>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</si>
  <si>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</si>
  <si>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</si>
  <si>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</si>
  <si>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</si>
  <si>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</si>
  <si>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</si>
  <si>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</si>
  <si>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</si>
  <si>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</si>
  <si>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</si>
  <si>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</si>
  <si>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</si>
  <si>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</si>
  <si>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</si>
  <si>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</si>
  <si>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</si>
  <si>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</si>
  <si>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</si>
  <si>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</si>
  <si>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</si>
  <si>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</si>
  <si>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</si>
  <si>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</si>
  <si>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</si>
  <si>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</si>
  <si>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</si>
  <si>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</si>
  <si>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</si>
  <si>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</si>
  <si>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</si>
  <si>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</si>
  <si>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</si>
  <si>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</si>
  <si>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</si>
  <si>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</si>
  <si>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</si>
  <si>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</si>
  <si>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</si>
  <si>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</si>
  <si>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</si>
  <si>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</si>
  <si>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</si>
  <si>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</si>
  <si>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</si>
  <si>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</si>
  <si>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</si>
  <si>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</si>
  <si>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</si>
  <si>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</si>
  <si>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</si>
  <si>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</si>
  <si>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</si>
  <si>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</si>
  <si>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</si>
  <si>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</si>
  <si>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</si>
  <si>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</si>
  <si>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</si>
  <si>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</si>
  <si>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</si>
  <si>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</si>
  <si>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</si>
  <si>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</si>
  <si>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</si>
  <si>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</si>
  <si>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</si>
  <si>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</si>
  <si>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</si>
  <si>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</si>
  <si>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</si>
  <si>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</si>
  <si>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</si>
  <si>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</si>
  <si>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</si>
  <si>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</si>
  <si>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</si>
  <si>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</si>
  <si>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</si>
  <si>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</si>
  <si>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</si>
  <si>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</si>
  <si>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</si>
  <si>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</si>
  <si>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</si>
  <si>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</si>
  <si>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</si>
  <si>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</si>
  <si>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</si>
  <si>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</si>
  <si>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</si>
  <si>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</si>
  <si>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</si>
  <si>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</si>
  <si>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</si>
  <si>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</si>
  <si>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</si>
  <si>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</si>
  <si>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</si>
  <si>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</si>
  <si>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</si>
  <si>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</si>
  <si>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</si>
  <si>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</si>
  <si>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</si>
  <si>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</si>
  <si>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</si>
  <si>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</si>
  <si>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</si>
  <si>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</si>
  <si>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</si>
  <si>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</si>
  <si>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</si>
  <si>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</si>
  <si>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</si>
  <si>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</si>
  <si>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</si>
  <si>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</si>
  <si>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</si>
  <si>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</si>
  <si>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</si>
  <si>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</si>
  <si>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</si>
  <si>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</si>
  <si>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</si>
  <si>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</si>
  <si>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</si>
  <si>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</si>
  <si>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</si>
  <si>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</si>
  <si>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</si>
  <si>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</si>
  <si>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</si>
  <si>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</si>
  <si>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</si>
  <si>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</si>
  <si>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</si>
  <si>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</si>
  <si>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</si>
  <si>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</si>
  <si>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</si>
  <si>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</si>
  <si>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</si>
  <si>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</si>
  <si>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</si>
  <si>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</si>
  <si>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</si>
  <si>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</si>
  <si>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</si>
  <si>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</si>
  <si>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</si>
  <si>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</si>
  <si>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</si>
  <si>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</si>
  <si>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</si>
  <si>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</si>
  <si>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</si>
  <si>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</si>
  <si>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</si>
  <si>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</si>
  <si>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</si>
  <si>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</si>
  <si>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</si>
  <si>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</si>
  <si>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</si>
  <si>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</si>
  <si>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</si>
  <si>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</si>
  <si>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</si>
  <si>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</si>
  <si>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</si>
  <si>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</si>
  <si>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</si>
  <si>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</si>
  <si>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</si>
  <si>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</si>
  <si>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</si>
  <si>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</si>
  <si>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</si>
  <si>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</si>
  <si>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</si>
  <si>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</si>
  <si>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</si>
  <si>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</si>
  <si>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</si>
  <si>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</si>
  <si>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</si>
  <si>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</si>
  <si>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</si>
  <si>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</si>
  <si>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</si>
  <si>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</si>
  <si>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</si>
  <si>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</si>
  <si>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</si>
  <si>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</si>
  <si>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</si>
  <si>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</si>
  <si>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</si>
  <si>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</si>
  <si>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</si>
  <si>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</si>
  <si>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</si>
  <si>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</si>
  <si>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</si>
  <si>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</si>
  <si>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</si>
  <si>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</si>
  <si>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</si>
  <si>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</si>
  <si>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</si>
  <si>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</si>
  <si>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</si>
  <si>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</si>
  <si>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</si>
  <si>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</si>
  <si>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</si>
  <si>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</si>
  <si>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</si>
  <si>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</si>
  <si>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</si>
  <si>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</si>
  <si>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</si>
  <si>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</si>
  <si>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</si>
  <si>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</si>
  <si>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</si>
  <si>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</si>
  <si>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</si>
  <si>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</si>
  <si>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</si>
  <si>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</si>
  <si>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</si>
  <si>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</si>
  <si>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</si>
  <si>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</si>
  <si>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</si>
  <si>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</si>
  <si>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</si>
  <si>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</si>
  <si>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</si>
  <si>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</si>
  <si>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</si>
  <si>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</si>
  <si>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</si>
  <si>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</si>
  <si>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</si>
  <si>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</si>
  <si>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</si>
  <si>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</si>
  <si>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</si>
  <si>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</si>
  <si>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</si>
  <si>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</si>
  <si>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</si>
  <si>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</si>
  <si>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</si>
  <si>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</si>
  <si>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</si>
  <si>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</si>
  <si>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</si>
  <si>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</si>
  <si>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</si>
  <si>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</si>
  <si>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</si>
  <si>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</si>
  <si>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</si>
  <si>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</si>
  <si>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</si>
  <si>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</si>
  <si>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</si>
  <si>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</si>
  <si>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</si>
  <si>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</si>
  <si>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</si>
  <si>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</si>
  <si>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</si>
  <si>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</si>
  <si>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</si>
  <si>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</si>
  <si>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</si>
  <si>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</si>
  <si>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</si>
  <si>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</si>
  <si>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</si>
  <si>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</si>
  <si>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</si>
  <si>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</si>
  <si>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</si>
  <si>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</si>
  <si>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</si>
  <si>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</si>
  <si>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</si>
  <si>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</si>
  <si>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</si>
  <si>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</si>
  <si>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</si>
  <si>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</si>
  <si>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</si>
  <si>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</si>
  <si>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</si>
  <si>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</si>
  <si>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</si>
  <si>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</si>
  <si>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</si>
  <si>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</si>
  <si>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</si>
  <si>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</si>
  <si>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</si>
  <si>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</si>
  <si>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</si>
  <si>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</si>
  <si>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</si>
  <si>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</si>
  <si>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</si>
  <si>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</si>
  <si>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</si>
  <si>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</si>
  <si>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</si>
  <si>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</si>
  <si>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</si>
  <si>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</si>
  <si>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</si>
  <si>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</si>
  <si>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</si>
  <si>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</si>
  <si>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</si>
  <si>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</si>
  <si>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</si>
  <si>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</si>
  <si>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</si>
  <si>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</si>
  <si>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</si>
  <si>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</si>
  <si>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</si>
  <si>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</si>
  <si>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</si>
  <si>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</si>
  <si>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</si>
  <si>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</si>
  <si>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</si>
  <si>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</si>
  <si>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</si>
  <si>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</si>
  <si>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</si>
  <si>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</si>
  <si>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</si>
  <si>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</si>
  <si>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</si>
  <si>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</si>
  <si>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</si>
  <si>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</si>
  <si>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</si>
  <si>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</si>
  <si>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</si>
  <si>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</si>
  <si>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</si>
  <si>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</si>
  <si>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</si>
  <si>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</si>
  <si>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</si>
  <si>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</si>
  <si>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</si>
  <si>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</si>
  <si>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</si>
  <si>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</si>
  <si>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</si>
  <si>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</si>
  <si>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</si>
  <si>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</si>
  <si>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</si>
  <si>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</si>
  <si>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</si>
  <si>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</si>
  <si>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</si>
  <si>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</si>
  <si>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</si>
  <si>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</si>
  <si>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</si>
  <si>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</si>
  <si>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</si>
  <si>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</si>
  <si>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</si>
  <si>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</si>
  <si>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</si>
  <si>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</si>
  <si>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</si>
  <si>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</si>
  <si>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</si>
  <si>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</si>
  <si>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</si>
  <si>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</si>
  <si>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</si>
  <si>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</si>
  <si>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</si>
  <si>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</si>
  <si>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</si>
  <si>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</si>
  <si>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</si>
  <si>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</si>
  <si>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</si>
  <si>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</si>
  <si>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</si>
  <si>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</si>
  <si>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</si>
  <si>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</si>
  <si>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</si>
  <si>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</si>
  <si>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</si>
  <si>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</si>
  <si>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</si>
  <si>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</si>
  <si>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</si>
  <si>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</si>
  <si>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</si>
  <si>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</si>
  <si>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</si>
  <si>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</si>
  <si>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</si>
  <si>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</si>
  <si>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</si>
  <si>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</si>
  <si>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</si>
  <si>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</si>
  <si>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</si>
  <si>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</si>
  <si>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</si>
  <si>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</si>
  <si>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</si>
  <si>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</si>
  <si>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</si>
  <si>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</si>
  <si>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</si>
  <si>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</si>
  <si>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</si>
  <si>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</si>
  <si>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</si>
  <si>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</si>
  <si>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</si>
  <si>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</si>
  <si>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</si>
  <si>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</si>
  <si>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</si>
  <si>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</si>
  <si>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</si>
  <si>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</si>
  <si>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</si>
  <si>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</si>
  <si>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</si>
  <si>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</si>
  <si>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</si>
  <si>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</si>
  <si>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</si>
  <si>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</si>
  <si>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</si>
  <si>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</si>
  <si>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</si>
  <si>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</si>
  <si>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</si>
  <si>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</si>
  <si>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</si>
  <si>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</si>
  <si>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</si>
  <si>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</si>
  <si>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</si>
  <si>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</si>
  <si>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</si>
  <si>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</si>
  <si>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</si>
  <si>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</si>
  <si>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</si>
  <si>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</si>
  <si>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</si>
  <si>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</si>
  <si>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</si>
  <si>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</si>
  <si>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</si>
  <si>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</si>
  <si>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</si>
  <si>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</si>
  <si>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</si>
  <si>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</si>
  <si>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</si>
  <si>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</si>
  <si>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</si>
  <si>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</si>
  <si>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</si>
  <si>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</si>
  <si>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</si>
  <si>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</si>
  <si>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</si>
  <si>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</si>
  <si>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</si>
  <si>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</si>
  <si>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</si>
  <si>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</si>
  <si>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</si>
  <si>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</si>
  <si>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</si>
  <si>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</si>
  <si>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</si>
  <si>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</si>
  <si>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</si>
  <si>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</si>
  <si>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</si>
  <si>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</si>
  <si>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</si>
  <si>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</si>
  <si>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</si>
  <si>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</si>
  <si>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</si>
  <si>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</si>
  <si>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</si>
  <si>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</si>
  <si>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</si>
  <si>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</si>
  <si>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</si>
  <si>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</si>
  <si>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</si>
  <si>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</si>
  <si>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</si>
  <si>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</si>
  <si>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</si>
  <si>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</si>
  <si>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</si>
  <si>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</si>
  <si>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</si>
  <si>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</si>
  <si>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</si>
  <si>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</si>
  <si>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</si>
  <si>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</si>
  <si>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</si>
  <si>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</si>
  <si>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</si>
  <si>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</si>
  <si>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</si>
  <si>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</si>
  <si>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</si>
  <si>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</si>
  <si>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</si>
  <si>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</si>
  <si>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</si>
  <si>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</si>
  <si>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</si>
  <si>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</si>
  <si>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</si>
  <si>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</si>
  <si>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</si>
  <si>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</si>
  <si>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</si>
  <si>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</si>
  <si>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</si>
  <si>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</si>
  <si>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</si>
  <si>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</si>
  <si>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</si>
  <si>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</si>
  <si>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</si>
  <si>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</si>
  <si>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</si>
  <si>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</si>
  <si>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</si>
  <si>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</si>
  <si>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</si>
  <si>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</si>
  <si>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</si>
  <si>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</si>
  <si>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</si>
  <si>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</si>
  <si>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</si>
  <si>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</si>
  <si>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</si>
  <si>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</si>
  <si>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</si>
  <si>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</si>
  <si>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</si>
  <si>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</si>
  <si>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</si>
  <si>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</si>
  <si>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</si>
  <si>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</si>
  <si>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</si>
  <si>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</si>
  <si>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</si>
  <si>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</si>
  <si>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</si>
  <si>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</si>
  <si>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</si>
  <si>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</si>
  <si>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</si>
  <si>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</si>
  <si>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</si>
  <si>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</si>
  <si>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</si>
  <si>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</si>
  <si>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</si>
  <si>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</si>
  <si>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</si>
  <si>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</si>
  <si>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</si>
  <si>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</si>
  <si>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</si>
  <si>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</si>
  <si>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</si>
  <si>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</si>
  <si>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</si>
  <si>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</si>
  <si>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</si>
  <si>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</si>
  <si>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</si>
  <si>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</si>
  <si>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</si>
  <si>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</si>
  <si>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</si>
  <si>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</si>
  <si>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</si>
  <si>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</si>
  <si>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</si>
  <si>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</si>
  <si>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</si>
  <si>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</si>
  <si>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</si>
  <si>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</si>
  <si>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</si>
  <si>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</si>
  <si>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</si>
  <si>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</si>
  <si>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</si>
  <si>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</si>
  <si>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</si>
  <si>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</si>
  <si>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</si>
  <si>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</si>
  <si>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</si>
  <si>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</si>
  <si>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</si>
  <si>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</si>
  <si>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</si>
  <si>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</si>
  <si>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</si>
  <si>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</si>
  <si>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</si>
  <si>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</si>
  <si>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</si>
  <si>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</si>
  <si>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</si>
  <si>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</si>
  <si>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</si>
  <si>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</si>
  <si>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</si>
  <si>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</si>
  <si>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</si>
  <si>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</si>
  <si>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</si>
  <si>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</si>
  <si>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</si>
  <si>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</si>
  <si>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</si>
  <si>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</si>
  <si>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</si>
  <si>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</si>
  <si>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</si>
  <si>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</si>
  <si>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</si>
  <si>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</si>
  <si>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</si>
  <si>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</si>
  <si>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</si>
  <si>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</si>
  <si>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</si>
  <si>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</si>
  <si>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</si>
  <si>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</si>
  <si>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</si>
  <si>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</si>
  <si>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</si>
  <si>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</si>
  <si>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</si>
  <si>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</si>
  <si>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</si>
  <si>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</si>
  <si>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</si>
  <si>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</si>
  <si>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</si>
  <si>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</si>
  <si>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</si>
  <si>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</si>
  <si>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</si>
  <si>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</si>
  <si>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</si>
  <si>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</si>
  <si>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</si>
  <si>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</si>
  <si>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</si>
  <si>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</si>
  <si>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</si>
  <si>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</si>
  <si>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</si>
  <si>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</si>
  <si>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</si>
  <si>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</si>
  <si>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</si>
  <si>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</si>
  <si>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</si>
  <si>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</si>
  <si>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</si>
  <si>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</si>
  <si>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</si>
  <si>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</si>
  <si>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</si>
  <si>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</si>
  <si>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</si>
  <si>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</si>
  <si>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</si>
  <si>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</si>
  <si>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</si>
  <si>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</si>
  <si>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</si>
  <si>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</si>
  <si>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</si>
  <si>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</si>
  <si>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</si>
  <si>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</si>
  <si>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</si>
  <si>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</si>
  <si>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</si>
  <si>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</si>
  <si>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</si>
  <si>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</si>
  <si>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</si>
  <si>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</si>
  <si>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</si>
  <si>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</si>
  <si>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</si>
  <si>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</si>
  <si>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</si>
  <si>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</si>
  <si>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</si>
  <si>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</si>
  <si>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</si>
  <si>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</si>
  <si>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</si>
  <si>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</si>
  <si>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</si>
  <si>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</si>
  <si>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</si>
  <si>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</si>
  <si>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</si>
  <si>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</si>
  <si>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</si>
  <si>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</si>
  <si>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</si>
  <si>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</si>
  <si>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</si>
  <si>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</si>
  <si>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</si>
  <si>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</si>
  <si>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</si>
  <si>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</si>
  <si>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</si>
  <si>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</si>
  <si>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</si>
  <si>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</si>
  <si>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</si>
  <si>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</si>
  <si>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</si>
  <si>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</si>
  <si>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</si>
  <si>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</si>
  <si>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</si>
  <si>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</si>
  <si>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</si>
  <si>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</si>
  <si>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</si>
  <si>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</si>
  <si>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</si>
  <si>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</si>
  <si>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</si>
  <si>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</si>
  <si>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</si>
  <si>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</si>
  <si>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</si>
  <si>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</si>
  <si>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</si>
  <si>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</si>
  <si>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</si>
  <si>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</si>
  <si>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</si>
  <si>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</si>
  <si>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</si>
  <si>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</si>
  <si>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</si>
  <si>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</si>
  <si>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</si>
  <si>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</si>
  <si>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</si>
  <si>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</si>
  <si>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</si>
  <si>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</si>
  <si>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</si>
  <si>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</si>
  <si>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</si>
  <si>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</si>
  <si>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</si>
  <si>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</si>
  <si>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</si>
  <si>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</si>
  <si>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</si>
  <si>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</si>
  <si>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</si>
  <si>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</si>
  <si>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</si>
  <si>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</si>
  <si>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</si>
  <si>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</si>
  <si>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</si>
  <si>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</si>
  <si>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</si>
  <si>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</si>
  <si>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</si>
  <si>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</si>
  <si>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</si>
  <si>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</si>
  <si>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</si>
  <si>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</si>
  <si>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</si>
  <si>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</si>
  <si>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</si>
  <si>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</si>
  <si>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</si>
  <si>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</si>
  <si>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</si>
  <si>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</si>
  <si>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</si>
  <si>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</si>
  <si>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</si>
  <si>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</si>
  <si>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</si>
  <si>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</si>
  <si>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</si>
  <si>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</si>
  <si>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</si>
  <si>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</si>
  <si>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</si>
  <si>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</si>
  <si>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</si>
  <si>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</si>
  <si>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</si>
  <si>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</si>
  <si>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</si>
  <si>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</si>
  <si>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</si>
  <si>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</si>
  <si>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</si>
  <si>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</si>
  <si>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</si>
  <si>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</si>
  <si>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</si>
  <si>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</si>
  <si>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</si>
  <si>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</si>
  <si>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</si>
  <si>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</si>
  <si>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</si>
  <si>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</si>
  <si>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</si>
  <si>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</si>
  <si>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</si>
  <si>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</si>
  <si>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</si>
  <si>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</si>
  <si>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</si>
  <si>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</si>
  <si>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</si>
  <si>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</si>
  <si>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</si>
  <si>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</si>
  <si>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</si>
  <si>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</si>
  <si>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</si>
  <si>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</si>
  <si>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</si>
  <si>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</si>
  <si>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</si>
  <si>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</si>
  <si>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</si>
  <si>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</si>
  <si>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</si>
  <si>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</si>
  <si>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</si>
  <si>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</si>
  <si>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</si>
  <si>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</si>
  <si>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</si>
  <si>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</si>
  <si>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</si>
  <si>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</si>
  <si>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</si>
  <si>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</si>
  <si>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</si>
  <si>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</si>
  <si>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</si>
  <si>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</si>
  <si>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</si>
  <si>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</si>
  <si>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</si>
  <si>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</si>
  <si>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</si>
  <si>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</si>
  <si>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</si>
  <si>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</si>
  <si>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</si>
  <si>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</si>
  <si>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</si>
  <si>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</si>
  <si>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</si>
  <si>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</si>
  <si>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</si>
  <si>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</si>
  <si>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</si>
  <si>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</si>
  <si>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</si>
  <si>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</si>
  <si>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</si>
  <si>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</si>
  <si>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</si>
  <si>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</si>
  <si>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</si>
  <si>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</si>
  <si>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</si>
  <si>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</si>
  <si>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</si>
  <si>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</si>
  <si>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</si>
  <si>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</si>
  <si>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</si>
  <si>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</si>
  <si>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</si>
  <si>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</si>
  <si>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</si>
  <si>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</si>
  <si>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</si>
  <si>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</si>
  <si>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</si>
  <si>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</si>
  <si>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</si>
  <si>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</si>
  <si>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</si>
  <si>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</si>
  <si>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</si>
  <si>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</si>
  <si>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</si>
  <si>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</si>
  <si>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</si>
  <si>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</si>
  <si>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</si>
  <si>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</si>
  <si>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</si>
  <si>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</si>
  <si>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</si>
  <si>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</si>
  <si>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</si>
  <si>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</si>
  <si>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</si>
  <si>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</si>
  <si>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</si>
  <si>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</si>
  <si>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</si>
  <si>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</si>
  <si>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</si>
  <si>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</si>
  <si>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</si>
  <si>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</si>
  <si>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</si>
  <si>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</si>
  <si>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</si>
  <si>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</si>
  <si>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</si>
  <si>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</si>
  <si>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</si>
  <si>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</si>
  <si>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</si>
  <si>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</si>
  <si>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</si>
  <si>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</si>
  <si>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</si>
  <si>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</si>
  <si>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</si>
  <si>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</si>
  <si>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</si>
  <si>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</si>
  <si>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</si>
  <si>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</si>
  <si>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</si>
  <si>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</si>
  <si>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</si>
  <si>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</si>
  <si>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</si>
  <si>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</si>
  <si>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</si>
  <si>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</si>
  <si>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</si>
  <si>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</si>
  <si>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</si>
  <si>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</si>
  <si>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</si>
  <si>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</si>
  <si>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</si>
  <si>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</si>
  <si>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</si>
  <si>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</si>
  <si>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</si>
  <si>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</si>
  <si>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</si>
  <si>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</si>
  <si>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</si>
  <si>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</si>
  <si>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</si>
  <si>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</si>
  <si>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</si>
  <si>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</si>
  <si>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</si>
  <si>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</si>
  <si>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</si>
  <si>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</si>
  <si>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</si>
  <si>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</si>
  <si>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</si>
  <si>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</si>
  <si>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</si>
  <si>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</si>
  <si>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</si>
  <si>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</si>
  <si>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</si>
  <si>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</si>
  <si>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</si>
  <si>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</si>
  <si>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</si>
  <si>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</si>
  <si>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</si>
  <si>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</si>
  <si>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</si>
  <si>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</si>
  <si>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</si>
  <si>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</si>
  <si>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</si>
  <si>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</si>
  <si>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</si>
  <si>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</si>
  <si>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</si>
  <si>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</si>
  <si>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</si>
  <si>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</si>
  <si>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</si>
  <si>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</si>
  <si>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</si>
  <si>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</si>
  <si>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</si>
  <si>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</si>
  <si>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</si>
  <si>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</si>
  <si>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</si>
  <si>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</si>
  <si>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</si>
  <si>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</si>
  <si>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</si>
  <si>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</si>
  <si>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</si>
  <si>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</si>
  <si>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</si>
  <si>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</si>
  <si>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</si>
  <si>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</si>
  <si>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</si>
  <si>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</si>
  <si>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</si>
  <si>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</si>
  <si>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</si>
  <si>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</si>
  <si>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</si>
  <si>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</si>
  <si>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</si>
  <si>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</si>
  <si>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</si>
  <si>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</si>
  <si>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</si>
  <si>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</si>
  <si>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</si>
  <si>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</si>
  <si>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</si>
  <si>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</si>
  <si>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</si>
  <si>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</si>
  <si>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</si>
  <si>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</si>
  <si>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</si>
  <si>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</si>
  <si>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</si>
  <si>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</si>
  <si>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</si>
  <si>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</si>
  <si>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</si>
  <si>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</si>
  <si>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</si>
  <si>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</si>
  <si>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</si>
  <si>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</si>
  <si>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</si>
  <si>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</si>
  <si>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</si>
  <si>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</si>
  <si>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</si>
  <si>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</si>
  <si>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</si>
  <si>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</si>
  <si>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</si>
  <si>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</si>
  <si>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</si>
  <si>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</si>
  <si>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</si>
  <si>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</si>
  <si>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</si>
  <si>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</si>
  <si>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</si>
  <si>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</si>
  <si>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</si>
  <si>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</si>
  <si>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</si>
  <si>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</si>
  <si>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</si>
  <si>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</si>
  <si>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</si>
  <si>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</si>
  <si>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</si>
  <si>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</si>
  <si>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</si>
  <si>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</si>
  <si>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</si>
  <si>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</si>
  <si>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</si>
  <si>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</si>
  <si>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</si>
  <si>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</si>
  <si>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</si>
  <si>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</si>
  <si>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</si>
  <si>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</si>
  <si>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</si>
  <si>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</si>
  <si>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</si>
  <si>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</si>
  <si>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</si>
  <si>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</si>
  <si>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</si>
  <si>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</si>
  <si>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</si>
  <si>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</si>
  <si>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</si>
  <si>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</si>
  <si>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</si>
  <si>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</si>
  <si>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</si>
  <si>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</si>
  <si>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</si>
  <si>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</si>
  <si>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</si>
  <si>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</si>
  <si>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</si>
  <si>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</si>
  <si>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</si>
  <si>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</si>
  <si>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</si>
  <si>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</si>
  <si>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</si>
  <si>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</si>
  <si>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</si>
  <si>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</si>
  <si>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</si>
  <si>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</si>
  <si>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</si>
  <si>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</si>
  <si>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</si>
  <si>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</si>
  <si>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</si>
  <si>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</si>
  <si>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</si>
  <si>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</si>
  <si>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</si>
  <si>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</si>
  <si>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</si>
  <si>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</si>
  <si>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</si>
  <si>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</si>
  <si>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</si>
  <si>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</si>
  <si>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</si>
  <si>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</si>
  <si>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</si>
  <si>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</si>
  <si>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</si>
  <si>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</si>
  <si>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</si>
  <si>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</si>
  <si>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</si>
  <si>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</si>
  <si>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</si>
  <si>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</si>
  <si>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</si>
  <si>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</si>
  <si>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</si>
  <si>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</si>
  <si>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</si>
  <si>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</si>
  <si>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</si>
  <si>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</si>
  <si>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</si>
  <si>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</si>
  <si>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</si>
  <si>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</si>
  <si>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</si>
  <si>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</si>
  <si>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</si>
  <si>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</si>
  <si>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</si>
  <si>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</si>
  <si>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</si>
  <si>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</si>
  <si>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</si>
  <si>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</si>
  <si>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</si>
  <si>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</si>
  <si>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</si>
  <si>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</si>
  <si>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</si>
  <si>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</si>
  <si>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</si>
  <si>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</si>
  <si>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</si>
  <si>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</si>
  <si>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</si>
  <si>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</si>
  <si>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</si>
  <si>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</si>
  <si>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</si>
  <si>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</si>
  <si>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</si>
  <si>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</si>
  <si>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</si>
  <si>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</si>
  <si>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</si>
  <si>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</si>
  <si>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</si>
  <si>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</si>
  <si>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</si>
  <si>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</si>
  <si>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</si>
  <si>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</si>
  <si>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</si>
  <si>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</si>
  <si>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</si>
  <si>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</si>
  <si>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</si>
  <si>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</si>
  <si>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</si>
  <si>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</si>
  <si>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</si>
  <si>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</si>
  <si>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</si>
  <si>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</si>
  <si>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</si>
  <si>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</si>
  <si>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</si>
  <si>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</si>
  <si>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</si>
  <si>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</si>
  <si>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</si>
  <si>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</si>
  <si>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</si>
  <si>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</si>
  <si>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</si>
  <si>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</si>
  <si>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</si>
  <si>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</si>
  <si>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</si>
  <si>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</si>
  <si>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</si>
  <si>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</si>
  <si>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</si>
  <si>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</si>
  <si>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</si>
  <si>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</si>
  <si>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</si>
  <si>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</si>
  <si>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</si>
  <si>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</si>
  <si>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</si>
  <si>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</si>
  <si>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</si>
  <si>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</si>
  <si>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</si>
  <si>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</si>
  <si>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</si>
  <si>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</si>
  <si>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</si>
  <si>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</si>
  <si>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</si>
  <si>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</si>
  <si>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</si>
  <si>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</si>
  <si>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</si>
  <si>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</si>
  <si>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</si>
  <si>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</si>
  <si>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</si>
  <si>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</si>
  <si>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</si>
  <si>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</si>
  <si>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</si>
  <si>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</si>
  <si>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</si>
  <si>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</si>
  <si>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</si>
  <si>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</si>
  <si>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</si>
  <si>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</si>
  <si>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</si>
  <si>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</si>
  <si>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</si>
  <si>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</si>
  <si>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</si>
  <si>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</si>
  <si>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</si>
  <si>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</si>
  <si>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</si>
  <si>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</si>
  <si>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</si>
  <si>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</si>
  <si>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</si>
  <si>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</si>
  <si>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</si>
  <si>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</si>
  <si>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</si>
  <si>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</si>
  <si>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</si>
  <si>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</si>
  <si>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</si>
  <si>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</si>
  <si>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</si>
  <si>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</si>
  <si>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</si>
  <si>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</si>
  <si>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</si>
  <si>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</si>
  <si>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</si>
  <si>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</si>
  <si>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</si>
  <si>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</si>
  <si>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</si>
  <si>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</si>
  <si>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</si>
  <si>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</si>
  <si>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</si>
  <si>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</si>
  <si>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</si>
  <si>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</si>
  <si>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</si>
  <si>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</si>
  <si>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</si>
  <si>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</si>
  <si>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</si>
  <si>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</si>
  <si>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</si>
  <si>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</si>
  <si>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</si>
  <si>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</si>
  <si>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</si>
  <si>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</si>
  <si>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</si>
  <si>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</si>
  <si>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</si>
  <si>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</si>
  <si>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</si>
  <si>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</si>
  <si>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</si>
  <si>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</si>
  <si>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</si>
  <si>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</si>
  <si>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</si>
  <si>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</si>
  <si>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</si>
  <si>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</si>
  <si>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</si>
  <si>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</si>
  <si>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</si>
  <si>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</si>
  <si>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</si>
  <si>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</si>
  <si>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</si>
  <si>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</si>
  <si>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</si>
  <si>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</si>
  <si>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</si>
  <si>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</si>
  <si>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</si>
  <si>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</si>
  <si>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</si>
  <si>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</si>
  <si>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</si>
  <si>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</si>
  <si>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</si>
  <si>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</si>
  <si>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</si>
  <si>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</si>
  <si>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</si>
  <si>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</si>
  <si>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</si>
  <si>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</si>
  <si>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</si>
  <si>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</si>
  <si>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</si>
  <si>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</si>
  <si>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</si>
  <si>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</si>
  <si>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</si>
  <si>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</si>
  <si>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</si>
  <si>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</si>
  <si>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</si>
  <si>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</si>
  <si>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</si>
  <si>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</si>
  <si>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</si>
  <si>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</si>
  <si>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</si>
  <si>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</si>
  <si>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</si>
  <si>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</si>
  <si>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</si>
  <si>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</si>
  <si>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</si>
  <si>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</si>
  <si>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</si>
  <si>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</si>
  <si>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</si>
  <si>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</si>
  <si>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</si>
  <si>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</si>
  <si>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</si>
  <si>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</si>
  <si>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</si>
  <si>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</si>
  <si>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</si>
  <si>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</si>
  <si>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</si>
  <si>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</si>
  <si>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</si>
  <si>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</si>
  <si>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</si>
  <si>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</si>
  <si>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</si>
  <si>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</si>
  <si>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</si>
  <si>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</si>
  <si>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</si>
  <si>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</si>
  <si>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</si>
  <si>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</si>
  <si>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</si>
  <si>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</si>
  <si>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</si>
  <si>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</si>
  <si>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</si>
  <si>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</si>
  <si>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</si>
  <si>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</si>
  <si>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</si>
  <si>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</si>
  <si>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</si>
  <si>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</si>
  <si>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</si>
  <si>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</si>
  <si>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</si>
  <si>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</si>
  <si>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</si>
  <si>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</si>
  <si>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</si>
  <si>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</si>
  <si>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</si>
  <si>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</si>
  <si>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</si>
  <si>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</si>
  <si>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</si>
  <si>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</si>
  <si>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</si>
  <si>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</si>
  <si>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</si>
  <si>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</si>
  <si>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</si>
  <si>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</si>
  <si>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</si>
  <si>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</si>
  <si>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</si>
  <si>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</si>
  <si>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</si>
  <si>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</si>
  <si>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</si>
  <si>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</si>
  <si>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</si>
  <si>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</si>
  <si>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</si>
  <si>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</si>
  <si>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</si>
  <si>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</si>
  <si>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</si>
  <si>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</si>
  <si>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</si>
  <si>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</si>
  <si>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</si>
  <si>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</si>
  <si>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</si>
  <si>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</si>
  <si>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</si>
  <si>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</si>
  <si>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</si>
  <si>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</si>
  <si>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</si>
  <si>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</si>
  <si>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</si>
  <si>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</si>
  <si>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</si>
  <si>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</si>
  <si>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</si>
  <si>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</si>
  <si>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</si>
  <si>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</si>
  <si>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</si>
  <si>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</si>
  <si>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</si>
  <si>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</si>
  <si>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</si>
  <si>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</si>
  <si>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</si>
  <si>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</si>
  <si>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</si>
  <si>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</si>
  <si>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</si>
  <si>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</si>
  <si>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</si>
  <si>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</si>
  <si>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</si>
  <si>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</si>
  <si>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</si>
  <si>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</si>
  <si>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</si>
  <si>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</si>
  <si>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</si>
  <si>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</si>
  <si>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</si>
  <si>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</si>
  <si>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</si>
  <si>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</si>
  <si>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</si>
  <si>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</si>
  <si>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</si>
  <si>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</si>
  <si>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</si>
  <si>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</si>
  <si>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</si>
  <si>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</si>
  <si>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</si>
  <si>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</si>
  <si>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</si>
  <si>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</si>
  <si>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</si>
  <si>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</si>
  <si>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</si>
  <si>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</si>
  <si>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</si>
  <si>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</si>
  <si>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</si>
  <si>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</si>
  <si>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</si>
  <si>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</si>
  <si>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</si>
  <si>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</si>
  <si>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</si>
  <si>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</si>
  <si>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</si>
  <si>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</si>
  <si>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</si>
  <si>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</si>
  <si>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</si>
  <si>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</si>
  <si>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</si>
  <si>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</si>
  <si>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</si>
  <si>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</si>
  <si>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</si>
  <si>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</si>
  <si>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</si>
  <si>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</si>
  <si>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</si>
  <si>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</si>
  <si>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</si>
  <si>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</si>
  <si>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</si>
  <si>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</si>
  <si>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</si>
  <si>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</si>
  <si>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</si>
  <si>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</si>
  <si>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</si>
  <si>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</si>
  <si>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</si>
  <si>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</si>
  <si>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</si>
  <si>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</si>
  <si>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</si>
  <si>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</si>
  <si>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</si>
  <si>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</si>
  <si>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</si>
  <si>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</si>
  <si>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</si>
  <si>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</si>
  <si>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</si>
  <si>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</si>
  <si>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</si>
  <si>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</si>
  <si>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</si>
  <si>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</si>
  <si>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</si>
  <si>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</si>
  <si>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</si>
  <si>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</si>
  <si>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</si>
  <si>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</si>
  <si>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</si>
  <si>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</si>
  <si>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</si>
  <si>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</si>
  <si>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</si>
  <si>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</si>
  <si>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</si>
  <si>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</si>
  <si>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</si>
  <si>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</si>
  <si>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</si>
  <si>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</si>
  <si>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</si>
  <si>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</si>
  <si>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</si>
  <si>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</si>
  <si>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</si>
  <si>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</si>
  <si>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</si>
  <si>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</si>
  <si>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</si>
  <si>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</si>
  <si>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</si>
  <si>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</si>
  <si>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</si>
  <si>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</si>
  <si>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</si>
  <si>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</si>
  <si>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</si>
  <si>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</si>
  <si>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</si>
  <si>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</si>
  <si>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</si>
  <si>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</si>
  <si>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</si>
  <si>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</si>
  <si>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</si>
  <si>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</si>
  <si>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</si>
  <si>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</si>
  <si>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</si>
  <si>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</si>
  <si>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</si>
  <si>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</si>
  <si>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</si>
  <si>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</si>
  <si>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</si>
  <si>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</si>
  <si>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</si>
  <si>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</si>
  <si>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</si>
  <si>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</si>
  <si>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</si>
  <si>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</si>
  <si>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</si>
  <si>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</si>
  <si>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</si>
  <si>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</si>
  <si>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</si>
  <si>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</si>
  <si>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</si>
  <si>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</si>
  <si>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</si>
  <si>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</si>
  <si>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</si>
  <si>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</si>
  <si>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</si>
  <si>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</si>
  <si>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</si>
  <si>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</si>
  <si>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</si>
  <si>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</si>
  <si>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</si>
  <si>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</si>
  <si>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</si>
  <si>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</si>
  <si>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</si>
  <si>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</si>
  <si>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</si>
  <si>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</si>
  <si>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</si>
  <si>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</si>
  <si>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</si>
  <si>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</si>
  <si>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</si>
  <si>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</si>
  <si>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</si>
  <si>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</si>
  <si>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</si>
  <si>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</si>
  <si>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</si>
  <si>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</si>
  <si>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</si>
  <si>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</si>
  <si>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</si>
  <si>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</si>
  <si>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</si>
  <si>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</si>
  <si>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</si>
  <si>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</si>
  <si>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</si>
  <si>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</si>
  <si>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</si>
  <si>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</si>
  <si>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</si>
  <si>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</si>
  <si>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</si>
  <si>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</si>
  <si>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</si>
  <si>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</si>
  <si>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</si>
  <si>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</si>
  <si>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</si>
  <si>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</si>
  <si>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</si>
  <si>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</si>
  <si>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</si>
  <si>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</si>
  <si>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</si>
  <si>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</si>
  <si>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</si>
  <si>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</si>
  <si>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</si>
  <si>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</si>
  <si>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</si>
  <si>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</si>
  <si>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</si>
  <si>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</si>
  <si>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</si>
  <si>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</si>
  <si>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</si>
  <si>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</si>
  <si>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</si>
  <si>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</si>
  <si>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</si>
  <si>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</si>
  <si>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</si>
  <si>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</si>
  <si>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</si>
  <si>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</si>
  <si>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</si>
  <si>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</si>
  <si>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</si>
  <si>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</si>
  <si>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</si>
  <si>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</si>
  <si>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</si>
  <si>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</si>
  <si>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</si>
  <si>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</si>
  <si>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</si>
  <si>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</si>
  <si>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</si>
  <si>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</si>
  <si>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</si>
  <si>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</si>
  <si>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</si>
  <si>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</si>
  <si>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</si>
  <si>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</si>
  <si>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</si>
  <si>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</si>
  <si>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</si>
  <si>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</si>
  <si>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</si>
  <si>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</si>
  <si>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</si>
  <si>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</si>
  <si>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</si>
  <si>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</si>
  <si>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</si>
  <si>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</si>
  <si>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</si>
  <si>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</si>
  <si>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</si>
  <si>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</si>
  <si>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</si>
  <si>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</si>
  <si>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</si>
  <si>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</si>
  <si>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</si>
  <si>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</si>
  <si>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</si>
  <si>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</si>
  <si>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</si>
  <si>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</si>
  <si>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</si>
  <si>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</si>
  <si>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</si>
  <si>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</si>
  <si>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</si>
  <si>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</si>
  <si>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</si>
  <si>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</si>
  <si>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</si>
  <si>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</si>
  <si>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</si>
  <si>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</si>
  <si>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</si>
  <si>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</si>
  <si>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</si>
  <si>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</si>
  <si>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</si>
  <si>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</si>
  <si>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</si>
  <si>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</si>
  <si>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</si>
  <si>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</si>
  <si>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</si>
  <si>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</si>
  <si>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</si>
  <si>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</si>
  <si>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</si>
  <si>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</si>
  <si>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</si>
  <si>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</si>
  <si>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</si>
  <si>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</si>
  <si>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</si>
  <si>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</si>
  <si>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</si>
  <si>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</si>
  <si>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</si>
  <si>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</si>
  <si>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</si>
  <si>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</si>
  <si>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</si>
  <si>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</si>
  <si>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</si>
  <si>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</si>
  <si>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</si>
  <si>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</si>
  <si>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</si>
  <si>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</si>
  <si>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</si>
  <si>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</si>
  <si>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</si>
  <si>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</si>
  <si>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</si>
  <si>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</si>
  <si>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</si>
  <si>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</si>
  <si>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</si>
  <si>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</si>
  <si>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</si>
  <si>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</si>
  <si>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</si>
  <si>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</si>
  <si>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</si>
  <si>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</si>
  <si>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</si>
  <si>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</si>
  <si>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</si>
  <si>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</si>
  <si>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</si>
  <si>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</si>
  <si>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</si>
  <si>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</si>
  <si>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</si>
  <si>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</si>
  <si>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</si>
  <si>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</si>
  <si>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</si>
  <si>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</si>
  <si>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</si>
  <si>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</si>
  <si>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</si>
  <si>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</si>
  <si>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</si>
  <si>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</si>
  <si>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</si>
  <si>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</si>
  <si>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</si>
  <si>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</si>
  <si>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</si>
  <si>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</si>
  <si>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</si>
  <si>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</si>
  <si>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</si>
  <si>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</si>
  <si>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</si>
  <si>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</si>
  <si>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</si>
  <si>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</si>
  <si>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</si>
  <si>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</si>
  <si>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</si>
  <si>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</si>
  <si>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</si>
  <si>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</si>
  <si>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</si>
  <si>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</si>
  <si>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</si>
  <si>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</si>
  <si>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</si>
  <si>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</si>
  <si>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</si>
  <si>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</si>
  <si>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</si>
  <si>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</si>
  <si>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</si>
  <si>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</si>
  <si>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</si>
  <si>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</si>
  <si>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</si>
  <si>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</si>
  <si>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</si>
  <si>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</si>
  <si>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</si>
  <si>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</si>
  <si>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</si>
  <si>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</si>
  <si>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</si>
  <si>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</si>
  <si>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</si>
  <si>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</si>
  <si>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</si>
  <si>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</si>
  <si>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</si>
  <si>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</si>
  <si>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</si>
  <si>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</si>
  <si>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</si>
  <si>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</si>
  <si>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</si>
  <si>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</si>
  <si>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</si>
  <si>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</si>
  <si>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</si>
  <si>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</si>
  <si>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</si>
  <si>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</si>
  <si>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</si>
  <si>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</si>
  <si>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</si>
  <si>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</si>
  <si>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</si>
  <si>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</si>
  <si>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</si>
  <si>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</si>
  <si>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</si>
  <si>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</si>
  <si>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</si>
  <si>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</si>
  <si>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</si>
  <si>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</si>
  <si>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</si>
  <si>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</si>
  <si>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</si>
  <si>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</si>
  <si>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</si>
  <si>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</si>
  <si>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</si>
  <si>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</si>
  <si>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</si>
  <si>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</si>
  <si>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</si>
  <si>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</si>
  <si>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</si>
  <si>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</si>
  <si>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</si>
  <si>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</si>
  <si>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</si>
  <si>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</si>
  <si>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</si>
  <si>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</si>
  <si>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</si>
  <si>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</si>
  <si>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</si>
  <si>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</si>
  <si>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</si>
  <si>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</si>
  <si>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</si>
  <si>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</si>
  <si>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</si>
  <si>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</si>
  <si>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</si>
  <si>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</si>
  <si>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</si>
  <si>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</si>
  <si>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</si>
  <si>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</si>
  <si>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</si>
  <si>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</si>
  <si>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</si>
  <si>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</si>
  <si>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</si>
  <si>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</si>
  <si>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</si>
  <si>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</si>
  <si>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</si>
  <si>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</si>
  <si>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</si>
  <si>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</si>
  <si>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</si>
  <si>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</si>
  <si>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</si>
  <si>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</si>
  <si>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</si>
  <si>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</si>
  <si>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</si>
  <si>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</si>
  <si>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</si>
  <si>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</si>
  <si>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</si>
  <si>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</si>
  <si>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</si>
  <si>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</si>
  <si>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</si>
  <si>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</si>
  <si>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</si>
  <si>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</si>
  <si>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</si>
  <si>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</si>
  <si>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</si>
  <si>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</si>
  <si>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</si>
  <si>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</si>
  <si>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</si>
  <si>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</si>
  <si>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</si>
  <si>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</si>
  <si>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</si>
  <si>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</si>
  <si>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</si>
  <si>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</si>
  <si>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</si>
  <si>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</si>
  <si>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</si>
  <si>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</si>
  <si>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</si>
  <si>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</si>
  <si>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</si>
  <si>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</si>
  <si>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</si>
  <si>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</si>
  <si>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</si>
  <si>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</si>
  <si>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</si>
  <si>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</si>
  <si>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</si>
  <si>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</si>
  <si>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</si>
  <si>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</si>
  <si>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</si>
  <si>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</si>
  <si>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</si>
  <si>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</si>
  <si>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</si>
  <si>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</si>
  <si>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</si>
  <si>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</si>
  <si>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</si>
  <si>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</si>
  <si>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</si>
  <si>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</si>
  <si>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</si>
  <si>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</si>
  <si>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</si>
  <si>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</si>
  <si>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</si>
  <si>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</si>
  <si>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</si>
  <si>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</si>
  <si>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</si>
  <si>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</si>
  <si>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</si>
  <si>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</si>
  <si>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</si>
  <si>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</si>
  <si>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</si>
  <si>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</si>
  <si>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</si>
  <si>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</si>
  <si>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</si>
  <si>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</si>
  <si>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</si>
  <si>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</si>
  <si>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</si>
  <si>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</si>
  <si>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</si>
  <si>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</si>
  <si>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</si>
  <si>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</si>
  <si>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</si>
  <si>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</si>
  <si>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</si>
  <si>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</si>
  <si>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</si>
  <si>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</si>
  <si>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</si>
  <si>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</si>
  <si>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</si>
  <si>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</si>
  <si>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</si>
  <si>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</si>
  <si>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</si>
  <si>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</si>
  <si>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</si>
  <si>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</si>
  <si>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</si>
  <si>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</si>
  <si>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</si>
  <si>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</si>
  <si>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</si>
  <si>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</si>
  <si>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</si>
  <si>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</si>
  <si>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</si>
  <si>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</si>
  <si>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</si>
  <si>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</si>
  <si>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</si>
  <si>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</si>
  <si>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</si>
  <si>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</si>
  <si>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</si>
  <si>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</si>
  <si>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</si>
  <si>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</si>
  <si>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</si>
  <si>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</si>
  <si>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</si>
  <si>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</si>
  <si>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</si>
  <si>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</si>
  <si>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</si>
  <si>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</si>
  <si>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</si>
  <si>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</si>
  <si>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</si>
  <si>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</si>
  <si>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</si>
  <si>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</si>
  <si>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</si>
  <si>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</si>
  <si>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</si>
  <si>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</si>
  <si>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</si>
  <si>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</si>
  <si>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</si>
  <si>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</si>
  <si>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</si>
  <si>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</si>
  <si>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</si>
  <si>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</si>
  <si>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</si>
  <si>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</si>
  <si>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</si>
  <si>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</si>
  <si>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</si>
  <si>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</si>
  <si>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</si>
  <si>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</si>
  <si>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</si>
  <si>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</si>
  <si>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</si>
  <si>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</si>
  <si>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</si>
  <si>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</si>
  <si>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</si>
  <si>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</si>
  <si>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</si>
  <si>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</si>
  <si>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</si>
  <si>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</si>
  <si>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</si>
  <si>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</si>
  <si>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</si>
  <si>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</si>
  <si>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</si>
  <si>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</si>
  <si>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</si>
  <si>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</si>
  <si>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</si>
  <si>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</si>
  <si>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</si>
  <si>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</si>
  <si>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</si>
  <si>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</si>
  <si>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</si>
  <si>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</si>
  <si>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</si>
  <si>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</si>
  <si>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</si>
  <si>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</si>
  <si>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</si>
  <si>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</si>
  <si>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</si>
  <si>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</si>
  <si>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</si>
  <si>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</si>
  <si>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</si>
  <si>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</si>
  <si>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</si>
  <si>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</si>
  <si>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</si>
  <si>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</si>
  <si>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</si>
  <si>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</si>
  <si>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</si>
  <si>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</si>
  <si>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</si>
  <si>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</si>
  <si>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</si>
  <si>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</si>
  <si>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</si>
  <si>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</si>
  <si>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</si>
  <si>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</si>
  <si>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</si>
  <si>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</si>
  <si>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</si>
  <si>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</si>
  <si>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</si>
  <si>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</si>
  <si>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</si>
  <si>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</si>
  <si>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</si>
  <si>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</si>
  <si>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</si>
  <si>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</si>
  <si>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</si>
  <si>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</si>
  <si>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</si>
  <si>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</si>
  <si>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</si>
  <si>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</si>
  <si>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</si>
  <si>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</si>
  <si>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</si>
  <si>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</si>
  <si>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</si>
  <si>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</si>
  <si>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</si>
  <si>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</si>
  <si>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</si>
  <si>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</si>
  <si>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</si>
  <si>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</si>
  <si>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</si>
  <si>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</si>
  <si>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</si>
  <si>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</si>
  <si>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</si>
  <si>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</si>
  <si>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</si>
  <si>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</si>
  <si>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</si>
  <si>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</si>
  <si>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</si>
  <si>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</si>
  <si>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</si>
  <si>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</si>
  <si>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</si>
  <si>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</si>
  <si>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</si>
  <si>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</si>
  <si>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</si>
  <si>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</si>
  <si>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</si>
  <si>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</si>
  <si>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</si>
  <si>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</si>
  <si>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</si>
  <si>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</si>
  <si>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</si>
  <si>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</si>
  <si>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</si>
  <si>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</si>
  <si>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</si>
  <si>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</si>
  <si>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</si>
  <si>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</si>
  <si>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</si>
  <si>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</si>
  <si>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</si>
  <si>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</si>
  <si>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</si>
  <si>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</si>
  <si>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</si>
  <si>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</si>
  <si>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</si>
  <si>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</si>
  <si>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</si>
  <si>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</si>
  <si>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</si>
  <si>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</si>
  <si>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</si>
  <si>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</si>
  <si>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</si>
  <si>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</si>
  <si>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</si>
  <si>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</si>
  <si>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</si>
  <si>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</si>
  <si>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</si>
  <si>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</si>
  <si>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</si>
  <si>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</si>
  <si>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</si>
  <si>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</si>
  <si>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</si>
  <si>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</si>
  <si>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</si>
  <si>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</si>
  <si>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</si>
  <si>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</si>
  <si>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</si>
  <si>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</si>
  <si>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</si>
  <si>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</si>
  <si>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</si>
  <si>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</si>
  <si>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</si>
  <si>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</si>
  <si>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</si>
  <si>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</si>
  <si>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</si>
  <si>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</si>
  <si>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</si>
  <si>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</si>
  <si>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</si>
  <si>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</si>
  <si>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</si>
  <si>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</si>
  <si>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</si>
  <si>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</si>
  <si>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</si>
  <si>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</si>
  <si>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</si>
  <si>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</si>
  <si>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</si>
  <si>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</si>
  <si>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</si>
  <si>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</si>
  <si>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</si>
  <si>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</si>
  <si>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</si>
  <si>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</si>
  <si>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</si>
  <si>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</si>
  <si>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</si>
  <si>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</si>
  <si>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</si>
  <si>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</si>
  <si>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</si>
  <si>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</si>
  <si>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</si>
  <si>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</si>
  <si>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</si>
  <si>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</si>
  <si>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</si>
  <si>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</si>
  <si>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</si>
  <si>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</si>
  <si>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</si>
  <si>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</si>
  <si>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</si>
  <si>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</si>
  <si>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</si>
  <si>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</si>
  <si>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</si>
  <si>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</si>
  <si>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</si>
  <si>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</si>
  <si>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</si>
  <si>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</si>
  <si>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</si>
  <si>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</si>
  <si>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</si>
  <si>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</si>
  <si>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</si>
  <si>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</si>
  <si>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</si>
  <si>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</si>
  <si>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</si>
  <si>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</si>
  <si>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</si>
  <si>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</si>
  <si>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</si>
  <si>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</si>
  <si>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</si>
  <si>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</si>
  <si>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</si>
  <si>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</si>
  <si>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</si>
  <si>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</si>
  <si>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</si>
  <si>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</si>
  <si>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</si>
  <si>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</si>
  <si>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</si>
  <si>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</si>
  <si>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</si>
  <si>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</si>
  <si>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</si>
  <si>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</si>
  <si>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</si>
  <si>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</si>
  <si>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</si>
  <si>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</si>
  <si>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</si>
  <si>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</si>
  <si>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</si>
  <si>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</si>
  <si>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</si>
  <si>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</si>
  <si>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</si>
  <si>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</si>
  <si>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</si>
  <si>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</si>
  <si>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</si>
  <si>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</si>
  <si>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</si>
  <si>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</si>
  <si>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</si>
  <si>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</si>
  <si>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</si>
  <si>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</si>
  <si>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</si>
  <si>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</si>
  <si>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</si>
  <si>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</si>
  <si>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</si>
  <si>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</si>
  <si>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</si>
  <si>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</si>
  <si>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</si>
  <si>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</si>
  <si>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</si>
  <si>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</si>
  <si>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</si>
  <si>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</si>
  <si>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</si>
  <si>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</si>
  <si>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</si>
  <si>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</si>
  <si>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</si>
  <si>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</si>
  <si>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</si>
  <si>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</si>
  <si>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</si>
  <si>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</si>
  <si>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</si>
  <si>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</si>
  <si>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</si>
  <si>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</si>
  <si>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</si>
  <si>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</si>
  <si>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</si>
  <si>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</si>
  <si>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</si>
  <si>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</si>
  <si>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</si>
  <si>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</si>
  <si>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</si>
  <si>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</si>
  <si>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</si>
  <si>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</si>
  <si>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</si>
  <si>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</si>
  <si>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</si>
  <si>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</si>
  <si>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</si>
  <si>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</si>
  <si>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</si>
  <si>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</si>
  <si>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</si>
  <si>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</si>
  <si>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</si>
  <si>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</si>
  <si>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</si>
  <si>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</si>
  <si>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</si>
  <si>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</si>
  <si>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</si>
  <si>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</si>
  <si>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</si>
  <si>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</si>
  <si>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</si>
  <si>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</si>
  <si>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</si>
  <si>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</si>
  <si>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</si>
  <si>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</si>
  <si>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</si>
  <si>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</si>
  <si>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</si>
  <si>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</si>
  <si>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</si>
  <si>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</si>
  <si>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</si>
  <si>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</si>
  <si>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</si>
  <si>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</si>
  <si>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</si>
  <si>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</si>
  <si>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</si>
  <si>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</si>
  <si>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</si>
  <si>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</si>
  <si>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</si>
  <si>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</si>
  <si>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</si>
  <si>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</si>
  <si>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</si>
  <si>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</si>
  <si>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</si>
  <si>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</si>
  <si>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</si>
  <si>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</si>
  <si>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</si>
  <si>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</si>
  <si>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</si>
  <si>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</si>
  <si>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</si>
  <si>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</si>
  <si>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</si>
  <si>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</si>
  <si>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</si>
  <si>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</si>
  <si>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</si>
  <si>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</si>
  <si>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</si>
  <si>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</si>
  <si>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</si>
  <si>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</si>
  <si>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</si>
  <si>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</si>
  <si>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</si>
  <si>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</si>
  <si>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</si>
  <si>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</si>
  <si>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</si>
  <si>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</si>
  <si>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</si>
  <si>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</si>
  <si>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</si>
  <si>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</si>
  <si>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</si>
  <si>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</si>
  <si>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</si>
  <si>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</si>
  <si>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</si>
  <si>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</si>
  <si>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</si>
  <si>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</si>
  <si>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</si>
  <si>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</si>
  <si>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</si>
  <si>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</si>
  <si>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</si>
  <si>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</si>
  <si>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</si>
  <si>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</si>
  <si>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</si>
  <si>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</si>
  <si>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</si>
  <si>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</si>
  <si>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</si>
  <si>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</si>
  <si>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</si>
  <si>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</si>
  <si>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</si>
  <si>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</si>
  <si>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</si>
  <si>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</si>
  <si>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</si>
  <si>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</si>
  <si>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</si>
  <si>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</si>
  <si>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</si>
  <si>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</si>
  <si>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</si>
  <si>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</si>
  <si>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</si>
  <si>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</si>
  <si>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</si>
  <si>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</si>
  <si>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</si>
  <si>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</si>
  <si>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</si>
  <si>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</si>
  <si>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</si>
  <si>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</si>
  <si>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</si>
  <si>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</si>
  <si>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</si>
  <si>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</si>
  <si>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</si>
  <si>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</si>
  <si>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</si>
  <si>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</si>
  <si>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</si>
  <si>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</si>
  <si>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</si>
  <si>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</si>
  <si>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</si>
  <si>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</si>
  <si>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</si>
  <si>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</si>
  <si>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</si>
  <si>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</si>
  <si>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</si>
  <si>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</si>
  <si>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</si>
  <si>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</si>
  <si>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</si>
  <si>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</si>
  <si>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</si>
  <si>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</si>
  <si>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</si>
  <si>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</si>
  <si>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</si>
  <si>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</si>
  <si>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</si>
  <si>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</si>
  <si>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</si>
  <si>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</si>
  <si>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</si>
  <si>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</si>
  <si>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</si>
  <si>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</si>
  <si>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</si>
  <si>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</si>
  <si>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</si>
  <si>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</si>
  <si>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</si>
  <si>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</si>
  <si>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</si>
  <si>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</si>
  <si>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</si>
  <si>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</si>
  <si>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</si>
  <si>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</si>
  <si>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</si>
  <si>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</si>
  <si>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</si>
  <si>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</si>
  <si>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</si>
  <si>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</si>
  <si>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</si>
  <si>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</si>
  <si>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</si>
  <si>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</si>
  <si>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</si>
  <si>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</si>
  <si>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</si>
  <si>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</si>
  <si>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</si>
  <si>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</si>
  <si>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</si>
  <si>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</si>
  <si>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</si>
  <si>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</si>
  <si>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</si>
  <si>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</si>
  <si>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</si>
  <si>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</si>
  <si>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</si>
  <si>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</si>
  <si>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</si>
  <si>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</si>
  <si>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</si>
  <si>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</si>
  <si>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</si>
  <si>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</si>
  <si>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</si>
  <si>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</si>
  <si>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</si>
  <si>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</si>
  <si>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</si>
  <si>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</si>
  <si>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</si>
  <si>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</si>
  <si>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</si>
  <si>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</si>
  <si>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</si>
  <si>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</si>
  <si>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</si>
  <si>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</si>
  <si>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</si>
  <si>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</si>
  <si>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</si>
  <si>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</si>
  <si>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</si>
  <si>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</si>
  <si>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</si>
  <si>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</si>
  <si>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</si>
  <si>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</si>
  <si>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</si>
  <si>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</si>
  <si>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</si>
  <si>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</si>
  <si>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</si>
  <si>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</si>
  <si>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</si>
  <si>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</si>
  <si>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</si>
  <si>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</si>
  <si>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</si>
  <si>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</si>
  <si>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</si>
  <si>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</si>
  <si>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</si>
  <si>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</si>
  <si>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</si>
  <si>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</si>
  <si>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</si>
  <si>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</si>
  <si>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</si>
  <si>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</si>
  <si>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</si>
  <si>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</si>
  <si>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</si>
  <si>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</si>
  <si>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</si>
  <si>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</si>
  <si>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</si>
  <si>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</si>
  <si>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</si>
  <si>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</si>
  <si>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</si>
  <si>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</si>
  <si>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</si>
  <si>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</si>
  <si>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</si>
  <si>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</si>
  <si>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</si>
  <si>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</si>
  <si>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</si>
  <si>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</si>
  <si>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</si>
  <si>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</si>
  <si>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</si>
  <si>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</si>
  <si>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</si>
  <si>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</si>
  <si>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</si>
  <si>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</si>
  <si>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</si>
  <si>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</si>
  <si>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</si>
  <si>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</si>
  <si>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</si>
  <si>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</si>
  <si>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</si>
  <si>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</si>
  <si>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</si>
  <si>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</si>
  <si>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</si>
  <si>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</si>
  <si>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</si>
  <si>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</si>
  <si>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</si>
  <si>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</si>
  <si>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</si>
  <si>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</si>
  <si>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</si>
  <si>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</si>
  <si>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</si>
  <si>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</si>
  <si>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</si>
  <si>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</si>
  <si>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</si>
  <si>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</si>
  <si>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</si>
  <si>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</si>
  <si>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</si>
  <si>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</si>
  <si>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</si>
  <si>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</si>
  <si>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</si>
  <si>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</si>
  <si>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</si>
  <si>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</si>
  <si>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</si>
  <si>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</si>
  <si>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</si>
  <si>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</si>
  <si>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</si>
  <si>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</si>
  <si>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</si>
  <si>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</si>
  <si>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</si>
  <si>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</si>
  <si>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</si>
  <si>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</si>
  <si>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</si>
  <si>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</si>
  <si>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</si>
  <si>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</si>
  <si>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</si>
  <si>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</si>
  <si>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</si>
  <si>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</si>
  <si>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</si>
  <si>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</si>
  <si>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</si>
  <si>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</si>
  <si>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</si>
  <si>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</si>
  <si>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</si>
  <si>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</si>
  <si>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</si>
  <si>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</si>
  <si>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</si>
  <si>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</si>
  <si>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</si>
  <si>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</si>
  <si>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</si>
  <si>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</si>
  <si>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</si>
  <si>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</si>
  <si>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</si>
  <si>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</si>
  <si>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</si>
  <si>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</si>
  <si>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</si>
  <si>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</si>
  <si>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</si>
  <si>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</si>
  <si>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</si>
  <si>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</si>
  <si>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</si>
  <si>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</si>
  <si>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</si>
  <si>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</si>
  <si>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</si>
  <si>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</si>
  <si>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</si>
  <si>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</si>
  <si>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</si>
  <si>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</si>
  <si>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</si>
  <si>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</si>
  <si>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</si>
  <si>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</si>
  <si>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</si>
  <si>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</si>
  <si>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</si>
  <si>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</si>
  <si>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</si>
  <si>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</si>
  <si>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</si>
  <si>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</si>
  <si>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</si>
  <si>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</si>
  <si>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</si>
  <si>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</si>
  <si>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</si>
  <si>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</si>
  <si>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</si>
  <si>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</si>
  <si>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</si>
  <si>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</si>
  <si>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</si>
  <si>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</si>
  <si>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</si>
  <si>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</si>
  <si>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</si>
  <si>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</si>
  <si>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</si>
  <si>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</si>
  <si>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</si>
  <si>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</si>
  <si>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</si>
  <si>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</si>
  <si>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</si>
  <si>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</si>
  <si>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</si>
  <si>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</si>
  <si>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</si>
  <si>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</si>
  <si>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</si>
  <si>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</si>
  <si>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</si>
  <si>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</si>
  <si>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</si>
  <si>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</si>
  <si>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</si>
  <si>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</si>
  <si>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</si>
  <si>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</si>
  <si>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</si>
  <si>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</si>
  <si>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</si>
  <si>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</si>
  <si>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</si>
  <si>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</si>
  <si>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</si>
  <si>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</si>
  <si>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</si>
  <si>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</si>
  <si>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</si>
  <si>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</si>
  <si>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</si>
  <si>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</si>
  <si>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</si>
  <si>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</si>
  <si>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</si>
  <si>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</si>
  <si>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</si>
  <si>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</si>
  <si>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</si>
  <si>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</si>
  <si>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</si>
  <si>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</si>
  <si>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</si>
  <si>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</si>
  <si>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</si>
  <si>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</si>
  <si>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</si>
  <si>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</si>
  <si>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</si>
  <si>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</si>
  <si>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</si>
  <si>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</si>
  <si>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</si>
  <si>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</si>
  <si>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</si>
  <si>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</si>
  <si>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</si>
  <si>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</si>
  <si>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</si>
  <si>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</si>
  <si>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</si>
  <si>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</si>
  <si>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</si>
  <si>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</si>
  <si>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</si>
  <si>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</si>
  <si>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</si>
  <si>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</si>
  <si>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</si>
  <si>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</si>
  <si>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</si>
  <si>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</si>
  <si>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</si>
  <si>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</si>
  <si>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</si>
  <si>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</si>
  <si>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</si>
  <si>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</si>
  <si>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</si>
  <si>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</si>
  <si>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</si>
  <si>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</si>
  <si>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</si>
  <si>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</si>
  <si>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</si>
  <si>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</si>
  <si>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</si>
  <si>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</si>
  <si>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</si>
  <si>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</si>
  <si>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</si>
  <si>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</si>
  <si>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</si>
  <si>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</si>
  <si>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</si>
  <si>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</si>
  <si>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</si>
  <si>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</si>
  <si>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</si>
  <si>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</si>
  <si>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</si>
  <si>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</si>
  <si>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</si>
  <si>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</si>
  <si>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</si>
  <si>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</si>
  <si>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</si>
  <si>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</si>
  <si>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</si>
  <si>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</si>
  <si>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</si>
  <si>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</si>
  <si>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</si>
  <si>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</si>
  <si>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</si>
  <si>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</si>
  <si>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</si>
  <si>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</si>
  <si>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</si>
  <si>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</si>
  <si>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</si>
  <si>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</si>
  <si>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</si>
  <si>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</si>
  <si>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</si>
  <si>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</si>
  <si>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</si>
  <si>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</si>
  <si>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</si>
  <si>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</si>
  <si>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</si>
  <si>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</si>
  <si>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</si>
  <si>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</si>
  <si>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</si>
  <si>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</si>
  <si>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</si>
  <si>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</si>
  <si>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</si>
  <si>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</si>
  <si>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</si>
  <si>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</si>
  <si>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</si>
  <si>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</si>
  <si>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</si>
  <si>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</si>
  <si>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</si>
  <si>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</si>
  <si>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</si>
  <si>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</si>
  <si>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</si>
  <si>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</si>
  <si>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</si>
  <si>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</si>
  <si>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</si>
  <si>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</si>
  <si>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</si>
  <si>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</si>
  <si>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</si>
  <si>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</si>
  <si>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</si>
  <si>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</si>
  <si>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</si>
  <si>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</si>
  <si>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</si>
  <si>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</si>
  <si>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</si>
  <si>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</si>
  <si>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</si>
  <si>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</si>
  <si>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</si>
  <si>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</si>
  <si>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</si>
  <si>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</si>
  <si>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</si>
  <si>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</si>
  <si>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</si>
  <si>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</si>
  <si>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</si>
  <si>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</si>
  <si>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</si>
  <si>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</si>
  <si>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</si>
  <si>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</si>
  <si>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</si>
  <si>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</si>
  <si>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</si>
  <si>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</si>
  <si>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</si>
  <si>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</si>
  <si>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</si>
  <si>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</si>
  <si>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</si>
  <si>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</si>
  <si>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</si>
  <si>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</si>
  <si>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</si>
  <si>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</si>
  <si>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</si>
  <si>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</si>
  <si>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</si>
  <si>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</si>
  <si>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</si>
  <si>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</si>
  <si>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</si>
  <si>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</si>
  <si>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</si>
  <si>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</si>
  <si>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</si>
  <si>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</si>
  <si>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</si>
  <si>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</si>
  <si>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</si>
  <si>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</si>
  <si>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</si>
  <si>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</si>
  <si>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</si>
  <si>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</si>
  <si>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</si>
  <si>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</si>
  <si>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</si>
  <si>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</si>
  <si>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</si>
  <si>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</si>
  <si>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</si>
  <si>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</si>
  <si>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</si>
  <si>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</si>
  <si>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</si>
  <si>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</si>
  <si>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</si>
  <si>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</si>
  <si>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</si>
  <si>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</si>
  <si>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</si>
  <si>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</si>
  <si>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</si>
  <si>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</si>
  <si>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</si>
  <si>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</si>
  <si>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</si>
  <si>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</si>
  <si>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</si>
  <si>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</si>
  <si>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</si>
  <si>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</si>
  <si>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</si>
  <si>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</si>
  <si>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</si>
  <si>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</si>
  <si>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</si>
  <si>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</si>
  <si>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</si>
  <si>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</si>
  <si>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</si>
  <si>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</si>
  <si>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</si>
  <si>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</si>
  <si>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</si>
  <si>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</si>
  <si>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</si>
  <si>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</si>
  <si>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</si>
  <si>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</si>
  <si>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</si>
  <si>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</si>
  <si>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</si>
  <si>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</si>
  <si>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</si>
  <si>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</si>
  <si>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</si>
  <si>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</si>
  <si>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</si>
  <si>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</si>
  <si>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</si>
  <si>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</si>
  <si>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</si>
  <si>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</si>
  <si>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</si>
  <si>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</si>
  <si>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</si>
  <si>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</si>
  <si>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</si>
  <si>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</si>
  <si>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</si>
  <si>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</si>
  <si>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</si>
  <si>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</si>
  <si>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</si>
  <si>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</si>
  <si>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</si>
  <si>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</si>
  <si>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</si>
  <si>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</si>
  <si>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</si>
  <si>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</si>
  <si>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</si>
  <si>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</si>
  <si>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</si>
  <si>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</si>
  <si>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</si>
  <si>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</si>
  <si>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</si>
  <si>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</si>
  <si>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</si>
  <si>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</si>
  <si>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</si>
  <si>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</si>
  <si>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</si>
  <si>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</si>
  <si>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</si>
  <si>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</si>
  <si>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</si>
  <si>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</si>
  <si>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</si>
  <si>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</si>
  <si>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</si>
  <si>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</si>
  <si>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</si>
  <si>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</si>
  <si>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</si>
  <si>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</si>
  <si>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</si>
  <si>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</si>
  <si>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</si>
  <si>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</si>
  <si>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</si>
  <si>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</si>
  <si>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</si>
  <si>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</si>
  <si>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</si>
  <si>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</si>
  <si>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</si>
  <si>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</si>
  <si>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</si>
  <si>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</si>
  <si>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</si>
  <si>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</si>
  <si>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</si>
  <si>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</si>
  <si>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</si>
  <si>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</si>
  <si>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</si>
  <si>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</si>
  <si>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</si>
  <si>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</si>
  <si>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</si>
  <si>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</si>
  <si>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</si>
  <si>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</si>
  <si>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</si>
  <si>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</si>
  <si>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</si>
  <si>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</si>
  <si>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</si>
  <si>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</si>
  <si>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</si>
  <si>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</si>
  <si>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</si>
  <si>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</si>
  <si>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</si>
  <si>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</si>
  <si>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</si>
  <si>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</si>
  <si>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</si>
  <si>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</si>
  <si>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</si>
  <si>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</si>
  <si>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</si>
  <si>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</si>
  <si>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</si>
  <si>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</si>
  <si>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</si>
  <si>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</si>
  <si>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</si>
  <si>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</si>
  <si>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</si>
  <si>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</si>
  <si>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</si>
  <si>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</si>
  <si>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</si>
  <si>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</si>
  <si>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</si>
  <si>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</si>
  <si>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</si>
  <si>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</si>
  <si>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</si>
  <si>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</si>
  <si>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</si>
  <si>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</si>
  <si>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</si>
  <si>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</si>
  <si>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</si>
  <si>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</si>
  <si>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</si>
  <si>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</si>
  <si>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</si>
  <si>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</si>
  <si>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</si>
  <si>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</si>
  <si>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</si>
  <si>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</si>
  <si>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</si>
  <si>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</si>
  <si>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</si>
  <si>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</si>
  <si>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</si>
  <si>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</si>
  <si>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</si>
  <si>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</si>
  <si>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</si>
  <si>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</si>
  <si>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</si>
  <si>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</si>
  <si>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</si>
  <si>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</si>
  <si>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</si>
  <si>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</si>
  <si>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</si>
  <si>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</si>
  <si>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</si>
  <si>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</si>
  <si>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</si>
  <si>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</si>
  <si>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</si>
  <si>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</si>
  <si>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</si>
  <si>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</si>
  <si>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</si>
  <si>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</si>
  <si>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</si>
  <si>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</si>
  <si>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</si>
  <si>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</si>
  <si>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</si>
  <si>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</si>
  <si>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</si>
  <si>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</si>
  <si>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</si>
  <si>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</si>
  <si>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</si>
  <si>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</si>
  <si>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</si>
  <si>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</si>
  <si>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</si>
  <si>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</si>
  <si>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</si>
  <si>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</si>
  <si>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</si>
  <si>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</si>
  <si>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</si>
  <si>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</si>
  <si>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</si>
  <si>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</si>
  <si>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</si>
  <si>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</si>
  <si>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</si>
  <si>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</si>
  <si>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</si>
  <si>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</si>
  <si>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</si>
  <si>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</si>
  <si>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</si>
  <si>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</si>
  <si>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</si>
  <si>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hanhlottq</t>
  </si>
  <si>
    <t>hanhtay</t>
  </si>
  <si>
    <t>giasach</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</si>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</sst>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736">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4"/>
  <sheetViews>
    <sheetView zoomScale="70" zoomScaleNormal="70" workbookViewId="0">
      <pane xSplit="1" ySplit="1" topLeftCell="B2" activePane="bottomRight" state="frozen"/>
      <selection pane="topRight" activeCell="B1" sqref="B1"/>
      <selection pane="bottomLeft" activeCell="A2" sqref="A2"/>
      <selection pane="bottomRight" activeCell="A6" sqref="A6"/>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4023</v>
      </c>
    </row>
    <row r="2" spans="1:11" ht="14.4" customHeight="1">
      <c r="A2" s="2" t="s">
        <v>4040</v>
      </c>
      <c r="B2" s="1" t="str">
        <f>VLOOKUP(A2,'CODE NOTE'!A:B,2,0)</f>
        <v>I100229</v>
      </c>
      <c r="C2" s="1"/>
      <c r="D2" s="1" t="str">
        <f>VLOOKUP(A2,'CODE NOTE'!A:C,3,0)</f>
        <v>Tỏi lột</v>
      </c>
      <c r="E2" s="1" t="str">
        <f>VLOOKUP(A2,'CODE NOTE'!D:E,2,0)</f>
        <v>Kg</v>
      </c>
      <c r="F2" s="90"/>
      <c r="G2" s="90"/>
      <c r="H2" s="13" t="str">
        <f>VLOOKUP(A2,'CODE NOTE'!D:F,3,0)</f>
        <v>bỏ lột</v>
      </c>
      <c r="I2" s="105" t="str">
        <f>VLOOKUP(I1,'KHÁCH NOTE'!A:B,2,0)</f>
        <v>BUPDL, CRISPY = xà lách thủy canh Hạnh Hương, RAURUNGGL, CAROT củ nhỏ, CUCAITRANG, CHANHGIAY, CAIBE, THOMXANH, THOMCHIN, KHOAIMONSAP = khoai môn vàng, DAUHUTRANG</v>
      </c>
      <c r="J2" s="93" t="s">
        <v>2067</v>
      </c>
      <c r="K2" t="s">
        <v>3795</v>
      </c>
    </row>
    <row r="3" spans="1:11">
      <c r="A3" s="2" t="s">
        <v>4041</v>
      </c>
      <c r="B3" s="1" t="str">
        <f>VLOOKUP(A3,'CODE NOTE'!A:B,2,0)</f>
        <v>I100104</v>
      </c>
      <c r="C3" s="1"/>
      <c r="D3" s="1" t="str">
        <f>VLOOKUP(A3,'CODE NOTE'!A:C,3,0)</f>
        <v>Hành tím lột vỏ TQ</v>
      </c>
      <c r="E3" s="1" t="str">
        <f>VLOOKUP(A3,'CODE NOTE'!D:E,2,0)</f>
        <v>Kg</v>
      </c>
      <c r="F3" s="90"/>
      <c r="G3" s="90"/>
      <c r="H3" s="13" t="str">
        <f>VLOOKUP(A3,'CODE NOTE'!D:F,3,0)</f>
        <v>xuất sang hành tím củ</v>
      </c>
      <c r="I3" s="106"/>
      <c r="J3" s="93" t="s">
        <v>1865</v>
      </c>
      <c r="K3" t="s">
        <v>3796</v>
      </c>
    </row>
    <row r="4" spans="1:11">
      <c r="A4" s="2" t="s">
        <v>4042</v>
      </c>
      <c r="B4" s="1" t="str">
        <f>VLOOKUP(A4,'CODE NOTE'!A:B,2,0)</f>
        <v>I100101</v>
      </c>
      <c r="C4" s="1"/>
      <c r="D4" s="1" t="str">
        <f>VLOOKUP(A4,'CODE NOTE'!A:C,3,0)</f>
        <v>Hành tây</v>
      </c>
      <c r="E4" s="1" t="str">
        <f>VLOOKUP(A4,'CODE NOTE'!D:E,2,0)</f>
        <v>Kg</v>
      </c>
      <c r="F4" s="90"/>
      <c r="G4" s="90"/>
      <c r="H4" s="13" t="str">
        <f>VLOOKUP(A4,'CODE NOTE'!D:F,3,0)</f>
        <v>0.3kg/củ</v>
      </c>
      <c r="I4" s="106"/>
      <c r="J4" s="93" t="s">
        <v>519</v>
      </c>
      <c r="K4" t="s">
        <v>3797</v>
      </c>
    </row>
    <row r="5" spans="1:11">
      <c r="A5" s="2" t="s">
        <v>4043</v>
      </c>
      <c r="B5" s="1" t="str">
        <f>VLOOKUP(A5,'CODE NOTE'!A:B,2,0)</f>
        <v>I100938</v>
      </c>
      <c r="C5" s="1"/>
      <c r="D5" s="1" t="str">
        <f>VLOOKUP(A5,'CODE NOTE'!A:C,3,0)</f>
        <v>GIÁ SẠCH</v>
      </c>
      <c r="E5" s="1" t="str">
        <f>VLOOKUP(A5,'CODE NOTE'!D:E,2,0)</f>
        <v>Kg</v>
      </c>
      <c r="F5" s="90"/>
      <c r="G5" s="90"/>
      <c r="H5" s="13">
        <f>VLOOKUP(A5,'CODE NOTE'!D:F,3,0)</f>
        <v>0</v>
      </c>
      <c r="I5" s="106"/>
      <c r="J5" s="93" t="s">
        <v>1660</v>
      </c>
      <c r="K5" t="s">
        <v>3798</v>
      </c>
    </row>
    <row r="6" spans="1:11">
      <c r="B6" s="1" t="e">
        <f>VLOOKUP(A6,'CODE NOTE'!A:B,2,0)</f>
        <v>#N/A</v>
      </c>
      <c r="C6" s="1"/>
      <c r="D6" s="1" t="e">
        <f>VLOOKUP(A6,'CODE NOTE'!A:C,3,0)</f>
        <v>#N/A</v>
      </c>
      <c r="E6" s="1" t="e">
        <f>VLOOKUP(A6,'CODE NOTE'!D:E,2,0)</f>
        <v>#N/A</v>
      </c>
      <c r="F6" s="90"/>
      <c r="G6" s="90"/>
      <c r="H6" s="13" t="e">
        <f>VLOOKUP(A6,'CODE NOTE'!D:F,3,0)</f>
        <v>#N/A</v>
      </c>
      <c r="I6" s="106"/>
      <c r="J6" s="93" t="s">
        <v>3799</v>
      </c>
      <c r="K6" t="s">
        <v>3800</v>
      </c>
    </row>
    <row r="7" spans="1:11">
      <c r="B7" s="1" t="e">
        <f>VLOOKUP(A7,'CODE NOTE'!A:B,2,0)</f>
        <v>#N/A</v>
      </c>
      <c r="C7" s="1"/>
      <c r="D7" s="1" t="e">
        <f>VLOOKUP(A7,'CODE NOTE'!A:C,3,0)</f>
        <v>#N/A</v>
      </c>
      <c r="E7" s="1" t="e">
        <f>VLOOKUP(A7,'CODE NOTE'!D:E,2,0)</f>
        <v>#N/A</v>
      </c>
      <c r="F7" s="90"/>
      <c r="G7" s="90"/>
      <c r="H7" s="13" t="e">
        <f>VLOOKUP(A7,'CODE NOTE'!D:F,3,0)</f>
        <v>#N/A</v>
      </c>
      <c r="I7" s="106"/>
      <c r="J7" s="93" t="s">
        <v>258</v>
      </c>
      <c r="K7" t="s">
        <v>3795</v>
      </c>
    </row>
    <row r="8" spans="1:11">
      <c r="B8" s="1" t="e">
        <f>VLOOKUP(A8,'CODE NOTE'!A:B,2,0)</f>
        <v>#N/A</v>
      </c>
      <c r="C8" s="1"/>
      <c r="D8" s="1" t="e">
        <f>VLOOKUP(A8,'CODE NOTE'!A:C,3,0)</f>
        <v>#N/A</v>
      </c>
      <c r="E8" s="1" t="e">
        <f>VLOOKUP(A8,'CODE NOTE'!D:E,2,0)</f>
        <v>#N/A</v>
      </c>
      <c r="F8" s="90"/>
      <c r="G8" s="90"/>
      <c r="H8" s="13" t="e">
        <f>VLOOKUP(A8,'CODE NOTE'!D:F,3,0)</f>
        <v>#N/A</v>
      </c>
      <c r="I8" s="106"/>
      <c r="J8" s="93" t="s">
        <v>3814</v>
      </c>
    </row>
    <row r="9" spans="1:11">
      <c r="B9" s="1" t="e">
        <f>VLOOKUP(A9,'CODE NOTE'!A:B,2,0)</f>
        <v>#N/A</v>
      </c>
      <c r="C9" s="1"/>
      <c r="D9" s="1" t="e">
        <f>VLOOKUP(A9,'CODE NOTE'!A:C,3,0)</f>
        <v>#N/A</v>
      </c>
      <c r="E9" s="1" t="e">
        <f>VLOOKUP(A9,'CODE NOTE'!D:E,2,0)</f>
        <v>#N/A</v>
      </c>
      <c r="F9" s="90"/>
      <c r="G9" s="90"/>
      <c r="H9" s="13" t="e">
        <f>VLOOKUP(A9,'CODE NOTE'!D:F,3,0)</f>
        <v>#N/A</v>
      </c>
      <c r="I9" s="106"/>
      <c r="J9" s="93" t="s">
        <v>350</v>
      </c>
      <c r="K9" t="s">
        <v>3825</v>
      </c>
    </row>
    <row r="10" spans="1:11" ht="15.6" customHeight="1">
      <c r="B10" s="1" t="e">
        <f>VLOOKUP(A10,'CODE NOTE'!A:B,2,0)</f>
        <v>#N/A</v>
      </c>
      <c r="C10" s="1"/>
      <c r="D10" s="1" t="e">
        <f>VLOOKUP(A10,'CODE NOTE'!A:C,3,0)</f>
        <v>#N/A</v>
      </c>
      <c r="E10" s="1" t="e">
        <f>VLOOKUP(A10,'CODE NOTE'!D:E,2,0)</f>
        <v>#N/A</v>
      </c>
      <c r="F10" s="90"/>
      <c r="G10" s="90"/>
      <c r="H10" s="13" t="e">
        <f>VLOOKUP(A10,'CODE NOTE'!D:F,3,0)</f>
        <v>#N/A</v>
      </c>
      <c r="I10" s="106"/>
      <c r="J10" s="93" t="s">
        <v>3824</v>
      </c>
      <c r="K10" t="s">
        <v>3831</v>
      </c>
    </row>
    <row r="11" spans="1:11">
      <c r="B11" s="1" t="e">
        <f>VLOOKUP(A11,'CODE NOTE'!A:B,2,0)</f>
        <v>#N/A</v>
      </c>
      <c r="C11" s="1"/>
      <c r="D11" s="1" t="e">
        <f>VLOOKUP(A11,'CODE NOTE'!A:C,3,0)</f>
        <v>#N/A</v>
      </c>
      <c r="E11" s="1" t="e">
        <f>VLOOKUP(A11,'CODE NOTE'!D:E,2,0)</f>
        <v>#N/A</v>
      </c>
      <c r="F11" s="90"/>
      <c r="G11" s="90"/>
      <c r="H11" s="13" t="e">
        <f>VLOOKUP(A11,'CODE NOTE'!D:F,3,0)</f>
        <v>#N/A</v>
      </c>
      <c r="I11" s="106"/>
      <c r="J11" s="93" t="s">
        <v>274</v>
      </c>
      <c r="K11" t="s">
        <v>3827</v>
      </c>
    </row>
    <row r="12" spans="1:11" ht="14.4" customHeight="1">
      <c r="B12" s="1" t="e">
        <f>VLOOKUP(A12,'CODE NOTE'!A:B,2,0)</f>
        <v>#N/A</v>
      </c>
      <c r="C12" s="1"/>
      <c r="D12" s="1" t="e">
        <f>VLOOKUP(A12,'CODE NOTE'!A:C,3,0)</f>
        <v>#N/A</v>
      </c>
      <c r="E12" s="1" t="e">
        <f>VLOOKUP(A12,'CODE NOTE'!D:E,2,0)</f>
        <v>#N/A</v>
      </c>
      <c r="F12" s="90"/>
      <c r="G12" s="90"/>
      <c r="H12" s="13" t="e">
        <f>VLOOKUP(A12,'CODE NOTE'!D:F,3,0)</f>
        <v>#N/A</v>
      </c>
      <c r="I12" s="106"/>
      <c r="J12" s="93" t="s">
        <v>778</v>
      </c>
      <c r="K12" t="s">
        <v>3828</v>
      </c>
    </row>
    <row r="13" spans="1:11">
      <c r="B13" s="1" t="e">
        <f>VLOOKUP(A13,'CODE NOTE'!A:B,2,0)</f>
        <v>#N/A</v>
      </c>
      <c r="C13" s="1"/>
      <c r="D13" s="1" t="e">
        <f>VLOOKUP(A13,'CODE NOTE'!A:C,3,0)</f>
        <v>#N/A</v>
      </c>
      <c r="E13" s="1" t="e">
        <f>VLOOKUP(A13,'CODE NOTE'!D:E,2,0)</f>
        <v>#N/A</v>
      </c>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row>
    <row r="20" spans="2:12">
      <c r="B20" s="1"/>
      <c r="C20" s="1"/>
      <c r="D20" s="1"/>
      <c r="E20" s="1"/>
      <c r="F20" s="90"/>
      <c r="G20" s="90"/>
      <c r="H20" s="13" t="e">
        <f>VLOOKUP(A20,'CODE NOTE'!D:F,3,0)</f>
        <v>#N/A</v>
      </c>
      <c r="I20" s="106"/>
      <c r="J20" s="98" t="s">
        <v>3829</v>
      </c>
      <c r="K20" s="99"/>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G23" s="90"/>
      <c r="H23" s="13" t="e">
        <f>VLOOKUP(A23,'CODE NOTE'!D:F,3,0)</f>
        <v>#N/A</v>
      </c>
      <c r="I23" s="106"/>
    </row>
    <row r="24" spans="2:12">
      <c r="B24" s="1"/>
      <c r="C24" s="1"/>
      <c r="D24" s="1"/>
      <c r="E24" s="1"/>
      <c r="F24" s="90"/>
      <c r="H24" s="13" t="e">
        <f>VLOOKUP(A24,'CODE NOTE'!D:F,3,0)</f>
        <v>#N/A</v>
      </c>
      <c r="I24" s="106"/>
    </row>
    <row r="25" spans="2:12">
      <c r="B25" s="1"/>
      <c r="C25" s="1"/>
      <c r="D25" s="1"/>
      <c r="E25" s="1"/>
      <c r="F25" s="90"/>
      <c r="H25" s="13" t="e">
        <f>VLOOKUP(A25,'CODE NOTE'!D:F,3,0)</f>
        <v>#N/A</v>
      </c>
      <c r="I25" s="106"/>
    </row>
    <row r="26" spans="2:12">
      <c r="B26" s="1"/>
      <c r="C26" s="1"/>
      <c r="D26" s="1"/>
      <c r="E26" s="1"/>
      <c r="H26" s="13" t="e">
        <f>VLOOKUP(A26,'CODE NOTE'!D:F,3,0)</f>
        <v>#N/A</v>
      </c>
      <c r="I26" s="106"/>
    </row>
    <row r="27" spans="2:12">
      <c r="B27" s="1"/>
      <c r="C27" s="1"/>
      <c r="D27" s="1"/>
      <c r="E27" s="1"/>
      <c r="H27" s="13" t="e">
        <f>VLOOKUP(A27,'CODE NOTE'!D:F,3,0)</f>
        <v>#N/A</v>
      </c>
      <c r="I27" s="106"/>
    </row>
    <row r="28" spans="2:12" ht="14.4" customHeight="1">
      <c r="B28" s="1"/>
      <c r="C28" s="1"/>
      <c r="D28" s="1"/>
      <c r="E28" s="1"/>
      <c r="H28" s="13" t="e">
        <f>VLOOKUP(A28,'CODE NOTE'!D:F,3,0)</f>
        <v>#N/A</v>
      </c>
      <c r="I28" s="106"/>
    </row>
    <row r="29" spans="2:12">
      <c r="B29" s="1"/>
      <c r="C29" s="1"/>
      <c r="D29" s="1"/>
      <c r="E29" s="1"/>
      <c r="H29" s="13" t="e">
        <f>VLOOKUP(A29,'CODE NOTE'!D:F,3,0)</f>
        <v>#N/A</v>
      </c>
      <c r="I29" s="106"/>
      <c r="J29" s="15" t="s">
        <v>3006</v>
      </c>
      <c r="K29" s="14" t="s">
        <v>3067</v>
      </c>
      <c r="L29" s="14" t="s">
        <v>1511</v>
      </c>
    </row>
    <row r="30" spans="2:12">
      <c r="B30" s="1"/>
      <c r="C30" s="1"/>
      <c r="D30" s="1"/>
      <c r="E30" s="1"/>
      <c r="H30" s="13" t="e">
        <f>VLOOKUP(A30,'CODE NOTE'!D:F,3,0)</f>
        <v>#N/A</v>
      </c>
      <c r="I30" s="106"/>
      <c r="J30" s="15" t="s">
        <v>2990</v>
      </c>
      <c r="K30" s="14" t="s">
        <v>2903</v>
      </c>
      <c r="L30" s="14" t="s">
        <v>568</v>
      </c>
    </row>
    <row r="31" spans="2:12">
      <c r="B31" s="1"/>
      <c r="C31" s="1"/>
      <c r="D31" s="1"/>
      <c r="E31" s="1"/>
      <c r="H31" s="13" t="e">
        <f>VLOOKUP(A31,'CODE NOTE'!D:F,3,0)</f>
        <v>#N/A</v>
      </c>
      <c r="I31" s="106"/>
      <c r="J31" s="15" t="s">
        <v>3008</v>
      </c>
      <c r="K31" s="14" t="s">
        <v>1438</v>
      </c>
      <c r="L31" s="14" t="s">
        <v>1436</v>
      </c>
    </row>
    <row r="32" spans="2:12" ht="14.4" customHeight="1">
      <c r="B32" s="1"/>
      <c r="C32" s="1"/>
      <c r="D32" s="1"/>
      <c r="E32" s="1"/>
      <c r="H32" s="13" t="e">
        <f>VLOOKUP(A32,'CODE NOTE'!D:F,3,0)</f>
        <v>#N/A</v>
      </c>
      <c r="I32" s="106"/>
      <c r="J32" s="15" t="s">
        <v>3013</v>
      </c>
      <c r="K32" s="14" t="s">
        <v>3069</v>
      </c>
      <c r="L32" s="14" t="s">
        <v>500</v>
      </c>
    </row>
    <row r="33" spans="2:12">
      <c r="B33" s="1"/>
      <c r="C33" s="1"/>
      <c r="D33" s="1"/>
      <c r="E33" s="1"/>
      <c r="H33" s="13" t="e">
        <f>VLOOKUP(A33,'CODE NOTE'!D:F,3,0)</f>
        <v>#N/A</v>
      </c>
      <c r="I33" s="106"/>
      <c r="J33" s="15" t="s">
        <v>3124</v>
      </c>
      <c r="K33" s="14" t="s">
        <v>3125</v>
      </c>
      <c r="L33" s="14" t="s">
        <v>396</v>
      </c>
    </row>
    <row r="34" spans="2:12" ht="14.4" customHeight="1">
      <c r="B34" s="1"/>
      <c r="C34" s="1"/>
      <c r="D34" s="1"/>
      <c r="E34" s="1"/>
      <c r="H34" s="13" t="e">
        <f>VLOOKUP(A34,'CODE NOTE'!D:F,3,0)</f>
        <v>#N/A</v>
      </c>
      <c r="I34" s="106"/>
      <c r="J34" s="15" t="s">
        <v>3005</v>
      </c>
      <c r="K34" s="14" t="s">
        <v>131</v>
      </c>
      <c r="L34" s="14" t="s">
        <v>614</v>
      </c>
    </row>
    <row r="35" spans="2:12">
      <c r="B35" s="1"/>
      <c r="C35" s="1"/>
      <c r="D35" s="1"/>
      <c r="E35" s="1"/>
      <c r="H35" s="13" t="e">
        <f>VLOOKUP(A35,'CODE NOTE'!D:F,3,0)</f>
        <v>#N/A</v>
      </c>
      <c r="I35" s="106"/>
      <c r="J35" s="15" t="s">
        <v>3004</v>
      </c>
      <c r="K35" s="14" t="s">
        <v>129</v>
      </c>
      <c r="L35" s="14" t="s">
        <v>613</v>
      </c>
    </row>
    <row r="36" spans="2:12" ht="14.4" customHeight="1">
      <c r="B36" s="1"/>
      <c r="C36" s="1"/>
      <c r="D36" s="1"/>
      <c r="E36" s="1"/>
      <c r="H36" s="13" t="e">
        <f>VLOOKUP(A36,'CODE NOTE'!D:F,3,0)</f>
        <v>#N/A</v>
      </c>
      <c r="I36" s="106"/>
      <c r="J36" s="15" t="s">
        <v>3087</v>
      </c>
      <c r="K36" s="14" t="s">
        <v>366</v>
      </c>
      <c r="L36" s="14" t="s">
        <v>364</v>
      </c>
    </row>
    <row r="37" spans="2:12">
      <c r="B37" s="1"/>
      <c r="C37" s="1"/>
      <c r="D37" s="1"/>
      <c r="E37" s="1"/>
      <c r="H37" s="13" t="e">
        <f>VLOOKUP(A37,'CODE NOTE'!D:F,3,0)</f>
        <v>#N/A</v>
      </c>
      <c r="I37" s="106"/>
      <c r="J37" s="15" t="s">
        <v>3011</v>
      </c>
      <c r="K37" s="14" t="s">
        <v>16</v>
      </c>
      <c r="L37" s="14" t="s">
        <v>300</v>
      </c>
    </row>
    <row r="38" spans="2:12">
      <c r="B38" s="1"/>
      <c r="C38" s="1"/>
      <c r="D38" s="1"/>
      <c r="E38" s="1"/>
      <c r="H38" s="13" t="e">
        <f>VLOOKUP(A38,'CODE NOTE'!D:F,3,0)</f>
        <v>#N/A</v>
      </c>
      <c r="I38" s="106"/>
      <c r="J38" s="15" t="s">
        <v>2994</v>
      </c>
      <c r="K38" s="14" t="s">
        <v>3063</v>
      </c>
      <c r="L38" s="14" t="s">
        <v>694</v>
      </c>
    </row>
    <row r="39" spans="2:12">
      <c r="B39" s="1"/>
      <c r="C39" s="1"/>
      <c r="D39" s="1"/>
      <c r="E39" s="1"/>
      <c r="H39" s="13" t="e">
        <f>VLOOKUP(A39,'CODE NOTE'!D:F,3,0)</f>
        <v>#N/A</v>
      </c>
      <c r="I39" s="106"/>
      <c r="J39" s="15" t="s">
        <v>1823</v>
      </c>
      <c r="K39" s="14"/>
      <c r="L39" s="14"/>
    </row>
    <row r="40" spans="2:12" ht="14.4" customHeight="1">
      <c r="B40" s="1"/>
      <c r="C40" s="1"/>
      <c r="D40" s="1"/>
      <c r="E40" s="1"/>
      <c r="H40" s="13" t="e">
        <f>VLOOKUP(A40,'CODE NOTE'!D:F,3,0)</f>
        <v>#N/A</v>
      </c>
      <c r="I40" s="106"/>
      <c r="J40" s="15" t="s">
        <v>3001</v>
      </c>
      <c r="K40" s="14" t="s">
        <v>3066</v>
      </c>
      <c r="L40" s="14" t="s">
        <v>610</v>
      </c>
    </row>
    <row r="41" spans="2:12">
      <c r="B41" s="1"/>
      <c r="C41" s="1"/>
      <c r="D41" s="1"/>
      <c r="E41" s="1"/>
      <c r="H41" s="13" t="e">
        <f>VLOOKUP(A41,'CODE NOTE'!D:F,3,0)</f>
        <v>#N/A</v>
      </c>
      <c r="I41" s="106"/>
      <c r="J41" s="15" t="s">
        <v>2998</v>
      </c>
      <c r="K41" s="14" t="s">
        <v>3065</v>
      </c>
      <c r="L41" s="14" t="s">
        <v>611</v>
      </c>
    </row>
    <row r="42" spans="2:12">
      <c r="B42" s="1"/>
      <c r="C42" s="1"/>
      <c r="D42" s="1"/>
      <c r="E42" s="1"/>
      <c r="H42" s="13" t="e">
        <f>VLOOKUP(A42,'CODE NOTE'!D:F,3,0)</f>
        <v>#N/A</v>
      </c>
      <c r="I42" s="106"/>
      <c r="J42" s="15" t="s">
        <v>341</v>
      </c>
      <c r="K42" s="14" t="s">
        <v>2896</v>
      </c>
      <c r="L42" s="14"/>
    </row>
    <row r="43" spans="2:12">
      <c r="B43" s="1"/>
      <c r="C43" s="1"/>
      <c r="D43" s="1"/>
      <c r="E43" s="1"/>
      <c r="H43" s="13" t="e">
        <f>VLOOKUP(A43,'CODE NOTE'!D:F,3,0)</f>
        <v>#N/A</v>
      </c>
      <c r="I43" s="106"/>
      <c r="J43" s="15" t="s">
        <v>3016</v>
      </c>
      <c r="K43" s="14" t="s">
        <v>20</v>
      </c>
      <c r="L43" s="14" t="s">
        <v>323</v>
      </c>
    </row>
    <row r="44" spans="2:12" ht="14.4" customHeight="1">
      <c r="B44" s="1"/>
      <c r="C44" s="1"/>
      <c r="D44" s="1"/>
      <c r="E44" s="1"/>
      <c r="H44" s="13" t="e">
        <f>VLOOKUP(A44,'CODE NOTE'!D:F,3,0)</f>
        <v>#N/A</v>
      </c>
      <c r="J44" s="15" t="s">
        <v>3010</v>
      </c>
      <c r="K44" s="14" t="s">
        <v>116</v>
      </c>
      <c r="L44" s="14" t="s">
        <v>594</v>
      </c>
    </row>
    <row r="45" spans="2:12">
      <c r="B45" s="1"/>
      <c r="C45" s="1"/>
      <c r="D45" s="1"/>
      <c r="E45" s="1"/>
      <c r="H45" s="13" t="e">
        <f>VLOOKUP(A45,'CODE NOTE'!D:F,3,0)</f>
        <v>#N/A</v>
      </c>
      <c r="J45" s="15" t="s">
        <v>2996</v>
      </c>
      <c r="K45" s="14" t="s">
        <v>3064</v>
      </c>
      <c r="L45" s="14" t="s">
        <v>258</v>
      </c>
    </row>
    <row r="46" spans="2:12">
      <c r="B46" s="1"/>
      <c r="C46" s="1"/>
      <c r="D46" s="1"/>
      <c r="E46" s="1"/>
      <c r="H46" s="13" t="e">
        <f>VLOOKUP(A46,'CODE NOTE'!D:F,3,0)</f>
        <v>#N/A</v>
      </c>
      <c r="J46" s="15" t="s">
        <v>2988</v>
      </c>
      <c r="K46" s="14" t="s">
        <v>64</v>
      </c>
      <c r="L46" s="14" t="s">
        <v>445</v>
      </c>
    </row>
    <row r="47" spans="2:12">
      <c r="B47" s="1"/>
      <c r="C47" s="1"/>
      <c r="D47" s="1"/>
      <c r="E47" s="1"/>
      <c r="H47" s="13" t="e">
        <f>VLOOKUP(A47,'CODE NOTE'!D:F,3,0)</f>
        <v>#N/A</v>
      </c>
      <c r="J47" s="15" t="s">
        <v>2989</v>
      </c>
      <c r="K47" s="14" t="s">
        <v>3061</v>
      </c>
      <c r="L47" s="14" t="s">
        <v>1080</v>
      </c>
    </row>
    <row r="48" spans="2:12">
      <c r="B48" s="1"/>
      <c r="C48" s="1"/>
      <c r="D48" s="1"/>
      <c r="E48" s="1"/>
      <c r="H48" s="13" t="e">
        <f>VLOOKUP(A48,'CODE NOTE'!D:F,3,0)</f>
        <v>#N/A</v>
      </c>
      <c r="J48" s="15" t="s">
        <v>3084</v>
      </c>
      <c r="K48" s="14" t="s">
        <v>1529</v>
      </c>
      <c r="L48" s="14" t="s">
        <v>1527</v>
      </c>
    </row>
    <row r="49" spans="2:12">
      <c r="B49" s="1"/>
      <c r="C49" s="1"/>
      <c r="D49" s="1"/>
      <c r="E49" s="1"/>
      <c r="H49" s="13" t="e">
        <f>VLOOKUP(A49,'CODE NOTE'!D:F,3,0)</f>
        <v>#N/A</v>
      </c>
      <c r="J49" s="15" t="s">
        <v>2997</v>
      </c>
      <c r="K49" s="14" t="s">
        <v>168</v>
      </c>
      <c r="L49" s="14" t="s">
        <v>759</v>
      </c>
    </row>
    <row r="50" spans="2:12">
      <c r="B50" s="1"/>
      <c r="C50" s="1"/>
      <c r="D50" s="1"/>
      <c r="E50" s="1"/>
      <c r="H50" s="13" t="e">
        <f>VLOOKUP(A50,'CODE NOTE'!D:F,3,0)</f>
        <v>#N/A</v>
      </c>
      <c r="J50" s="15" t="s">
        <v>3101</v>
      </c>
      <c r="K50" s="14" t="s">
        <v>3072</v>
      </c>
      <c r="L50" s="14" t="s">
        <v>462</v>
      </c>
    </row>
    <row r="51" spans="2:12">
      <c r="B51" s="1"/>
      <c r="C51" s="1"/>
      <c r="D51" s="1"/>
      <c r="E51" s="1"/>
      <c r="H51" s="13" t="e">
        <f>VLOOKUP(A51,'CODE NOTE'!D:F,3,0)</f>
        <v>#N/A</v>
      </c>
      <c r="J51" s="15" t="s">
        <v>3074</v>
      </c>
      <c r="K51" s="14" t="s">
        <v>3075</v>
      </c>
      <c r="L51" s="14" t="s">
        <v>740</v>
      </c>
    </row>
    <row r="52" spans="2:12">
      <c r="B52" s="1"/>
      <c r="C52" s="1"/>
      <c r="D52" s="1"/>
      <c r="E52" s="1"/>
      <c r="H52" s="13" t="e">
        <f>VLOOKUP(A52,'CODE NOTE'!D:F,3,0)</f>
        <v>#N/A</v>
      </c>
      <c r="J52" s="15" t="s">
        <v>2995</v>
      </c>
      <c r="K52" s="14" t="s">
        <v>468</v>
      </c>
      <c r="L52" s="14" t="s">
        <v>466</v>
      </c>
    </row>
    <row r="53" spans="2:12">
      <c r="B53" s="1"/>
      <c r="C53" s="1"/>
      <c r="D53" s="1"/>
      <c r="E53" s="1"/>
      <c r="H53" s="13" t="e">
        <f>VLOOKUP(A53,'CODE NOTE'!D:F,3,0)</f>
        <v>#N/A</v>
      </c>
      <c r="J53" s="15" t="s">
        <v>3357</v>
      </c>
      <c r="K53" s="14" t="s">
        <v>3358</v>
      </c>
      <c r="L53" s="14" t="s">
        <v>619</v>
      </c>
    </row>
    <row r="54" spans="2:12">
      <c r="B54" s="1"/>
      <c r="C54" s="1"/>
      <c r="D54" s="1"/>
      <c r="E54" s="1"/>
      <c r="H54" s="13" t="e">
        <f>VLOOKUP(A54,'CODE NOTE'!D:F,3,0)</f>
        <v>#N/A</v>
      </c>
      <c r="J54" s="15" t="s">
        <v>3019</v>
      </c>
      <c r="K54" s="14" t="s">
        <v>3071</v>
      </c>
      <c r="L54" s="14" t="s">
        <v>1537</v>
      </c>
    </row>
    <row r="55" spans="2:12">
      <c r="B55" s="1"/>
      <c r="C55" s="1"/>
      <c r="D55" s="1"/>
      <c r="E55" s="1"/>
      <c r="H55" s="13" t="e">
        <f>VLOOKUP(A55,'CODE NOTE'!D:F,3,0)</f>
        <v>#N/A</v>
      </c>
      <c r="J55" s="15" t="s">
        <v>3020</v>
      </c>
      <c r="K55" s="14" t="s">
        <v>2898</v>
      </c>
      <c r="L55" s="14"/>
    </row>
    <row r="56" spans="2:12">
      <c r="B56" s="1"/>
      <c r="C56" s="1"/>
      <c r="D56" s="1"/>
      <c r="E56" s="1"/>
      <c r="H56" s="13" t="e">
        <f>VLOOKUP(A56,'CODE NOTE'!D:F,3,0)</f>
        <v>#N/A</v>
      </c>
      <c r="J56" s="15" t="s">
        <v>3078</v>
      </c>
      <c r="K56" s="14" t="s">
        <v>3079</v>
      </c>
      <c r="L56" s="14" t="s">
        <v>3077</v>
      </c>
    </row>
    <row r="57" spans="2:12">
      <c r="B57" s="1"/>
      <c r="C57" s="1"/>
      <c r="D57" s="1"/>
      <c r="E57" s="1"/>
      <c r="H57" s="13" t="e">
        <f>VLOOKUP(A57,'CODE NOTE'!D:F,3,0)</f>
        <v>#N/A</v>
      </c>
      <c r="J57" s="15" t="s">
        <v>3017</v>
      </c>
      <c r="K57" s="14" t="s">
        <v>44</v>
      </c>
      <c r="L57" s="14" t="s">
        <v>386</v>
      </c>
    </row>
    <row r="58" spans="2:12">
      <c r="B58" s="1"/>
      <c r="C58" s="1"/>
      <c r="D58" s="1"/>
      <c r="E58" s="1"/>
      <c r="H58" s="13" t="e">
        <f>VLOOKUP(A58,'CODE NOTE'!D:F,3,0)</f>
        <v>#N/A</v>
      </c>
      <c r="J58" s="15" t="s">
        <v>3018</v>
      </c>
      <c r="K58" s="14" t="s">
        <v>3070</v>
      </c>
      <c r="L58" s="14" t="s">
        <v>382</v>
      </c>
    </row>
    <row r="59" spans="2:12">
      <c r="B59" s="1"/>
      <c r="C59" s="1"/>
      <c r="D59" s="1"/>
      <c r="E59" s="1"/>
      <c r="H59" s="13" t="e">
        <f>VLOOKUP(A59,'CODE NOTE'!D:F,3,0)</f>
        <v>#N/A</v>
      </c>
      <c r="J59" s="15" t="s">
        <v>703</v>
      </c>
      <c r="K59" s="14" t="s">
        <v>2897</v>
      </c>
      <c r="L59" s="14"/>
    </row>
    <row r="60" spans="2:12">
      <c r="B60" s="1"/>
      <c r="C60" s="1"/>
      <c r="D60" s="1"/>
      <c r="E60" s="1"/>
      <c r="H60" s="13" t="e">
        <f>VLOOKUP(A60,'CODE NOTE'!D:F,3,0)</f>
        <v>#N/A</v>
      </c>
      <c r="J60" s="15" t="s">
        <v>3085</v>
      </c>
      <c r="K60" s="14" t="s">
        <v>3129</v>
      </c>
      <c r="L60" s="14" t="s">
        <v>499</v>
      </c>
    </row>
    <row r="61" spans="2:12">
      <c r="B61" s="1"/>
      <c r="C61" s="1"/>
      <c r="D61" s="1"/>
      <c r="E61" s="1"/>
      <c r="H61" s="13" t="e">
        <f>VLOOKUP(A61,'CODE NOTE'!D:F,3,0)</f>
        <v>#N/A</v>
      </c>
      <c r="J61" s="15" t="s">
        <v>785</v>
      </c>
      <c r="K61" s="14" t="s">
        <v>2900</v>
      </c>
      <c r="L61" s="14"/>
    </row>
    <row r="62" spans="2:12">
      <c r="B62" s="1"/>
      <c r="C62" s="1"/>
      <c r="D62" s="1"/>
      <c r="E62" s="1"/>
      <c r="H62" s="13" t="e">
        <f>VLOOKUP(A62,'CODE NOTE'!D:F,3,0)</f>
        <v>#N/A</v>
      </c>
      <c r="J62" s="15" t="s">
        <v>2993</v>
      </c>
      <c r="K62" s="14" t="s">
        <v>58</v>
      </c>
      <c r="L62" s="14" t="s">
        <v>411</v>
      </c>
    </row>
    <row r="63" spans="2:12">
      <c r="B63" s="1"/>
      <c r="C63" s="1"/>
      <c r="D63" s="1"/>
      <c r="E63" s="1"/>
      <c r="H63" s="13" t="e">
        <f>VLOOKUP(A63,'CODE NOTE'!D:F,3,0)</f>
        <v>#N/A</v>
      </c>
      <c r="J63" s="15" t="s">
        <v>3009</v>
      </c>
      <c r="K63" s="14" t="s">
        <v>3068</v>
      </c>
      <c r="L63" s="14" t="s">
        <v>1429</v>
      </c>
    </row>
    <row r="64" spans="2:12">
      <c r="B64" s="1"/>
      <c r="C64" s="1"/>
      <c r="D64" s="1"/>
      <c r="E64" s="1"/>
      <c r="H64" s="13" t="e">
        <f>VLOOKUP(A64,'CODE NOTE'!D:F,3,0)</f>
        <v>#N/A</v>
      </c>
      <c r="J64" s="15" t="s">
        <v>2992</v>
      </c>
      <c r="K64" s="14" t="s">
        <v>118</v>
      </c>
      <c r="L64" s="14" t="s">
        <v>604</v>
      </c>
    </row>
    <row r="65" spans="2:12">
      <c r="B65" s="1"/>
      <c r="C65" s="1"/>
      <c r="D65" s="1"/>
      <c r="E65" s="1"/>
      <c r="H65" s="13" t="e">
        <f>VLOOKUP(A65,'CODE NOTE'!D:F,3,0)</f>
        <v>#N/A</v>
      </c>
      <c r="J65" s="15" t="s">
        <v>3015</v>
      </c>
      <c r="K65" s="14" t="s">
        <v>739</v>
      </c>
      <c r="L65" s="14" t="s">
        <v>737</v>
      </c>
    </row>
    <row r="66" spans="2:12">
      <c r="B66" s="1"/>
      <c r="C66" s="1"/>
      <c r="D66" s="1"/>
      <c r="E66" s="1"/>
      <c r="H66" s="13" t="e">
        <f>VLOOKUP(A66,'CODE NOTE'!D:F,3,0)</f>
        <v>#N/A</v>
      </c>
      <c r="J66" s="15" t="s">
        <v>3012</v>
      </c>
      <c r="K66" s="14" t="s">
        <v>6</v>
      </c>
      <c r="L66" s="14" t="s">
        <v>244</v>
      </c>
    </row>
    <row r="67" spans="2:12">
      <c r="B67" s="1"/>
      <c r="C67" s="1"/>
      <c r="D67" s="1"/>
      <c r="E67" s="1"/>
      <c r="H67" s="13" t="e">
        <f>VLOOKUP(A67,'CODE NOTE'!D:F,3,0)</f>
        <v>#N/A</v>
      </c>
      <c r="J67" s="15" t="s">
        <v>3014</v>
      </c>
      <c r="K67" s="14" t="s">
        <v>856</v>
      </c>
      <c r="L67" s="14" t="s">
        <v>861</v>
      </c>
    </row>
    <row r="68" spans="2:12">
      <c r="B68" s="1"/>
      <c r="C68" s="1"/>
      <c r="D68" s="1"/>
      <c r="E68" s="1"/>
      <c r="H68" s="13" t="e">
        <f>VLOOKUP(A68,'CODE NOTE'!D:F,3,0)</f>
        <v>#N/A</v>
      </c>
      <c r="J68" s="15" t="s">
        <v>661</v>
      </c>
      <c r="K68" s="14" t="s">
        <v>2899</v>
      </c>
      <c r="L68" s="14"/>
    </row>
    <row r="69" spans="2:12">
      <c r="B69" s="1"/>
      <c r="C69" s="1"/>
      <c r="D69" s="1"/>
      <c r="E69" s="1"/>
      <c r="H69" s="13" t="e">
        <f>VLOOKUP(A69,'CODE NOTE'!D:F,3,0)</f>
        <v>#N/A</v>
      </c>
      <c r="J69" s="15" t="s">
        <v>3007</v>
      </c>
      <c r="K69" s="14" t="s">
        <v>472</v>
      </c>
      <c r="L69" s="14" t="s">
        <v>470</v>
      </c>
    </row>
    <row r="70" spans="2:12">
      <c r="B70" s="1"/>
      <c r="C70" s="1"/>
      <c r="D70" s="1"/>
      <c r="E70" s="1"/>
      <c r="H70" s="13" t="e">
        <f>VLOOKUP(A70,'CODE NOTE'!D:F,3,0)</f>
        <v>#N/A</v>
      </c>
      <c r="J70" s="15" t="s">
        <v>3002</v>
      </c>
      <c r="K70" s="14" t="s">
        <v>3003</v>
      </c>
      <c r="L70" s="14" t="s">
        <v>705</v>
      </c>
    </row>
    <row r="71" spans="2:12">
      <c r="B71" s="1"/>
      <c r="C71" s="1"/>
      <c r="D71" s="1"/>
      <c r="E71" s="1"/>
      <c r="H71" s="13" t="e">
        <f>VLOOKUP(A71,'CODE NOTE'!D:F,3,0)</f>
        <v>#N/A</v>
      </c>
      <c r="J71" s="15" t="s">
        <v>1767</v>
      </c>
      <c r="K71" s="14" t="s">
        <v>2895</v>
      </c>
      <c r="L71" s="14"/>
    </row>
    <row r="72" spans="2:12">
      <c r="B72" s="1"/>
      <c r="C72" s="1"/>
      <c r="D72" s="1"/>
      <c r="E72" s="1"/>
      <c r="H72" s="13" t="e">
        <f>VLOOKUP(A72,'CODE NOTE'!D:F,3,0)</f>
        <v>#N/A</v>
      </c>
      <c r="J72" s="15" t="s">
        <v>2991</v>
      </c>
      <c r="K72" s="14" t="s">
        <v>3062</v>
      </c>
      <c r="L72" s="14" t="s">
        <v>473</v>
      </c>
    </row>
    <row r="73" spans="2:12">
      <c r="B73" s="1"/>
      <c r="C73" s="1"/>
      <c r="D73" s="1"/>
      <c r="E73" s="1"/>
      <c r="H73" s="13" t="e">
        <f>VLOOKUP(A73,'CODE NOTE'!D:F,3,0)</f>
        <v>#N/A</v>
      </c>
      <c r="J73" s="15" t="s">
        <v>3073</v>
      </c>
      <c r="K73" s="14" t="s">
        <v>174</v>
      </c>
      <c r="L73" s="14" t="s">
        <v>774</v>
      </c>
    </row>
    <row r="74" spans="2:12">
      <c r="B74" s="1"/>
      <c r="C74" s="1"/>
      <c r="D74" s="1"/>
      <c r="E74" s="1"/>
      <c r="H74" s="13" t="e">
        <f>VLOOKUP(A74,'CODE NOTE'!D:F,3,0)</f>
        <v>#N/A</v>
      </c>
      <c r="J74" s="15" t="s">
        <v>3000</v>
      </c>
      <c r="K74" s="14" t="s">
        <v>22</v>
      </c>
      <c r="L74" s="14" t="s">
        <v>324</v>
      </c>
    </row>
    <row r="75" spans="2:12">
      <c r="B75" s="1"/>
      <c r="C75" s="1"/>
      <c r="D75" s="1"/>
      <c r="E75" s="1"/>
      <c r="H75" s="13" t="e">
        <f>VLOOKUP(A75,'CODE NOTE'!D:F,3,0)</f>
        <v>#N/A</v>
      </c>
      <c r="J75" s="15" t="s">
        <v>2999</v>
      </c>
      <c r="K75" s="14" t="s">
        <v>76</v>
      </c>
      <c r="L75" s="14" t="s">
        <v>469</v>
      </c>
    </row>
    <row r="76" spans="2:12">
      <c r="B76" s="1"/>
      <c r="C76" s="1"/>
      <c r="D76" s="1"/>
      <c r="E76" s="1"/>
      <c r="H76" s="13" t="e">
        <f>VLOOKUP(A76,'CODE NOTE'!D:F,3,0)</f>
        <v>#N/A</v>
      </c>
      <c r="J76" s="15" t="s">
        <v>3138</v>
      </c>
      <c r="K76" s="14" t="s">
        <v>3139</v>
      </c>
      <c r="L76" s="19">
        <v>168</v>
      </c>
    </row>
    <row r="77" spans="2:12">
      <c r="B77" s="1"/>
      <c r="C77" s="1"/>
      <c r="D77" s="1"/>
      <c r="E77" s="1"/>
      <c r="H77" s="13" t="e">
        <f>VLOOKUP(A77,'CODE NOTE'!D:F,3,0)</f>
        <v>#N/A</v>
      </c>
      <c r="K77" s="14" t="s">
        <v>3089</v>
      </c>
      <c r="L77" s="14" t="s">
        <v>3092</v>
      </c>
    </row>
    <row r="78" spans="2:12">
      <c r="B78" s="1"/>
      <c r="C78" s="1"/>
      <c r="D78" s="1"/>
      <c r="E78" s="1"/>
      <c r="H78" s="13" t="e">
        <f>VLOOKUP(A78,'CODE NOTE'!D:F,3,0)</f>
        <v>#N/A</v>
      </c>
      <c r="J78" s="15"/>
      <c r="K78" s="14" t="s">
        <v>3090</v>
      </c>
      <c r="L78" s="14" t="s">
        <v>3091</v>
      </c>
    </row>
    <row r="79" spans="2:12">
      <c r="B79" s="1"/>
      <c r="C79" s="1"/>
      <c r="D79" s="1"/>
      <c r="E79" s="1"/>
      <c r="H79" s="13" t="e">
        <f>VLOOKUP(A79,'CODE NOTE'!D:F,3,0)</f>
        <v>#N/A</v>
      </c>
      <c r="J79" s="94" t="s">
        <v>3093</v>
      </c>
      <c r="K79" s="95">
        <v>1</v>
      </c>
      <c r="L79" s="95" t="s">
        <v>3094</v>
      </c>
    </row>
    <row r="80" spans="2:12">
      <c r="B80" s="1"/>
      <c r="C80" s="1"/>
      <c r="D80" s="1"/>
      <c r="E80" s="1"/>
      <c r="H80" s="13" t="e">
        <f>VLOOKUP(A80,'CODE NOTE'!D:F,3,0)</f>
        <v>#N/A</v>
      </c>
      <c r="J80" s="94"/>
      <c r="K80" s="95">
        <v>2</v>
      </c>
      <c r="L80" s="95" t="s">
        <v>3095</v>
      </c>
    </row>
    <row r="81" spans="2:12">
      <c r="B81" s="1"/>
      <c r="C81" s="1"/>
      <c r="D81" s="1"/>
      <c r="E81" s="1"/>
      <c r="H81" s="13" t="e">
        <f>VLOOKUP(A81,'CODE NOTE'!D:F,3,0)</f>
        <v>#N/A</v>
      </c>
      <c r="J81" s="94"/>
      <c r="K81" s="95">
        <v>7</v>
      </c>
      <c r="L81" s="95" t="s">
        <v>3098</v>
      </c>
    </row>
    <row r="82" spans="2:12">
      <c r="B82" s="1"/>
      <c r="C82" s="1"/>
      <c r="D82" s="1"/>
      <c r="E82" s="1"/>
      <c r="H82" s="13" t="e">
        <f>VLOOKUP(A82,'CODE NOTE'!D:F,3,0)</f>
        <v>#N/A</v>
      </c>
      <c r="J82" s="94"/>
      <c r="K82" s="95">
        <v>5</v>
      </c>
      <c r="L82" s="95" t="s">
        <v>3096</v>
      </c>
    </row>
    <row r="83" spans="2:12">
      <c r="B83" s="1"/>
      <c r="C83" s="1"/>
      <c r="D83" s="1"/>
      <c r="E83" s="1"/>
      <c r="H83" s="13" t="e">
        <f>VLOOKUP(A83,'CODE NOTE'!D:F,3,0)</f>
        <v>#N/A</v>
      </c>
      <c r="J83" s="15"/>
      <c r="K83" s="14">
        <v>4</v>
      </c>
      <c r="L83" s="14" t="s">
        <v>3097</v>
      </c>
    </row>
    <row r="84" spans="2:12">
      <c r="B84" s="1"/>
      <c r="C84" s="1"/>
      <c r="D84" s="1"/>
      <c r="E84" s="1"/>
      <c r="H84" s="13" t="e">
        <f>VLOOKUP(A84,'CODE NOTE'!D:F,3,0)</f>
        <v>#N/A</v>
      </c>
      <c r="J84" s="18" t="s">
        <v>3109</v>
      </c>
      <c r="K84" t="s">
        <v>3110</v>
      </c>
      <c r="L84" s="14" t="s">
        <v>3111</v>
      </c>
    </row>
    <row r="85" spans="2:12">
      <c r="B85" s="1"/>
      <c r="C85" s="1"/>
      <c r="D85" s="1"/>
      <c r="E85" s="1"/>
      <c r="H85" s="13"/>
      <c r="J85" s="18" t="s">
        <v>3116</v>
      </c>
      <c r="K85" t="s">
        <v>3807</v>
      </c>
      <c r="L85" s="14" t="s">
        <v>3807</v>
      </c>
    </row>
    <row r="86" spans="2:12">
      <c r="B86" s="1"/>
      <c r="C86" s="1"/>
      <c r="D86" s="1"/>
      <c r="E86" s="1"/>
      <c r="H86" s="13" t="e">
        <f>VLOOKUP(A86,'CODE NOTE'!D:F,3,0)</f>
        <v>#N/A</v>
      </c>
      <c r="K86" t="s">
        <v>3117</v>
      </c>
      <c r="L86" s="14" t="s">
        <v>3118</v>
      </c>
    </row>
    <row r="87" spans="2:12">
      <c r="B87" s="1"/>
      <c r="C87" s="1"/>
      <c r="D87" s="1"/>
      <c r="E87" s="1"/>
      <c r="H87" s="13" t="e">
        <f>VLOOKUP(A87,'CODE NOTE'!D:F,3,0)</f>
        <v>#N/A</v>
      </c>
      <c r="J87" s="15" t="s">
        <v>3330</v>
      </c>
      <c r="K87" t="s">
        <v>3654</v>
      </c>
      <c r="L87" s="14" t="s">
        <v>3653</v>
      </c>
    </row>
    <row r="88" spans="2:12">
      <c r="B88" s="1"/>
      <c r="C88" s="1"/>
      <c r="D88" s="1"/>
      <c r="E88" s="1"/>
      <c r="H88" s="13" t="e">
        <f>VLOOKUP(A88,'CODE NOTE'!D:F,3,0)</f>
        <v>#N/A</v>
      </c>
      <c r="K88" t="s">
        <v>3655</v>
      </c>
      <c r="L88" s="14" t="s">
        <v>3656</v>
      </c>
    </row>
    <row r="89" spans="2:12">
      <c r="B89" s="1"/>
      <c r="C89" s="1"/>
      <c r="D89" s="1"/>
      <c r="E89" s="1"/>
      <c r="H89" s="13" t="e">
        <f>VLOOKUP(A89,'CODE NOTE'!D:F,3,0)</f>
        <v>#N/A</v>
      </c>
      <c r="K89" t="s">
        <v>3657</v>
      </c>
      <c r="L89" s="14" t="s">
        <v>3658</v>
      </c>
    </row>
    <row r="90" spans="2:12">
      <c r="B90" s="1"/>
      <c r="C90" s="1"/>
      <c r="D90" s="1"/>
      <c r="E90" s="1"/>
      <c r="H90" s="13" t="e">
        <f>VLOOKUP(A90,'CODE NOTE'!D:F,3,0)</f>
        <v>#N/A</v>
      </c>
      <c r="J90" s="18" t="s">
        <v>3665</v>
      </c>
      <c r="K90" t="s">
        <v>3666</v>
      </c>
      <c r="L90" s="14" t="s">
        <v>3667</v>
      </c>
    </row>
    <row r="91" spans="2:12">
      <c r="B91" s="1"/>
      <c r="C91" s="1"/>
      <c r="D91" s="1"/>
      <c r="E91" s="1"/>
      <c r="H91" s="13" t="e">
        <f>VLOOKUP(A91,'CODE NOTE'!D:F,3,0)</f>
        <v>#N/A</v>
      </c>
      <c r="J91" s="2" t="s">
        <v>3819</v>
      </c>
      <c r="K91" s="2" t="s">
        <v>3820</v>
      </c>
      <c r="L91" s="2" t="s">
        <v>3821</v>
      </c>
    </row>
    <row r="92" spans="2:12">
      <c r="B92" s="1"/>
      <c r="C92" s="1"/>
      <c r="D92" s="1"/>
      <c r="E92" s="1"/>
      <c r="H92" s="13" t="e">
        <f>VLOOKUP(A92,'CODE NOTE'!D:F,3,0)</f>
        <v>#N/A</v>
      </c>
      <c r="J92" s="2"/>
      <c r="K92" s="2" t="s">
        <v>3822</v>
      </c>
      <c r="L92" s="2" t="s">
        <v>3823</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c r="H120" s="13" t="e">
        <f>VLOOKUP(A120,'CODE NOTE'!D:F,3,0)</f>
        <v>#N/A</v>
      </c>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row r="204" spans="2:5">
      <c r="B204" s="1"/>
      <c r="C204" s="1"/>
      <c r="D204" s="1"/>
      <c r="E204" s="1"/>
    </row>
  </sheetData>
  <autoFilter ref="A1:H71" xr:uid="{00000000-0009-0000-0000-000000000000}"/>
  <sortState xmlns:xlrd2="http://schemas.microsoft.com/office/spreadsheetml/2017/richdata2" ref="J29:L75">
    <sortCondition ref="J29"/>
  </sortState>
  <mergeCells count="1">
    <mergeCell ref="I2:I43"/>
  </mergeCells>
  <conditionalFormatting sqref="A1:A1048576">
    <cfRule type="duplicateValues" dxfId="735" priority="1"/>
  </conditionalFormatting>
  <conditionalFormatting sqref="A2:A25">
    <cfRule type="duplicateValues" dxfId="734" priority="1383"/>
    <cfRule type="duplicateValues" dxfId="733" priority="1384"/>
    <cfRule type="duplicateValues" dxfId="732" priority="1387"/>
    <cfRule type="duplicateValues" dxfId="731" priority="1388"/>
  </conditionalFormatting>
  <conditionalFormatting sqref="A7">
    <cfRule type="duplicateValues" dxfId="730" priority="2"/>
    <cfRule type="duplicateValues" dxfId="729" priority="3"/>
    <cfRule type="duplicateValues" dxfId="728" priority="4"/>
    <cfRule type="duplicateValues" dxfId="727" priority="5"/>
  </conditionalFormatting>
  <conditionalFormatting sqref="A8">
    <cfRule type="duplicateValues" dxfId="726" priority="598"/>
    <cfRule type="duplicateValues" dxfId="725" priority="599"/>
  </conditionalFormatting>
  <conditionalFormatting sqref="A8:A19">
    <cfRule type="duplicateValues" dxfId="724" priority="1379"/>
    <cfRule type="duplicateValues" dxfId="723" priority="1380"/>
  </conditionalFormatting>
  <conditionalFormatting sqref="A9">
    <cfRule type="duplicateValues" dxfId="722" priority="330"/>
    <cfRule type="duplicateValues" dxfId="721" priority="331"/>
    <cfRule type="duplicateValues" dxfId="720" priority="336"/>
    <cfRule type="duplicateValues" dxfId="719" priority="337"/>
    <cfRule type="duplicateValues" dxfId="718" priority="340"/>
    <cfRule type="duplicateValues" dxfId="717" priority="341"/>
    <cfRule type="duplicateValues" dxfId="716" priority="342"/>
    <cfRule type="duplicateValues" dxfId="715" priority="343"/>
    <cfRule type="duplicateValues" dxfId="714" priority="346"/>
    <cfRule type="duplicateValues" dxfId="713" priority="347"/>
    <cfRule type="duplicateValues" dxfId="712" priority="348"/>
    <cfRule type="duplicateValues" dxfId="711" priority="349"/>
    <cfRule type="duplicateValues" dxfId="710" priority="350"/>
    <cfRule type="duplicateValues" dxfId="709" priority="351"/>
    <cfRule type="duplicateValues" dxfId="708" priority="356"/>
    <cfRule type="duplicateValues" dxfId="707" priority="357"/>
    <cfRule type="duplicateValues" dxfId="706" priority="358"/>
    <cfRule type="duplicateValues" dxfId="705" priority="359"/>
    <cfRule type="duplicateValues" dxfId="704" priority="362"/>
    <cfRule type="duplicateValues" dxfId="703" priority="363"/>
    <cfRule type="duplicateValues" dxfId="702" priority="426"/>
    <cfRule type="duplicateValues" dxfId="701" priority="427"/>
    <cfRule type="duplicateValues" dxfId="700" priority="456"/>
    <cfRule type="duplicateValues" dxfId="699" priority="457"/>
    <cfRule type="duplicateValues" dxfId="698" priority="488"/>
    <cfRule type="duplicateValues" dxfId="697" priority="489"/>
    <cfRule type="duplicateValues" dxfId="696" priority="492"/>
    <cfRule type="duplicateValues" dxfId="695" priority="493"/>
    <cfRule type="duplicateValues" dxfId="694" priority="578"/>
    <cfRule type="duplicateValues" dxfId="693" priority="579"/>
    <cfRule type="duplicateValues" dxfId="692" priority="588"/>
    <cfRule type="duplicateValues" dxfId="691" priority="589"/>
    <cfRule type="duplicateValues" dxfId="690" priority="594"/>
    <cfRule type="duplicateValues" dxfId="689" priority="595"/>
    <cfRule type="duplicateValues" dxfId="688" priority="596"/>
    <cfRule type="duplicateValues" dxfId="687" priority="597"/>
    <cfRule type="duplicateValues" dxfId="686" priority="745"/>
    <cfRule type="duplicateValues" dxfId="685" priority="746"/>
  </conditionalFormatting>
  <conditionalFormatting sqref="A10">
    <cfRule type="duplicateValues" dxfId="684" priority="324"/>
    <cfRule type="duplicateValues" dxfId="683" priority="325"/>
    <cfRule type="duplicateValues" dxfId="682" priority="326"/>
    <cfRule type="duplicateValues" dxfId="681" priority="327"/>
    <cfRule type="duplicateValues" dxfId="680" priority="328"/>
    <cfRule type="duplicateValues" dxfId="679" priority="329"/>
    <cfRule type="duplicateValues" dxfId="678" priority="332"/>
    <cfRule type="duplicateValues" dxfId="677" priority="333"/>
    <cfRule type="duplicateValues" dxfId="676" priority="334"/>
    <cfRule type="duplicateValues" dxfId="675" priority="335"/>
    <cfRule type="duplicateValues" dxfId="674" priority="338"/>
    <cfRule type="duplicateValues" dxfId="673" priority="339"/>
    <cfRule type="duplicateValues" dxfId="672" priority="354"/>
    <cfRule type="duplicateValues" dxfId="671" priority="355"/>
    <cfRule type="duplicateValues" dxfId="670" priority="360"/>
    <cfRule type="duplicateValues" dxfId="669" priority="361"/>
    <cfRule type="duplicateValues" dxfId="668" priority="372"/>
    <cfRule type="duplicateValues" dxfId="667" priority="373"/>
    <cfRule type="duplicateValues" dxfId="666" priority="378"/>
    <cfRule type="duplicateValues" dxfId="665" priority="379"/>
    <cfRule type="duplicateValues" dxfId="664" priority="382"/>
    <cfRule type="duplicateValues" dxfId="663" priority="383"/>
    <cfRule type="duplicateValues" dxfId="662" priority="384"/>
    <cfRule type="duplicateValues" dxfId="661" priority="385"/>
    <cfRule type="duplicateValues" dxfId="660" priority="420"/>
    <cfRule type="duplicateValues" dxfId="659" priority="421"/>
    <cfRule type="duplicateValues" dxfId="658" priority="422"/>
    <cfRule type="duplicateValues" dxfId="657" priority="423"/>
    <cfRule type="duplicateValues" dxfId="656" priority="424"/>
    <cfRule type="duplicateValues" dxfId="655" priority="425"/>
    <cfRule type="duplicateValues" dxfId="654" priority="448"/>
    <cfRule type="duplicateValues" dxfId="653" priority="449"/>
    <cfRule type="duplicateValues" dxfId="652" priority="452"/>
    <cfRule type="duplicateValues" dxfId="651" priority="453"/>
    <cfRule type="duplicateValues" dxfId="650" priority="484"/>
    <cfRule type="duplicateValues" dxfId="649" priority="485"/>
    <cfRule type="duplicateValues" dxfId="648" priority="556"/>
    <cfRule type="duplicateValues" dxfId="647" priority="557"/>
    <cfRule type="duplicateValues" dxfId="646" priority="562"/>
    <cfRule type="duplicateValues" dxfId="645" priority="563"/>
    <cfRule type="duplicateValues" dxfId="644" priority="566"/>
    <cfRule type="duplicateValues" dxfId="643" priority="567"/>
    <cfRule type="duplicateValues" dxfId="642" priority="568"/>
    <cfRule type="duplicateValues" dxfId="641" priority="569"/>
    <cfRule type="duplicateValues" dxfId="640" priority="572"/>
    <cfRule type="duplicateValues" dxfId="639" priority="573"/>
    <cfRule type="duplicateValues" dxfId="638" priority="574"/>
    <cfRule type="duplicateValues" dxfId="637" priority="575"/>
    <cfRule type="duplicateValues" dxfId="636" priority="576"/>
    <cfRule type="duplicateValues" dxfId="635" priority="577"/>
    <cfRule type="duplicateValues" dxfId="634" priority="584"/>
    <cfRule type="duplicateValues" dxfId="633" priority="585"/>
    <cfRule type="duplicateValues" dxfId="632" priority="586"/>
    <cfRule type="duplicateValues" dxfId="631" priority="587"/>
    <cfRule type="duplicateValues" dxfId="630" priority="592"/>
    <cfRule type="duplicateValues" dxfId="629" priority="593"/>
    <cfRule type="duplicateValues" dxfId="628" priority="663"/>
    <cfRule type="duplicateValues" dxfId="627" priority="664"/>
    <cfRule type="duplicateValues" dxfId="626" priority="703"/>
    <cfRule type="duplicateValues" dxfId="625" priority="704"/>
    <cfRule type="duplicateValues" dxfId="624" priority="737"/>
    <cfRule type="duplicateValues" dxfId="623" priority="738"/>
    <cfRule type="duplicateValues" dxfId="622" priority="741"/>
    <cfRule type="duplicateValues" dxfId="621" priority="742"/>
  </conditionalFormatting>
  <conditionalFormatting sqref="A11">
    <cfRule type="duplicateValues" dxfId="620" priority="352"/>
    <cfRule type="duplicateValues" dxfId="619" priority="353"/>
    <cfRule type="duplicateValues" dxfId="618" priority="366"/>
    <cfRule type="duplicateValues" dxfId="617" priority="367"/>
    <cfRule type="duplicateValues" dxfId="616" priority="368"/>
    <cfRule type="duplicateValues" dxfId="615" priority="369"/>
    <cfRule type="duplicateValues" dxfId="614" priority="370"/>
    <cfRule type="duplicateValues" dxfId="613" priority="371"/>
    <cfRule type="duplicateValues" dxfId="612" priority="374"/>
    <cfRule type="duplicateValues" dxfId="611" priority="375"/>
    <cfRule type="duplicateValues" dxfId="610" priority="376"/>
    <cfRule type="duplicateValues" dxfId="609" priority="377"/>
    <cfRule type="duplicateValues" dxfId="608" priority="380"/>
    <cfRule type="duplicateValues" dxfId="607" priority="381"/>
    <cfRule type="duplicateValues" dxfId="606" priority="444"/>
    <cfRule type="duplicateValues" dxfId="605" priority="445"/>
    <cfRule type="duplicateValues" dxfId="604" priority="474"/>
    <cfRule type="duplicateValues" dxfId="603" priority="475"/>
    <cfRule type="duplicateValues" dxfId="602" priority="550"/>
    <cfRule type="duplicateValues" dxfId="601" priority="551"/>
    <cfRule type="duplicateValues" dxfId="600" priority="552"/>
    <cfRule type="duplicateValues" dxfId="599" priority="553"/>
    <cfRule type="duplicateValues" dxfId="598" priority="554"/>
    <cfRule type="duplicateValues" dxfId="597" priority="555"/>
    <cfRule type="duplicateValues" dxfId="596" priority="558"/>
    <cfRule type="duplicateValues" dxfId="595" priority="559"/>
    <cfRule type="duplicateValues" dxfId="594" priority="560"/>
    <cfRule type="duplicateValues" dxfId="593" priority="561"/>
    <cfRule type="duplicateValues" dxfId="592" priority="564"/>
    <cfRule type="duplicateValues" dxfId="591" priority="565"/>
    <cfRule type="duplicateValues" dxfId="590" priority="582"/>
    <cfRule type="duplicateValues" dxfId="589" priority="583"/>
    <cfRule type="duplicateValues" dxfId="588" priority="590"/>
    <cfRule type="duplicateValues" dxfId="587" priority="591"/>
    <cfRule type="duplicateValues" dxfId="586" priority="609"/>
    <cfRule type="duplicateValues" dxfId="585" priority="610"/>
    <cfRule type="duplicateValues" dxfId="584" priority="615"/>
    <cfRule type="duplicateValues" dxfId="583" priority="616"/>
    <cfRule type="duplicateValues" dxfId="582" priority="619"/>
    <cfRule type="duplicateValues" dxfId="581" priority="620"/>
    <cfRule type="duplicateValues" dxfId="580" priority="621"/>
    <cfRule type="duplicateValues" dxfId="579" priority="622"/>
    <cfRule type="duplicateValues" dxfId="578" priority="657"/>
    <cfRule type="duplicateValues" dxfId="577" priority="658"/>
    <cfRule type="duplicateValues" dxfId="576" priority="659"/>
    <cfRule type="duplicateValues" dxfId="575" priority="660"/>
    <cfRule type="duplicateValues" dxfId="574" priority="661"/>
    <cfRule type="duplicateValues" dxfId="573" priority="662"/>
    <cfRule type="duplicateValues" dxfId="572" priority="695"/>
    <cfRule type="duplicateValues" dxfId="571" priority="696"/>
    <cfRule type="duplicateValues" dxfId="570" priority="699"/>
    <cfRule type="duplicateValues" dxfId="569" priority="700"/>
    <cfRule type="duplicateValues" dxfId="568" priority="733"/>
    <cfRule type="duplicateValues" dxfId="567" priority="734"/>
  </conditionalFormatting>
  <conditionalFormatting sqref="A12">
    <cfRule type="duplicateValues" dxfId="566" priority="344"/>
    <cfRule type="duplicateValues" dxfId="565" priority="345"/>
    <cfRule type="duplicateValues" dxfId="564" priority="364"/>
    <cfRule type="duplicateValues" dxfId="563" priority="365"/>
    <cfRule type="duplicateValues" dxfId="562" priority="436"/>
    <cfRule type="duplicateValues" dxfId="561" priority="437"/>
    <cfRule type="duplicateValues" dxfId="560" priority="580"/>
    <cfRule type="duplicateValues" dxfId="559" priority="581"/>
    <cfRule type="duplicateValues" dxfId="558" priority="603"/>
    <cfRule type="duplicateValues" dxfId="557" priority="604"/>
    <cfRule type="duplicateValues" dxfId="556" priority="605"/>
    <cfRule type="duplicateValues" dxfId="555" priority="606"/>
    <cfRule type="duplicateValues" dxfId="554" priority="607"/>
    <cfRule type="duplicateValues" dxfId="553" priority="608"/>
    <cfRule type="duplicateValues" dxfId="552" priority="611"/>
    <cfRule type="duplicateValues" dxfId="551" priority="612"/>
    <cfRule type="duplicateValues" dxfId="550" priority="613"/>
    <cfRule type="duplicateValues" dxfId="549" priority="614"/>
    <cfRule type="duplicateValues" dxfId="548" priority="617"/>
    <cfRule type="duplicateValues" dxfId="547" priority="618"/>
    <cfRule type="duplicateValues" dxfId="546" priority="691"/>
    <cfRule type="duplicateValues" dxfId="545" priority="692"/>
    <cfRule type="duplicateValues" dxfId="544" priority="723"/>
    <cfRule type="duplicateValues" dxfId="543" priority="724"/>
  </conditionalFormatting>
  <conditionalFormatting sqref="A13">
    <cfRule type="duplicateValues" dxfId="542" priority="388"/>
    <cfRule type="duplicateValues" dxfId="541" priority="389"/>
    <cfRule type="duplicateValues" dxfId="540" priority="496"/>
    <cfRule type="duplicateValues" dxfId="539" priority="497"/>
    <cfRule type="duplicateValues" dxfId="538" priority="570"/>
    <cfRule type="duplicateValues" dxfId="537" priority="571"/>
    <cfRule type="duplicateValues" dxfId="536" priority="600"/>
    <cfRule type="duplicateValues" dxfId="535" priority="601"/>
    <cfRule type="duplicateValues" dxfId="534" priority="681"/>
    <cfRule type="duplicateValues" dxfId="533" priority="682"/>
  </conditionalFormatting>
  <conditionalFormatting sqref="A14">
    <cfRule type="duplicateValues" dxfId="532" priority="418"/>
    <cfRule type="duplicateValues" dxfId="531" priority="419"/>
    <cfRule type="duplicateValues" dxfId="530" priority="458"/>
    <cfRule type="duplicateValues" dxfId="529" priority="459"/>
    <cfRule type="duplicateValues" dxfId="528" priority="472"/>
    <cfRule type="duplicateValues" dxfId="527" priority="473"/>
    <cfRule type="duplicateValues" dxfId="526" priority="482"/>
    <cfRule type="duplicateValues" dxfId="525" priority="483"/>
    <cfRule type="duplicateValues" dxfId="524" priority="490"/>
    <cfRule type="duplicateValues" dxfId="523" priority="491"/>
    <cfRule type="duplicateValues" dxfId="522" priority="494"/>
    <cfRule type="duplicateValues" dxfId="521" priority="495"/>
    <cfRule type="duplicateValues" dxfId="520" priority="625"/>
    <cfRule type="duplicateValues" dxfId="519" priority="626"/>
    <cfRule type="duplicateValues" dxfId="518" priority="747"/>
    <cfRule type="duplicateValues" dxfId="517" priority="748"/>
  </conditionalFormatting>
  <conditionalFormatting sqref="A15">
    <cfRule type="duplicateValues" dxfId="516" priority="86"/>
    <cfRule type="duplicateValues" dxfId="515" priority="87"/>
    <cfRule type="duplicateValues" dxfId="514" priority="108"/>
    <cfRule type="duplicateValues" dxfId="513" priority="109"/>
    <cfRule type="duplicateValues" dxfId="512" priority="122"/>
    <cfRule type="duplicateValues" dxfId="511" priority="123"/>
    <cfRule type="duplicateValues" dxfId="510" priority="130"/>
    <cfRule type="duplicateValues" dxfId="509" priority="131"/>
    <cfRule type="duplicateValues" dxfId="508" priority="134"/>
    <cfRule type="duplicateValues" dxfId="507" priority="135"/>
    <cfRule type="duplicateValues" dxfId="506" priority="136"/>
    <cfRule type="duplicateValues" dxfId="505" priority="137"/>
    <cfRule type="duplicateValues" dxfId="504" priority="190"/>
    <cfRule type="duplicateValues" dxfId="503" priority="191"/>
    <cfRule type="duplicateValues" dxfId="502" priority="272"/>
    <cfRule type="duplicateValues" dxfId="501" priority="273"/>
    <cfRule type="duplicateValues" dxfId="500" priority="274"/>
    <cfRule type="duplicateValues" dxfId="499" priority="275"/>
    <cfRule type="duplicateValues" dxfId="498" priority="276"/>
    <cfRule type="duplicateValues" dxfId="497" priority="277"/>
    <cfRule type="duplicateValues" dxfId="496" priority="278"/>
    <cfRule type="duplicateValues" dxfId="495" priority="279"/>
    <cfRule type="duplicateValues" dxfId="494" priority="280"/>
    <cfRule type="duplicateValues" dxfId="493" priority="281"/>
    <cfRule type="duplicateValues" dxfId="492" priority="282"/>
    <cfRule type="duplicateValues" dxfId="491" priority="283"/>
    <cfRule type="duplicateValues" dxfId="490" priority="284"/>
    <cfRule type="duplicateValues" dxfId="489" priority="285"/>
    <cfRule type="duplicateValues" dxfId="488" priority="286"/>
    <cfRule type="duplicateValues" dxfId="487" priority="287"/>
    <cfRule type="duplicateValues" dxfId="486" priority="288"/>
    <cfRule type="duplicateValues" dxfId="485" priority="289"/>
    <cfRule type="duplicateValues" dxfId="484" priority="290"/>
    <cfRule type="duplicateValues" dxfId="483" priority="291"/>
    <cfRule type="duplicateValues" dxfId="482" priority="292"/>
    <cfRule type="duplicateValues" dxfId="481" priority="293"/>
    <cfRule type="duplicateValues" dxfId="480" priority="298"/>
    <cfRule type="duplicateValues" dxfId="479" priority="299"/>
    <cfRule type="duplicateValues" dxfId="478" priority="302"/>
    <cfRule type="duplicateValues" dxfId="477" priority="303"/>
    <cfRule type="duplicateValues" dxfId="476" priority="304"/>
    <cfRule type="duplicateValues" dxfId="475" priority="305"/>
    <cfRule type="duplicateValues" dxfId="474" priority="308"/>
    <cfRule type="duplicateValues" dxfId="473" priority="309"/>
    <cfRule type="duplicateValues" dxfId="472" priority="310"/>
    <cfRule type="duplicateValues" dxfId="471" priority="311"/>
    <cfRule type="duplicateValues" dxfId="470" priority="312"/>
    <cfRule type="duplicateValues" dxfId="469" priority="313"/>
    <cfRule type="duplicateValues" dxfId="468" priority="316"/>
    <cfRule type="duplicateValues" dxfId="467" priority="317"/>
    <cfRule type="duplicateValues" dxfId="466" priority="318"/>
    <cfRule type="duplicateValues" dxfId="465" priority="319"/>
    <cfRule type="duplicateValues" dxfId="464" priority="320"/>
    <cfRule type="duplicateValues" dxfId="463" priority="321"/>
    <cfRule type="duplicateValues" dxfId="462" priority="322"/>
    <cfRule type="duplicateValues" dxfId="461" priority="323"/>
    <cfRule type="duplicateValues" dxfId="460" priority="396"/>
    <cfRule type="duplicateValues" dxfId="459" priority="397"/>
    <cfRule type="duplicateValues" dxfId="458" priority="404"/>
    <cfRule type="duplicateValues" dxfId="457" priority="405"/>
    <cfRule type="duplicateValues" dxfId="456" priority="410"/>
    <cfRule type="duplicateValues" dxfId="455" priority="411"/>
    <cfRule type="duplicateValues" dxfId="454" priority="414"/>
    <cfRule type="duplicateValues" dxfId="453" priority="415"/>
    <cfRule type="duplicateValues" dxfId="452" priority="416"/>
    <cfRule type="duplicateValues" dxfId="451" priority="417"/>
    <cfRule type="duplicateValues" dxfId="450" priority="434"/>
    <cfRule type="duplicateValues" dxfId="449" priority="435"/>
    <cfRule type="duplicateValues" dxfId="448" priority="442"/>
    <cfRule type="duplicateValues" dxfId="447" priority="443"/>
    <cfRule type="duplicateValues" dxfId="446" priority="450"/>
    <cfRule type="duplicateValues" dxfId="445" priority="451"/>
    <cfRule type="duplicateValues" dxfId="444" priority="454"/>
    <cfRule type="duplicateValues" dxfId="443" priority="455"/>
    <cfRule type="duplicateValues" dxfId="442" priority="464"/>
    <cfRule type="duplicateValues" dxfId="441" priority="465"/>
    <cfRule type="duplicateValues" dxfId="440" priority="468"/>
    <cfRule type="duplicateValues" dxfId="439" priority="469"/>
    <cfRule type="duplicateValues" dxfId="438" priority="470"/>
    <cfRule type="duplicateValues" dxfId="437" priority="471"/>
    <cfRule type="duplicateValues" dxfId="436" priority="478"/>
    <cfRule type="duplicateValues" dxfId="435" priority="479"/>
    <cfRule type="duplicateValues" dxfId="434" priority="480"/>
    <cfRule type="duplicateValues" dxfId="433" priority="481"/>
    <cfRule type="duplicateValues" dxfId="432" priority="486"/>
    <cfRule type="duplicateValues" dxfId="431" priority="487"/>
    <cfRule type="duplicateValues" dxfId="430" priority="655"/>
    <cfRule type="duplicateValues" dxfId="429" priority="656"/>
    <cfRule type="duplicateValues" dxfId="428" priority="705"/>
    <cfRule type="duplicateValues" dxfId="427" priority="706"/>
    <cfRule type="duplicateValues" dxfId="426" priority="721"/>
    <cfRule type="duplicateValues" dxfId="425" priority="722"/>
    <cfRule type="duplicateValues" dxfId="424" priority="731"/>
    <cfRule type="duplicateValues" dxfId="423" priority="732"/>
    <cfRule type="duplicateValues" dxfId="422" priority="739"/>
    <cfRule type="duplicateValues" dxfId="421" priority="740"/>
    <cfRule type="duplicateValues" dxfId="420" priority="743"/>
    <cfRule type="duplicateValues" dxfId="419" priority="744"/>
  </conditionalFormatting>
  <conditionalFormatting sqref="A16">
    <cfRule type="duplicateValues" dxfId="418" priority="26"/>
    <cfRule type="duplicateValues" dxfId="417" priority="27"/>
    <cfRule type="duplicateValues" dxfId="416" priority="28"/>
    <cfRule type="duplicateValues" dxfId="415" priority="29"/>
    <cfRule type="duplicateValues" dxfId="414" priority="32"/>
    <cfRule type="duplicateValues" dxfId="413" priority="33"/>
    <cfRule type="duplicateValues" dxfId="412" priority="38"/>
    <cfRule type="duplicateValues" dxfId="411" priority="39"/>
    <cfRule type="duplicateValues" dxfId="410" priority="46"/>
    <cfRule type="duplicateValues" dxfId="409" priority="47"/>
    <cfRule type="duplicateValues" dxfId="408" priority="56"/>
    <cfRule type="duplicateValues" dxfId="407" priority="57"/>
    <cfRule type="duplicateValues" dxfId="406" priority="58"/>
    <cfRule type="duplicateValues" dxfId="405" priority="59"/>
    <cfRule type="duplicateValues" dxfId="404" priority="60"/>
    <cfRule type="duplicateValues" dxfId="403" priority="61"/>
    <cfRule type="duplicateValues" dxfId="402" priority="62"/>
    <cfRule type="duplicateValues" dxfId="401" priority="63"/>
    <cfRule type="duplicateValues" dxfId="400" priority="66"/>
    <cfRule type="duplicateValues" dxfId="399" priority="67"/>
    <cfRule type="duplicateValues" dxfId="398" priority="68"/>
    <cfRule type="duplicateValues" dxfId="397" priority="69"/>
    <cfRule type="duplicateValues" dxfId="396" priority="70"/>
    <cfRule type="duplicateValues" dxfId="395" priority="71"/>
    <cfRule type="duplicateValues" dxfId="394" priority="74"/>
    <cfRule type="duplicateValues" dxfId="393" priority="75"/>
    <cfRule type="duplicateValues" dxfId="392" priority="76"/>
    <cfRule type="duplicateValues" dxfId="391" priority="77"/>
    <cfRule type="duplicateValues" dxfId="390" priority="80"/>
    <cfRule type="duplicateValues" dxfId="389" priority="81"/>
    <cfRule type="duplicateValues" dxfId="388" priority="88"/>
    <cfRule type="duplicateValues" dxfId="387" priority="89"/>
    <cfRule type="duplicateValues" dxfId="386" priority="90"/>
    <cfRule type="duplicateValues" dxfId="385" priority="91"/>
    <cfRule type="duplicateValues" dxfId="384" priority="92"/>
    <cfRule type="duplicateValues" dxfId="383" priority="93"/>
    <cfRule type="duplicateValues" dxfId="382" priority="96"/>
    <cfRule type="duplicateValues" dxfId="381" priority="97"/>
    <cfRule type="duplicateValues" dxfId="380" priority="98"/>
    <cfRule type="duplicateValues" dxfId="379" priority="99"/>
    <cfRule type="duplicateValues" dxfId="378" priority="102"/>
    <cfRule type="duplicateValues" dxfId="377" priority="103"/>
    <cfRule type="duplicateValues" dxfId="376" priority="110"/>
    <cfRule type="duplicateValues" dxfId="375" priority="111"/>
    <cfRule type="duplicateValues" dxfId="374" priority="112"/>
    <cfRule type="duplicateValues" dxfId="373" priority="113"/>
    <cfRule type="duplicateValues" dxfId="372" priority="116"/>
    <cfRule type="duplicateValues" dxfId="371" priority="117"/>
    <cfRule type="duplicateValues" dxfId="370" priority="124"/>
    <cfRule type="duplicateValues" dxfId="369" priority="125"/>
    <cfRule type="duplicateValues" dxfId="368" priority="138"/>
    <cfRule type="duplicateValues" dxfId="367" priority="139"/>
    <cfRule type="duplicateValues" dxfId="366" priority="140"/>
    <cfRule type="duplicateValues" dxfId="365" priority="141"/>
    <cfRule type="duplicateValues" dxfId="364" priority="142"/>
    <cfRule type="duplicateValues" dxfId="363" priority="143"/>
    <cfRule type="duplicateValues" dxfId="362" priority="144"/>
    <cfRule type="duplicateValues" dxfId="361" priority="145"/>
    <cfRule type="duplicateValues" dxfId="360" priority="146"/>
    <cfRule type="duplicateValues" dxfId="359" priority="147"/>
    <cfRule type="duplicateValues" dxfId="358" priority="148"/>
    <cfRule type="duplicateValues" dxfId="357" priority="149"/>
    <cfRule type="duplicateValues" dxfId="356" priority="150"/>
    <cfRule type="duplicateValues" dxfId="355" priority="151"/>
    <cfRule type="duplicateValues" dxfId="354" priority="152"/>
    <cfRule type="duplicateValues" dxfId="353" priority="153"/>
    <cfRule type="duplicateValues" dxfId="352" priority="154"/>
    <cfRule type="duplicateValues" dxfId="351" priority="155"/>
    <cfRule type="duplicateValues" dxfId="350" priority="156"/>
    <cfRule type="duplicateValues" dxfId="349" priority="157"/>
    <cfRule type="duplicateValues" dxfId="348" priority="162"/>
    <cfRule type="duplicateValues" dxfId="347" priority="163"/>
    <cfRule type="duplicateValues" dxfId="346" priority="166"/>
    <cfRule type="duplicateValues" dxfId="345" priority="167"/>
    <cfRule type="duplicateValues" dxfId="344" priority="168"/>
    <cfRule type="duplicateValues" dxfId="343" priority="169"/>
    <cfRule type="duplicateValues" dxfId="342" priority="172"/>
    <cfRule type="duplicateValues" dxfId="341" priority="173"/>
    <cfRule type="duplicateValues" dxfId="340" priority="174"/>
    <cfRule type="duplicateValues" dxfId="339" priority="175"/>
    <cfRule type="duplicateValues" dxfId="338" priority="176"/>
    <cfRule type="duplicateValues" dxfId="337" priority="177"/>
    <cfRule type="duplicateValues" dxfId="336" priority="180"/>
    <cfRule type="duplicateValues" dxfId="335" priority="181"/>
    <cfRule type="duplicateValues" dxfId="334" priority="182"/>
    <cfRule type="duplicateValues" dxfId="333" priority="183"/>
    <cfRule type="duplicateValues" dxfId="332" priority="184"/>
    <cfRule type="duplicateValues" dxfId="331" priority="185"/>
    <cfRule type="duplicateValues" dxfId="330" priority="186"/>
    <cfRule type="duplicateValues" dxfId="329" priority="187"/>
    <cfRule type="duplicateValues" dxfId="328" priority="198"/>
    <cfRule type="duplicateValues" dxfId="327" priority="199"/>
    <cfRule type="duplicateValues" dxfId="326" priority="206"/>
    <cfRule type="duplicateValues" dxfId="325" priority="207"/>
    <cfRule type="duplicateValues" dxfId="324" priority="212"/>
    <cfRule type="duplicateValues" dxfId="323" priority="213"/>
    <cfRule type="duplicateValues" dxfId="322" priority="216"/>
    <cfRule type="duplicateValues" dxfId="321" priority="217"/>
    <cfRule type="duplicateValues" dxfId="320" priority="218"/>
    <cfRule type="duplicateValues" dxfId="319" priority="219"/>
    <cfRule type="duplicateValues" dxfId="318" priority="228"/>
    <cfRule type="duplicateValues" dxfId="317" priority="229"/>
    <cfRule type="duplicateValues" dxfId="316" priority="234"/>
    <cfRule type="duplicateValues" dxfId="315" priority="235"/>
    <cfRule type="duplicateValues" dxfId="314" priority="238"/>
    <cfRule type="duplicateValues" dxfId="313" priority="239"/>
    <cfRule type="duplicateValues" dxfId="312" priority="240"/>
    <cfRule type="duplicateValues" dxfId="311" priority="241"/>
    <cfRule type="duplicateValues" dxfId="310" priority="248"/>
    <cfRule type="duplicateValues" dxfId="309" priority="249"/>
    <cfRule type="duplicateValues" dxfId="308" priority="252"/>
    <cfRule type="duplicateValues" dxfId="307" priority="253"/>
    <cfRule type="duplicateValues" dxfId="306" priority="254"/>
    <cfRule type="duplicateValues" dxfId="305" priority="255"/>
    <cfRule type="duplicateValues" dxfId="304" priority="260"/>
    <cfRule type="duplicateValues" dxfId="303" priority="261"/>
    <cfRule type="duplicateValues" dxfId="302" priority="262"/>
    <cfRule type="duplicateValues" dxfId="301" priority="263"/>
    <cfRule type="duplicateValues" dxfId="300" priority="266"/>
    <cfRule type="duplicateValues" dxfId="299" priority="267"/>
    <cfRule type="duplicateValues" dxfId="298" priority="520"/>
    <cfRule type="duplicateValues" dxfId="297" priority="521"/>
    <cfRule type="duplicateValues" dxfId="296" priority="522"/>
    <cfRule type="duplicateValues" dxfId="295" priority="523"/>
    <cfRule type="duplicateValues" dxfId="294" priority="526"/>
    <cfRule type="duplicateValues" dxfId="293" priority="527"/>
    <cfRule type="duplicateValues" dxfId="292" priority="532"/>
    <cfRule type="duplicateValues" dxfId="291" priority="533"/>
    <cfRule type="duplicateValues" dxfId="290" priority="540"/>
    <cfRule type="duplicateValues" dxfId="289" priority="541"/>
    <cfRule type="duplicateValues" dxfId="288" priority="623"/>
    <cfRule type="duplicateValues" dxfId="287" priority="624"/>
    <cfRule type="duplicateValues" dxfId="286" priority="627"/>
    <cfRule type="duplicateValues" dxfId="285" priority="628"/>
    <cfRule type="duplicateValues" dxfId="284" priority="629"/>
    <cfRule type="duplicateValues" dxfId="283" priority="630"/>
    <cfRule type="duplicateValues" dxfId="282" priority="631"/>
    <cfRule type="duplicateValues" dxfId="281" priority="632"/>
    <cfRule type="duplicateValues" dxfId="280" priority="635"/>
    <cfRule type="duplicateValues" dxfId="279" priority="636"/>
    <cfRule type="duplicateValues" dxfId="278" priority="637"/>
    <cfRule type="duplicateValues" dxfId="277" priority="638"/>
    <cfRule type="duplicateValues" dxfId="276" priority="639"/>
    <cfRule type="duplicateValues" dxfId="275" priority="640"/>
    <cfRule type="duplicateValues" dxfId="274" priority="643"/>
    <cfRule type="duplicateValues" dxfId="273" priority="644"/>
    <cfRule type="duplicateValues" dxfId="272" priority="645"/>
    <cfRule type="duplicateValues" dxfId="271" priority="646"/>
    <cfRule type="duplicateValues" dxfId="270" priority="649"/>
    <cfRule type="duplicateValues" dxfId="269" priority="650"/>
    <cfRule type="duplicateValues" dxfId="268" priority="671"/>
    <cfRule type="duplicateValues" dxfId="267" priority="672"/>
    <cfRule type="duplicateValues" dxfId="266" priority="675"/>
    <cfRule type="duplicateValues" dxfId="265" priority="676"/>
    <cfRule type="duplicateValues" dxfId="264" priority="677"/>
    <cfRule type="duplicateValues" dxfId="263" priority="678"/>
    <cfRule type="duplicateValues" dxfId="262" priority="685"/>
    <cfRule type="duplicateValues" dxfId="261" priority="686"/>
    <cfRule type="duplicateValues" dxfId="260" priority="687"/>
    <cfRule type="duplicateValues" dxfId="259" priority="688"/>
    <cfRule type="duplicateValues" dxfId="258" priority="693"/>
    <cfRule type="duplicateValues" dxfId="257" priority="694"/>
    <cfRule type="duplicateValues" dxfId="256" priority="709"/>
    <cfRule type="duplicateValues" dxfId="255" priority="710"/>
    <cfRule type="duplicateValues" dxfId="254" priority="711"/>
    <cfRule type="duplicateValues" dxfId="253" priority="712"/>
    <cfRule type="duplicateValues" dxfId="252" priority="715"/>
    <cfRule type="duplicateValues" dxfId="251" priority="716"/>
    <cfRule type="duplicateValues" dxfId="250" priority="725"/>
    <cfRule type="duplicateValues" dxfId="249" priority="726"/>
  </conditionalFormatting>
  <conditionalFormatting sqref="A26:A30">
    <cfRule type="duplicateValues" dxfId="248" priority="1322"/>
    <cfRule type="duplicateValues" dxfId="247" priority="1323"/>
    <cfRule type="duplicateValues" dxfId="246" priority="1326"/>
    <cfRule type="duplicateValues" dxfId="245" priority="1327"/>
  </conditionalFormatting>
  <conditionalFormatting sqref="A30:A1048576 A1">
    <cfRule type="duplicateValues" dxfId="244" priority="1062"/>
    <cfRule type="duplicateValues" dxfId="243" priority="1244"/>
    <cfRule type="duplicateValues" dxfId="242" priority="1245"/>
    <cfRule type="duplicateValues" dxfId="241" priority="1252"/>
  </conditionalFormatting>
  <conditionalFormatting sqref="J52:J70 J50 J30:J42">
    <cfRule type="duplicateValues" dxfId="240" priority="1311"/>
  </conditionalFormatting>
  <conditionalFormatting sqref="J87 J78:J83 J71:J72 J75:J76">
    <cfRule type="duplicateValues" dxfId="239" priority="1243"/>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4044</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4083</v>
      </c>
      <c r="B1009" t="s">
        <v>4084</v>
      </c>
      <c r="C1009" t="s">
        <v>4085</v>
      </c>
      <c r="D1009" t="s">
        <v>4083</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38" priority="9"/>
  </conditionalFormatting>
  <conditionalFormatting sqref="A1009:A1048576 A1:A943">
    <cfRule type="duplicateValues" dxfId="237" priority="17"/>
  </conditionalFormatting>
  <conditionalFormatting sqref="B931">
    <cfRule type="duplicateValues" dxfId="236" priority="18"/>
  </conditionalFormatting>
  <conditionalFormatting sqref="B944">
    <cfRule type="duplicateValues" dxfId="235" priority="5"/>
    <cfRule type="duplicateValues" dxfId="234" priority="6"/>
  </conditionalFormatting>
  <conditionalFormatting sqref="B944:B1004">
    <cfRule type="duplicateValues" dxfId="233" priority="3"/>
  </conditionalFormatting>
  <conditionalFormatting sqref="B945">
    <cfRule type="duplicateValues" dxfId="232" priority="7"/>
    <cfRule type="duplicateValues" dxfId="231" priority="8"/>
  </conditionalFormatting>
  <conditionalFormatting sqref="B1005:B1008">
    <cfRule type="duplicateValues" dxfId="230" priority="1"/>
    <cfRule type="duplicateValues" dxfId="229" priority="2"/>
  </conditionalFormatting>
  <conditionalFormatting sqref="B1009:B1048576 B1:B942">
    <cfRule type="duplicateValues" dxfId="228" priority="12"/>
    <cfRule type="duplicateValues" dxfId="227" priority="13"/>
  </conditionalFormatting>
  <conditionalFormatting sqref="D932:D936">
    <cfRule type="duplicateValues" dxfId="226" priority="14"/>
    <cfRule type="duplicateValues" dxfId="225" priority="15"/>
  </conditionalFormatting>
  <conditionalFormatting sqref="D937:D942">
    <cfRule type="duplicateValues" dxfId="224" priority="11"/>
  </conditionalFormatting>
  <conditionalFormatting sqref="D943">
    <cfRule type="duplicateValues" dxfId="223" priority="10"/>
  </conditionalFormatting>
  <conditionalFormatting sqref="D944">
    <cfRule type="duplicateValues" dxfId="222"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tabSelected="1"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4059</v>
      </c>
      <c r="M3" s="103" t="s">
        <v>3669</v>
      </c>
    </row>
    <row r="4" spans="1:13">
      <c r="A4" s="5">
        <v>2</v>
      </c>
      <c r="B4" s="6" t="s">
        <v>4027</v>
      </c>
      <c r="C4" s="96" t="s">
        <v>3808</v>
      </c>
      <c r="D4" s="96" t="s">
        <v>3809</v>
      </c>
      <c r="H4" s="7" t="s">
        <v>4046</v>
      </c>
      <c r="I4" s="96" t="s">
        <v>3808</v>
      </c>
      <c r="J4" s="96" t="s">
        <v>3809</v>
      </c>
      <c r="K4" s="102"/>
      <c r="L4" s="103" t="s">
        <v>4060</v>
      </c>
      <c r="M4" s="103" t="s">
        <v>4061</v>
      </c>
    </row>
    <row r="5" spans="1:13">
      <c r="A5" s="5">
        <v>3</v>
      </c>
      <c r="B5" s="6" t="s">
        <v>3802</v>
      </c>
      <c r="C5" s="96" t="s">
        <v>3808</v>
      </c>
      <c r="D5" s="96" t="s">
        <v>3809</v>
      </c>
      <c r="H5" s="7" t="s">
        <v>4047</v>
      </c>
      <c r="I5" s="96" t="s">
        <v>3808</v>
      </c>
      <c r="J5" s="96" t="s">
        <v>3809</v>
      </c>
      <c r="K5" s="102"/>
      <c r="L5" s="103" t="s">
        <v>4062</v>
      </c>
      <c r="M5" s="103" t="s">
        <v>4063</v>
      </c>
    </row>
    <row r="6" spans="1:13">
      <c r="A6" s="5">
        <v>4</v>
      </c>
      <c r="B6" s="6" t="s">
        <v>3803</v>
      </c>
      <c r="C6" s="96" t="s">
        <v>3808</v>
      </c>
      <c r="D6" s="96" t="s">
        <v>3809</v>
      </c>
      <c r="H6" s="7" t="s">
        <v>4048</v>
      </c>
      <c r="I6" s="96" t="s">
        <v>3808</v>
      </c>
      <c r="J6" s="96" t="s">
        <v>3809</v>
      </c>
      <c r="K6" s="102"/>
      <c r="L6" s="103" t="s">
        <v>4064</v>
      </c>
      <c r="M6" s="103" t="s">
        <v>4065</v>
      </c>
    </row>
    <row r="7" spans="1:13">
      <c r="A7" s="5">
        <v>5</v>
      </c>
      <c r="B7" s="6" t="s">
        <v>3804</v>
      </c>
      <c r="C7" s="96" t="s">
        <v>3808</v>
      </c>
      <c r="D7" s="96" t="s">
        <v>3809</v>
      </c>
      <c r="H7" s="7" t="s">
        <v>4049</v>
      </c>
      <c r="I7" s="96" t="s">
        <v>3808</v>
      </c>
      <c r="J7" s="96" t="s">
        <v>3809</v>
      </c>
      <c r="K7" s="102"/>
      <c r="L7" s="103" t="s">
        <v>4066</v>
      </c>
      <c r="M7" s="103" t="s">
        <v>4067</v>
      </c>
    </row>
    <row r="8" spans="1:13">
      <c r="A8" s="5">
        <v>6</v>
      </c>
      <c r="B8" s="6" t="s">
        <v>3805</v>
      </c>
      <c r="C8" s="96" t="s">
        <v>3808</v>
      </c>
      <c r="D8" s="96" t="s">
        <v>3809</v>
      </c>
      <c r="H8" s="7" t="s">
        <v>4050</v>
      </c>
      <c r="I8" s="96" t="s">
        <v>3808</v>
      </c>
      <c r="J8" s="96" t="s">
        <v>3809</v>
      </c>
      <c r="K8" s="102"/>
      <c r="L8" s="103" t="s">
        <v>3099</v>
      </c>
      <c r="M8" s="103" t="s">
        <v>3099</v>
      </c>
    </row>
    <row r="9" spans="1:13">
      <c r="A9" s="5">
        <v>7</v>
      </c>
      <c r="B9" s="6" t="s">
        <v>4021</v>
      </c>
      <c r="C9" s="96" t="s">
        <v>3808</v>
      </c>
      <c r="D9" s="96" t="s">
        <v>3809</v>
      </c>
      <c r="H9" s="7" t="s">
        <v>4051</v>
      </c>
      <c r="I9" s="96" t="s">
        <v>3808</v>
      </c>
      <c r="J9" s="96" t="s">
        <v>3809</v>
      </c>
      <c r="K9" s="102"/>
      <c r="L9" s="103" t="s">
        <v>4068</v>
      </c>
      <c r="M9" s="103" t="s">
        <v>4069</v>
      </c>
    </row>
    <row r="10" spans="1:13">
      <c r="A10" s="5">
        <v>8</v>
      </c>
      <c r="B10" s="7" t="s">
        <v>4026</v>
      </c>
      <c r="C10" s="96" t="s">
        <v>3808</v>
      </c>
      <c r="D10" s="96" t="s">
        <v>3809</v>
      </c>
      <c r="H10" s="6" t="s">
        <v>4052</v>
      </c>
      <c r="I10" s="96" t="s">
        <v>3808</v>
      </c>
      <c r="J10" s="96" t="s">
        <v>3809</v>
      </c>
      <c r="K10" s="102"/>
      <c r="L10" s="103" t="s">
        <v>4070</v>
      </c>
      <c r="M10" s="103" t="s">
        <v>4071</v>
      </c>
    </row>
    <row r="11" spans="1:13">
      <c r="A11" s="5">
        <v>9</v>
      </c>
      <c r="B11" s="6" t="s">
        <v>4036</v>
      </c>
      <c r="C11" s="96" t="s">
        <v>3808</v>
      </c>
      <c r="D11" s="96" t="s">
        <v>3809</v>
      </c>
      <c r="H11" s="7" t="s">
        <v>4053</v>
      </c>
      <c r="I11" s="96" t="s">
        <v>3808</v>
      </c>
      <c r="J11" s="96" t="s">
        <v>3809</v>
      </c>
      <c r="K11" s="102"/>
      <c r="L11" s="103" t="s">
        <v>4072</v>
      </c>
      <c r="M11" s="103" t="s">
        <v>4073</v>
      </c>
    </row>
    <row r="12" spans="1:13">
      <c r="A12" s="5">
        <v>10</v>
      </c>
      <c r="B12" s="6" t="s">
        <v>4037</v>
      </c>
      <c r="C12" s="96" t="s">
        <v>3808</v>
      </c>
      <c r="D12" s="96" t="s">
        <v>3809</v>
      </c>
      <c r="H12" s="7" t="s">
        <v>4054</v>
      </c>
      <c r="I12" s="96" t="s">
        <v>3808</v>
      </c>
      <c r="J12" s="96" t="s">
        <v>3809</v>
      </c>
      <c r="K12" s="102"/>
      <c r="L12" s="103" t="s">
        <v>3120</v>
      </c>
      <c r="M12" s="103" t="s">
        <v>4074</v>
      </c>
    </row>
    <row r="13" spans="1:13">
      <c r="A13" s="5">
        <v>11</v>
      </c>
      <c r="B13" s="6" t="s">
        <v>4086</v>
      </c>
      <c r="C13" s="96" t="s">
        <v>3808</v>
      </c>
      <c r="D13" s="96" t="s">
        <v>3809</v>
      </c>
      <c r="H13" s="7"/>
      <c r="I13" s="96"/>
      <c r="J13" s="96"/>
      <c r="K13" s="102"/>
      <c r="L13" s="103"/>
      <c r="M13" s="103"/>
    </row>
    <row r="14" spans="1:13">
      <c r="A14" s="5">
        <v>12</v>
      </c>
      <c r="B14" s="6" t="s">
        <v>4038</v>
      </c>
      <c r="C14" s="96" t="s">
        <v>3808</v>
      </c>
      <c r="D14" s="96" t="s">
        <v>3809</v>
      </c>
      <c r="H14" s="7" t="s">
        <v>4055</v>
      </c>
      <c r="I14" s="96" t="s">
        <v>3808</v>
      </c>
      <c r="J14" s="96" t="s">
        <v>3809</v>
      </c>
      <c r="K14" s="102"/>
      <c r="L14" s="103" t="s">
        <v>4075</v>
      </c>
      <c r="M14" s="103" t="s">
        <v>4076</v>
      </c>
    </row>
    <row r="15" spans="1:13">
      <c r="A15" s="5">
        <v>13</v>
      </c>
      <c r="B15" s="6" t="s">
        <v>3022</v>
      </c>
      <c r="C15" s="96" t="s">
        <v>3808</v>
      </c>
      <c r="D15" s="96" t="s">
        <v>3809</v>
      </c>
      <c r="H15" s="7" t="s">
        <v>4056</v>
      </c>
      <c r="I15" s="96" t="s">
        <v>3808</v>
      </c>
      <c r="J15" s="96" t="s">
        <v>3809</v>
      </c>
      <c r="K15" s="102"/>
      <c r="L15" s="103" t="s">
        <v>4075</v>
      </c>
      <c r="M15" s="103" t="s">
        <v>4077</v>
      </c>
    </row>
    <row r="16" spans="1:13">
      <c r="A16" s="5">
        <v>14</v>
      </c>
      <c r="B16" s="6" t="s">
        <v>4082</v>
      </c>
      <c r="C16" s="96" t="s">
        <v>3808</v>
      </c>
      <c r="D16" s="96" t="s">
        <v>3809</v>
      </c>
      <c r="H16" s="7" t="s">
        <v>4057</v>
      </c>
      <c r="I16" s="96" t="s">
        <v>3808</v>
      </c>
      <c r="J16" s="96" t="s">
        <v>3809</v>
      </c>
      <c r="K16" s="102"/>
      <c r="L16" s="103"/>
      <c r="M16" s="103" t="s">
        <v>4078</v>
      </c>
    </row>
    <row r="17" spans="1:13">
      <c r="A17" s="5">
        <v>15</v>
      </c>
      <c r="B17" s="6" t="s">
        <v>4081</v>
      </c>
      <c r="C17" s="96" t="s">
        <v>3808</v>
      </c>
      <c r="D17" s="96" t="s">
        <v>3809</v>
      </c>
      <c r="H17" s="7" t="s">
        <v>4058</v>
      </c>
      <c r="I17" s="96" t="s">
        <v>3808</v>
      </c>
      <c r="J17" s="96" t="s">
        <v>3809</v>
      </c>
      <c r="K17" s="102"/>
      <c r="L17" s="103" t="s">
        <v>4079</v>
      </c>
      <c r="M17" s="103" t="s">
        <v>4080</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4045</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4087</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1" priority="1310"/>
  </conditionalFormatting>
  <conditionalFormatting sqref="E2:E14">
    <cfRule type="duplicateValues" dxfId="220" priority="1"/>
    <cfRule type="duplicateValues" dxfId="219" priority="162"/>
    <cfRule type="duplicateValues" dxfId="218" priority="217"/>
    <cfRule type="duplicateValues" dxfId="217" priority="218"/>
    <cfRule type="duplicateValues" dxfId="216" priority="219"/>
  </conditionalFormatting>
  <conditionalFormatting sqref="E7">
    <cfRule type="duplicateValues" dxfId="215" priority="2"/>
    <cfRule type="duplicateValues" dxfId="214" priority="3"/>
    <cfRule type="duplicateValues" dxfId="213" priority="4"/>
    <cfRule type="duplicateValues" dxfId="212" priority="5"/>
  </conditionalFormatting>
  <conditionalFormatting sqref="E8">
    <cfRule type="duplicateValues" dxfId="211" priority="158"/>
    <cfRule type="duplicateValues" dxfId="210" priority="159"/>
  </conditionalFormatting>
  <conditionalFormatting sqref="E8:E14">
    <cfRule type="duplicateValues" dxfId="209" priority="215"/>
    <cfRule type="duplicateValues" dxfId="208" priority="216"/>
  </conditionalFormatting>
  <conditionalFormatting sqref="E9">
    <cfRule type="duplicateValues" dxfId="207" priority="12"/>
    <cfRule type="duplicateValues" dxfId="206" priority="13"/>
    <cfRule type="duplicateValues" dxfId="205" priority="18"/>
    <cfRule type="duplicateValues" dxfId="204" priority="19"/>
    <cfRule type="duplicateValues" dxfId="203" priority="22"/>
    <cfRule type="duplicateValues" dxfId="202" priority="23"/>
    <cfRule type="duplicateValues" dxfId="201" priority="24"/>
    <cfRule type="duplicateValues" dxfId="200" priority="25"/>
    <cfRule type="duplicateValues" dxfId="199" priority="28"/>
    <cfRule type="duplicateValues" dxfId="198" priority="29"/>
    <cfRule type="duplicateValues" dxfId="197" priority="30"/>
    <cfRule type="duplicateValues" dxfId="196" priority="31"/>
    <cfRule type="duplicateValues" dxfId="195" priority="32"/>
    <cfRule type="duplicateValues" dxfId="194" priority="33"/>
    <cfRule type="duplicateValues" dxfId="193" priority="38"/>
    <cfRule type="duplicateValues" dxfId="192" priority="39"/>
    <cfRule type="duplicateValues" dxfId="191" priority="40"/>
    <cfRule type="duplicateValues" dxfId="190" priority="41"/>
    <cfRule type="duplicateValues" dxfId="189" priority="44"/>
    <cfRule type="duplicateValues" dxfId="188" priority="45"/>
    <cfRule type="duplicateValues" dxfId="187" priority="78"/>
    <cfRule type="duplicateValues" dxfId="186" priority="79"/>
    <cfRule type="duplicateValues" dxfId="185" priority="88"/>
    <cfRule type="duplicateValues" dxfId="184" priority="89"/>
    <cfRule type="duplicateValues" dxfId="183" priority="100"/>
    <cfRule type="duplicateValues" dxfId="182" priority="101"/>
    <cfRule type="duplicateValues" dxfId="181" priority="104"/>
    <cfRule type="duplicateValues" dxfId="180" priority="105"/>
    <cfRule type="duplicateValues" dxfId="179" priority="138"/>
    <cfRule type="duplicateValues" dxfId="178" priority="139"/>
    <cfRule type="duplicateValues" dxfId="177" priority="148"/>
    <cfRule type="duplicateValues" dxfId="176" priority="149"/>
    <cfRule type="duplicateValues" dxfId="175" priority="154"/>
    <cfRule type="duplicateValues" dxfId="174" priority="155"/>
    <cfRule type="duplicateValues" dxfId="173" priority="156"/>
    <cfRule type="duplicateValues" dxfId="172" priority="157"/>
    <cfRule type="duplicateValues" dxfId="171" priority="211"/>
    <cfRule type="duplicateValues" dxfId="170" priority="212"/>
  </conditionalFormatting>
  <conditionalFormatting sqref="E10">
    <cfRule type="duplicateValues" dxfId="169" priority="6"/>
    <cfRule type="duplicateValues" dxfId="168" priority="7"/>
    <cfRule type="duplicateValues" dxfId="167" priority="8"/>
    <cfRule type="duplicateValues" dxfId="166" priority="9"/>
    <cfRule type="duplicateValues" dxfId="165" priority="10"/>
    <cfRule type="duplicateValues" dxfId="164" priority="11"/>
    <cfRule type="duplicateValues" dxfId="163" priority="14"/>
    <cfRule type="duplicateValues" dxfId="162" priority="15"/>
    <cfRule type="duplicateValues" dxfId="161" priority="16"/>
    <cfRule type="duplicateValues" dxfId="160" priority="17"/>
    <cfRule type="duplicateValues" dxfId="159" priority="20"/>
    <cfRule type="duplicateValues" dxfId="158" priority="21"/>
    <cfRule type="duplicateValues" dxfId="157" priority="36"/>
    <cfRule type="duplicateValues" dxfId="156" priority="37"/>
    <cfRule type="duplicateValues" dxfId="155" priority="42"/>
    <cfRule type="duplicateValues" dxfId="154" priority="43"/>
    <cfRule type="duplicateValues" dxfId="153" priority="54"/>
    <cfRule type="duplicateValues" dxfId="152" priority="55"/>
    <cfRule type="duplicateValues" dxfId="151" priority="60"/>
    <cfRule type="duplicateValues" dxfId="150" priority="61"/>
    <cfRule type="duplicateValues" dxfId="149" priority="64"/>
    <cfRule type="duplicateValues" dxfId="148" priority="65"/>
    <cfRule type="duplicateValues" dxfId="147" priority="66"/>
    <cfRule type="duplicateValues" dxfId="146" priority="67"/>
    <cfRule type="duplicateValues" dxfId="145" priority="72"/>
    <cfRule type="duplicateValues" dxfId="144" priority="73"/>
    <cfRule type="duplicateValues" dxfId="143" priority="74"/>
    <cfRule type="duplicateValues" dxfId="142" priority="75"/>
    <cfRule type="duplicateValues" dxfId="141" priority="76"/>
    <cfRule type="duplicateValues" dxfId="140" priority="77"/>
    <cfRule type="duplicateValues" dxfId="139" priority="84"/>
    <cfRule type="duplicateValues" dxfId="138" priority="85"/>
    <cfRule type="duplicateValues" dxfId="137" priority="86"/>
    <cfRule type="duplicateValues" dxfId="136" priority="87"/>
    <cfRule type="duplicateValues" dxfId="135" priority="98"/>
    <cfRule type="duplicateValues" dxfId="134" priority="99"/>
    <cfRule type="duplicateValues" dxfId="133" priority="116"/>
    <cfRule type="duplicateValues" dxfId="132" priority="117"/>
    <cfRule type="duplicateValues" dxfId="131" priority="122"/>
    <cfRule type="duplicateValues" dxfId="130" priority="123"/>
    <cfRule type="duplicateValues" dxfId="129" priority="126"/>
    <cfRule type="duplicateValues" dxfId="128" priority="127"/>
    <cfRule type="duplicateValues" dxfId="127" priority="128"/>
    <cfRule type="duplicateValues" dxfId="126" priority="129"/>
    <cfRule type="duplicateValues" dxfId="125" priority="132"/>
    <cfRule type="duplicateValues" dxfId="124" priority="133"/>
    <cfRule type="duplicateValues" dxfId="123" priority="134"/>
    <cfRule type="duplicateValues" dxfId="122" priority="135"/>
    <cfRule type="duplicateValues" dxfId="121" priority="136"/>
    <cfRule type="duplicateValues" dxfId="120" priority="137"/>
    <cfRule type="duplicateValues" dxfId="119" priority="144"/>
    <cfRule type="duplicateValues" dxfId="118" priority="145"/>
    <cfRule type="duplicateValues" dxfId="117" priority="146"/>
    <cfRule type="duplicateValues" dxfId="116" priority="147"/>
    <cfRule type="duplicateValues" dxfId="115" priority="152"/>
    <cfRule type="duplicateValues" dxfId="114" priority="153"/>
    <cfRule type="duplicateValues" dxfId="113" priority="191"/>
    <cfRule type="duplicateValues" dxfId="112" priority="192"/>
    <cfRule type="duplicateValues" dxfId="111" priority="201"/>
    <cfRule type="duplicateValues" dxfId="110" priority="202"/>
    <cfRule type="duplicateValues" dxfId="109" priority="207"/>
    <cfRule type="duplicateValues" dxfId="108" priority="208"/>
    <cfRule type="duplicateValues" dxfId="107" priority="209"/>
    <cfRule type="duplicateValues" dxfId="106" priority="210"/>
  </conditionalFormatting>
  <conditionalFormatting sqref="E11">
    <cfRule type="duplicateValues" dxfId="105" priority="34"/>
    <cfRule type="duplicateValues" dxfId="104" priority="35"/>
    <cfRule type="duplicateValues" dxfId="103" priority="48"/>
    <cfRule type="duplicateValues" dxfId="102" priority="49"/>
    <cfRule type="duplicateValues" dxfId="101" priority="50"/>
    <cfRule type="duplicateValues" dxfId="100" priority="51"/>
    <cfRule type="duplicateValues" dxfId="99" priority="52"/>
    <cfRule type="duplicateValues" dxfId="98" priority="53"/>
    <cfRule type="duplicateValues" dxfId="97" priority="56"/>
    <cfRule type="duplicateValues" dxfId="96" priority="57"/>
    <cfRule type="duplicateValues" dxfId="95" priority="58"/>
    <cfRule type="duplicateValues" dxfId="94" priority="59"/>
    <cfRule type="duplicateValues" dxfId="93" priority="62"/>
    <cfRule type="duplicateValues" dxfId="92" priority="63"/>
    <cfRule type="duplicateValues" dxfId="91" priority="82"/>
    <cfRule type="duplicateValues" dxfId="90" priority="83"/>
    <cfRule type="duplicateValues" dxfId="89" priority="94"/>
    <cfRule type="duplicateValues" dxfId="88" priority="95"/>
    <cfRule type="duplicateValues" dxfId="87" priority="110"/>
    <cfRule type="duplicateValues" dxfId="86" priority="111"/>
    <cfRule type="duplicateValues" dxfId="85" priority="112"/>
    <cfRule type="duplicateValues" dxfId="84" priority="113"/>
    <cfRule type="duplicateValues" dxfId="83" priority="114"/>
    <cfRule type="duplicateValues" dxfId="82" priority="115"/>
    <cfRule type="duplicateValues" dxfId="81" priority="118"/>
    <cfRule type="duplicateValues" dxfId="80" priority="119"/>
    <cfRule type="duplicateValues" dxfId="79" priority="120"/>
    <cfRule type="duplicateValues" dxfId="78" priority="121"/>
    <cfRule type="duplicateValues" dxfId="77" priority="124"/>
    <cfRule type="duplicateValues" dxfId="76" priority="125"/>
    <cfRule type="duplicateValues" dxfId="75" priority="142"/>
    <cfRule type="duplicateValues" dxfId="74" priority="143"/>
    <cfRule type="duplicateValues" dxfId="73" priority="150"/>
    <cfRule type="duplicateValues" dxfId="72" priority="151"/>
    <cfRule type="duplicateValues" dxfId="71" priority="169"/>
    <cfRule type="duplicateValues" dxfId="70" priority="170"/>
    <cfRule type="duplicateValues" dxfId="69" priority="175"/>
    <cfRule type="duplicateValues" dxfId="68" priority="176"/>
    <cfRule type="duplicateValues" dxfId="67" priority="179"/>
    <cfRule type="duplicateValues" dxfId="66" priority="180"/>
    <cfRule type="duplicateValues" dxfId="65" priority="181"/>
    <cfRule type="duplicateValues" dxfId="64" priority="182"/>
    <cfRule type="duplicateValues" dxfId="63" priority="185"/>
    <cfRule type="duplicateValues" dxfId="62" priority="186"/>
    <cfRule type="duplicateValues" dxfId="61" priority="187"/>
    <cfRule type="duplicateValues" dxfId="60" priority="188"/>
    <cfRule type="duplicateValues" dxfId="59" priority="189"/>
    <cfRule type="duplicateValues" dxfId="58" priority="190"/>
    <cfRule type="duplicateValues" dxfId="57" priority="197"/>
    <cfRule type="duplicateValues" dxfId="56" priority="198"/>
    <cfRule type="duplicateValues" dxfId="55" priority="199"/>
    <cfRule type="duplicateValues" dxfId="54" priority="200"/>
    <cfRule type="duplicateValues" dxfId="53" priority="205"/>
    <cfRule type="duplicateValues" dxfId="52" priority="206"/>
  </conditionalFormatting>
  <conditionalFormatting sqref="E12">
    <cfRule type="duplicateValues" dxfId="51" priority="26"/>
    <cfRule type="duplicateValues" dxfId="50" priority="27"/>
    <cfRule type="duplicateValues" dxfId="49" priority="46"/>
    <cfRule type="duplicateValues" dxfId="48" priority="47"/>
    <cfRule type="duplicateValues" dxfId="47" priority="80"/>
    <cfRule type="duplicateValues" dxfId="46" priority="81"/>
    <cfRule type="duplicateValues" dxfId="45" priority="140"/>
    <cfRule type="duplicateValues" dxfId="44" priority="141"/>
    <cfRule type="duplicateValues" dxfId="43" priority="163"/>
    <cfRule type="duplicateValues" dxfId="42" priority="164"/>
    <cfRule type="duplicateValues" dxfId="41" priority="165"/>
    <cfRule type="duplicateValues" dxfId="40" priority="166"/>
    <cfRule type="duplicateValues" dxfId="39" priority="167"/>
    <cfRule type="duplicateValues" dxfId="38" priority="168"/>
    <cfRule type="duplicateValues" dxfId="37" priority="171"/>
    <cfRule type="duplicateValues" dxfId="36" priority="172"/>
    <cfRule type="duplicateValues" dxfId="35" priority="173"/>
    <cfRule type="duplicateValues" dxfId="34" priority="174"/>
    <cfRule type="duplicateValues" dxfId="33" priority="177"/>
    <cfRule type="duplicateValues" dxfId="32" priority="178"/>
    <cfRule type="duplicateValues" dxfId="31" priority="195"/>
    <cfRule type="duplicateValues" dxfId="30" priority="196"/>
    <cfRule type="duplicateValues" dxfId="29" priority="203"/>
    <cfRule type="duplicateValues" dxfId="28" priority="204"/>
  </conditionalFormatting>
  <conditionalFormatting sqref="E13">
    <cfRule type="duplicateValues" dxfId="27" priority="68"/>
    <cfRule type="duplicateValues" dxfId="26" priority="69"/>
    <cfRule type="duplicateValues" dxfId="25" priority="108"/>
    <cfRule type="duplicateValues" dxfId="24" priority="109"/>
    <cfRule type="duplicateValues" dxfId="23" priority="130"/>
    <cfRule type="duplicateValues" dxfId="22" priority="131"/>
    <cfRule type="duplicateValues" dxfId="21" priority="160"/>
    <cfRule type="duplicateValues" dxfId="20" priority="161"/>
    <cfRule type="duplicateValues" dxfId="19" priority="193"/>
    <cfRule type="duplicateValues" dxfId="18" priority="194"/>
  </conditionalFormatting>
  <conditionalFormatting sqref="E14">
    <cfRule type="duplicateValues" dxfId="17" priority="70"/>
    <cfRule type="duplicateValues" dxfId="16" priority="71"/>
    <cfRule type="duplicateValues" dxfId="15" priority="90"/>
    <cfRule type="duplicateValues" dxfId="14" priority="91"/>
    <cfRule type="duplicateValues" dxfId="13" priority="92"/>
    <cfRule type="duplicateValues" dxfId="12" priority="93"/>
    <cfRule type="duplicateValues" dxfId="11" priority="96"/>
    <cfRule type="duplicateValues" dxfId="10" priority="97"/>
    <cfRule type="duplicateValues" dxfId="9" priority="102"/>
    <cfRule type="duplicateValues" dxfId="8" priority="103"/>
    <cfRule type="duplicateValues" dxfId="7" priority="106"/>
    <cfRule type="duplicateValues" dxfId="6" priority="107"/>
    <cfRule type="duplicateValues" dxfId="5" priority="183"/>
    <cfRule type="duplicateValues" dxfId="4" priority="184"/>
    <cfRule type="duplicateValues" dxfId="3" priority="213"/>
    <cfRule type="duplicateValues" dxfId="2" priority="214"/>
  </conditionalFormatting>
  <conditionalFormatting sqref="E15">
    <cfRule type="duplicateValues" dxfId="1" priority="1302"/>
    <cfRule type="duplicateValues" dxfId="0"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2025-03-28T15:44:38Z</dcterms:modified>
</cp:coreProperties>
</file>