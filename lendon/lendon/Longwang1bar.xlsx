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6C199D05-47D9-4A2F-8707-15DF5A4AE240}"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D7" i="1"/>
  <c r="E7" i="1"/>
  <c r="B8" i="1"/>
  <c r="D8" i="1"/>
  <c r="E8" i="1"/>
  <c r="B9" i="1"/>
  <c r="D9" i="1"/>
  <c r="E9" i="1"/>
  <c r="B6" i="1" l="1"/>
  <c r="D6" i="1"/>
  <c r="E6" i="1"/>
  <c r="B5" i="1"/>
  <c r="D5" i="1"/>
  <c r="E5"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<sst xmlns="http://schemas.openxmlformats.org/spreadsheetml/2006/main" count="7089" uniqueCount="4092">
  <si>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</si>
  <si>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</si>
  <si>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</si>
  <si>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</si>
  <si>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</si>
  <si>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</si>
  <si>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</si>
  <si>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</si>
  <si>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</si>
  <si>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</si>
  <si>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</si>
  <si>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</si>
  <si>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</si>
  <si>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</si>
  <si>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</si>
  <si>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</si>
  <si>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</si>
  <si>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</si>
  <si>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</si>
  <si>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</si>
  <si>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</si>
  <si>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</si>
  <si>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</si>
  <si>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</si>
  <si>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</si>
  <si>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</si>
  <si>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</si>
  <si>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</si>
  <si>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</si>
  <si>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</si>
  <si>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</si>
  <si>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</si>
  <si>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</si>
  <si>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</si>
  <si>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</si>
  <si>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</si>
  <si>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</si>
  <si>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</si>
  <si>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</si>
  <si>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</si>
  <si>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</si>
  <si>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</si>
  <si>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</si>
  <si>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</si>
  <si>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</si>
  <si>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</si>
  <si>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</si>
  <si>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</si>
  <si>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</si>
  <si>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</si>
  <si>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</si>
  <si>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</si>
  <si>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</si>
  <si>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</si>
  <si>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</si>
  <si>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</si>
  <si>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</si>
  <si>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</si>
  <si>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</si>
  <si>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</si>
  <si>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</si>
  <si>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</si>
  <si>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</si>
  <si>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</si>
  <si>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</si>
  <si>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</si>
  <si>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</si>
  <si>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</si>
  <si>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</si>
  <si>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</si>
  <si>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</si>
  <si>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</si>
  <si>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</si>
  <si>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</si>
  <si>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</si>
  <si>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</si>
  <si>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</si>
  <si>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</si>
  <si>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</si>
  <si>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</si>
  <si>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</si>
  <si>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</si>
  <si>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</si>
  <si>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</si>
  <si>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</si>
  <si>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</si>
  <si>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</si>
  <si>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</si>
  <si>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</si>
  <si>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</si>
  <si>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</si>
  <si>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</si>
  <si>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</si>
  <si>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</si>
  <si>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</si>
  <si>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</si>
  <si>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</si>
  <si>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</si>
  <si>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</si>
  <si>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</si>
  <si>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</si>
  <si>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</si>
  <si>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</si>
  <si>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</si>
  <si>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</si>
  <si>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</si>
  <si>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</si>
  <si>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</si>
  <si>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</si>
  <si>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</si>
  <si>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</si>
  <si>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</si>
  <si>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</si>
  <si>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</si>
  <si>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</si>
  <si>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</si>
  <si>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</si>
  <si>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</si>
  <si>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</si>
  <si>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</si>
  <si>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</si>
  <si>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</si>
  <si>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</si>
  <si>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</si>
  <si>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</si>
  <si>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</si>
  <si>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</si>
  <si>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</si>
  <si>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</si>
  <si>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</si>
  <si>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</si>
  <si>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</si>
  <si>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</si>
  <si>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</si>
  <si>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</si>
  <si>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</si>
  <si>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</si>
  <si>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</si>
  <si>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</si>
  <si>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</si>
  <si>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</si>
  <si>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</si>
  <si>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</si>
  <si>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</si>
  <si>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</si>
  <si>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</si>
  <si>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</si>
  <si>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</si>
  <si>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</si>
  <si>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</si>
  <si>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</si>
  <si>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</si>
  <si>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</si>
  <si>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</si>
  <si>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</si>
  <si>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</si>
  <si>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</si>
  <si>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</si>
  <si>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</si>
  <si>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</si>
  <si>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</si>
  <si>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</si>
  <si>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</si>
  <si>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</si>
  <si>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</si>
  <si>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</si>
  <si>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</si>
  <si>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</si>
  <si>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</si>
  <si>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</si>
  <si>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</si>
  <si>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</si>
  <si>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</si>
  <si>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</si>
  <si>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</si>
  <si>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</si>
  <si>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</si>
  <si>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</si>
  <si>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</si>
  <si>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</si>
  <si>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</si>
  <si>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</si>
  <si>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</si>
  <si>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</si>
  <si>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</si>
  <si>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</si>
  <si>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</si>
  <si>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</si>
  <si>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</si>
  <si>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</si>
  <si>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</si>
  <si>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</si>
  <si>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</si>
  <si>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</si>
  <si>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</si>
  <si>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</si>
  <si>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</si>
  <si>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</si>
  <si>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</si>
  <si>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</si>
  <si>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</si>
  <si>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</si>
  <si>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</si>
  <si>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</si>
  <si>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</si>
  <si>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</si>
  <si>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</si>
  <si>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</si>
  <si>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</si>
  <si>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</si>
  <si>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</si>
  <si>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</si>
  <si>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</si>
  <si>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</si>
  <si>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</si>
  <si>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</si>
  <si>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</si>
  <si>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</si>
  <si>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</si>
  <si>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</si>
  <si>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</si>
  <si>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</si>
  <si>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</si>
  <si>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</si>
  <si>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</si>
  <si>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</si>
  <si>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</si>
  <si>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</si>
  <si>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</si>
  <si>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</si>
  <si>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</si>
  <si>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</si>
  <si>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</si>
  <si>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</si>
  <si>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</si>
  <si>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</si>
  <si>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</si>
  <si>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</si>
  <si>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</si>
  <si>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</si>
  <si>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</si>
  <si>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</si>
  <si>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</si>
  <si>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</si>
  <si>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</si>
  <si>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</si>
  <si>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</si>
  <si>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</si>
  <si>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</si>
  <si>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</si>
  <si>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</si>
  <si>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</si>
  <si>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</si>
  <si>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</si>
  <si>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</si>
  <si>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</si>
  <si>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</si>
  <si>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</si>
  <si>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</si>
  <si>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</si>
  <si>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</si>
  <si>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</si>
  <si>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</si>
  <si>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</si>
  <si>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</si>
  <si>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</si>
  <si>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</si>
  <si>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</si>
  <si>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</si>
  <si>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</si>
  <si>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</si>
  <si>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</si>
  <si>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</si>
  <si>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</si>
  <si>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</si>
  <si>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</si>
  <si>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</si>
  <si>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</si>
  <si>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</si>
  <si>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</si>
  <si>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</si>
  <si>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</si>
  <si>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</si>
  <si>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</si>
  <si>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</si>
  <si>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</si>
  <si>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</si>
  <si>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</si>
  <si>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</si>
  <si>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</si>
  <si>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</si>
  <si>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</si>
  <si>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</si>
  <si>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</si>
  <si>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</si>
  <si>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</si>
  <si>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</si>
  <si>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</si>
  <si>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</si>
  <si>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</si>
  <si>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</si>
  <si>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</si>
  <si>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</si>
  <si>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</si>
  <si>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</si>
  <si>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</si>
  <si>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</si>
  <si>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</si>
  <si>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</si>
  <si>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</si>
  <si>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</si>
  <si>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</si>
  <si>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</si>
  <si>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</si>
  <si>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</si>
  <si>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</si>
  <si>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</si>
  <si>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</si>
  <si>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</si>
  <si>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</si>
  <si>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</si>
  <si>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</si>
  <si>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</si>
  <si>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</si>
  <si>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</si>
  <si>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</si>
  <si>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</si>
  <si>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</si>
  <si>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</si>
  <si>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</si>
  <si>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</si>
  <si>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</si>
  <si>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</si>
  <si>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</si>
  <si>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</si>
  <si>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</si>
  <si>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</si>
  <si>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</si>
  <si>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</si>
  <si>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</si>
  <si>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</si>
  <si>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</si>
  <si>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</si>
  <si>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</si>
  <si>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</si>
  <si>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</si>
  <si>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</si>
  <si>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</si>
  <si>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</si>
  <si>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</si>
  <si>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</si>
  <si>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</si>
  <si>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</si>
  <si>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</si>
  <si>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</si>
  <si>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</si>
  <si>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</si>
  <si>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</si>
  <si>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</si>
  <si>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</si>
  <si>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</si>
  <si>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</si>
  <si>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</si>
  <si>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</si>
  <si>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</si>
  <si>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</si>
  <si>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</si>
  <si>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</si>
  <si>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</si>
  <si>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</si>
  <si>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</si>
  <si>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</si>
  <si>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</si>
  <si>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</si>
  <si>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</si>
  <si>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</si>
  <si>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</si>
  <si>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</si>
  <si>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</si>
  <si>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</si>
  <si>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</si>
  <si>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</si>
  <si>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</si>
  <si>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</si>
  <si>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</si>
  <si>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</si>
  <si>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</si>
  <si>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</si>
  <si>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</si>
  <si>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</si>
  <si>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</si>
  <si>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</si>
  <si>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</si>
  <si>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</si>
  <si>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</si>
  <si>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</si>
  <si>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</si>
  <si>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</si>
  <si>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</si>
  <si>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</si>
  <si>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</si>
  <si>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</si>
  <si>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</si>
  <si>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</si>
  <si>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</si>
  <si>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</si>
  <si>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</si>
  <si>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</si>
  <si>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</si>
  <si>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</si>
  <si>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</si>
  <si>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</si>
  <si>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</si>
  <si>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</si>
  <si>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</si>
  <si>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</si>
  <si>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</si>
  <si>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</si>
  <si>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</si>
  <si>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</si>
  <si>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</si>
  <si>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</si>
  <si>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</si>
  <si>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</si>
  <si>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</si>
  <si>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</si>
  <si>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</si>
  <si>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</si>
  <si>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</si>
  <si>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</si>
  <si>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</si>
  <si>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</si>
  <si>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</si>
  <si>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</si>
  <si>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</si>
  <si>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</si>
  <si>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</si>
  <si>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</si>
  <si>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</si>
  <si>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</si>
  <si>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</si>
  <si>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</si>
  <si>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</si>
  <si>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</si>
  <si>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</si>
  <si>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</si>
  <si>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</si>
  <si>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</si>
  <si>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</si>
  <si>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</si>
  <si>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</si>
  <si>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</si>
  <si>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</si>
  <si>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</si>
  <si>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</si>
  <si>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</si>
  <si>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</si>
  <si>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</si>
  <si>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</si>
  <si>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</si>
  <si>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</si>
  <si>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</si>
  <si>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</si>
  <si>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</si>
  <si>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</si>
  <si>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</si>
  <si>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</si>
  <si>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</si>
  <si>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</si>
  <si>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</si>
  <si>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</si>
  <si>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</si>
  <si>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</si>
  <si>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</si>
  <si>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</si>
  <si>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</si>
  <si>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</si>
  <si>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</si>
  <si>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</si>
  <si>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</si>
  <si>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</si>
  <si>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</si>
  <si>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</si>
  <si>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</si>
  <si>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</si>
  <si>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</si>
  <si>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</si>
  <si>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</si>
  <si>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</si>
  <si>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</si>
  <si>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</si>
  <si>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</si>
  <si>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</si>
  <si>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</si>
  <si>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</si>
  <si>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</si>
  <si>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</si>
  <si>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</si>
  <si>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</si>
  <si>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</si>
  <si>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</si>
  <si>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</si>
  <si>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</si>
  <si>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</si>
  <si>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</si>
  <si>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</si>
  <si>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</si>
  <si>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</si>
  <si>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</si>
  <si>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</si>
  <si>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</si>
  <si>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</si>
  <si>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</si>
  <si>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</si>
  <si>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</si>
  <si>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</si>
  <si>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</si>
  <si>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</si>
  <si>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</si>
  <si>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</si>
  <si>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</si>
  <si>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</si>
  <si>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</si>
  <si>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</si>
  <si>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</si>
  <si>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</si>
  <si>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</si>
  <si>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</si>
  <si>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</si>
  <si>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</si>
  <si>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</si>
  <si>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</si>
  <si>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</si>
  <si>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</si>
  <si>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</si>
  <si>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</si>
  <si>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</si>
  <si>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</si>
  <si>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</si>
  <si>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</si>
  <si>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</si>
  <si>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</si>
  <si>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</si>
  <si>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</si>
  <si>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</si>
  <si>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</si>
  <si>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</si>
  <si>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</si>
  <si>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</si>
  <si>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</si>
  <si>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</si>
  <si>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</si>
  <si>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</si>
  <si>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</si>
  <si>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</si>
  <si>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</si>
  <si>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</si>
  <si>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</si>
  <si>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</si>
  <si>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</si>
  <si>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</si>
  <si>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</si>
  <si>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</si>
  <si>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</si>
  <si>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</si>
  <si>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</si>
  <si>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</si>
  <si>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</si>
  <si>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</si>
  <si>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</si>
  <si>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</si>
  <si>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</si>
  <si>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</si>
  <si>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</si>
  <si>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</si>
  <si>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</si>
  <si>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</si>
  <si>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</si>
  <si>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</si>
  <si>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</si>
  <si>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</si>
  <si>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</si>
  <si>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</si>
  <si>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</si>
  <si>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</si>
  <si>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</si>
  <si>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</si>
  <si>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</si>
  <si>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</si>
  <si>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</si>
  <si>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</si>
  <si>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</si>
  <si>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</si>
  <si>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</si>
  <si>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</si>
  <si>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</si>
  <si>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</si>
  <si>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</si>
  <si>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</si>
  <si>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</si>
  <si>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</si>
  <si>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</si>
  <si>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</si>
  <si>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</si>
  <si>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</si>
  <si>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</si>
  <si>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</si>
  <si>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</si>
  <si>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</si>
  <si>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</si>
  <si>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</si>
  <si>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</si>
  <si>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</si>
  <si>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</si>
  <si>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</si>
  <si>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</si>
  <si>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</si>
  <si>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</si>
  <si>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</si>
  <si>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</si>
  <si>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</si>
  <si>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</si>
  <si>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</si>
  <si>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</si>
  <si>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</si>
  <si>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</si>
  <si>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</si>
  <si>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</si>
  <si>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</si>
  <si>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</si>
  <si>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</si>
  <si>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</si>
  <si>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</si>
  <si>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</si>
  <si>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</si>
  <si>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</si>
  <si>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</si>
  <si>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</si>
  <si>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</si>
  <si>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</si>
  <si>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</si>
  <si>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</si>
  <si>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</si>
  <si>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</si>
  <si>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</si>
  <si>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</si>
  <si>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</si>
  <si>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</si>
  <si>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</si>
  <si>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</si>
  <si>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</si>
  <si>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</si>
  <si>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</si>
  <si>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</si>
  <si>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</si>
  <si>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</si>
  <si>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</si>
  <si>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</si>
  <si>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</si>
  <si>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</si>
  <si>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</si>
  <si>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</si>
  <si>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</si>
  <si>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</si>
  <si>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</si>
  <si>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</si>
  <si>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</si>
  <si>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</si>
  <si>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</si>
  <si>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</si>
  <si>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</si>
  <si>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</si>
  <si>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</si>
  <si>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</si>
  <si>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</si>
  <si>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</si>
  <si>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</si>
  <si>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</si>
  <si>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</si>
  <si>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</si>
  <si>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</si>
  <si>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</si>
  <si>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</si>
  <si>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</si>
  <si>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</si>
  <si>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</si>
  <si>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</si>
  <si>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</si>
  <si>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</si>
  <si>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</si>
  <si>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</si>
  <si>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</si>
  <si>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</si>
  <si>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</si>
  <si>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</si>
  <si>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</si>
  <si>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</si>
  <si>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</si>
  <si>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</si>
  <si>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</si>
  <si>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</si>
  <si>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</si>
  <si>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</si>
  <si>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</si>
  <si>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</si>
  <si>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</si>
  <si>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</si>
  <si>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</si>
  <si>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</si>
  <si>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</si>
  <si>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</si>
  <si>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</si>
  <si>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</si>
  <si>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</si>
  <si>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</si>
  <si>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</si>
  <si>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</si>
  <si>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</si>
  <si>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</si>
  <si>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</si>
  <si>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</si>
  <si>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</si>
  <si>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</si>
  <si>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</si>
  <si>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</si>
  <si>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</si>
  <si>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</si>
  <si>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</si>
  <si>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</si>
  <si>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</si>
  <si>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</si>
  <si>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</si>
  <si>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</si>
  <si>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</si>
  <si>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</si>
  <si>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</si>
  <si>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</si>
  <si>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</si>
  <si>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</si>
  <si>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</si>
  <si>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</si>
  <si>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</si>
  <si>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</si>
  <si>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</si>
  <si>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</si>
  <si>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</si>
  <si>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</si>
  <si>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</si>
  <si>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</si>
  <si>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</si>
  <si>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</si>
  <si>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</si>
  <si>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</si>
  <si>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</si>
  <si>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</si>
  <si>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</si>
  <si>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</si>
  <si>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</si>
  <si>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</si>
  <si>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</si>
  <si>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</si>
  <si>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</si>
  <si>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</si>
  <si>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</si>
  <si>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</si>
  <si>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</si>
  <si>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</si>
  <si>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</si>
  <si>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</si>
  <si>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</si>
  <si>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</si>
  <si>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</si>
  <si>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</si>
  <si>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</si>
  <si>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</si>
  <si>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</si>
  <si>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</si>
  <si>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</si>
  <si>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</si>
  <si>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</si>
  <si>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</si>
  <si>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</si>
  <si>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</si>
  <si>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</si>
  <si>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</si>
  <si>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</si>
  <si>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</si>
  <si>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</si>
  <si>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</si>
  <si>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</si>
  <si>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</si>
  <si>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</si>
  <si>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</si>
  <si>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</si>
  <si>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</si>
  <si>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</si>
  <si>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</si>
  <si>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</si>
  <si>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</si>
  <si>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</si>
  <si>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</si>
  <si>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</si>
  <si>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</si>
  <si>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</si>
  <si>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</si>
  <si>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</si>
  <si>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</si>
  <si>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</si>
  <si>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</si>
  <si>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</si>
  <si>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</si>
  <si>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</si>
  <si>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</si>
  <si>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</si>
  <si>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</si>
  <si>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</si>
  <si>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</si>
  <si>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</si>
  <si>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</si>
  <si>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</si>
  <si>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</si>
  <si>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</si>
  <si>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</si>
  <si>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</si>
  <si>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</si>
  <si>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</si>
  <si>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</si>
  <si>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</si>
  <si>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</si>
  <si>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</si>
  <si>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</si>
  <si>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</si>
  <si>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</si>
  <si>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</si>
  <si>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</si>
  <si>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</si>
  <si>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</si>
  <si>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</si>
  <si>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</si>
  <si>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</si>
  <si>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</si>
  <si>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</si>
  <si>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</si>
  <si>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</si>
  <si>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</si>
  <si>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</si>
  <si>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</si>
  <si>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</si>
  <si>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</si>
  <si>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</si>
  <si>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</si>
  <si>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</si>
  <si>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</si>
  <si>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</si>
  <si>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</si>
  <si>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</si>
  <si>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</si>
  <si>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</si>
  <si>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</si>
  <si>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</si>
  <si>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</si>
  <si>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</si>
  <si>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</si>
  <si>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</si>
  <si>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</si>
  <si>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</si>
  <si>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</si>
  <si>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</si>
  <si>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</si>
  <si>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</si>
  <si>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</si>
  <si>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</si>
  <si>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</si>
  <si>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</si>
  <si>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</si>
  <si>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</si>
  <si>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</si>
  <si>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</si>
  <si>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</si>
  <si>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</si>
  <si>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</si>
  <si>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</si>
  <si>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</si>
  <si>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</si>
  <si>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</si>
  <si>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</si>
  <si>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</si>
  <si>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</si>
  <si>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</si>
  <si>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</si>
  <si>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</si>
  <si>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</si>
  <si>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</si>
  <si>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</si>
  <si>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</si>
  <si>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</si>
  <si>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</si>
  <si>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</si>
  <si>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</si>
  <si>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</si>
  <si>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</si>
  <si>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</si>
  <si>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</si>
  <si>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</si>
  <si>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</si>
  <si>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</si>
  <si>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</si>
  <si>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</si>
  <si>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</si>
  <si>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</si>
  <si>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</si>
  <si>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</si>
  <si>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</si>
  <si>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</si>
  <si>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</si>
  <si>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</si>
  <si>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</si>
  <si>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</si>
  <si>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</si>
  <si>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</si>
  <si>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</si>
  <si>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</si>
  <si>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</si>
  <si>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</si>
  <si>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</si>
  <si>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</si>
  <si>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</si>
  <si>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</si>
  <si>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</si>
  <si>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</si>
  <si>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</si>
  <si>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</si>
  <si>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</si>
  <si>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</si>
  <si>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</si>
  <si>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</si>
  <si>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</si>
  <si>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</si>
  <si>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</si>
  <si>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</si>
  <si>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</si>
  <si>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</si>
  <si>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</si>
  <si>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</si>
  <si>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</si>
  <si>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</si>
  <si>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</si>
  <si>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</si>
  <si>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</si>
  <si>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</si>
  <si>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</si>
  <si>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</si>
  <si>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</si>
  <si>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</si>
  <si>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</si>
  <si>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</si>
  <si>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</si>
  <si>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</si>
  <si>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</si>
  <si>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</si>
  <si>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</si>
  <si>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</si>
  <si>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</si>
  <si>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</si>
  <si>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</si>
  <si>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</si>
  <si>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</si>
  <si>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</si>
  <si>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</si>
  <si>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</si>
  <si>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</si>
  <si>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</si>
  <si>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</si>
  <si>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</si>
  <si>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</si>
  <si>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</si>
  <si>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</si>
  <si>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</si>
  <si>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</si>
  <si>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</si>
  <si>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</si>
  <si>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</si>
  <si>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</si>
  <si>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</si>
  <si>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</si>
  <si>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</si>
  <si>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</si>
  <si>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</si>
  <si>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</si>
  <si>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</si>
  <si>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</si>
  <si>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</si>
  <si>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</si>
  <si>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</si>
  <si>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</si>
  <si>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</si>
  <si>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</si>
  <si>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</si>
  <si>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</si>
  <si>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</si>
  <si>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</si>
  <si>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</si>
  <si>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</si>
  <si>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</si>
  <si>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</si>
  <si>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</si>
  <si>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</si>
  <si>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</si>
  <si>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</si>
  <si>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</si>
  <si>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</si>
  <si>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</si>
  <si>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</si>
  <si>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</si>
  <si>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</si>
  <si>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</si>
  <si>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</si>
  <si>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</si>
  <si>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</si>
  <si>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</si>
  <si>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</si>
  <si>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</si>
  <si>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</si>
  <si>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</si>
  <si>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</si>
  <si>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</si>
  <si>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</si>
  <si>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</si>
  <si>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</si>
  <si>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</si>
  <si>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</si>
  <si>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</si>
  <si>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</si>
  <si>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</si>
  <si>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</si>
  <si>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</si>
  <si>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</si>
  <si>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</si>
  <si>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</si>
  <si>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</si>
  <si>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</si>
  <si>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</si>
  <si>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</si>
  <si>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</si>
  <si>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</si>
  <si>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</si>
  <si>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</si>
  <si>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</si>
  <si>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</si>
  <si>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</si>
  <si>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</si>
  <si>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</si>
  <si>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</si>
  <si>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</si>
  <si>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</si>
  <si>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</si>
  <si>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</si>
  <si>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</si>
  <si>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</si>
  <si>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</si>
  <si>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</si>
  <si>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</si>
  <si>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</si>
  <si>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</si>
  <si>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</si>
  <si>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</si>
  <si>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</si>
  <si>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</si>
  <si>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</si>
  <si>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</si>
  <si>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</si>
  <si>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</si>
  <si>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</si>
  <si>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</si>
  <si>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</si>
  <si>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</si>
  <si>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</si>
  <si>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</si>
  <si>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</si>
  <si>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</si>
  <si>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</si>
  <si>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</si>
  <si>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</si>
  <si>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</si>
  <si>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</si>
  <si>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</si>
  <si>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</si>
  <si>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</si>
  <si>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</si>
  <si>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</si>
  <si>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</si>
  <si>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</si>
  <si>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</si>
  <si>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</si>
  <si>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</si>
  <si>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</si>
  <si>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</si>
  <si>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</si>
  <si>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</si>
  <si>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</si>
  <si>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</si>
  <si>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</si>
  <si>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</si>
  <si>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</si>
  <si>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</si>
  <si>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</si>
  <si>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</si>
  <si>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</si>
  <si>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</si>
  <si>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</si>
  <si>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</si>
  <si>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</si>
  <si>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</si>
  <si>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</si>
  <si>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</si>
  <si>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</si>
  <si>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</si>
  <si>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</si>
  <si>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</si>
  <si>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</si>
  <si>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</si>
  <si>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</si>
  <si>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</si>
  <si>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</si>
  <si>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</si>
  <si>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</si>
  <si>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</si>
  <si>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</si>
  <si>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</si>
  <si>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</si>
  <si>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</si>
  <si>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</si>
  <si>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</si>
  <si>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</si>
  <si>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</si>
  <si>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</si>
  <si>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</si>
  <si>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</si>
  <si>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</si>
  <si>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</si>
  <si>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</si>
  <si>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</si>
  <si>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</si>
  <si>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</si>
  <si>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</si>
  <si>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</si>
  <si>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</si>
  <si>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</si>
  <si>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</si>
  <si>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</si>
  <si>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</si>
  <si>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</si>
  <si>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</si>
  <si>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</si>
  <si>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</si>
  <si>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</si>
  <si>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</si>
  <si>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</si>
  <si>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</si>
  <si>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</si>
  <si>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</si>
  <si>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</si>
  <si>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</si>
  <si>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</si>
  <si>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</si>
  <si>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</si>
  <si>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</si>
  <si>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</si>
  <si>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</si>
  <si>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</si>
  <si>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</si>
  <si>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</si>
  <si>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</si>
  <si>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</si>
  <si>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</si>
  <si>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</si>
  <si>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</si>
  <si>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</si>
  <si>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</si>
  <si>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</si>
  <si>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</si>
  <si>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</si>
  <si>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</si>
  <si>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</si>
  <si>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</si>
  <si>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</si>
  <si>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</si>
  <si>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</si>
  <si>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</si>
  <si>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</si>
  <si>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</si>
  <si>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</si>
  <si>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</si>
  <si>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</si>
  <si>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</si>
  <si>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</si>
  <si>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</si>
  <si>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</si>
  <si>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</si>
  <si>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</si>
  <si>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</si>
  <si>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</si>
  <si>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</si>
  <si>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</si>
  <si>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</si>
  <si>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</si>
  <si>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</si>
  <si>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</si>
  <si>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</si>
  <si>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</si>
  <si>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</si>
  <si>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</si>
  <si>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</si>
  <si>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</si>
  <si>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</si>
  <si>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</si>
  <si>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</si>
  <si>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</si>
  <si>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</si>
  <si>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</si>
  <si>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</si>
  <si>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</si>
  <si>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</si>
  <si>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</si>
  <si>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</si>
  <si>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</si>
  <si>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</si>
  <si>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</si>
  <si>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</si>
  <si>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</si>
  <si>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</si>
  <si>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</si>
  <si>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</si>
  <si>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</si>
  <si>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</si>
  <si>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</si>
  <si>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</si>
  <si>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</si>
  <si>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</si>
  <si>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</si>
  <si>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</si>
  <si>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</si>
  <si>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</si>
  <si>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</si>
  <si>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</si>
  <si>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</si>
  <si>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</si>
  <si>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</si>
  <si>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</si>
  <si>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</si>
  <si>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</si>
  <si>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</si>
  <si>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</si>
  <si>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</si>
  <si>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</si>
  <si>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</si>
  <si>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</si>
  <si>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</si>
  <si>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</si>
  <si>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</si>
  <si>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</si>
  <si>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</si>
  <si>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</si>
  <si>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</si>
  <si>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</si>
  <si>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</si>
  <si>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</si>
  <si>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</si>
  <si>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</si>
  <si>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</si>
  <si>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</si>
  <si>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</si>
  <si>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</si>
  <si>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</si>
  <si>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</si>
  <si>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</si>
  <si>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</si>
  <si>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</si>
  <si>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</si>
  <si>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</si>
  <si>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</si>
  <si>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</si>
  <si>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</si>
  <si>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</si>
  <si>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</si>
  <si>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</si>
  <si>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</si>
  <si>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</si>
  <si>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</si>
  <si>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</si>
  <si>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</si>
  <si>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</si>
  <si>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</si>
  <si>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</si>
  <si>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</si>
  <si>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</si>
  <si>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</si>
  <si>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</si>
  <si>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</si>
  <si>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</si>
  <si>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</si>
  <si>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</si>
  <si>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</si>
  <si>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</si>
  <si>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</si>
  <si>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</si>
  <si>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</si>
  <si>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</si>
  <si>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</si>
  <si>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</si>
  <si>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</si>
  <si>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</si>
  <si>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</si>
  <si>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</si>
  <si>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</si>
  <si>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</si>
  <si>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</si>
  <si>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</si>
  <si>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</si>
  <si>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</si>
  <si>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</si>
  <si>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</si>
  <si>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</si>
  <si>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</si>
  <si>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</si>
  <si>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</si>
  <si>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</si>
  <si>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</si>
  <si>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</si>
  <si>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</si>
  <si>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</si>
  <si>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</si>
  <si>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</si>
  <si>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</si>
  <si>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</si>
  <si>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</si>
  <si>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</si>
  <si>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</si>
  <si>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</si>
  <si>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</si>
  <si>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</si>
  <si>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</si>
  <si>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</si>
  <si>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</si>
  <si>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</si>
  <si>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</si>
  <si>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</si>
  <si>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</si>
  <si>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</si>
  <si>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</si>
  <si>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</si>
  <si>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</si>
  <si>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</si>
  <si>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</si>
  <si>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</si>
  <si>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</si>
  <si>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</si>
  <si>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</si>
  <si>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</si>
  <si>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</si>
  <si>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</si>
  <si>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</si>
  <si>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</si>
  <si>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</si>
  <si>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</si>
  <si>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</si>
  <si>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</si>
  <si>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</si>
  <si>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</si>
  <si>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</si>
  <si>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</si>
  <si>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</si>
  <si>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</si>
  <si>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</si>
  <si>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</si>
  <si>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</si>
  <si>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</si>
  <si>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</si>
  <si>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</si>
  <si>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</si>
  <si>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</si>
  <si>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</si>
  <si>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</si>
  <si>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</si>
  <si>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</si>
  <si>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</si>
  <si>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</si>
  <si>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</si>
  <si>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</si>
  <si>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</si>
  <si>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</si>
  <si>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</si>
  <si>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</si>
  <si>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</si>
  <si>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</si>
  <si>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</si>
  <si>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</si>
  <si>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</si>
  <si>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</si>
  <si>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</si>
  <si>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</si>
  <si>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</si>
  <si>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</si>
  <si>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</si>
  <si>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</si>
  <si>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</si>
  <si>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</si>
  <si>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</si>
  <si>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</si>
  <si>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</si>
  <si>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</si>
  <si>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</si>
  <si>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</si>
  <si>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</si>
  <si>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</si>
  <si>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</si>
  <si>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</si>
  <si>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</si>
  <si>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</si>
  <si>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</si>
  <si>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</si>
  <si>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</si>
  <si>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</si>
  <si>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</si>
  <si>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</si>
  <si>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</si>
  <si>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</si>
  <si>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</si>
  <si>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</si>
  <si>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</si>
  <si>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</si>
  <si>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</si>
  <si>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</si>
  <si>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</si>
  <si>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</si>
  <si>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</si>
  <si>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</si>
  <si>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</si>
  <si>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</si>
  <si>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</si>
  <si>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</si>
  <si>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</si>
  <si>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</si>
  <si>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</si>
  <si>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</si>
  <si>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</si>
  <si>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</si>
  <si>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</si>
  <si>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</si>
  <si>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</si>
  <si>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</si>
  <si>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</si>
  <si>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</si>
  <si>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</si>
  <si>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</si>
  <si>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</si>
  <si>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</si>
  <si>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</si>
  <si>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</si>
  <si>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</si>
  <si>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</si>
  <si>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</si>
  <si>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</si>
  <si>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</si>
  <si>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</si>
  <si>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</si>
  <si>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</si>
  <si>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</si>
  <si>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</si>
  <si>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</si>
  <si>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</si>
  <si>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</si>
  <si>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</si>
  <si>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</si>
  <si>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</si>
  <si>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</si>
  <si>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</si>
  <si>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</si>
  <si>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</si>
  <si>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</si>
  <si>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</si>
  <si>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</si>
  <si>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</si>
  <si>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</si>
  <si>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</si>
  <si>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</si>
  <si>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</si>
  <si>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</si>
  <si>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</si>
  <si>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</si>
  <si>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</si>
  <si>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</si>
  <si>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</si>
  <si>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</si>
  <si>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</si>
  <si>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</si>
  <si>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</si>
  <si>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</si>
  <si>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</si>
  <si>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</si>
  <si>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</si>
  <si>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</si>
  <si>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</si>
  <si>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</si>
  <si>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</si>
  <si>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</si>
  <si>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</si>
  <si>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</si>
  <si>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</si>
  <si>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</si>
  <si>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</si>
  <si>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</si>
  <si>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</si>
  <si>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</si>
  <si>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</si>
  <si>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</si>
  <si>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</si>
  <si>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</si>
  <si>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</si>
  <si>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</si>
  <si>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</si>
  <si>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</si>
  <si>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</si>
  <si>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</si>
  <si>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</si>
  <si>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</si>
  <si>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</si>
  <si>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</si>
  <si>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</si>
  <si>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</si>
  <si>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</si>
  <si>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</si>
  <si>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</si>
  <si>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</si>
  <si>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</si>
  <si>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</si>
  <si>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</si>
  <si>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</si>
  <si>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</si>
  <si>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</si>
  <si>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</si>
  <si>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</si>
  <si>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</si>
  <si>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</si>
  <si>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</si>
  <si>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</si>
  <si>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</si>
  <si>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</si>
  <si>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</si>
  <si>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</si>
  <si>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</si>
  <si>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</si>
  <si>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</si>
  <si>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</si>
  <si>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</si>
  <si>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</si>
  <si>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</si>
  <si>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</si>
  <si>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</si>
  <si>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</si>
  <si>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</si>
  <si>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</si>
  <si>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</si>
  <si>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</si>
  <si>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</si>
  <si>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</si>
  <si>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</si>
  <si>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</si>
  <si>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</si>
  <si>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</si>
  <si>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</si>
  <si>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</si>
  <si>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</si>
  <si>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</si>
  <si>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</si>
  <si>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</si>
  <si>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</si>
  <si>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</si>
  <si>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</si>
  <si>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</si>
  <si>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</si>
  <si>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</si>
  <si>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</si>
  <si>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</si>
  <si>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</si>
  <si>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</si>
  <si>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</si>
  <si>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</si>
  <si>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</si>
  <si>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</si>
  <si>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</si>
  <si>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</si>
  <si>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</si>
  <si>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</si>
  <si>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</si>
  <si>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</si>
  <si>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</si>
  <si>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</si>
  <si>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</si>
  <si>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</si>
  <si>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</si>
  <si>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</si>
  <si>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</si>
  <si>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</si>
  <si>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</si>
  <si>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</si>
  <si>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</si>
  <si>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</si>
  <si>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</si>
  <si>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</si>
  <si>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</si>
  <si>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</si>
  <si>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</si>
  <si>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</si>
  <si>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</si>
  <si>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</si>
  <si>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</si>
  <si>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</si>
  <si>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</si>
  <si>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</si>
  <si>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</si>
  <si>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</si>
  <si>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</si>
  <si>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</si>
  <si>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</si>
  <si>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</si>
  <si>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</si>
  <si>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</si>
  <si>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</si>
  <si>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</si>
  <si>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</si>
  <si>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</si>
  <si>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</si>
  <si>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</si>
  <si>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</si>
  <si>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</si>
  <si>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</si>
  <si>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</si>
  <si>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</si>
  <si>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</si>
  <si>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</si>
  <si>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</si>
  <si>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</si>
  <si>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</si>
  <si>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</si>
  <si>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</si>
  <si>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</si>
  <si>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</si>
  <si>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</si>
  <si>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</si>
  <si>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</si>
  <si>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</si>
  <si>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</si>
  <si>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</si>
  <si>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</si>
  <si>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</si>
  <si>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</si>
  <si>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</si>
  <si>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</si>
  <si>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</si>
  <si>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</si>
  <si>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</si>
  <si>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</si>
  <si>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</si>
  <si>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</si>
  <si>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</si>
  <si>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</si>
  <si>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</si>
  <si>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</si>
  <si>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</si>
  <si>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</si>
  <si>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</si>
  <si>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</si>
  <si>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</si>
  <si>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</si>
  <si>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</si>
  <si>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</si>
  <si>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</si>
  <si>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</si>
  <si>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</si>
  <si>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</si>
  <si>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</si>
  <si>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</si>
  <si>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</si>
  <si>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</si>
  <si>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</si>
  <si>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</si>
  <si>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</si>
  <si>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</si>
  <si>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</si>
  <si>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</si>
  <si>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</si>
  <si>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</si>
  <si>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</si>
  <si>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</si>
  <si>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</si>
  <si>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</si>
  <si>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</si>
  <si>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</si>
  <si>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</si>
  <si>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</si>
  <si>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</si>
  <si>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</si>
  <si>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</si>
  <si>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</si>
  <si>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</si>
  <si>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</si>
  <si>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</si>
  <si>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</si>
  <si>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</si>
  <si>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</si>
  <si>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</si>
  <si>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</si>
  <si>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</si>
  <si>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</si>
  <si>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</si>
  <si>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</si>
  <si>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</si>
  <si>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</si>
  <si>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</si>
  <si>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</si>
  <si>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</si>
  <si>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</si>
  <si>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</si>
  <si>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</si>
  <si>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</si>
  <si>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</si>
  <si>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</si>
  <si>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</si>
  <si>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</si>
  <si>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</si>
  <si>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</si>
  <si>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</si>
  <si>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</si>
  <si>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</si>
  <si>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</si>
  <si>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</si>
  <si>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</si>
  <si>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</si>
  <si>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</si>
  <si>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</si>
  <si>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</si>
  <si>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</si>
  <si>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</si>
  <si>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</si>
  <si>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</si>
  <si>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</si>
  <si>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</si>
  <si>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</si>
  <si>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</si>
  <si>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</si>
  <si>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</si>
  <si>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</si>
  <si>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</si>
  <si>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</si>
  <si>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</si>
  <si>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</si>
  <si>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</si>
  <si>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</si>
  <si>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</si>
  <si>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</si>
  <si>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</si>
  <si>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</si>
  <si>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</si>
  <si>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</si>
  <si>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</si>
  <si>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</si>
  <si>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</si>
  <si>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</si>
  <si>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</si>
  <si>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</si>
  <si>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</si>
  <si>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</si>
  <si>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</si>
  <si>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</si>
  <si>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</si>
  <si>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</si>
  <si>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</si>
  <si>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</si>
  <si>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</si>
  <si>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</si>
  <si>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</si>
  <si>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</si>
  <si>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</si>
  <si>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</si>
  <si>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</si>
  <si>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</si>
  <si>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</si>
  <si>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</si>
  <si>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</si>
  <si>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</si>
  <si>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</si>
  <si>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</si>
  <si>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</si>
  <si>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</si>
  <si>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</si>
  <si>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</si>
  <si>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</si>
  <si>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</si>
  <si>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</si>
  <si>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</si>
  <si>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</si>
  <si>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</si>
  <si>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</si>
  <si>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</si>
  <si>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</si>
  <si>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</si>
  <si>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</si>
  <si>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</si>
  <si>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</si>
  <si>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</si>
  <si>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</si>
  <si>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</si>
  <si>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</si>
  <si>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</si>
  <si>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</si>
  <si>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</si>
  <si>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</si>
  <si>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</si>
  <si>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</si>
  <si>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</si>
  <si>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</si>
  <si>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</si>
  <si>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</si>
  <si>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</si>
  <si>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</si>
  <si>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</si>
  <si>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</si>
  <si>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</si>
  <si>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</si>
  <si>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</si>
  <si>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</si>
  <si>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</si>
  <si>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</si>
  <si>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</si>
  <si>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</si>
  <si>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</si>
  <si>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</si>
  <si>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</si>
  <si>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</si>
  <si>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</si>
  <si>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</si>
  <si>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</si>
  <si>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</si>
  <si>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</si>
  <si>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</si>
  <si>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</si>
  <si>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</si>
  <si>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</si>
  <si>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</si>
  <si>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</si>
  <si>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</si>
  <si>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</si>
  <si>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</si>
  <si>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</si>
  <si>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</si>
  <si>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</si>
  <si>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</si>
  <si>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</si>
  <si>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</si>
  <si>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</si>
  <si>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</si>
  <si>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</si>
  <si>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</si>
  <si>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</si>
  <si>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</si>
  <si>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</si>
  <si>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</si>
  <si>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</si>
  <si>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</si>
  <si>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</si>
  <si>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</si>
  <si>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</si>
  <si>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</si>
  <si>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</si>
  <si>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</si>
  <si>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</si>
  <si>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</si>
  <si>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</si>
  <si>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</si>
  <si>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</si>
  <si>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</si>
  <si>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</si>
  <si>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</si>
  <si>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</si>
  <si>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</si>
  <si>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</si>
  <si>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</si>
  <si>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</si>
  <si>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</si>
  <si>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</si>
  <si>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</si>
  <si>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</si>
  <si>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</si>
  <si>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</si>
  <si>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</si>
  <si>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</si>
  <si>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</si>
  <si>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</si>
  <si>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</si>
  <si>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</si>
  <si>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</si>
  <si>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</si>
  <si>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</si>
  <si>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</si>
  <si>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</si>
  <si>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</si>
  <si>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</si>
  <si>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</si>
  <si>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</si>
  <si>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</si>
  <si>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</si>
  <si>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</si>
  <si>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</si>
  <si>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</si>
  <si>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</si>
  <si>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</si>
  <si>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</si>
  <si>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</si>
  <si>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</si>
  <si>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</si>
  <si>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</si>
  <si>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</si>
  <si>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</si>
  <si>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</si>
  <si>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</si>
  <si>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</si>
  <si>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</si>
  <si>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</si>
  <si>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</si>
  <si>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</si>
  <si>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</si>
  <si>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</si>
  <si>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</si>
  <si>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</si>
  <si>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</si>
  <si>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</si>
  <si>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</si>
  <si>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</si>
  <si>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</si>
  <si>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</si>
  <si>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</si>
  <si>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</si>
  <si>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</si>
  <si>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</si>
  <si>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</si>
  <si>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</si>
  <si>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</si>
  <si>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</si>
  <si>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</si>
  <si>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</si>
  <si>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</si>
  <si>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</si>
  <si>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</si>
  <si>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</si>
  <si>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</si>
  <si>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</si>
  <si>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</si>
  <si>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</si>
  <si>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</si>
  <si>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</si>
  <si>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</si>
  <si>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</si>
  <si>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</si>
  <si>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</si>
  <si>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</si>
  <si>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</si>
  <si>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</si>
  <si>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</si>
  <si>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</si>
  <si>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</si>
  <si>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</si>
  <si>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</si>
  <si>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</si>
  <si>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</si>
  <si>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</si>
  <si>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</si>
  <si>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</si>
  <si>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</si>
  <si>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</si>
  <si>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</si>
  <si>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</si>
  <si>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</si>
  <si>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</si>
  <si>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</si>
  <si>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</si>
  <si>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</si>
  <si>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</si>
  <si>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</si>
  <si>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</si>
  <si>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</si>
  <si>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</si>
  <si>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</si>
  <si>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</si>
  <si>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</si>
  <si>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</si>
  <si>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</si>
  <si>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</si>
  <si>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</si>
  <si>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</si>
  <si>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</si>
  <si>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</si>
  <si>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</si>
  <si>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</si>
  <si>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</si>
  <si>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</si>
  <si>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</si>
  <si>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</si>
  <si>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</si>
  <si>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</si>
  <si>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</si>
  <si>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</si>
  <si>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</si>
  <si>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</si>
  <si>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</si>
  <si>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</si>
  <si>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</si>
  <si>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</si>
  <si>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</si>
  <si>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</si>
  <si>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</si>
  <si>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</si>
  <si>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</si>
  <si>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</si>
  <si>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</si>
  <si>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</si>
  <si>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</si>
  <si>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</si>
  <si>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</si>
  <si>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</si>
  <si>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</si>
  <si>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</si>
  <si>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</si>
  <si>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</si>
  <si>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</si>
  <si>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</si>
  <si>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</si>
  <si>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</si>
  <si>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</si>
  <si>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</si>
  <si>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</si>
  <si>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</si>
  <si>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</si>
  <si>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</si>
  <si>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</si>
  <si>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</si>
  <si>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</si>
  <si>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</si>
  <si>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</si>
  <si>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</si>
  <si>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</si>
  <si>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</si>
  <si>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</si>
  <si>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</si>
  <si>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</si>
  <si>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</si>
  <si>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</si>
  <si>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</si>
  <si>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</si>
  <si>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</si>
  <si>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</si>
  <si>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</si>
  <si>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</si>
  <si>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</si>
  <si>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</si>
  <si>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</si>
  <si>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</si>
  <si>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</si>
  <si>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</si>
  <si>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</si>
  <si>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</si>
  <si>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</si>
  <si>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</si>
  <si>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</si>
  <si>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</si>
  <si>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</si>
  <si>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</si>
  <si>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</si>
  <si>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</si>
  <si>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</si>
  <si>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</si>
  <si>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</si>
  <si>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</si>
  <si>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</si>
  <si>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</si>
  <si>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</si>
  <si>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</si>
  <si>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</si>
  <si>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</si>
  <si>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</si>
  <si>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</si>
  <si>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</si>
  <si>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</si>
  <si>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</si>
  <si>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</si>
  <si>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</si>
  <si>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</si>
  <si>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</si>
  <si>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</si>
  <si>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</si>
  <si>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</si>
  <si>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</si>
  <si>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</si>
  <si>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</si>
  <si>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</si>
  <si>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</si>
  <si>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</si>
  <si>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</si>
  <si>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</si>
  <si>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</si>
  <si>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</si>
  <si>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</si>
  <si>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</si>
  <si>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</si>
  <si>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</si>
  <si>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</si>
  <si>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</si>
  <si>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</si>
  <si>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</si>
  <si>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</si>
  <si>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</si>
  <si>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</si>
  <si>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</si>
  <si>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</si>
  <si>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</si>
  <si>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</si>
  <si>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</si>
  <si>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</si>
  <si>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</si>
  <si>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</si>
  <si>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</si>
  <si>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</si>
  <si>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</si>
  <si>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</si>
  <si>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</si>
  <si>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</si>
  <si>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</si>
  <si>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</si>
  <si>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</si>
  <si>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</si>
  <si>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</si>
  <si>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</si>
  <si>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</si>
  <si>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</si>
  <si>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</si>
  <si>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</si>
  <si>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</si>
  <si>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</si>
  <si>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</si>
  <si>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</si>
  <si>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</si>
  <si>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</si>
  <si>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</si>
  <si>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</si>
  <si>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</si>
  <si>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</si>
  <si>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</si>
  <si>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</si>
  <si>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</si>
  <si>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</si>
  <si>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</si>
  <si>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</si>
  <si>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</si>
  <si>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</si>
  <si>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</si>
  <si>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</si>
  <si>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</si>
  <si>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</si>
  <si>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</si>
  <si>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</si>
  <si>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</si>
  <si>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</si>
  <si>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</si>
  <si>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</si>
  <si>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</si>
  <si>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</si>
  <si>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</si>
  <si>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</si>
  <si>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</si>
  <si>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</si>
  <si>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</si>
  <si>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</si>
  <si>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</si>
  <si>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</si>
  <si>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</si>
  <si>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</si>
  <si>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</si>
  <si>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</si>
  <si>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</si>
  <si>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</si>
  <si>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</si>
  <si>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</si>
  <si>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</si>
  <si>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</si>
  <si>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</si>
  <si>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</si>
  <si>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</si>
  <si>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</si>
  <si>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</si>
  <si>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</si>
  <si>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</si>
  <si>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</si>
  <si>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</si>
  <si>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</si>
  <si>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</si>
  <si>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</si>
  <si>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</si>
  <si>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</si>
  <si>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</si>
  <si>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</si>
  <si>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</si>
  <si>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</si>
  <si>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</si>
  <si>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</si>
  <si>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</si>
  <si>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</si>
  <si>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</si>
  <si>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</si>
  <si>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</si>
  <si>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</si>
  <si>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</si>
  <si>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</si>
  <si>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</si>
  <si>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</si>
  <si>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</si>
  <si>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</si>
  <si>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</si>
  <si>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</si>
  <si>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</si>
  <si>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</si>
  <si>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</si>
  <si>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</si>
  <si>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</si>
  <si>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</si>
  <si>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</si>
  <si>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</si>
  <si>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</si>
  <si>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</si>
  <si>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</si>
  <si>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</si>
  <si>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</si>
  <si>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</si>
  <si>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</si>
  <si>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</si>
  <si>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</si>
  <si>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</si>
  <si>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</si>
  <si>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</si>
  <si>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</si>
  <si>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</si>
  <si>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</si>
  <si>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</si>
  <si>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</si>
  <si>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</si>
  <si>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</si>
  <si>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</si>
  <si>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</si>
  <si>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</si>
  <si>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</si>
  <si>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</si>
  <si>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</si>
  <si>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</si>
  <si>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</si>
  <si>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</si>
  <si>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</si>
  <si>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</si>
  <si>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</si>
  <si>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</si>
  <si>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</si>
  <si>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</si>
  <si>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</si>
  <si>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</si>
  <si>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</si>
  <si>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</si>
  <si>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</si>
  <si>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</si>
  <si>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</si>
  <si>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</si>
  <si>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</si>
  <si>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</si>
  <si>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</si>
  <si>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</si>
  <si>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</si>
  <si>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</si>
  <si>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</si>
  <si>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</si>
  <si>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</si>
  <si>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</si>
  <si>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</si>
  <si>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</si>
  <si>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</si>
  <si>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</si>
  <si>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</si>
  <si>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</si>
  <si>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</si>
  <si>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</si>
  <si>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</si>
  <si>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</si>
  <si>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</si>
  <si>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</si>
  <si>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</si>
  <si>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</si>
  <si>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</si>
  <si>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</si>
  <si>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</si>
  <si>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</si>
  <si>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</si>
  <si>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</si>
  <si>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</si>
  <si>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</si>
  <si>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</si>
  <si>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</si>
  <si>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</si>
  <si>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</si>
  <si>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</si>
  <si>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</si>
  <si>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</si>
  <si>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</si>
  <si>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</si>
  <si>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</si>
  <si>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</si>
  <si>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</si>
  <si>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</si>
  <si>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</si>
  <si>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</si>
  <si>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</si>
  <si>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</si>
  <si>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</si>
  <si>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</si>
  <si>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</si>
  <si>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</si>
  <si>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</si>
  <si>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</si>
  <si>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</si>
  <si>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</si>
  <si>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</si>
  <si>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</si>
  <si>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</si>
  <si>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</si>
  <si>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</si>
  <si>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</si>
  <si>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</si>
  <si>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</si>
  <si>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</si>
  <si>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</si>
  <si>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</si>
  <si>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</si>
  <si>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</si>
  <si>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</si>
  <si>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</si>
  <si>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</si>
  <si>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</si>
  <si>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</si>
  <si>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</si>
  <si>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</si>
  <si>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</si>
  <si>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</si>
  <si>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</si>
  <si>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</si>
  <si>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</si>
  <si>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</si>
  <si>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</si>
  <si>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</si>
  <si>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</si>
  <si>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</si>
  <si>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</si>
  <si>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</si>
  <si>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</si>
  <si>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</si>
  <si>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</si>
  <si>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</si>
  <si>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</si>
  <si>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</si>
  <si>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</si>
  <si>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</si>
  <si>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</si>
  <si>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</si>
  <si>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</si>
  <si>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</si>
  <si>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</si>
  <si>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</si>
  <si>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</si>
  <si>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</si>
  <si>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</si>
  <si>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</si>
  <si>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</si>
  <si>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</si>
  <si>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</si>
  <si>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</si>
  <si>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</si>
  <si>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</si>
  <si>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</si>
  <si>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</si>
  <si>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</si>
  <si>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</si>
  <si>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</si>
  <si>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</si>
  <si>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</si>
  <si>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</si>
  <si>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</si>
  <si>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</si>
  <si>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</si>
  <si>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</si>
  <si>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</si>
  <si>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</si>
  <si>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</si>
  <si>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</si>
  <si>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</si>
  <si>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</si>
  <si>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</si>
  <si>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</si>
  <si>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</si>
  <si>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</si>
  <si>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</si>
  <si>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</si>
  <si>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</si>
  <si>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</si>
  <si>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</si>
  <si>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</si>
  <si>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</si>
  <si>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</si>
  <si>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</si>
  <si>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</si>
  <si>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</si>
  <si>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</si>
  <si>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</si>
  <si>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</si>
  <si>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</si>
  <si>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</si>
  <si>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</si>
  <si>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</si>
  <si>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</si>
  <si>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</si>
  <si>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</si>
  <si>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</si>
  <si>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</si>
  <si>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</si>
  <si>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</si>
  <si>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</si>
  <si>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</si>
  <si>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</si>
  <si>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</si>
  <si>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</si>
  <si>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</si>
  <si>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</si>
  <si>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</si>
  <si>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</si>
  <si>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</si>
  <si>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</si>
  <si>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</si>
  <si>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</si>
  <si>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</si>
  <si>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</si>
  <si>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</si>
  <si>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</si>
  <si>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</si>
  <si>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</si>
  <si>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</si>
  <si>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</si>
  <si>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</si>
  <si>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</si>
  <si>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</si>
  <si>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</si>
  <si>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</si>
  <si>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</si>
  <si>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</si>
  <si>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</si>
  <si>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</si>
  <si>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</si>
  <si>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</si>
  <si>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</si>
  <si>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</si>
  <si>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</si>
  <si>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</si>
  <si>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</si>
  <si>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</si>
  <si>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</si>
  <si>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</si>
  <si>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</si>
  <si>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</si>
  <si>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</si>
  <si>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</si>
  <si>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</si>
  <si>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</si>
  <si>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</si>
  <si>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</si>
  <si>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</si>
  <si>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</si>
  <si>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</si>
  <si>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</si>
  <si>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</si>
  <si>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</si>
  <si>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</si>
  <si>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</si>
  <si>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</si>
  <si>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</si>
  <si>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</si>
  <si>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</si>
  <si>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</si>
  <si>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</si>
  <si>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</si>
  <si>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</si>
  <si>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</si>
  <si>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</si>
  <si>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</si>
  <si>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</si>
  <si>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</si>
  <si>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</si>
  <si>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</si>
  <si>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</si>
  <si>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</si>
  <si>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</si>
  <si>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</si>
  <si>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</si>
  <si>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</si>
  <si>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</si>
  <si>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</si>
  <si>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</si>
  <si>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</si>
  <si>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</si>
  <si>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</si>
  <si>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</si>
  <si>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</si>
  <si>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</si>
  <si>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</si>
  <si>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</si>
  <si>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</si>
  <si>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</si>
  <si>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</si>
  <si>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</si>
  <si>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</si>
  <si>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</si>
  <si>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</si>
  <si>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</si>
  <si>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</si>
  <si>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</si>
  <si>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</si>
  <si>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</si>
  <si>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</si>
  <si>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</si>
  <si>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</si>
  <si>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</si>
  <si>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</si>
  <si>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</si>
  <si>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</si>
  <si>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</si>
  <si>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</si>
  <si>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</si>
  <si>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</si>
  <si>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</si>
  <si>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</si>
  <si>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</si>
  <si>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</si>
  <si>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</si>
  <si>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</si>
  <si>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</si>
  <si>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</si>
  <si>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</si>
  <si>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</si>
  <si>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</si>
  <si>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</si>
  <si>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</si>
  <si>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</si>
  <si>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</si>
  <si>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</si>
  <si>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</si>
  <si>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</si>
  <si>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</si>
  <si>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</si>
  <si>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</si>
  <si>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</si>
  <si>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</si>
  <si>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</si>
  <si>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</si>
  <si>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</si>
  <si>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</si>
  <si>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</si>
  <si>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</si>
  <si>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</si>
  <si>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</si>
  <si>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</si>
  <si>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</si>
  <si>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</si>
  <si>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</si>
  <si>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</si>
  <si>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</si>
  <si>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</si>
  <si>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</si>
  <si>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</si>
  <si>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</si>
  <si>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</si>
  <si>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</si>
  <si>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</si>
  <si>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</si>
  <si>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</si>
  <si>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</si>
  <si>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</si>
  <si>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</si>
  <si>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</si>
  <si>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</si>
  <si>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</si>
  <si>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</si>
  <si>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</si>
  <si>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</si>
  <si>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</si>
  <si>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</si>
  <si>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</si>
  <si>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</si>
  <si>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</si>
  <si>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</si>
  <si>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</si>
  <si>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</si>
  <si>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</si>
  <si>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</si>
  <si>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</si>
  <si>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</si>
  <si>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</si>
  <si>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</si>
  <si>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</si>
  <si>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</si>
  <si>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</si>
  <si>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</si>
  <si>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</si>
  <si>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</si>
  <si>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</si>
  <si>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</si>
  <si>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</si>
  <si>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</si>
  <si>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</si>
  <si>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</si>
  <si>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</si>
  <si>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</si>
  <si>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</si>
  <si>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</si>
  <si>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</si>
  <si>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</si>
  <si>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</si>
  <si>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</si>
  <si>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</si>
  <si>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</si>
  <si>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</si>
  <si>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</si>
  <si>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</si>
  <si>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</si>
  <si>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</si>
  <si>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</si>
  <si>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</si>
  <si>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</si>
  <si>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</si>
  <si>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</si>
  <si>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</si>
  <si>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</si>
  <si>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</si>
  <si>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</si>
  <si>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</si>
  <si>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</si>
  <si>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</si>
  <si>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</si>
  <si>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</si>
  <si>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</si>
  <si>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</si>
  <si>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</si>
  <si>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</si>
  <si>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</si>
  <si>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</si>
  <si>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</si>
  <si>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</si>
  <si>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</si>
  <si>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</si>
  <si>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</si>
  <si>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</si>
  <si>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</si>
  <si>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</si>
  <si>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</si>
  <si>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</si>
  <si>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</si>
  <si>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</si>
  <si>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</si>
  <si>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</si>
  <si>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</si>
  <si>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</si>
  <si>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</si>
  <si>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</si>
  <si>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</si>
  <si>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</si>
  <si>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</si>
  <si>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</si>
  <si>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</si>
  <si>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</si>
  <si>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</si>
  <si>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</si>
  <si>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</si>
  <si>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</si>
  <si>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</si>
  <si>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</si>
  <si>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</si>
  <si>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</si>
  <si>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</si>
  <si>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</si>
  <si>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</si>
  <si>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</si>
  <si>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</si>
  <si>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</si>
  <si>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</si>
  <si>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</si>
  <si>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</si>
  <si>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</si>
  <si>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</si>
  <si>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</si>
  <si>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</si>
  <si>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</si>
  <si>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</si>
  <si>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</si>
  <si>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</si>
  <si>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</si>
  <si>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</si>
  <si>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</si>
  <si>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</si>
  <si>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</si>
  <si>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</si>
  <si>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</si>
  <si>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</si>
  <si>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</si>
  <si>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</si>
  <si>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</si>
  <si>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</si>
  <si>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</si>
  <si>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</si>
  <si>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</si>
  <si>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</si>
  <si>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</si>
  <si>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</si>
  <si>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</si>
  <si>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</si>
  <si>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</si>
  <si>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</si>
  <si>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</si>
  <si>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</si>
  <si>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</si>
  <si>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</si>
  <si>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</si>
  <si>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</si>
  <si>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</si>
  <si>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</si>
  <si>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</si>
  <si>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</si>
  <si>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</si>
  <si>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</si>
  <si>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</si>
  <si>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</si>
  <si>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</si>
  <si>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</si>
  <si>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</si>
  <si>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</si>
  <si>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</si>
  <si>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</si>
  <si>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</si>
  <si>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</si>
  <si>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</si>
  <si>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</si>
  <si>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</si>
  <si>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</si>
  <si>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</si>
  <si>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</si>
  <si>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</si>
  <si>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</si>
  <si>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</si>
  <si>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</si>
  <si>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</si>
  <si>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</si>
  <si>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</si>
  <si>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</si>
  <si>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</si>
  <si>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</si>
  <si>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</si>
  <si>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</si>
  <si>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</si>
  <si>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</si>
  <si>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</si>
  <si>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</si>
  <si>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</si>
  <si>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</si>
  <si>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</si>
  <si>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</si>
  <si>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</si>
  <si>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</si>
  <si>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</si>
  <si>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</si>
  <si>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</si>
  <si>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</si>
  <si>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</si>
  <si>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</si>
  <si>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</si>
  <si>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</si>
  <si>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</si>
  <si>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</si>
  <si>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</si>
  <si>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</si>
  <si>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</si>
  <si>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</si>
  <si>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</si>
  <si>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</si>
  <si>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</si>
  <si>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</si>
  <si>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</si>
  <si>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</si>
  <si>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</si>
  <si>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</si>
  <si>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</si>
  <si>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</si>
  <si>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</si>
  <si>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</si>
  <si>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</si>
  <si>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</si>
  <si>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</si>
  <si>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</si>
  <si>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</si>
  <si>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</si>
  <si>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</si>
  <si>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</si>
  <si>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</si>
  <si>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</si>
  <si>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</si>
  <si>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</si>
  <si>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</si>
  <si>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</si>
  <si>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</si>
  <si>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</si>
  <si>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</si>
  <si>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</si>
  <si>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</si>
  <si>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</si>
  <si>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</si>
  <si>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</si>
  <si>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</si>
  <si>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</si>
  <si>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</si>
  <si>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</si>
  <si>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</si>
  <si>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</si>
  <si>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</si>
  <si>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</si>
  <si>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</si>
  <si>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</si>
  <si>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</si>
  <si>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</si>
  <si>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</si>
  <si>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</si>
  <si>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</si>
  <si>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</si>
  <si>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</si>
  <si>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</si>
  <si>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</si>
  <si>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</si>
  <si>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</si>
  <si>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</si>
  <si>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</si>
  <si>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</si>
  <si>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</si>
  <si>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</si>
  <si>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</si>
  <si>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</si>
  <si>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</si>
  <si>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</si>
  <si>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</si>
  <si>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</si>
  <si>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</si>
  <si>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</si>
  <si>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</si>
  <si>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</si>
  <si>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</si>
  <si>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</si>
  <si>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</si>
  <si>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</si>
  <si>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</si>
  <si>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</si>
  <si>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</si>
  <si>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</si>
  <si>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</si>
  <si>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</si>
  <si>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</si>
  <si>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</si>
  <si>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</si>
  <si>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</si>
  <si>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</si>
  <si>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</si>
  <si>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</si>
  <si>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</si>
  <si>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</si>
  <si>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</si>
  <si>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</si>
  <si>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</si>
  <si>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</si>
  <si>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</si>
  <si>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</si>
  <si>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</si>
  <si>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</si>
  <si>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</si>
  <si>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</si>
  <si>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</si>
  <si>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</si>
  <si>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</si>
  <si>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</si>
  <si>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</si>
  <si>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</si>
  <si>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</si>
  <si>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</si>
  <si>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</si>
  <si>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</si>
  <si>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</si>
  <si>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</si>
  <si>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</si>
  <si>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</si>
  <si>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</si>
  <si>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</si>
  <si>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</si>
  <si>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</si>
  <si>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</si>
  <si>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</si>
  <si>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</si>
  <si>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</si>
  <si>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</si>
  <si>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</si>
  <si>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</si>
  <si>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</si>
  <si>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</si>
  <si>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</si>
  <si>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</si>
  <si>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</si>
  <si>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</si>
  <si>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</si>
  <si>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</si>
  <si>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</si>
  <si>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</si>
  <si>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</si>
  <si>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</si>
  <si>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</si>
  <si>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</si>
  <si>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</si>
  <si>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</si>
  <si>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</si>
  <si>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</si>
  <si>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</si>
  <si>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</si>
  <si>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</si>
  <si>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</si>
  <si>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</si>
  <si>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</si>
  <si>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</si>
  <si>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</si>
  <si>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</si>
  <si>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</si>
  <si>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</si>
  <si>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</si>
  <si>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</si>
  <si>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</si>
  <si>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</si>
  <si>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</si>
  <si>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</si>
  <si>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</si>
  <si>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</si>
  <si>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</si>
  <si>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</si>
  <si>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</si>
  <si>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</si>
  <si>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</si>
  <si>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</si>
  <si>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</si>
  <si>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</si>
  <si>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</si>
  <si>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</si>
  <si>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</si>
  <si>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</si>
  <si>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</si>
  <si>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</si>
  <si>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</si>
  <si>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</si>
  <si>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</si>
  <si>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</si>
  <si>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</si>
  <si>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</si>
  <si>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</si>
  <si>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</si>
  <si>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</si>
  <si>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</si>
  <si>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</si>
  <si>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</si>
  <si>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</si>
  <si>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</si>
  <si>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</si>
  <si>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</si>
  <si>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</si>
  <si>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</si>
  <si>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</si>
  <si>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</si>
  <si>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</si>
  <si>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</si>
  <si>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</si>
  <si>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</si>
  <si>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</si>
  <si>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</si>
  <si>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</si>
  <si>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</si>
  <si>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</si>
  <si>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</si>
  <si>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</si>
  <si>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</si>
  <si>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</si>
  <si>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</si>
  <si>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</si>
  <si>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</si>
  <si>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</si>
  <si>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</si>
  <si>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</si>
  <si>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</si>
  <si>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</si>
  <si>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</si>
  <si>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</si>
  <si>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</si>
  <si>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</si>
  <si>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</si>
  <si>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</si>
  <si>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</si>
  <si>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</si>
  <si>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</si>
  <si>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</si>
  <si>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</si>
  <si>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</si>
  <si>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</si>
  <si>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</si>
  <si>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</si>
  <si>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</si>
  <si>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</si>
  <si>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</si>
  <si>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</si>
  <si>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</si>
  <si>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</si>
  <si>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</si>
  <si>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</si>
  <si>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</si>
  <si>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</si>
  <si>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</si>
  <si>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</si>
  <si>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</si>
  <si>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</si>
  <si>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</si>
  <si>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</si>
  <si>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</si>
  <si>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</si>
  <si>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</si>
  <si>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</si>
  <si>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</si>
  <si>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</si>
  <si>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</si>
  <si>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</si>
  <si>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</si>
  <si>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</si>
  <si>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</si>
  <si>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</si>
  <si>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</si>
  <si>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</si>
  <si>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</si>
  <si>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</si>
  <si>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</si>
  <si>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</si>
  <si>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</si>
  <si>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</si>
  <si>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</si>
  <si>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</si>
  <si>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</si>
  <si>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</si>
  <si>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</si>
  <si>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</si>
  <si>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</si>
  <si>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</si>
  <si>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</si>
  <si>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</si>
  <si>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</si>
  <si>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</si>
  <si>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</si>
  <si>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</si>
  <si>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</si>
  <si>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</si>
  <si>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</si>
  <si>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</si>
  <si>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</si>
  <si>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</si>
  <si>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</si>
  <si>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</si>
  <si>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</si>
  <si>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</si>
  <si>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</si>
  <si>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</si>
  <si>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</si>
  <si>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</si>
  <si>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</si>
  <si>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</si>
  <si>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</si>
  <si>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</si>
  <si>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</si>
  <si>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</si>
  <si>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</si>
  <si>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</si>
  <si>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</si>
  <si>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</si>
  <si>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</si>
  <si>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</si>
  <si>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</si>
  <si>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</si>
  <si>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</si>
  <si>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</si>
  <si>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</si>
  <si>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</si>
  <si>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</si>
  <si>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</si>
  <si>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</si>
  <si>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</si>
  <si>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</si>
  <si>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</si>
  <si>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</si>
  <si>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</si>
  <si>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</si>
  <si>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</si>
  <si>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</si>
  <si>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</si>
  <si>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</si>
  <si>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</si>
  <si>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</si>
  <si>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</si>
  <si>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</si>
  <si>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</si>
  <si>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</si>
  <si>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</si>
  <si>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</si>
  <si>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</si>
  <si>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</si>
  <si>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</si>
  <si>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</si>
  <si>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</si>
  <si>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</si>
  <si>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</si>
  <si>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</si>
  <si>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</si>
  <si>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</si>
  <si>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</si>
  <si>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</si>
  <si>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</si>
  <si>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</si>
  <si>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</si>
  <si>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</si>
  <si>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</si>
  <si>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</si>
  <si>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</si>
  <si>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</si>
  <si>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</si>
  <si>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</si>
  <si>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</si>
  <si>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</si>
  <si>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</si>
  <si>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</si>
  <si>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</si>
  <si>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</si>
  <si>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</si>
  <si>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</si>
  <si>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</si>
  <si>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</si>
  <si>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</si>
  <si>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</si>
  <si>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</si>
  <si>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</si>
  <si>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</si>
  <si>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</si>
  <si>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</si>
  <si>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</si>
  <si>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</si>
  <si>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</si>
  <si>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</si>
  <si>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</si>
  <si>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</si>
  <si>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</si>
  <si>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</si>
  <si>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</si>
  <si>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</si>
  <si>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</si>
  <si>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</si>
  <si>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</si>
  <si>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</si>
  <si>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</si>
  <si>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</si>
  <si>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</si>
  <si>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</si>
  <si>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</si>
  <si>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</si>
  <si>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</si>
  <si>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</si>
  <si>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</si>
  <si>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</si>
  <si>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</si>
  <si>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</si>
  <si>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</si>
  <si>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</si>
  <si>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</si>
  <si>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</si>
  <si>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</si>
  <si>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</si>
  <si>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</si>
  <si>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</si>
  <si>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</si>
  <si>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</si>
  <si>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</si>
  <si>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</si>
  <si>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</si>
  <si>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</si>
  <si>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</si>
  <si>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</si>
  <si>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</si>
  <si>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</si>
  <si>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</si>
  <si>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</si>
  <si>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</si>
  <si>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</si>
  <si>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</si>
  <si>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</si>
  <si>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</si>
  <si>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</si>
  <si>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</si>
  <si>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</si>
  <si>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</si>
  <si>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</si>
  <si>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</si>
  <si>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</si>
  <si>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</si>
  <si>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</si>
  <si>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</si>
  <si>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</si>
  <si>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</si>
  <si>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</si>
  <si>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</si>
  <si>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</si>
  <si>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</si>
  <si>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</si>
  <si>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</si>
  <si>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</si>
  <si>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</si>
  <si>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</si>
  <si>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</si>
  <si>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</si>
  <si>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</si>
  <si>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</si>
  <si>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</si>
  <si>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</si>
  <si>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</si>
  <si>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</si>
  <si>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</si>
  <si>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</si>
  <si>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</si>
  <si>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</si>
  <si>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</si>
  <si>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</si>
  <si>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</si>
  <si>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</si>
  <si>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</si>
  <si>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</si>
  <si>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</si>
  <si>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</si>
  <si>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</si>
  <si>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</si>
  <si>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</si>
  <si>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</si>
  <si>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</si>
  <si>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</si>
  <si>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</si>
  <si>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</si>
  <si>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</si>
  <si>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</si>
  <si>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</si>
  <si>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</si>
  <si>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</si>
  <si>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</si>
  <si>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</si>
  <si>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</si>
  <si>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</si>
  <si>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</si>
  <si>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</si>
  <si>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</si>
  <si>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</si>
  <si>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</si>
  <si>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</si>
  <si>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</si>
  <si>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</si>
  <si>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</si>
  <si>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</si>
  <si>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</si>
  <si>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</si>
  <si>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</si>
  <si>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</si>
  <si>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</si>
  <si>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</si>
  <si>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</si>
  <si>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</si>
  <si>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</si>
  <si>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</si>
  <si>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</si>
  <si>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</si>
  <si>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</si>
  <si>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</si>
  <si>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</si>
  <si>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</si>
  <si>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</si>
  <si>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</si>
  <si>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</si>
  <si>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</si>
  <si>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</si>
  <si>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</si>
  <si>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</si>
  <si>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</si>
  <si>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</si>
  <si>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</si>
  <si>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</si>
  <si>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</si>
  <si>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</si>
  <si>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</si>
  <si>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</si>
  <si>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</si>
  <si>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</si>
  <si>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</si>
  <si>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</si>
  <si>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</si>
  <si>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</si>
  <si>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</si>
  <si>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</si>
  <si>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</si>
  <si>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</si>
  <si>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</si>
  <si>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</si>
  <si>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</si>
  <si>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</si>
  <si>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</si>
  <si>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</si>
  <si>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</si>
  <si>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</si>
  <si>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</si>
  <si>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</si>
  <si>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</si>
  <si>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</si>
  <si>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</si>
  <si>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</si>
  <si>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</si>
  <si>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</si>
  <si>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</si>
  <si>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</si>
  <si>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</si>
  <si>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</si>
  <si>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</si>
  <si>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</si>
  <si>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</si>
  <si>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</si>
  <si>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</si>
  <si>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</si>
  <si>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</si>
  <si>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</si>
  <si>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</si>
  <si>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</si>
  <si>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</si>
  <si>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</si>
  <si>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</si>
  <si>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</si>
  <si>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</si>
  <si>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</si>
  <si>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</si>
  <si>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</si>
  <si>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</si>
  <si>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</si>
  <si>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</si>
  <si>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</si>
  <si>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</si>
  <si>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</si>
  <si>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</si>
  <si>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</si>
  <si>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</si>
  <si>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</si>
  <si>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</si>
  <si>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</si>
  <si>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</si>
  <si>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</si>
  <si>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</si>
  <si>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</si>
  <si>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</si>
  <si>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</si>
  <si>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</si>
  <si>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</si>
  <si>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</si>
  <si>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</si>
  <si>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</si>
  <si>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</si>
  <si>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</si>
  <si>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</si>
  <si>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</si>
  <si>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</si>
  <si>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</si>
  <si>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</si>
  <si>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</si>
  <si>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</si>
  <si>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</si>
  <si>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</si>
  <si>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</si>
  <si>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</si>
  <si>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</si>
  <si>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</si>
  <si>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</si>
  <si>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</si>
  <si>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</si>
  <si>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</si>
  <si>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</si>
  <si>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</si>
  <si>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</si>
  <si>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</si>
  <si>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</si>
  <si>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</si>
  <si>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</si>
  <si>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</si>
  <si>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</si>
  <si>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</si>
  <si>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</si>
  <si>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</si>
  <si>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</si>
  <si>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</si>
  <si>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</si>
  <si>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</si>
  <si>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</si>
  <si>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</si>
  <si>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</si>
  <si>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</si>
  <si>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</si>
  <si>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</si>
  <si>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</si>
  <si>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</si>
  <si>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</si>
  <si>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</si>
  <si>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</si>
  <si>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</si>
  <si>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</si>
  <si>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</si>
  <si>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</si>
  <si>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</si>
  <si>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</si>
  <si>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</si>
  <si>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</si>
  <si>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</si>
  <si>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</si>
  <si>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</si>
  <si>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</si>
  <si>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</si>
  <si>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</si>
  <si>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</si>
  <si>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</si>
  <si>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</si>
  <si>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</si>
  <si>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</si>
  <si>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</si>
  <si>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</si>
  <si>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</si>
  <si>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</si>
  <si>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</si>
  <si>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</si>
  <si>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</si>
  <si>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</si>
  <si>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</si>
  <si>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</si>
  <si>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</si>
  <si>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</si>
  <si>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</si>
  <si>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</si>
  <si>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</si>
  <si>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</si>
  <si>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</si>
  <si>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</si>
  <si>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</si>
  <si>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</si>
  <si>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</si>
  <si>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</si>
  <si>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</si>
  <si>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</si>
  <si>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</si>
  <si>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</si>
  <si>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</si>
  <si>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</si>
  <si>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</si>
  <si>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</si>
  <si>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</si>
  <si>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</si>
  <si>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</si>
  <si>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</si>
  <si>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</si>
  <si>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</si>
  <si>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</si>
  <si>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</si>
  <si>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</si>
  <si>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</si>
  <si>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</si>
  <si>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</si>
  <si>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</si>
  <si>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</si>
  <si>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</si>
  <si>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</si>
  <si>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</si>
  <si>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</si>
  <si>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</si>
  <si>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</si>
  <si>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</si>
  <si>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</si>
  <si>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</si>
  <si>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</si>
  <si>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</si>
  <si>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</si>
  <si>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</si>
  <si>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</si>
  <si>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</si>
  <si>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</si>
  <si>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</si>
  <si>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</si>
  <si>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</si>
  <si>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</si>
  <si>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</si>
  <si>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</si>
  <si>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</si>
  <si>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</si>
  <si>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</si>
  <si>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</si>
  <si>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</si>
  <si>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</si>
  <si>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</si>
  <si>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</si>
  <si>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</si>
  <si>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</si>
  <si>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</si>
  <si>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</si>
  <si>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</si>
  <si>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</si>
  <si>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</si>
  <si>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</si>
  <si>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</si>
  <si>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</si>
  <si>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</si>
  <si>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</si>
  <si>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</si>
  <si>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</si>
  <si>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</si>
  <si>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</si>
  <si>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</si>
  <si>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</si>
  <si>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</si>
  <si>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</si>
  <si>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</si>
  <si>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</si>
  <si>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</si>
  <si>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</si>
  <si>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</si>
  <si>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</si>
  <si>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</si>
  <si>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</si>
  <si>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</si>
  <si>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</si>
  <si>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</si>
  <si>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</si>
  <si>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</si>
  <si>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</si>
  <si>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</si>
  <si>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</si>
  <si>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</si>
  <si>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</si>
  <si>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</si>
  <si>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</si>
  <si>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</si>
  <si>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</si>
  <si>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</si>
  <si>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</si>
  <si>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</si>
  <si>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</si>
  <si>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</si>
  <si>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</si>
  <si>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</si>
  <si>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</si>
  <si>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</si>
  <si>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</si>
  <si>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</si>
  <si>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</si>
  <si>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</si>
  <si>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</si>
  <si>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</si>
  <si>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</si>
  <si>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</si>
  <si>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</si>
  <si>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</si>
  <si>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</si>
  <si>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</si>
  <si>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</si>
  <si>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</si>
  <si>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</si>
  <si>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</si>
  <si>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</si>
  <si>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</si>
  <si>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</si>
  <si>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</si>
  <si>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</si>
  <si>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</si>
  <si>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</si>
  <si>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</si>
  <si>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</si>
  <si>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</si>
  <si>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</si>
  <si>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</si>
  <si>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</si>
  <si>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</si>
  <si>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</si>
  <si>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</si>
  <si>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</si>
  <si>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</si>
  <si>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</si>
  <si>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</si>
  <si>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</si>
  <si>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</si>
  <si>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</si>
  <si>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</si>
  <si>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</si>
  <si>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</si>
  <si>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</si>
  <si>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</si>
  <si>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</si>
  <si>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</si>
  <si>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</si>
  <si>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</si>
  <si>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</si>
  <si>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</si>
  <si>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</si>
  <si>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</si>
  <si>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</si>
  <si>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</si>
  <si>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</si>
  <si>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</si>
  <si>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</si>
  <si>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</si>
  <si>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</si>
  <si>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</si>
  <si>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</si>
  <si>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</si>
  <si>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</si>
  <si>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</si>
  <si>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</si>
  <si>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</si>
  <si>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</si>
  <si>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</si>
  <si>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</si>
  <si>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</si>
  <si>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</si>
  <si>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</si>
  <si>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</si>
  <si>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</si>
  <si>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</si>
  <si>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</si>
  <si>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</si>
  <si>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</si>
  <si>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</si>
  <si>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</si>
  <si>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</si>
  <si>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</si>
  <si>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</si>
  <si>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</si>
  <si>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</si>
  <si>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</si>
  <si>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</si>
  <si>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</si>
  <si>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</si>
  <si>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</si>
  <si>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</si>
  <si>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</si>
  <si>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</si>
  <si>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</si>
  <si>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</si>
  <si>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</si>
  <si>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</si>
  <si>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</si>
  <si>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</si>
  <si>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</si>
  <si>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</si>
  <si>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</si>
  <si>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</si>
  <si>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</si>
  <si>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</si>
  <si>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</si>
  <si>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</si>
  <si>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</si>
  <si>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</si>
  <si>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</si>
  <si>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</si>
  <si>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</si>
  <si>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</si>
  <si>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</si>
  <si>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</si>
  <si>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</si>
  <si>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</si>
  <si>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</si>
  <si>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</si>
  <si>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</si>
  <si>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</si>
  <si>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</si>
  <si>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</si>
  <si>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</si>
  <si>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</si>
  <si>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</si>
  <si>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</si>
  <si>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</si>
  <si>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</si>
  <si>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</si>
  <si>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</si>
  <si>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</si>
  <si>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</si>
  <si>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</si>
  <si>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</si>
  <si>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</si>
  <si>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</si>
  <si>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</si>
  <si>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</si>
  <si>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</si>
  <si>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</si>
  <si>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</si>
  <si>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</si>
  <si>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</si>
  <si>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</si>
  <si>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</si>
  <si>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</si>
  <si>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</si>
  <si>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</si>
  <si>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</si>
  <si>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</si>
  <si>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</si>
  <si>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</si>
  <si>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</si>
  <si>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</si>
  <si>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</si>
  <si>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</si>
  <si>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</si>
  <si>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</si>
  <si>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</si>
  <si>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</si>
  <si>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</si>
  <si>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</si>
  <si>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</si>
  <si>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</si>
  <si>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</si>
  <si>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</si>
  <si>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</si>
  <si>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</si>
  <si>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</si>
  <si>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</si>
  <si>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</si>
  <si>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</si>
  <si>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</si>
  <si>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</si>
  <si>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</si>
  <si>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</si>
  <si>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</si>
  <si>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</si>
  <si>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</si>
  <si>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</si>
  <si>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</si>
  <si>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</si>
  <si>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</si>
  <si>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</si>
  <si>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</si>
  <si>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</si>
  <si>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</si>
  <si>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</si>
  <si>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</si>
  <si>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</si>
  <si>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</si>
  <si>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</si>
  <si>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</si>
  <si>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</si>
  <si>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</si>
  <si>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</si>
  <si>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</si>
  <si>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</si>
  <si>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</si>
  <si>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</si>
  <si>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</si>
  <si>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</si>
  <si>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</si>
  <si>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</si>
  <si>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</si>
  <si>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</si>
  <si>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</si>
  <si>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</si>
  <si>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</si>
  <si>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</si>
  <si>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</si>
  <si>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</si>
  <si>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</si>
  <si>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</si>
  <si>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</si>
  <si>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</si>
  <si>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</si>
  <si>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</si>
  <si>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</si>
  <si>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</si>
  <si>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</si>
  <si>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</si>
  <si>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</si>
  <si>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</si>
  <si>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</si>
  <si>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</si>
  <si>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</si>
  <si>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</si>
  <si>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</si>
  <si>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</si>
  <si>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</si>
  <si>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</si>
  <si>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</si>
  <si>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</si>
  <si>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</si>
  <si>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</si>
  <si>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</si>
  <si>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</si>
  <si>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</si>
  <si>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</si>
  <si>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</si>
  <si>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</si>
  <si>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</si>
  <si>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</si>
  <si>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</si>
  <si>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</si>
  <si>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</si>
  <si>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</si>
  <si>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</si>
  <si>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</si>
  <si>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</si>
  <si>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</si>
  <si>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</si>
  <si>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</si>
  <si>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</si>
  <si>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</si>
  <si>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</si>
  <si>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</si>
  <si>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</si>
  <si>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</si>
  <si>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</si>
  <si>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</si>
  <si>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</si>
  <si>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</si>
  <si>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</si>
  <si>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</si>
  <si>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</si>
  <si>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</si>
  <si>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</si>
  <si>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</si>
  <si>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</si>
  <si>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</si>
  <si>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</si>
  <si>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</si>
  <si>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</si>
  <si>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</si>
  <si>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</si>
  <si>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</si>
  <si>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</si>
  <si>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</si>
  <si>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</si>
  <si>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</si>
  <si>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</si>
  <si>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</si>
  <si>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</si>
  <si>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</si>
  <si>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</si>
  <si>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</si>
  <si>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</si>
  <si>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</si>
  <si>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</si>
  <si>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</si>
  <si>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</si>
  <si>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</si>
  <si>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</si>
  <si>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</si>
  <si>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</si>
  <si>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</si>
  <si>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</si>
  <si>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</si>
  <si>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</si>
  <si>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</si>
  <si>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</si>
  <si>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</si>
  <si>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</si>
  <si>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</si>
  <si>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</si>
  <si>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</si>
  <si>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</si>
  <si>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</si>
  <si>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</si>
  <si>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</si>
  <si>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</si>
  <si>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</si>
  <si>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</si>
  <si>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</si>
  <si>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</si>
  <si>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</si>
  <si>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</si>
  <si>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</si>
  <si>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</si>
  <si>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</si>
  <si>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</si>
  <si>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</si>
  <si>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</si>
  <si>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</si>
  <si>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</si>
  <si>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</si>
  <si>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</si>
  <si>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</si>
  <si>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</si>
  <si>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</si>
  <si>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</si>
  <si>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</si>
  <si>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</si>
  <si>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</si>
  <si>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</si>
  <si>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</si>
  <si>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</si>
  <si>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</si>
  <si>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</si>
  <si>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</si>
  <si>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</si>
  <si>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</si>
  <si>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</si>
  <si>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</si>
  <si>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</si>
  <si>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</si>
  <si>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</si>
  <si>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</si>
  <si>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</si>
  <si>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</si>
  <si>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</si>
  <si>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</si>
  <si>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</si>
  <si>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</si>
  <si>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</si>
  <si>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</si>
  <si>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</si>
  <si>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</si>
  <si>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</si>
  <si>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</si>
  <si>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</si>
  <si>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</si>
  <si>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</si>
  <si>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</si>
  <si>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</si>
  <si>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</si>
  <si>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</si>
  <si>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</si>
  <si>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</si>
  <si>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</si>
  <si>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</si>
  <si>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</si>
  <si>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</si>
  <si>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</si>
  <si>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</si>
  <si>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</si>
  <si>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</si>
  <si>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</si>
  <si>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</si>
  <si>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</si>
  <si>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</si>
  <si>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</si>
  <si>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</si>
  <si>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</si>
  <si>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</si>
  <si>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</si>
  <si>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</si>
  <si>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</si>
  <si>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</si>
  <si>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</si>
  <si>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</si>
  <si>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</si>
  <si>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</si>
  <si>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</si>
  <si>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</si>
  <si>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</si>
  <si>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</si>
  <si>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</si>
  <si>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</si>
  <si>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</si>
  <si>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</si>
  <si>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</si>
  <si>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</si>
  <si>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</si>
  <si>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</si>
  <si>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</si>
  <si>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</si>
  <si>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</si>
  <si>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</si>
  <si>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</si>
  <si>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</si>
  <si>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</si>
  <si>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</si>
  <si>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</si>
  <si>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</si>
  <si>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</si>
  <si>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</si>
  <si>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</si>
  <si>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</si>
  <si>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</si>
  <si>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</si>
  <si>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</si>
  <si>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</si>
  <si>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</si>
  <si>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</si>
  <si>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</si>
  <si>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</si>
  <si>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</si>
  <si>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</si>
  <si>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</si>
  <si>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</si>
  <si>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</si>
  <si>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</si>
  <si>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</si>
  <si>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</si>
  <si>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</si>
  <si>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</si>
  <si>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</si>
  <si>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</si>
  <si>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</si>
  <si>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</si>
  <si>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</si>
  <si>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</si>
  <si>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</si>
  <si>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</si>
  <si>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</si>
  <si>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</si>
  <si>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</si>
  <si>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</si>
  <si>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</si>
  <si>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</si>
  <si>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</si>
  <si>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</si>
  <si>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</si>
  <si>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</si>
  <si>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</si>
  <si>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</si>
  <si>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</si>
  <si>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</si>
  <si>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</si>
  <si>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</si>
  <si>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</si>
  <si>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</si>
  <si>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</si>
  <si>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</si>
  <si>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</si>
  <si>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</si>
  <si>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</si>
  <si>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</si>
  <si>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</si>
  <si>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</si>
  <si>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</si>
  <si>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</si>
  <si>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</si>
  <si>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</si>
  <si>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</si>
  <si>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</si>
  <si>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</si>
  <si>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</si>
  <si>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</si>
  <si>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</si>
  <si>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</si>
  <si>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</si>
  <si>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</si>
  <si>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</si>
  <si>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</si>
  <si>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</si>
  <si>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</si>
  <si>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</si>
  <si>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</si>
  <si>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</si>
  <si>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</si>
  <si>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</si>
  <si>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</si>
  <si>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</si>
  <si>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</si>
  <si>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</si>
  <si>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tactrai</t>
  </si>
  <si>
    <t>chanhkhonghat</t>
  </si>
  <si>
    <t>raumanho</t>
  </si>
  <si>
    <t>pon</t>
  </si>
  <si>
    <t>chanhday</t>
  </si>
  <si>
    <t>camvang</t>
  </si>
  <si>
    <t>duahau</t>
  </si>
  <si>
    <t>hunglui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</si>
</sst>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10" sqref="F10"/>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4087</v>
      </c>
    </row>
    <row r="2" spans="1:11" ht="14.4" customHeight="1">
      <c r="A2" s="2" t="s">
        <v>4086</v>
      </c>
      <c r="B2" s="1" t="str">
        <f>VLOOKUP(A2,'CODE NOTE'!A:B,2,0)</f>
        <v>I100626</v>
      </c>
      <c r="C2" s="1"/>
      <c r="D2" s="1" t="str">
        <f>VLOOKUP(A2,'CODE NOTE'!A:C,3,0)</f>
        <v>Rau má nhỏ</v>
      </c>
      <c r="E2" s="1" t="str">
        <f>VLOOKUP(A2,'CODE NOTE'!D:E,2,0)</f>
        <v>Kg</v>
      </c>
      <c r="F2" s="90">
        <v>1</v>
      </c>
      <c r="G2" s="90"/>
      <c r="H2" s="13">
        <f>VLOOKUP(A2,'CODE NOTE'!D:F,3,0)</f>
        <v>0</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4088</v>
      </c>
      <c r="B3" s="1" t="str">
        <f>VLOOKUP(A3,'CODE NOTE'!A:B,2,0)</f>
        <v>I100474</v>
      </c>
      <c r="C3" s="1"/>
      <c r="D3" s="1" t="str">
        <f>VLOOKUP(A3,'CODE NOTE'!A:C,3,0)</f>
        <v>Chanh Dây</v>
      </c>
      <c r="E3" s="1" t="str">
        <f>VLOOKUP(A3,'CODE NOTE'!D:E,2,0)</f>
        <v>Kg</v>
      </c>
      <c r="F3" s="90">
        <v>1.5</v>
      </c>
      <c r="G3" s="90"/>
      <c r="H3" s="13" t="str">
        <f>VLOOKUP(A3,'CODE NOTE'!D:F,3,0)</f>
        <v>1 trái = 0.1kg</v>
      </c>
      <c r="I3" s="106"/>
      <c r="J3" s="93" t="s">
        <v>1865</v>
      </c>
      <c r="K3" t="s">
        <v>3796</v>
      </c>
    </row>
    <row r="4" spans="1:11">
      <c r="A4" s="2" t="s">
        <v>4089</v>
      </c>
      <c r="B4" s="1" t="str">
        <f>VLOOKUP(A4,'CODE NOTE'!A:B,2,0)</f>
        <v>I100469</v>
      </c>
      <c r="C4" s="1"/>
      <c r="D4" s="1" t="str">
        <f>VLOOKUP(A4,'CODE NOTE'!A:C,3,0)</f>
        <v>Cam vàng</v>
      </c>
      <c r="E4" s="1" t="str">
        <f>VLOOKUP(A4,'CODE NOTE'!D:E,2,0)</f>
        <v>Kg</v>
      </c>
      <c r="F4" s="90">
        <v>1.5</v>
      </c>
      <c r="G4" s="90"/>
      <c r="H4" s="13" t="str">
        <f>VLOOKUP(A4,'CODE NOTE'!D:F,3,0)</f>
        <v>1 trái = 0.3kg</v>
      </c>
      <c r="I4" s="106"/>
      <c r="J4" s="93" t="s">
        <v>519</v>
      </c>
      <c r="K4" t="s">
        <v>3797</v>
      </c>
    </row>
    <row r="5" spans="1:11">
      <c r="A5" s="2" t="s">
        <v>3787</v>
      </c>
      <c r="B5" s="1" t="str">
        <f>VLOOKUP(A5,'CODE NOTE'!A:B,2,0)</f>
        <v>I100062</v>
      </c>
      <c r="C5" s="1"/>
      <c r="D5" s="1" t="str">
        <f>VLOOKUP(A5,'CODE NOTE'!A:C,3,0)</f>
        <v>Chanh vàng</v>
      </c>
      <c r="E5" s="1" t="str">
        <f>VLOOKUP(A5,'CODE NOTE'!D:E,2,0)</f>
        <v>Kg</v>
      </c>
      <c r="F5" s="90">
        <v>0.5</v>
      </c>
      <c r="G5" s="90"/>
      <c r="H5" s="13">
        <f>VLOOKUP(A5,'CODE NOTE'!D:F,3,0)</f>
        <v>0</v>
      </c>
      <c r="I5" s="106"/>
      <c r="J5" s="93" t="s">
        <v>1660</v>
      </c>
      <c r="K5" t="s">
        <v>3798</v>
      </c>
    </row>
    <row r="6" spans="1:11">
      <c r="A6" s="2" t="s">
        <v>4084</v>
      </c>
      <c r="B6" s="1" t="str">
        <f>VLOOKUP(A6,'CODE NOTE'!A:B,2,0)</f>
        <v>I100216</v>
      </c>
      <c r="C6" s="1"/>
      <c r="D6" s="1" t="str">
        <f>VLOOKUP(A6,'CODE NOTE'!A:C,3,0)</f>
        <v>Tắc trái</v>
      </c>
      <c r="E6" s="1" t="str">
        <f>VLOOKUP(A6,'CODE NOTE'!D:E,2,0)</f>
        <v>Kg</v>
      </c>
      <c r="F6" s="90">
        <v>0.3</v>
      </c>
      <c r="G6" s="90"/>
      <c r="H6" s="13">
        <f>VLOOKUP(A6,'CODE NOTE'!D:F,3,0)</f>
        <v>0</v>
      </c>
      <c r="I6" s="106"/>
      <c r="J6" s="93" t="s">
        <v>3799</v>
      </c>
      <c r="K6" t="s">
        <v>3800</v>
      </c>
    </row>
    <row r="7" spans="1:11">
      <c r="A7" s="2" t="s">
        <v>4085</v>
      </c>
      <c r="B7" s="1" t="str">
        <f>VLOOKUP(A7,'CODE NOTE'!A:B,2,0)</f>
        <v>I100060</v>
      </c>
      <c r="C7" s="1"/>
      <c r="D7" s="1" t="str">
        <f>VLOOKUP(A7,'CODE NOTE'!A:C,3,0)</f>
        <v>Chanh ko hạt</v>
      </c>
      <c r="E7" s="1" t="str">
        <f>VLOOKUP(A7,'CODE NOTE'!D:E,2,0)</f>
        <v>Kg</v>
      </c>
      <c r="F7" s="90">
        <v>4</v>
      </c>
      <c r="G7" s="90"/>
      <c r="H7" s="13" t="str">
        <f>VLOOKUP(A7,'CODE NOTE'!D:F,3,0)</f>
        <v>0.06-0.1kg/quả</v>
      </c>
      <c r="I7" s="106"/>
      <c r="J7" s="93" t="s">
        <v>258</v>
      </c>
      <c r="K7" t="s">
        <v>3795</v>
      </c>
    </row>
    <row r="8" spans="1:11">
      <c r="A8" s="2" t="s">
        <v>4090</v>
      </c>
      <c r="B8" s="1" t="str">
        <f>VLOOKUP(A8,'CODE NOTE'!A:B,2,0)</f>
        <v>I100479</v>
      </c>
      <c r="C8" s="1"/>
      <c r="D8" s="1" t="str">
        <f>VLOOKUP(A8,'CODE NOTE'!A:C,3,0)</f>
        <v>Dưa hấu</v>
      </c>
      <c r="E8" s="1" t="str">
        <f>VLOOKUP(A8,'CODE NOTE'!D:E,2,0)</f>
        <v>Kg</v>
      </c>
      <c r="F8" s="90">
        <v>50</v>
      </c>
      <c r="G8" s="90"/>
      <c r="H8" s="13" t="str">
        <f>VLOOKUP(A8,'CODE NOTE'!D:F,3,0)</f>
        <v>3kg/trái</v>
      </c>
      <c r="I8" s="106"/>
      <c r="J8" s="93" t="s">
        <v>3814</v>
      </c>
    </row>
    <row r="9" spans="1:11">
      <c r="A9" s="2" t="s">
        <v>4091</v>
      </c>
      <c r="B9" s="1" t="str">
        <f>VLOOKUP(A9,'CODE NOTE'!A:B,2,0)</f>
        <v>I100113</v>
      </c>
      <c r="C9" s="1"/>
      <c r="D9" s="1" t="str">
        <f>VLOOKUP(A9,'CODE NOTE'!A:C,3,0)</f>
        <v>Húng lũi</v>
      </c>
      <c r="E9" s="1" t="str">
        <f>VLOOKUP(A9,'CODE NOTE'!D:E,2,0)</f>
        <v>Kg</v>
      </c>
      <c r="F9" s="90">
        <v>0.2</v>
      </c>
      <c r="G9" s="90"/>
      <c r="H9" s="13">
        <f>VLOOKUP(A9,'CODE NOTE'!D:F,3,0)</f>
        <v>0</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2025-04-11T16:00:50Z</dcterms:modified>
</cp:coreProperties>
</file>