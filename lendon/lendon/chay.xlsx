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13_ncr:1_{F5C1E773-8B6A-453F-ADF6-268E5B63BB6F}" xr6:coauthVersionLast="47" xr6:coauthVersionMax="47" xr10:uidLastSave="{00000000-0000-0000-0000-000000000000}"/>
  <bookViews>
    <workbookView xWindow="7428" yWindow="0" windowWidth="15708" windowHeight="12336" activeTab="3"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D6" i="1"/>
  <c r="E6"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25" i="1"/>
  <c r="D25" i="1"/>
  <c r="E25" i="1"/>
  <c r="B26" i="1"/>
  <c r="D26" i="1"/>
  <c r="E26" i="1"/>
  <c r="B27" i="1"/>
  <c r="D27" i="1"/>
  <c r="E27" i="1"/>
  <c r="B28" i="1"/>
  <c r="D28" i="1"/>
  <c r="E28" i="1"/>
  <c r="B29" i="1"/>
  <c r="D29" i="1"/>
  <c r="E29" i="1"/>
  <c r="B30" i="1"/>
  <c r="D30" i="1"/>
  <c r="E30" i="1"/>
  <c r="B31" i="1"/>
  <c r="D31" i="1"/>
  <c r="E31" i="1"/>
  <c r="B32" i="1"/>
  <c r="D32" i="1"/>
  <c r="E32" i="1"/>
  <c r="B33" i="1"/>
  <c r="D33" i="1"/>
  <c r="E33" i="1"/>
  <c r="B34" i="1"/>
  <c r="D34" i="1"/>
  <c r="E34" i="1"/>
  <c r="B35" i="1"/>
  <c r="D35" i="1"/>
  <c r="E35" i="1"/>
  <c r="B36" i="1"/>
  <c r="D36" i="1"/>
  <c r="E36" i="1"/>
  <c r="B37" i="1"/>
  <c r="D37" i="1"/>
  <c r="E37" i="1"/>
  <c r="B38" i="1"/>
  <c r="D38" i="1"/>
  <c r="E38" i="1"/>
  <c r="B39" i="1"/>
  <c r="D39" i="1"/>
  <c r="E39" i="1"/>
  <c r="B40" i="1"/>
  <c r="D40" i="1"/>
  <c r="E40" i="1"/>
  <c r="B41" i="1"/>
  <c r="D41" i="1"/>
  <c r="E41" i="1"/>
  <c r="B42" i="1"/>
  <c r="D42" i="1"/>
  <c r="E42" i="1"/>
  <c r="B43" i="1"/>
  <c r="D43" i="1"/>
  <c r="E43" i="1"/>
  <c r="B44" i="1"/>
  <c r="D44" i="1"/>
  <c r="E44" i="1"/>
  <c r="B45" i="1"/>
  <c r="D45" i="1"/>
  <c r="E45" i="1"/>
  <c r="B46" i="1"/>
  <c r="D46" i="1"/>
  <c r="E46" i="1"/>
  <c r="B47" i="1"/>
  <c r="D47" i="1"/>
  <c r="E47" i="1"/>
  <c r="B48" i="1"/>
  <c r="D48" i="1"/>
  <c r="E48" i="1"/>
  <c r="B49" i="1"/>
  <c r="D49" i="1"/>
  <c r="E49" i="1"/>
  <c r="B50" i="1"/>
  <c r="D50" i="1"/>
  <c r="E50" i="1"/>
  <c r="B51" i="1"/>
  <c r="D51" i="1"/>
  <c r="E51" i="1"/>
  <c r="B52" i="1"/>
  <c r="D52" i="1"/>
  <c r="E52" i="1"/>
  <c r="B53" i="1"/>
  <c r="D53" i="1"/>
  <c r="E53" i="1"/>
  <c r="B54" i="1"/>
  <c r="D54" i="1"/>
  <c r="E54" i="1"/>
  <c r="B55" i="1"/>
  <c r="D55" i="1"/>
  <c r="E55" i="1"/>
  <c r="B56" i="1"/>
  <c r="D56" i="1"/>
  <c r="E56" i="1"/>
  <c r="B57" i="1"/>
  <c r="D57" i="1"/>
  <c r="E57" i="1"/>
  <c r="B58" i="1"/>
  <c r="D58" i="1"/>
  <c r="E58" i="1"/>
  <c r="B4" i="1" l="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<sst xmlns="http://schemas.openxmlformats.org/spreadsheetml/2006/main" count="7138" uniqueCount="4139">
  <si>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</si>
  <si>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</si>
  <si>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</si>
  <si>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</si>
  <si>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</si>
  <si>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</si>
  <si>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</si>
  <si>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</si>
  <si>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</si>
  <si>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</si>
  <si>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</si>
  <si>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</si>
  <si>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</si>
  <si>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</si>
  <si>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</si>
  <si>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</si>
  <si>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</si>
  <si>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</si>
  <si>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</si>
  <si>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</si>
  <si>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</si>
  <si>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</si>
  <si>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</si>
  <si>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</si>
  <si>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</si>
  <si>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</si>
  <si>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</si>
  <si>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</si>
  <si>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</si>
  <si>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</si>
  <si>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</si>
  <si>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</si>
  <si>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</si>
  <si>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</si>
  <si>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</si>
  <si>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</si>
  <si>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</si>
  <si>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</si>
  <si>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</si>
  <si>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</si>
  <si>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</si>
  <si>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</si>
  <si>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</si>
  <si>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</si>
  <si>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</si>
  <si>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</si>
  <si>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</si>
  <si>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</si>
  <si>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</si>
  <si>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</si>
  <si>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</si>
  <si>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</si>
  <si>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</si>
  <si>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</si>
  <si>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</si>
  <si>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</si>
  <si>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</si>
  <si>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</si>
  <si>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</si>
  <si>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</si>
  <si>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</si>
  <si>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</si>
  <si>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</si>
  <si>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</si>
  <si>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</si>
  <si>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</si>
  <si>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</si>
  <si>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</si>
  <si>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</si>
  <si>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</si>
  <si>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</si>
  <si>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</si>
  <si>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</si>
  <si>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</si>
  <si>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</si>
  <si>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</si>
  <si>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</si>
  <si>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</si>
  <si>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</si>
  <si>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</si>
  <si>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</si>
  <si>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</si>
  <si>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</si>
  <si>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</si>
  <si>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</si>
  <si>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</si>
  <si>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</si>
  <si>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</si>
  <si>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</si>
  <si>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</si>
  <si>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</si>
  <si>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</si>
  <si>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</si>
  <si>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</si>
  <si>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</si>
  <si>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</si>
  <si>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</si>
  <si>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</si>
  <si>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</si>
  <si>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</si>
  <si>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</si>
  <si>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</si>
  <si>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</si>
  <si>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</si>
  <si>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</si>
  <si>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</si>
  <si>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</si>
  <si>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</si>
  <si>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</si>
  <si>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</si>
  <si>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</si>
  <si>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</si>
  <si>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</si>
  <si>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</si>
  <si>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</si>
  <si>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</si>
  <si>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</si>
  <si>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</si>
  <si>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</si>
  <si>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</si>
  <si>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</si>
  <si>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</si>
  <si>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</si>
  <si>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</si>
  <si>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</si>
  <si>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</si>
  <si>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</si>
  <si>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</si>
  <si>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</si>
  <si>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</si>
  <si>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</si>
  <si>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</si>
  <si>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</si>
  <si>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</si>
  <si>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</si>
  <si>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</si>
  <si>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</si>
  <si>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</si>
  <si>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</si>
  <si>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</si>
  <si>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</si>
  <si>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</si>
  <si>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</si>
  <si>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</si>
  <si>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</si>
  <si>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</si>
  <si>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</si>
  <si>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</si>
  <si>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</si>
  <si>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</si>
  <si>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</si>
  <si>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</si>
  <si>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</si>
  <si>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</si>
  <si>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</si>
  <si>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</si>
  <si>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</si>
  <si>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</si>
  <si>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</si>
  <si>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</si>
  <si>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</si>
  <si>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</si>
  <si>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</si>
  <si>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</si>
  <si>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</si>
  <si>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</si>
  <si>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</si>
  <si>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</si>
  <si>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</si>
  <si>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</si>
  <si>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</si>
  <si>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</si>
  <si>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</si>
  <si>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</si>
  <si>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</si>
  <si>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</si>
  <si>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</si>
  <si>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</si>
  <si>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</si>
  <si>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</si>
  <si>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</si>
  <si>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</si>
  <si>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</si>
  <si>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</si>
  <si>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</si>
  <si>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</si>
  <si>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</si>
  <si>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</si>
  <si>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</si>
  <si>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</si>
  <si>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</si>
  <si>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</si>
  <si>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</si>
  <si>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</si>
  <si>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</si>
  <si>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</si>
  <si>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</si>
  <si>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</si>
  <si>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</si>
  <si>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</si>
  <si>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</si>
  <si>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</si>
  <si>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</si>
  <si>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</si>
  <si>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</si>
  <si>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</si>
  <si>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</si>
  <si>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</si>
  <si>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</si>
  <si>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</si>
  <si>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</si>
  <si>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</si>
  <si>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</si>
  <si>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</si>
  <si>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</si>
  <si>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</si>
  <si>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</si>
  <si>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</si>
  <si>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</si>
  <si>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</si>
  <si>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</si>
  <si>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</si>
  <si>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</si>
  <si>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</si>
  <si>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</si>
  <si>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</si>
  <si>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</si>
  <si>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</si>
  <si>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</si>
  <si>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</si>
  <si>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</si>
  <si>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</si>
  <si>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</si>
  <si>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</si>
  <si>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</si>
  <si>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</si>
  <si>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</si>
  <si>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</si>
  <si>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</si>
  <si>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</si>
  <si>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</si>
  <si>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</si>
  <si>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</si>
  <si>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</si>
  <si>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</si>
  <si>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</si>
  <si>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</si>
  <si>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</si>
  <si>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</si>
  <si>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</si>
  <si>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</si>
  <si>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</si>
  <si>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</si>
  <si>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</si>
  <si>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</si>
  <si>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</si>
  <si>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</si>
  <si>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</si>
  <si>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</si>
  <si>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</si>
  <si>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</si>
  <si>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</si>
  <si>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</si>
  <si>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</si>
  <si>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</si>
  <si>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</si>
  <si>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</si>
  <si>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</si>
  <si>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</si>
  <si>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</si>
  <si>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</si>
  <si>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</si>
  <si>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</si>
  <si>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</si>
  <si>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</si>
  <si>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</si>
  <si>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</si>
  <si>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</si>
  <si>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</si>
  <si>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</si>
  <si>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</si>
  <si>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</si>
  <si>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</si>
  <si>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</si>
  <si>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</si>
  <si>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</si>
  <si>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</si>
  <si>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</si>
  <si>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</si>
  <si>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</si>
  <si>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</si>
  <si>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</si>
  <si>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</si>
  <si>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</si>
  <si>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</si>
  <si>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</si>
  <si>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</si>
  <si>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</si>
  <si>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</si>
  <si>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</si>
  <si>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</si>
  <si>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</si>
  <si>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</si>
  <si>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</si>
  <si>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</si>
  <si>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</si>
  <si>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</si>
  <si>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</si>
  <si>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</si>
  <si>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</si>
  <si>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</si>
  <si>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</si>
  <si>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</si>
  <si>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</si>
  <si>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</si>
  <si>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</si>
  <si>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</si>
  <si>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</si>
  <si>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</si>
  <si>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</si>
  <si>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</si>
  <si>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</si>
  <si>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</si>
  <si>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</si>
  <si>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</si>
  <si>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</si>
  <si>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</si>
  <si>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</si>
  <si>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</si>
  <si>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</si>
  <si>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</si>
  <si>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</si>
  <si>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</si>
  <si>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</si>
  <si>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</si>
  <si>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</si>
  <si>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</si>
  <si>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</si>
  <si>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</si>
  <si>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</si>
  <si>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</si>
  <si>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</si>
  <si>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</si>
  <si>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</si>
  <si>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</si>
  <si>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</si>
  <si>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</si>
  <si>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</si>
  <si>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</si>
  <si>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</si>
  <si>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</si>
  <si>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</si>
  <si>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</si>
  <si>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</si>
  <si>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</si>
  <si>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</si>
  <si>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</si>
  <si>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</si>
  <si>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</si>
  <si>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</si>
  <si>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</si>
  <si>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</si>
  <si>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</si>
  <si>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</si>
  <si>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</si>
  <si>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</si>
  <si>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</si>
  <si>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</si>
  <si>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</si>
  <si>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</si>
  <si>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</si>
  <si>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</si>
  <si>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</si>
  <si>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</si>
  <si>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</si>
  <si>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</si>
  <si>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</si>
  <si>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</si>
  <si>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</si>
  <si>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</si>
  <si>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</si>
  <si>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</si>
  <si>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</si>
  <si>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</si>
  <si>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</si>
  <si>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</si>
  <si>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</si>
  <si>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</si>
  <si>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</si>
  <si>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</si>
  <si>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</si>
  <si>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</si>
  <si>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</si>
  <si>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</si>
  <si>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</si>
  <si>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</si>
  <si>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</si>
  <si>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</si>
  <si>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</si>
  <si>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</si>
  <si>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</si>
  <si>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</si>
  <si>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</si>
  <si>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</si>
  <si>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</si>
  <si>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</si>
  <si>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</si>
  <si>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</si>
  <si>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</si>
  <si>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</si>
  <si>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</si>
  <si>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</si>
  <si>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</si>
  <si>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</si>
  <si>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</si>
  <si>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</si>
  <si>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</si>
  <si>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</si>
  <si>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</si>
  <si>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</si>
  <si>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</si>
  <si>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</si>
  <si>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</si>
  <si>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</si>
  <si>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</si>
  <si>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</si>
  <si>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</si>
  <si>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</si>
  <si>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</si>
  <si>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</si>
  <si>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</si>
  <si>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</si>
  <si>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</si>
  <si>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</si>
  <si>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</si>
  <si>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</si>
  <si>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</si>
  <si>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</si>
  <si>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</si>
  <si>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</si>
  <si>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</si>
  <si>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</si>
  <si>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</si>
  <si>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</si>
  <si>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</si>
  <si>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</si>
  <si>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</si>
  <si>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</si>
  <si>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</si>
  <si>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</si>
  <si>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</si>
  <si>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</si>
  <si>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</si>
  <si>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</si>
  <si>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</si>
  <si>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</si>
  <si>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</si>
  <si>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</si>
  <si>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</si>
  <si>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</si>
  <si>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</si>
  <si>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</si>
  <si>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</si>
  <si>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</si>
  <si>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</si>
  <si>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</si>
  <si>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</si>
  <si>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</si>
  <si>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</si>
  <si>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</si>
  <si>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</si>
  <si>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</si>
  <si>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</si>
  <si>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</si>
  <si>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</si>
  <si>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</si>
  <si>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</si>
  <si>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</si>
  <si>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</si>
  <si>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</si>
  <si>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</si>
  <si>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</si>
  <si>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</si>
  <si>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</si>
  <si>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</si>
  <si>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</si>
  <si>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</si>
  <si>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</si>
  <si>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</si>
  <si>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</si>
  <si>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</si>
  <si>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</si>
  <si>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</si>
  <si>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</si>
  <si>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</si>
  <si>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</si>
  <si>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</si>
  <si>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</si>
  <si>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</si>
  <si>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</si>
  <si>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</si>
  <si>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</si>
  <si>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</si>
  <si>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</si>
  <si>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</si>
  <si>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</si>
  <si>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</si>
  <si>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</si>
  <si>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</si>
  <si>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</si>
  <si>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</si>
  <si>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</si>
  <si>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</si>
  <si>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</si>
  <si>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</si>
  <si>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</si>
  <si>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</si>
  <si>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</si>
  <si>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</si>
  <si>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</si>
  <si>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</si>
  <si>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</si>
  <si>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</si>
  <si>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</si>
  <si>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</si>
  <si>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</si>
  <si>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</si>
  <si>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</si>
  <si>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</si>
  <si>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</si>
  <si>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</si>
  <si>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</si>
  <si>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</si>
  <si>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</si>
  <si>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</si>
  <si>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</si>
  <si>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</si>
  <si>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</si>
  <si>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</si>
  <si>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</si>
  <si>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</si>
  <si>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</si>
  <si>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</si>
  <si>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</si>
  <si>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</si>
  <si>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</si>
  <si>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</si>
  <si>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</si>
  <si>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</si>
  <si>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</si>
  <si>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</si>
  <si>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</si>
  <si>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</si>
  <si>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</si>
  <si>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</si>
  <si>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</si>
  <si>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</si>
  <si>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</si>
  <si>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</si>
  <si>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</si>
  <si>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</si>
  <si>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</si>
  <si>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</si>
  <si>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</si>
  <si>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</si>
  <si>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</si>
  <si>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</si>
  <si>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</si>
  <si>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</si>
  <si>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</si>
  <si>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</si>
  <si>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</si>
  <si>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</si>
  <si>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</si>
  <si>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</si>
  <si>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</si>
  <si>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</si>
  <si>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</si>
  <si>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</si>
  <si>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</si>
  <si>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</si>
  <si>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</si>
  <si>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</si>
  <si>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</si>
  <si>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</si>
  <si>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</si>
  <si>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</si>
  <si>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</si>
  <si>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</si>
  <si>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</si>
  <si>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</si>
  <si>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</si>
  <si>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</si>
  <si>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</si>
  <si>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</si>
  <si>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</si>
  <si>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</si>
  <si>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</si>
  <si>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</si>
  <si>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</si>
  <si>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</si>
  <si>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</si>
  <si>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</si>
  <si>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</si>
  <si>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</si>
  <si>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</si>
  <si>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</si>
  <si>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</si>
  <si>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</si>
  <si>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</si>
  <si>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</si>
  <si>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</si>
  <si>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</si>
  <si>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</si>
  <si>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</si>
  <si>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</si>
  <si>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</si>
  <si>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</si>
  <si>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</si>
  <si>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</si>
  <si>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</si>
  <si>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</si>
  <si>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</si>
  <si>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</si>
  <si>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</si>
  <si>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</si>
  <si>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</si>
  <si>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</si>
  <si>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</si>
  <si>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</si>
  <si>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</si>
  <si>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</si>
  <si>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</si>
  <si>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</si>
  <si>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</si>
  <si>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</si>
  <si>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</si>
  <si>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</si>
  <si>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</si>
  <si>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</si>
  <si>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</si>
  <si>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</si>
  <si>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</si>
  <si>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</si>
  <si>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</si>
  <si>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</si>
  <si>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</si>
  <si>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</si>
  <si>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</si>
  <si>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</si>
  <si>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</si>
  <si>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</si>
  <si>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</si>
  <si>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</si>
  <si>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</si>
  <si>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</si>
  <si>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</si>
  <si>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</si>
  <si>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</si>
  <si>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</si>
  <si>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</si>
  <si>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</si>
  <si>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</si>
  <si>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</si>
  <si>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</si>
  <si>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</si>
  <si>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</si>
  <si>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</si>
  <si>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</si>
  <si>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</si>
  <si>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</si>
  <si>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</si>
  <si>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</si>
  <si>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</si>
  <si>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</si>
  <si>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</si>
  <si>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</si>
  <si>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</si>
  <si>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</si>
  <si>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</si>
  <si>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</si>
  <si>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</si>
  <si>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</si>
  <si>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</si>
  <si>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</si>
  <si>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</si>
  <si>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</si>
  <si>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</si>
  <si>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</si>
  <si>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</si>
  <si>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</si>
  <si>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</si>
  <si>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</si>
  <si>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</si>
  <si>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</si>
  <si>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</si>
  <si>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</si>
  <si>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</si>
  <si>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</si>
  <si>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</si>
  <si>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</si>
  <si>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</si>
  <si>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</si>
  <si>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</si>
  <si>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</si>
  <si>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</si>
  <si>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</si>
  <si>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</si>
  <si>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</si>
  <si>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</si>
  <si>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</si>
  <si>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</si>
  <si>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</si>
  <si>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</si>
  <si>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</si>
  <si>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</si>
  <si>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</si>
  <si>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</si>
  <si>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</si>
  <si>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</si>
  <si>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</si>
  <si>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</si>
  <si>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</si>
  <si>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</si>
  <si>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</si>
  <si>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</si>
  <si>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</si>
  <si>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</si>
  <si>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</si>
  <si>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</si>
  <si>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</si>
  <si>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</si>
  <si>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</si>
  <si>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</si>
  <si>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</si>
  <si>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</si>
  <si>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</si>
  <si>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</si>
  <si>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</si>
  <si>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</si>
  <si>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</si>
  <si>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</si>
  <si>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</si>
  <si>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</si>
  <si>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</si>
  <si>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</si>
  <si>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</si>
  <si>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</si>
  <si>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</si>
  <si>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</si>
  <si>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</si>
  <si>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</si>
  <si>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</si>
  <si>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</si>
  <si>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</si>
  <si>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</si>
  <si>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</si>
  <si>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</si>
  <si>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</si>
  <si>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</si>
  <si>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</si>
  <si>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</si>
  <si>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</si>
  <si>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</si>
  <si>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</si>
  <si>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</si>
  <si>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</si>
  <si>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</si>
  <si>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</si>
  <si>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</si>
  <si>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</si>
  <si>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</si>
  <si>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</si>
  <si>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</si>
  <si>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</si>
  <si>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</si>
  <si>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</si>
  <si>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</si>
  <si>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</si>
  <si>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</si>
  <si>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</si>
  <si>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</si>
  <si>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</si>
  <si>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</si>
  <si>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</si>
  <si>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</si>
  <si>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</si>
  <si>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</si>
  <si>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</si>
  <si>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</si>
  <si>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</si>
  <si>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</si>
  <si>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</si>
  <si>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</si>
  <si>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</si>
  <si>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</si>
  <si>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</si>
  <si>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</si>
  <si>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</si>
  <si>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</si>
  <si>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</si>
  <si>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</si>
  <si>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</si>
  <si>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</si>
  <si>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</si>
  <si>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</si>
  <si>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</si>
  <si>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</si>
  <si>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</si>
  <si>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</si>
  <si>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</si>
  <si>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</si>
  <si>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</si>
  <si>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</si>
  <si>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</si>
  <si>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</si>
  <si>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</si>
  <si>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</si>
  <si>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</si>
  <si>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</si>
  <si>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</si>
  <si>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</si>
  <si>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</si>
  <si>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</si>
  <si>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</si>
  <si>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</si>
  <si>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</si>
  <si>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</si>
  <si>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</si>
  <si>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</si>
  <si>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</si>
  <si>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</si>
  <si>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</si>
  <si>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</si>
  <si>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</si>
  <si>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</si>
  <si>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</si>
  <si>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</si>
  <si>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</si>
  <si>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</si>
  <si>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</si>
  <si>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</si>
  <si>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</si>
  <si>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</si>
  <si>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</si>
  <si>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</si>
  <si>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</si>
  <si>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</si>
  <si>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</si>
  <si>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</si>
  <si>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</si>
  <si>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</si>
  <si>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</si>
  <si>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</si>
  <si>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</si>
  <si>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</si>
  <si>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</si>
  <si>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</si>
  <si>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</si>
  <si>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</si>
  <si>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</si>
  <si>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</si>
  <si>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</si>
  <si>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</si>
  <si>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</si>
  <si>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</si>
  <si>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</si>
  <si>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</si>
  <si>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</si>
  <si>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</si>
  <si>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</si>
  <si>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</si>
  <si>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</si>
  <si>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</si>
  <si>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</si>
  <si>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</si>
  <si>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</si>
  <si>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</si>
  <si>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</si>
  <si>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</si>
  <si>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</si>
  <si>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</si>
  <si>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</si>
  <si>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</si>
  <si>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</si>
  <si>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</si>
  <si>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</si>
  <si>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</si>
  <si>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</si>
  <si>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</si>
  <si>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</si>
  <si>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</si>
  <si>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</si>
  <si>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</si>
  <si>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</si>
  <si>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</si>
  <si>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</si>
  <si>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</si>
  <si>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</si>
  <si>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</si>
  <si>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</si>
  <si>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</si>
  <si>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</si>
  <si>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</si>
  <si>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</si>
  <si>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</si>
  <si>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</si>
  <si>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</si>
  <si>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</si>
  <si>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</si>
  <si>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</si>
  <si>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</si>
  <si>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</si>
  <si>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</si>
  <si>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</si>
  <si>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</si>
  <si>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</si>
  <si>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</si>
  <si>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</si>
  <si>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</si>
  <si>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</si>
  <si>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</si>
  <si>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</si>
  <si>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</si>
  <si>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</si>
  <si>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</si>
  <si>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</si>
  <si>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</si>
  <si>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</si>
  <si>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</si>
  <si>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</si>
  <si>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</si>
  <si>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</si>
  <si>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</si>
  <si>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</si>
  <si>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</si>
  <si>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</si>
  <si>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</si>
  <si>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</si>
  <si>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</si>
  <si>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</si>
  <si>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</si>
  <si>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</si>
  <si>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</si>
  <si>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</si>
  <si>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</si>
  <si>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</si>
  <si>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</si>
  <si>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</si>
  <si>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</si>
  <si>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</si>
  <si>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</si>
  <si>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</si>
  <si>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</si>
  <si>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</si>
  <si>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</si>
  <si>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</si>
  <si>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</si>
  <si>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</si>
  <si>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</si>
  <si>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</si>
  <si>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</si>
  <si>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</si>
  <si>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</si>
  <si>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</si>
  <si>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</si>
  <si>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</si>
  <si>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</si>
  <si>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</si>
  <si>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</si>
  <si>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</si>
  <si>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</si>
  <si>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</si>
  <si>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</si>
  <si>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</si>
  <si>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</si>
  <si>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</si>
  <si>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</si>
  <si>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</si>
  <si>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</si>
  <si>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</si>
  <si>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</si>
  <si>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</si>
  <si>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</si>
  <si>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</si>
  <si>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</si>
  <si>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</si>
  <si>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</si>
  <si>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</si>
  <si>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</si>
  <si>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</si>
  <si>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</si>
  <si>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</si>
  <si>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</si>
  <si>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</si>
  <si>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</si>
  <si>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</si>
  <si>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</si>
  <si>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</si>
  <si>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</si>
  <si>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</si>
  <si>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</si>
  <si>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</si>
  <si>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</si>
  <si>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</si>
  <si>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</si>
  <si>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</si>
  <si>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</si>
  <si>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</si>
  <si>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</si>
  <si>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</si>
  <si>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</si>
  <si>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</si>
  <si>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</si>
  <si>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</si>
  <si>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</si>
  <si>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</si>
  <si>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</si>
  <si>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</si>
  <si>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</si>
  <si>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</si>
  <si>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</si>
  <si>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</si>
  <si>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</si>
  <si>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</si>
  <si>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</si>
  <si>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</si>
  <si>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</si>
  <si>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</si>
  <si>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</si>
  <si>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</si>
  <si>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</si>
  <si>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</si>
  <si>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</si>
  <si>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</si>
  <si>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</si>
  <si>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</si>
  <si>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</si>
  <si>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</si>
  <si>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</si>
  <si>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</si>
  <si>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</si>
  <si>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</si>
  <si>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</si>
  <si>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</si>
  <si>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</si>
  <si>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</si>
  <si>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</si>
  <si>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</si>
  <si>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</si>
  <si>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</si>
  <si>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</si>
  <si>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</si>
  <si>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</si>
  <si>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</si>
  <si>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</si>
  <si>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</si>
  <si>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</si>
  <si>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</si>
  <si>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</si>
  <si>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</si>
  <si>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</si>
  <si>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</si>
  <si>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</si>
  <si>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</si>
  <si>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</si>
  <si>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</si>
  <si>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</si>
  <si>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</si>
  <si>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</si>
  <si>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</si>
  <si>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</si>
  <si>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</si>
  <si>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</si>
  <si>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</si>
  <si>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</si>
  <si>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</si>
  <si>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</si>
  <si>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</si>
  <si>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</si>
  <si>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</si>
  <si>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</si>
  <si>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</si>
  <si>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</si>
  <si>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</si>
  <si>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</si>
  <si>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</si>
  <si>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</si>
  <si>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</si>
  <si>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</si>
  <si>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</si>
  <si>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</si>
  <si>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</si>
  <si>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</si>
  <si>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</si>
  <si>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</si>
  <si>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</si>
  <si>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</si>
  <si>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</si>
  <si>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</si>
  <si>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</si>
  <si>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</si>
  <si>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</si>
  <si>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</si>
  <si>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</si>
  <si>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</si>
  <si>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</si>
  <si>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</si>
  <si>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</si>
  <si>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</si>
  <si>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</si>
  <si>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</si>
  <si>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</si>
  <si>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</si>
  <si>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</si>
  <si>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</si>
  <si>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</si>
  <si>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</si>
  <si>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</si>
  <si>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</si>
  <si>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</si>
  <si>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</si>
  <si>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</si>
  <si>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</si>
  <si>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</si>
  <si>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</si>
  <si>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</si>
  <si>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</si>
  <si>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</si>
  <si>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</si>
  <si>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</si>
  <si>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</si>
  <si>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</si>
  <si>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</si>
  <si>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</si>
  <si>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</si>
  <si>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</si>
  <si>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</si>
  <si>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</si>
  <si>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</si>
  <si>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</si>
  <si>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</si>
  <si>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</si>
  <si>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</si>
  <si>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</si>
  <si>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</si>
  <si>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</si>
  <si>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</si>
  <si>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</si>
  <si>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</si>
  <si>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</si>
  <si>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</si>
  <si>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</si>
  <si>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</si>
  <si>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</si>
  <si>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</si>
  <si>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</si>
  <si>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</si>
  <si>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</si>
  <si>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</si>
  <si>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</si>
  <si>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</si>
  <si>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</si>
  <si>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</si>
  <si>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</si>
  <si>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</si>
  <si>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</si>
  <si>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</si>
  <si>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</si>
  <si>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</si>
  <si>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</si>
  <si>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</si>
  <si>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</si>
  <si>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</si>
  <si>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</si>
  <si>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</si>
  <si>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</si>
  <si>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</si>
  <si>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</si>
  <si>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</si>
  <si>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</si>
  <si>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</si>
  <si>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</si>
  <si>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</si>
  <si>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</si>
  <si>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</si>
  <si>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</si>
  <si>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</si>
  <si>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</si>
  <si>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</si>
  <si>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</si>
  <si>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</si>
  <si>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</si>
  <si>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</si>
  <si>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</si>
  <si>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</si>
  <si>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</si>
  <si>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</si>
  <si>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</si>
  <si>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</si>
  <si>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</si>
  <si>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</si>
  <si>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</si>
  <si>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</si>
  <si>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</si>
  <si>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</si>
  <si>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</si>
  <si>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</si>
  <si>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</si>
  <si>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</si>
  <si>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</si>
  <si>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</si>
  <si>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</si>
  <si>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</si>
  <si>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</si>
  <si>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</si>
  <si>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</si>
  <si>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</si>
  <si>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</si>
  <si>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</si>
  <si>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</si>
  <si>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</si>
  <si>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</si>
  <si>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</si>
  <si>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</si>
  <si>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</si>
  <si>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</si>
  <si>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</si>
  <si>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</si>
  <si>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</si>
  <si>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</si>
  <si>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</si>
  <si>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</si>
  <si>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</si>
  <si>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</si>
  <si>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</si>
  <si>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</si>
  <si>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</si>
  <si>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</si>
  <si>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</si>
  <si>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</si>
  <si>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</si>
  <si>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</si>
  <si>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</si>
  <si>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</si>
  <si>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</si>
  <si>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</si>
  <si>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</si>
  <si>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</si>
  <si>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</si>
  <si>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</si>
  <si>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</si>
  <si>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</si>
  <si>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</si>
  <si>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</si>
  <si>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</si>
  <si>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</si>
  <si>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</si>
  <si>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</si>
  <si>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</si>
  <si>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</si>
  <si>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</si>
  <si>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</si>
  <si>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</si>
  <si>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</si>
  <si>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</si>
  <si>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</si>
  <si>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</si>
  <si>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</si>
  <si>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</si>
  <si>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</si>
  <si>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</si>
  <si>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</si>
  <si>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</si>
  <si>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</si>
  <si>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</si>
  <si>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</si>
  <si>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</si>
  <si>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</si>
  <si>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</si>
  <si>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</si>
  <si>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</si>
  <si>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</si>
  <si>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</si>
  <si>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</si>
  <si>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</si>
  <si>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</si>
  <si>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</si>
  <si>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</si>
  <si>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</si>
  <si>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</si>
  <si>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</si>
  <si>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</si>
  <si>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</si>
  <si>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</si>
  <si>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</si>
  <si>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</si>
  <si>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</si>
  <si>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</si>
  <si>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</si>
  <si>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</si>
  <si>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</si>
  <si>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</si>
  <si>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</si>
  <si>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</si>
  <si>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</si>
  <si>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</si>
  <si>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</si>
  <si>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</si>
  <si>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</si>
  <si>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</si>
  <si>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</si>
  <si>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</si>
  <si>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</si>
  <si>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</si>
  <si>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</si>
  <si>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</si>
  <si>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</si>
  <si>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</si>
  <si>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</si>
  <si>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</si>
  <si>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</si>
  <si>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</si>
  <si>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</si>
  <si>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</si>
  <si>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</si>
  <si>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</si>
  <si>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</si>
  <si>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</si>
  <si>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</si>
  <si>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</si>
  <si>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</si>
  <si>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</si>
  <si>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</si>
  <si>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</si>
  <si>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</si>
  <si>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</si>
  <si>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</si>
  <si>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</si>
  <si>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</si>
  <si>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</si>
  <si>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</si>
  <si>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</si>
  <si>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</si>
  <si>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</si>
  <si>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</si>
  <si>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</si>
  <si>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</si>
  <si>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</si>
  <si>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</si>
  <si>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</si>
  <si>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</si>
  <si>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</si>
  <si>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</si>
  <si>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</si>
  <si>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</si>
  <si>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</si>
  <si>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</si>
  <si>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</si>
  <si>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</si>
  <si>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</si>
  <si>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</si>
  <si>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</si>
  <si>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</si>
  <si>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</si>
  <si>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</si>
  <si>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</si>
  <si>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</si>
  <si>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</si>
  <si>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</si>
  <si>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</si>
  <si>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</si>
  <si>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</si>
  <si>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</si>
  <si>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</si>
  <si>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</si>
  <si>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</si>
  <si>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</si>
  <si>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</si>
  <si>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</si>
  <si>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</si>
  <si>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</si>
  <si>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</si>
  <si>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</si>
  <si>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</si>
  <si>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</si>
  <si>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</si>
  <si>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</si>
  <si>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</si>
  <si>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</si>
  <si>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</si>
  <si>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</si>
  <si>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</si>
  <si>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</si>
  <si>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</si>
  <si>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</si>
  <si>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</si>
  <si>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</si>
  <si>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</si>
  <si>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</si>
  <si>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</si>
  <si>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</si>
  <si>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</si>
  <si>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</si>
  <si>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</si>
  <si>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</si>
  <si>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</si>
  <si>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</si>
  <si>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</si>
  <si>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</si>
  <si>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</si>
  <si>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</si>
  <si>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</si>
  <si>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</si>
  <si>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</si>
  <si>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</si>
  <si>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</si>
  <si>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</si>
  <si>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</si>
  <si>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</si>
  <si>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</si>
  <si>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</si>
  <si>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</si>
  <si>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</si>
  <si>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</si>
  <si>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</si>
  <si>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</si>
  <si>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</si>
  <si>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</si>
  <si>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</si>
  <si>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</si>
  <si>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</si>
  <si>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</si>
  <si>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</si>
  <si>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</si>
  <si>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</si>
  <si>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</si>
  <si>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</si>
  <si>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</si>
  <si>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</si>
  <si>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</si>
  <si>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</si>
  <si>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</si>
  <si>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</si>
  <si>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</si>
  <si>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</si>
  <si>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</si>
  <si>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</si>
  <si>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</si>
  <si>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</si>
  <si>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</si>
  <si>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</si>
  <si>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</si>
  <si>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</si>
  <si>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</si>
  <si>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</si>
  <si>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</si>
  <si>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</si>
  <si>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</si>
  <si>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</si>
  <si>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</si>
  <si>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</si>
  <si>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</si>
  <si>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</si>
  <si>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</si>
  <si>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</si>
  <si>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</si>
  <si>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</si>
  <si>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</si>
  <si>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</si>
  <si>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</si>
  <si>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</si>
  <si>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</si>
  <si>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</si>
  <si>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</si>
  <si>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</si>
  <si>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</si>
  <si>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</si>
  <si>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</si>
  <si>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</si>
  <si>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</si>
  <si>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</si>
  <si>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</si>
  <si>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</si>
  <si>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</si>
  <si>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</si>
  <si>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</si>
  <si>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</si>
  <si>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</si>
  <si>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</si>
  <si>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</si>
  <si>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</si>
  <si>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</si>
  <si>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</si>
  <si>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</si>
  <si>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</si>
  <si>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</si>
  <si>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</si>
  <si>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</si>
  <si>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</si>
  <si>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</si>
  <si>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</si>
  <si>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</si>
  <si>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</si>
  <si>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</si>
  <si>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</si>
  <si>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</si>
  <si>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</si>
  <si>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</si>
  <si>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</si>
  <si>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</si>
  <si>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</si>
  <si>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</si>
  <si>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</si>
  <si>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</si>
  <si>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</si>
  <si>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</si>
  <si>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</si>
  <si>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</si>
  <si>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</si>
  <si>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</si>
  <si>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</si>
  <si>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</si>
  <si>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</si>
  <si>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</si>
  <si>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</si>
  <si>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</si>
  <si>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</si>
  <si>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</si>
  <si>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</si>
  <si>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</si>
  <si>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</si>
  <si>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</si>
  <si>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</si>
  <si>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</si>
  <si>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</si>
  <si>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</si>
  <si>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</si>
  <si>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</si>
  <si>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</si>
  <si>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</si>
  <si>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</si>
  <si>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</si>
  <si>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</si>
  <si>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</si>
  <si>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</si>
  <si>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</si>
  <si>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</si>
  <si>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</si>
  <si>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</si>
  <si>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</si>
  <si>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</si>
  <si>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</si>
  <si>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</si>
  <si>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</si>
  <si>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</si>
  <si>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</si>
  <si>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</si>
  <si>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</si>
  <si>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</si>
  <si>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</si>
  <si>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</si>
  <si>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</si>
  <si>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</si>
  <si>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</si>
  <si>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</si>
  <si>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</si>
  <si>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</si>
  <si>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</si>
  <si>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</si>
  <si>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</si>
  <si>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</si>
  <si>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</si>
  <si>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</si>
  <si>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</si>
  <si>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</si>
  <si>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</si>
  <si>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</si>
  <si>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</si>
  <si>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</si>
  <si>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</si>
  <si>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</si>
  <si>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</si>
  <si>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</si>
  <si>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</si>
  <si>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</si>
  <si>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</si>
  <si>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</si>
  <si>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</si>
  <si>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</si>
  <si>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</si>
  <si>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</si>
  <si>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</si>
  <si>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</si>
  <si>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</si>
  <si>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</si>
  <si>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</si>
  <si>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</si>
  <si>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</si>
  <si>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</si>
  <si>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</si>
  <si>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</si>
  <si>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</si>
  <si>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</si>
  <si>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</si>
  <si>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</si>
  <si>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</si>
  <si>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</si>
  <si>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</si>
  <si>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</si>
  <si>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</si>
  <si>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</si>
  <si>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</si>
  <si>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</si>
  <si>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</si>
  <si>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</si>
  <si>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</si>
  <si>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</si>
  <si>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</si>
  <si>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</si>
  <si>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</si>
  <si>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</si>
  <si>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</si>
  <si>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</si>
  <si>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</si>
  <si>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</si>
  <si>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</si>
  <si>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</si>
  <si>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</si>
  <si>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</si>
  <si>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</si>
  <si>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</si>
  <si>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</si>
  <si>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</si>
  <si>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</si>
  <si>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</si>
  <si>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</si>
  <si>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</si>
  <si>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</si>
  <si>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</si>
  <si>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</si>
  <si>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</si>
  <si>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</si>
  <si>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</si>
  <si>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</si>
  <si>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</si>
  <si>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</si>
  <si>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</si>
  <si>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</si>
  <si>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</si>
  <si>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</si>
  <si>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</si>
  <si>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</si>
  <si>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</si>
  <si>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</si>
  <si>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</si>
  <si>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</si>
  <si>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</si>
  <si>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</si>
  <si>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</si>
  <si>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</si>
  <si>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</si>
  <si>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</si>
  <si>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</si>
  <si>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</si>
  <si>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</si>
  <si>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</si>
  <si>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</si>
  <si>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</si>
  <si>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</si>
  <si>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</si>
  <si>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</si>
  <si>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</si>
  <si>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</si>
  <si>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</si>
  <si>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</si>
  <si>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</si>
  <si>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</si>
  <si>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</si>
  <si>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</si>
  <si>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</si>
  <si>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</si>
  <si>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</si>
  <si>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</si>
  <si>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</si>
  <si>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</si>
  <si>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</si>
  <si>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</si>
  <si>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</si>
  <si>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</si>
  <si>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</si>
  <si>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</si>
  <si>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</si>
  <si>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</si>
  <si>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</si>
  <si>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</si>
  <si>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</si>
  <si>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</si>
  <si>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</si>
  <si>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</si>
  <si>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</si>
  <si>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</si>
  <si>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</si>
  <si>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</si>
  <si>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</si>
  <si>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</si>
  <si>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</si>
  <si>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</si>
  <si>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</si>
  <si>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</si>
  <si>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</si>
  <si>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</si>
  <si>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</si>
  <si>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</si>
  <si>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</si>
  <si>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</si>
  <si>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</si>
  <si>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</si>
  <si>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</si>
  <si>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</si>
  <si>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</si>
  <si>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</si>
  <si>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</si>
  <si>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</si>
  <si>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</si>
  <si>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</si>
  <si>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</si>
  <si>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</si>
  <si>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</si>
  <si>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</si>
  <si>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</si>
  <si>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</si>
  <si>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</si>
  <si>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</si>
  <si>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</si>
  <si>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</si>
  <si>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</si>
  <si>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</si>
  <si>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</si>
  <si>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</si>
  <si>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</si>
  <si>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</si>
  <si>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</si>
  <si>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</si>
  <si>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</si>
  <si>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</si>
  <si>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</si>
  <si>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</si>
  <si>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</si>
  <si>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</si>
  <si>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</si>
  <si>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</si>
  <si>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</si>
  <si>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</si>
  <si>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</si>
  <si>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</si>
  <si>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</si>
  <si>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</si>
  <si>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</si>
  <si>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</si>
  <si>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</si>
  <si>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</si>
  <si>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</si>
  <si>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</si>
  <si>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</si>
  <si>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</si>
  <si>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</si>
  <si>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</si>
  <si>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</si>
  <si>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</si>
  <si>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</si>
  <si>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</si>
  <si>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</si>
  <si>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</si>
  <si>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</si>
  <si>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</si>
  <si>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</si>
  <si>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</si>
  <si>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</si>
  <si>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</si>
  <si>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</si>
  <si>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</si>
  <si>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</si>
  <si>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</si>
  <si>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</si>
  <si>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</si>
  <si>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</si>
  <si>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</si>
  <si>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</si>
  <si>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</si>
  <si>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</si>
  <si>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</si>
  <si>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</si>
  <si>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</si>
  <si>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</si>
  <si>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</si>
  <si>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</si>
  <si>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</si>
  <si>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</si>
  <si>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</si>
  <si>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</si>
  <si>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</si>
  <si>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</si>
  <si>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</si>
  <si>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</si>
  <si>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</si>
  <si>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</si>
  <si>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</si>
  <si>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</si>
  <si>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</si>
  <si>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</si>
  <si>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</si>
  <si>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</si>
  <si>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</si>
  <si>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</si>
  <si>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</si>
  <si>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</si>
  <si>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</si>
  <si>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</si>
  <si>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</si>
  <si>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</si>
  <si>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</si>
  <si>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</si>
  <si>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</si>
  <si>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</si>
  <si>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</si>
  <si>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</si>
  <si>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</si>
  <si>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</si>
  <si>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</si>
  <si>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</si>
  <si>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</si>
  <si>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</si>
  <si>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</si>
  <si>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</si>
  <si>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</si>
  <si>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</si>
  <si>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</si>
  <si>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</si>
  <si>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</si>
  <si>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</si>
  <si>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</si>
  <si>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</si>
  <si>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</si>
  <si>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</si>
  <si>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</si>
  <si>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</si>
  <si>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</si>
  <si>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</si>
  <si>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</si>
  <si>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</si>
  <si>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</si>
  <si>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</si>
  <si>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</si>
  <si>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</si>
  <si>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</si>
  <si>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</si>
  <si>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</si>
  <si>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</si>
  <si>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</si>
  <si>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</si>
  <si>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</si>
  <si>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</si>
  <si>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</si>
  <si>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</si>
  <si>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</si>
  <si>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</si>
  <si>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</si>
  <si>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</si>
  <si>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</si>
  <si>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</si>
  <si>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</si>
  <si>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</si>
  <si>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</si>
  <si>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</si>
  <si>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</si>
  <si>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</si>
  <si>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</si>
  <si>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</si>
  <si>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</si>
  <si>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</si>
  <si>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</si>
  <si>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</si>
  <si>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</si>
  <si>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</si>
  <si>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</si>
  <si>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</si>
  <si>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</si>
  <si>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</si>
  <si>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</si>
  <si>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</si>
  <si>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</si>
  <si>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</si>
  <si>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</si>
  <si>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</si>
  <si>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</si>
  <si>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</si>
  <si>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</si>
  <si>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</si>
  <si>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</si>
  <si>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</si>
  <si>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</si>
  <si>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</si>
  <si>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</si>
  <si>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</si>
  <si>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</si>
  <si>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</si>
  <si>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</si>
  <si>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</si>
  <si>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</si>
  <si>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</si>
  <si>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</si>
  <si>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</si>
  <si>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</si>
  <si>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</si>
  <si>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</si>
  <si>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</si>
  <si>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</si>
  <si>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</si>
  <si>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</si>
  <si>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</si>
  <si>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</si>
  <si>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</si>
  <si>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</si>
  <si>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</si>
  <si>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</si>
  <si>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</si>
  <si>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</si>
  <si>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</si>
  <si>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</si>
  <si>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</si>
  <si>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</si>
  <si>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</si>
  <si>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</si>
  <si>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</si>
  <si>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</si>
  <si>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</si>
  <si>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</si>
  <si>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</si>
  <si>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</si>
  <si>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</si>
  <si>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</si>
  <si>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</si>
  <si>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</si>
  <si>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</si>
  <si>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</si>
  <si>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</si>
  <si>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</si>
  <si>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</si>
  <si>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</si>
  <si>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</si>
  <si>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</si>
  <si>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</si>
  <si>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</si>
  <si>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</si>
  <si>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</si>
  <si>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</si>
  <si>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</si>
  <si>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</si>
  <si>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</si>
  <si>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</si>
  <si>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</si>
  <si>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</si>
  <si>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</si>
  <si>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</si>
  <si>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</si>
  <si>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</si>
  <si>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</si>
  <si>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</si>
  <si>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</si>
  <si>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</si>
  <si>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</si>
  <si>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</si>
  <si>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</si>
  <si>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</si>
  <si>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</si>
  <si>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</si>
  <si>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</si>
  <si>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</si>
  <si>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</si>
  <si>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</si>
  <si>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</si>
  <si>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</si>
  <si>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</si>
  <si>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</si>
  <si>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</si>
  <si>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</si>
  <si>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</si>
  <si>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</si>
  <si>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</si>
  <si>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</si>
  <si>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</si>
  <si>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</si>
  <si>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</si>
  <si>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</si>
  <si>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</si>
  <si>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</si>
  <si>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</si>
  <si>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</si>
  <si>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</si>
  <si>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</si>
  <si>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</si>
  <si>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</si>
  <si>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</si>
  <si>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</si>
  <si>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</si>
  <si>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</si>
  <si>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</si>
  <si>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</si>
  <si>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</si>
  <si>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</si>
  <si>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</si>
  <si>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</si>
  <si>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</si>
  <si>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</si>
  <si>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</si>
  <si>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</si>
  <si>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</si>
  <si>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</si>
  <si>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</si>
  <si>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</si>
  <si>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</si>
  <si>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</si>
  <si>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</si>
  <si>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</si>
  <si>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</si>
  <si>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</si>
  <si>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</si>
  <si>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</si>
  <si>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</si>
  <si>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</si>
  <si>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</si>
  <si>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</si>
  <si>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</si>
  <si>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</si>
  <si>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</si>
  <si>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</si>
  <si>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</si>
  <si>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</si>
  <si>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</si>
  <si>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</si>
  <si>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</si>
  <si>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</si>
  <si>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</si>
  <si>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</si>
  <si>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</si>
  <si>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</si>
  <si>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</si>
  <si>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</si>
  <si>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</si>
  <si>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</si>
  <si>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</si>
  <si>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</si>
  <si>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</si>
  <si>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</si>
  <si>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</si>
  <si>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</si>
  <si>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</si>
  <si>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</si>
  <si>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</si>
  <si>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</si>
  <si>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</si>
  <si>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</si>
  <si>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</si>
  <si>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</si>
  <si>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</si>
  <si>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</si>
  <si>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</si>
  <si>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</si>
  <si>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</si>
  <si>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</si>
  <si>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</si>
  <si>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</si>
  <si>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</si>
  <si>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</si>
  <si>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</si>
  <si>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</si>
  <si>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</si>
  <si>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</si>
  <si>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</si>
  <si>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</si>
  <si>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</si>
  <si>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</si>
  <si>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</si>
  <si>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</si>
  <si>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</si>
  <si>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</si>
  <si>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</si>
  <si>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</si>
  <si>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</si>
  <si>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</si>
  <si>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</si>
  <si>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</si>
  <si>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</si>
  <si>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</si>
  <si>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</si>
  <si>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</si>
  <si>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</si>
  <si>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</si>
  <si>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</si>
  <si>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</si>
  <si>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</si>
  <si>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</si>
  <si>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</si>
  <si>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</si>
  <si>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</si>
  <si>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</si>
  <si>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</si>
  <si>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</si>
  <si>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</si>
  <si>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</si>
  <si>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</si>
  <si>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</si>
  <si>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</si>
  <si>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</si>
  <si>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</si>
  <si>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</si>
  <si>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</si>
  <si>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</si>
  <si>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</si>
  <si>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</si>
  <si>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</si>
  <si>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</si>
  <si>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</si>
  <si>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</si>
  <si>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</si>
  <si>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</si>
  <si>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</si>
  <si>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</si>
  <si>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</si>
  <si>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</si>
  <si>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</si>
  <si>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</si>
  <si>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</si>
  <si>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</si>
  <si>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</si>
  <si>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</si>
  <si>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</si>
  <si>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</si>
  <si>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</si>
  <si>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</si>
  <si>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</si>
  <si>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</si>
  <si>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</si>
  <si>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</si>
  <si>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</si>
  <si>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</si>
  <si>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</si>
  <si>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</si>
  <si>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</si>
  <si>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</si>
  <si>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</si>
  <si>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</si>
  <si>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</si>
  <si>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</si>
  <si>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</si>
  <si>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</si>
  <si>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</si>
  <si>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</si>
  <si>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</si>
  <si>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</si>
  <si>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</si>
  <si>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</si>
  <si>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</si>
  <si>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</si>
  <si>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</si>
  <si>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</si>
  <si>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</si>
  <si>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</si>
  <si>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</si>
  <si>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</si>
  <si>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</si>
  <si>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</si>
  <si>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</si>
  <si>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</si>
  <si>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</si>
  <si>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</si>
  <si>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</si>
  <si>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</si>
  <si>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</si>
  <si>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</si>
  <si>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</si>
  <si>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</si>
  <si>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</si>
  <si>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</si>
  <si>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</si>
  <si>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</si>
  <si>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</si>
  <si>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</si>
  <si>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</si>
  <si>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</si>
  <si>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</si>
  <si>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</si>
  <si>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</si>
  <si>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</si>
  <si>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</si>
  <si>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</si>
  <si>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</si>
  <si>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</si>
  <si>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</si>
  <si>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</si>
  <si>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</si>
  <si>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</si>
  <si>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</si>
  <si>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</si>
  <si>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</si>
  <si>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</si>
  <si>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</si>
  <si>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</si>
  <si>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</si>
  <si>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</si>
  <si>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</si>
  <si>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</si>
  <si>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</si>
  <si>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</si>
  <si>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</si>
  <si>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</si>
  <si>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</si>
  <si>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</si>
  <si>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</si>
  <si>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</si>
  <si>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</si>
  <si>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</si>
  <si>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</si>
  <si>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</si>
  <si>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</si>
  <si>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</si>
  <si>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</si>
  <si>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</si>
  <si>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</si>
  <si>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</si>
  <si>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</si>
  <si>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</si>
  <si>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</si>
  <si>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</si>
  <si>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</si>
  <si>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</si>
  <si>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</si>
  <si>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</si>
  <si>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</si>
  <si>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</si>
  <si>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</si>
  <si>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</si>
  <si>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</si>
  <si>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</si>
  <si>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</si>
  <si>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</si>
  <si>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</si>
  <si>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</si>
  <si>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</si>
  <si>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</si>
  <si>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</si>
  <si>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</si>
  <si>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</si>
  <si>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</si>
  <si>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</si>
  <si>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</si>
  <si>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</si>
  <si>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</si>
  <si>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</si>
  <si>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</si>
  <si>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</si>
  <si>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</si>
  <si>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</si>
  <si>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</si>
  <si>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</si>
  <si>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</si>
  <si>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</si>
  <si>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</si>
  <si>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</si>
  <si>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</si>
  <si>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</si>
  <si>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</si>
  <si>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</si>
  <si>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</si>
  <si>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</si>
  <si>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</si>
  <si>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</si>
  <si>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</si>
  <si>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</si>
  <si>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</si>
  <si>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</si>
  <si>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</si>
  <si>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</si>
  <si>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</si>
  <si>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</si>
  <si>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</si>
  <si>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</si>
  <si>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</si>
  <si>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</si>
  <si>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</si>
  <si>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</si>
  <si>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</si>
  <si>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</si>
  <si>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</si>
  <si>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</si>
  <si>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</si>
  <si>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</si>
  <si>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</si>
  <si>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</si>
  <si>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</si>
  <si>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</si>
  <si>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</si>
  <si>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</si>
  <si>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</si>
  <si>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</si>
  <si>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</si>
  <si>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</si>
  <si>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</si>
  <si>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</si>
  <si>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</si>
  <si>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</si>
  <si>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</si>
  <si>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</si>
  <si>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</si>
  <si>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</si>
  <si>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</si>
  <si>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</si>
  <si>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</si>
  <si>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</si>
  <si>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</si>
  <si>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</si>
  <si>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</si>
  <si>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</si>
  <si>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</si>
  <si>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</si>
  <si>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</si>
  <si>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</si>
  <si>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</si>
  <si>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</si>
  <si>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</si>
  <si>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</si>
  <si>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</si>
  <si>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</si>
  <si>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</si>
  <si>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</si>
  <si>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</si>
  <si>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</si>
  <si>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</si>
  <si>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</si>
  <si>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</si>
  <si>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</si>
  <si>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</si>
  <si>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</si>
  <si>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</si>
  <si>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</si>
  <si>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</si>
  <si>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</si>
  <si>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</si>
  <si>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</si>
  <si>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</si>
  <si>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</si>
  <si>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</si>
  <si>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</si>
  <si>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</si>
  <si>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</si>
  <si>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</si>
  <si>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</si>
  <si>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</si>
  <si>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</si>
  <si>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</si>
  <si>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</si>
  <si>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</si>
  <si>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</si>
  <si>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</si>
  <si>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</si>
  <si>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</si>
  <si>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</si>
  <si>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</si>
  <si>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</si>
  <si>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</si>
  <si>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</si>
  <si>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</si>
  <si>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</si>
  <si>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</si>
  <si>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</si>
  <si>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</si>
  <si>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</si>
  <si>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</si>
  <si>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</si>
  <si>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</si>
  <si>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</si>
  <si>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</si>
  <si>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</si>
  <si>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</si>
  <si>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</si>
  <si>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</si>
  <si>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</si>
  <si>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</si>
  <si>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</si>
  <si>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</si>
  <si>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</si>
  <si>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</si>
  <si>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</si>
  <si>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</si>
  <si>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</si>
  <si>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</si>
  <si>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</si>
  <si>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</si>
  <si>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</si>
  <si>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</si>
  <si>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</si>
  <si>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</si>
  <si>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</si>
  <si>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</si>
  <si>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</si>
  <si>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</si>
  <si>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</si>
  <si>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</si>
  <si>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</si>
  <si>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</si>
  <si>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</si>
  <si>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</si>
  <si>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</si>
  <si>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</si>
  <si>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</si>
  <si>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</si>
  <si>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</si>
  <si>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</si>
  <si>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</si>
  <si>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</si>
  <si>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</si>
  <si>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</si>
  <si>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</si>
  <si>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</si>
  <si>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</si>
  <si>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</si>
  <si>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</si>
  <si>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</si>
  <si>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</si>
  <si>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</si>
  <si>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</si>
  <si>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</si>
  <si>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</si>
  <si>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</si>
  <si>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</si>
  <si>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</si>
  <si>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</si>
  <si>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</si>
  <si>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</si>
  <si>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</si>
  <si>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</si>
  <si>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</si>
  <si>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</si>
  <si>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</si>
  <si>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</si>
  <si>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</si>
  <si>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</si>
  <si>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</si>
  <si>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</si>
  <si>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</si>
  <si>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</si>
  <si>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</si>
  <si>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</si>
  <si>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</si>
  <si>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</si>
  <si>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</si>
  <si>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</si>
  <si>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</si>
  <si>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</si>
  <si>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</si>
  <si>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</si>
  <si>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</si>
  <si>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</si>
  <si>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</si>
  <si>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</si>
  <si>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</si>
  <si>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</si>
  <si>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</si>
  <si>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</si>
  <si>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</si>
  <si>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</si>
  <si>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</si>
  <si>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</si>
  <si>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</si>
  <si>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</si>
  <si>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</si>
  <si>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</si>
  <si>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</si>
  <si>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</si>
  <si>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</si>
  <si>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</si>
  <si>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</si>
  <si>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</si>
  <si>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</si>
  <si>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</si>
  <si>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</si>
  <si>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</si>
  <si>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</si>
  <si>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</si>
  <si>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</si>
  <si>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</si>
  <si>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</si>
  <si>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</si>
  <si>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</si>
  <si>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</si>
  <si>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</si>
  <si>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</si>
  <si>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</si>
  <si>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</si>
  <si>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</si>
  <si>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</si>
  <si>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</si>
  <si>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</si>
  <si>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</si>
  <si>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</si>
  <si>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</si>
  <si>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</si>
  <si>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</si>
  <si>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</si>
  <si>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</si>
  <si>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</si>
  <si>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</si>
  <si>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</si>
  <si>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</si>
  <si>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</si>
  <si>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</si>
  <si>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</si>
  <si>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</si>
  <si>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</si>
  <si>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</si>
  <si>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</si>
  <si>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</si>
  <si>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</si>
  <si>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</si>
  <si>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</si>
  <si>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</si>
  <si>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</si>
  <si>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</si>
  <si>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</si>
  <si>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</si>
  <si>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</si>
  <si>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</si>
  <si>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</si>
  <si>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</si>
  <si>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</si>
  <si>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</si>
  <si>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</si>
  <si>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</si>
  <si>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</si>
  <si>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</si>
  <si>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</si>
  <si>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</si>
  <si>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</si>
  <si>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</si>
  <si>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</si>
  <si>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</si>
  <si>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</si>
  <si>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</si>
  <si>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</si>
  <si>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</si>
  <si>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</si>
  <si>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</si>
  <si>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</si>
  <si>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</si>
  <si>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</si>
  <si>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</si>
  <si>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</si>
  <si>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</si>
  <si>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</si>
  <si>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</si>
  <si>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</si>
  <si>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</si>
  <si>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</si>
  <si>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</si>
  <si>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</si>
  <si>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</si>
  <si>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</si>
  <si>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</si>
  <si>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</si>
  <si>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</si>
  <si>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</si>
  <si>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</si>
  <si>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</si>
  <si>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</si>
  <si>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</si>
  <si>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</si>
  <si>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</si>
  <si>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</si>
  <si>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</si>
  <si>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</si>
  <si>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</si>
  <si>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</si>
  <si>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</si>
  <si>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</si>
  <si>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</si>
  <si>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</si>
  <si>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</si>
  <si>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</si>
  <si>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</si>
  <si>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</si>
  <si>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</si>
  <si>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</si>
  <si>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</si>
  <si>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</si>
  <si>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</si>
  <si>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</si>
  <si>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</si>
  <si>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</si>
  <si>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</si>
  <si>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</si>
  <si>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</si>
  <si>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</si>
  <si>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</si>
  <si>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</si>
  <si>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</si>
  <si>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</si>
  <si>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</si>
  <si>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</si>
  <si>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</si>
  <si>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</si>
  <si>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</si>
  <si>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</si>
  <si>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</si>
  <si>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</si>
  <si>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</si>
  <si>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</si>
  <si>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</si>
  <si>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</si>
  <si>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</si>
  <si>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</si>
  <si>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</si>
  <si>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</si>
  <si>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</si>
  <si>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</si>
  <si>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</si>
  <si>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</si>
  <si>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</si>
  <si>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</si>
  <si>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</si>
  <si>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</si>
  <si>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</si>
  <si>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</si>
  <si>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</si>
  <si>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</si>
  <si>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</si>
  <si>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</si>
  <si>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</si>
  <si>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</si>
  <si>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</si>
  <si>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</si>
  <si>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</si>
  <si>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</si>
  <si>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</si>
  <si>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</si>
  <si>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</si>
  <si>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</si>
  <si>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</si>
  <si>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</si>
  <si>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</si>
  <si>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</si>
  <si>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</si>
  <si>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</si>
  <si>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</si>
  <si>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</si>
  <si>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</si>
  <si>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</si>
  <si>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</si>
  <si>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</si>
  <si>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</si>
  <si>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</si>
  <si>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</si>
  <si>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</si>
  <si>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</si>
  <si>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</si>
  <si>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</si>
  <si>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</si>
  <si>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</si>
  <si>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</si>
  <si>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</si>
  <si>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</si>
  <si>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</si>
  <si>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</si>
  <si>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</si>
  <si>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</si>
  <si>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</si>
  <si>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</si>
  <si>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</si>
  <si>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</si>
  <si>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</si>
  <si>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</si>
  <si>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</si>
  <si>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</si>
  <si>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</si>
  <si>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</si>
  <si>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</si>
  <si>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</si>
  <si>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</si>
  <si>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</si>
  <si>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</si>
  <si>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</si>
  <si>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</si>
  <si>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</si>
  <si>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</si>
  <si>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</si>
  <si>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</si>
  <si>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</si>
  <si>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</si>
  <si>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</si>
  <si>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</si>
  <si>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</si>
  <si>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</si>
  <si>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</si>
  <si>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</si>
  <si>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</si>
  <si>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</si>
  <si>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</si>
  <si>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</si>
  <si>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</si>
  <si>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</si>
  <si>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</si>
  <si>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</si>
  <si>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</si>
  <si>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</si>
  <si>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</si>
  <si>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</si>
  <si>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</si>
  <si>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</si>
  <si>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</si>
  <si>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</si>
  <si>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</si>
  <si>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</si>
  <si>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</si>
  <si>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</si>
  <si>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</si>
  <si>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</si>
  <si>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</si>
  <si>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</si>
  <si>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</si>
  <si>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</si>
  <si>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</si>
  <si>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</si>
  <si>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</si>
  <si>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</si>
  <si>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</si>
  <si>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</si>
  <si>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</si>
  <si>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</si>
  <si>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</si>
  <si>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</si>
  <si>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</si>
  <si>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</si>
  <si>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</si>
  <si>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</si>
  <si>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</si>
  <si>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</si>
  <si>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</si>
  <si>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</si>
  <si>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</si>
  <si>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</si>
  <si>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</si>
  <si>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</si>
  <si>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</si>
  <si>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</si>
  <si>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</si>
  <si>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</si>
  <si>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</si>
  <si>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</si>
  <si>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</si>
  <si>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</si>
  <si>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</si>
  <si>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</si>
  <si>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</si>
  <si>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</si>
  <si>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</si>
  <si>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</si>
  <si>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</si>
  <si>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</si>
  <si>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</si>
  <si>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</si>
  <si>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</si>
  <si>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</si>
  <si>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</si>
  <si>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</si>
  <si>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</si>
  <si>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</si>
  <si>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</si>
  <si>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</si>
  <si>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</si>
  <si>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</si>
  <si>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</si>
  <si>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</si>
  <si>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</si>
  <si>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</si>
  <si>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</si>
  <si>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</si>
  <si>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</si>
  <si>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</si>
  <si>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</si>
  <si>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</si>
  <si>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</si>
  <si>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</si>
  <si>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</si>
  <si>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</si>
  <si>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</si>
  <si>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</si>
  <si>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</si>
  <si>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</si>
  <si>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</si>
  <si>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</si>
  <si>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</si>
  <si>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</si>
  <si>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</si>
  <si>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</si>
  <si>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</si>
  <si>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</si>
  <si>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</si>
  <si>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</si>
  <si>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</si>
  <si>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</si>
  <si>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</si>
  <si>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</si>
  <si>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</si>
  <si>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</si>
  <si>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</si>
  <si>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</si>
  <si>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</si>
  <si>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</si>
  <si>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</si>
  <si>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</si>
  <si>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</si>
  <si>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</si>
  <si>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</si>
  <si>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</si>
  <si>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</si>
  <si>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</si>
  <si>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</si>
  <si>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</si>
  <si>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</si>
  <si>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</si>
  <si>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</si>
  <si>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</si>
  <si>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</si>
  <si>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</si>
  <si>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</si>
  <si>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</si>
  <si>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</si>
  <si>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</si>
  <si>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</si>
  <si>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</si>
  <si>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</si>
  <si>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</si>
  <si>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</si>
  <si>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</si>
  <si>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</si>
  <si>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</si>
  <si>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</si>
  <si>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</si>
  <si>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</si>
  <si>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</si>
  <si>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</si>
  <si>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</si>
  <si>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</si>
  <si>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</si>
  <si>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</si>
  <si>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</si>
  <si>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</si>
  <si>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</si>
  <si>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</si>
  <si>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</si>
  <si>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</si>
  <si>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</si>
  <si>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</si>
  <si>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</si>
  <si>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</si>
  <si>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</si>
  <si>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</si>
  <si>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</si>
  <si>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</si>
  <si>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</si>
  <si>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</si>
  <si>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</si>
  <si>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</si>
  <si>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</si>
  <si>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</si>
  <si>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</si>
  <si>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</si>
  <si>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</si>
  <si>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</si>
  <si>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</si>
  <si>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</si>
  <si>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</si>
  <si>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</si>
  <si>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</si>
  <si>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</si>
  <si>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</si>
  <si>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</si>
  <si>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</si>
  <si>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</si>
  <si>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</si>
  <si>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</si>
  <si>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</si>
  <si>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</si>
  <si>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</si>
  <si>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</si>
  <si>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</si>
  <si>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</si>
  <si>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</si>
  <si>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</si>
  <si>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</si>
  <si>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</si>
  <si>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</si>
  <si>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</si>
  <si>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</si>
  <si>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</si>
  <si>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</si>
  <si>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</si>
  <si>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</si>
  <si>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</si>
  <si>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</si>
  <si>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</si>
  <si>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</si>
  <si>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</si>
  <si>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</si>
  <si>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</si>
  <si>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</si>
  <si>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</si>
  <si>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</si>
  <si>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</si>
  <si>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</si>
  <si>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</si>
  <si>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</si>
  <si>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</si>
  <si>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</si>
  <si>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</si>
  <si>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</si>
  <si>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</si>
  <si>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</si>
  <si>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</si>
  <si>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</si>
  <si>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</si>
  <si>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</si>
  <si>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</si>
  <si>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</si>
  <si>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</si>
  <si>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</si>
  <si>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</si>
  <si>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</si>
  <si>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</si>
  <si>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</si>
  <si>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</si>
  <si>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</si>
  <si>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</si>
  <si>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</si>
  <si>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</si>
  <si>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</si>
  <si>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</si>
  <si>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</si>
  <si>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</si>
  <si>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</si>
  <si>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</si>
  <si>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</si>
  <si>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</si>
  <si>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</si>
  <si>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</si>
  <si>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</si>
  <si>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</si>
  <si>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</si>
  <si>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</si>
  <si>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</si>
  <si>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</si>
  <si>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</si>
  <si>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</si>
  <si>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</si>
  <si>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</si>
  <si>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</si>
  <si>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</si>
  <si>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</si>
  <si>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</si>
  <si>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</si>
  <si>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</si>
  <si>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</si>
  <si>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</si>
  <si>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</si>
  <si>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</si>
  <si>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</si>
  <si>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</si>
  <si>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</si>
  <si>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</si>
  <si>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</si>
  <si>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</si>
  <si>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</si>
  <si>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</si>
  <si>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</si>
  <si>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</si>
  <si>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</si>
  <si>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</si>
  <si>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</si>
  <si>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</si>
  <si>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</si>
  <si>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</si>
  <si>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</si>
  <si>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</si>
  <si>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</si>
  <si>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</si>
  <si>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</si>
  <si>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</si>
  <si>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</si>
  <si>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</si>
  <si>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</si>
  <si>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</si>
  <si>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</si>
  <si>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</si>
  <si>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</si>
  <si>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</si>
  <si>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</si>
  <si>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</si>
  <si>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</si>
  <si>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</si>
  <si>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</si>
  <si>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</si>
  <si>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</si>
  <si>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</si>
  <si>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</si>
  <si>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</si>
  <si>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</si>
  <si>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</si>
  <si>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</si>
  <si>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</si>
  <si>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</si>
  <si>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</si>
  <si>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</si>
  <si>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</si>
  <si>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</si>
  <si>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</si>
  <si>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</si>
  <si>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</si>
  <si>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</si>
  <si>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</si>
  <si>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</si>
  <si>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</si>
  <si>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</si>
  <si>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</si>
  <si>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</si>
  <si>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</si>
  <si>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</si>
  <si>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</si>
  <si>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</si>
  <si>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</si>
  <si>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</si>
  <si>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</si>
  <si>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</si>
  <si>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</si>
  <si>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</si>
  <si>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</si>
  <si>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</si>
  <si>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</si>
  <si>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</si>
  <si>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</si>
  <si>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</si>
  <si>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</si>
  <si>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</si>
  <si>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</si>
  <si>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</si>
  <si>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</si>
  <si>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</si>
  <si>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</si>
  <si>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</si>
  <si>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</si>
  <si>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</si>
  <si>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</si>
  <si>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</si>
  <si>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</si>
  <si>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</si>
  <si>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</si>
  <si>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</si>
  <si>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</si>
  <si>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</si>
  <si>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</si>
  <si>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</si>
  <si>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</si>
  <si>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</si>
  <si>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</si>
  <si>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</si>
  <si>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</si>
  <si>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</si>
  <si>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</si>
  <si>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</si>
  <si>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</si>
  <si>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</si>
  <si>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</si>
  <si>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</si>
  <si>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</si>
  <si>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</si>
  <si>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</si>
  <si>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</si>
  <si>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</si>
  <si>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</si>
  <si>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</si>
  <si>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</si>
  <si>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</si>
  <si>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</si>
  <si>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</si>
  <si>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</si>
  <si>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</si>
  <si>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</si>
  <si>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</si>
  <si>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</si>
  <si>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</si>
  <si>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</si>
  <si>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</si>
  <si>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</si>
  <si>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</si>
  <si>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</si>
  <si>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</si>
  <si>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</si>
  <si>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</si>
  <si>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</si>
  <si>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</si>
  <si>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</si>
  <si>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</si>
  <si>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</si>
  <si>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</si>
  <si>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</si>
  <si>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</si>
  <si>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</si>
  <si>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</si>
  <si>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</si>
  <si>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</si>
  <si>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</si>
  <si>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</si>
  <si>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</si>
  <si>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</si>
  <si>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</si>
  <si>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</si>
  <si>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</si>
  <si>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</si>
  <si>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</si>
  <si>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</si>
  <si>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</si>
  <si>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</si>
  <si>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</si>
  <si>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</si>
  <si>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</si>
  <si>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</si>
  <si>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</si>
  <si>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</si>
  <si>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</si>
  <si>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</si>
  <si>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</si>
  <si>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</si>
  <si>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</si>
  <si>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</si>
  <si>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</si>
  <si>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</si>
  <si>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</si>
  <si>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</si>
  <si>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</si>
  <si>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</si>
  <si>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</si>
  <si>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</si>
  <si>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</si>
  <si>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</si>
  <si>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</si>
  <si>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</si>
  <si>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</si>
  <si>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</si>
  <si>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</si>
  <si>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</si>
  <si>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</si>
  <si>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</si>
  <si>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</si>
  <si>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</si>
  <si>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</si>
  <si>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</si>
  <si>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</si>
  <si>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</si>
  <si>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</si>
  <si>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</si>
  <si>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</si>
  <si>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</si>
  <si>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</si>
  <si>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</si>
  <si>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</si>
  <si>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</si>
  <si>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</si>
  <si>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</si>
  <si>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</si>
  <si>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</si>
  <si>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</si>
  <si>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</si>
  <si>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</si>
  <si>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</si>
  <si>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</si>
  <si>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</si>
  <si>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</si>
  <si>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</si>
  <si>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</si>
  <si>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</si>
  <si>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</si>
  <si>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</si>
  <si>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</si>
  <si>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</si>
  <si>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</si>
  <si>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</si>
  <si>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</si>
  <si>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</si>
  <si>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</si>
  <si>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</si>
  <si>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</si>
  <si>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</si>
  <si>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</si>
  <si>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</si>
  <si>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</si>
  <si>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</si>
  <si>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</si>
  <si>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</si>
  <si>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</si>
  <si>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</si>
  <si>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</si>
  <si>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</si>
  <si>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</si>
  <si>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</si>
  <si>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</si>
  <si>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</si>
  <si>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</si>
  <si>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</si>
  <si>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</si>
  <si>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</si>
  <si>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</si>
  <si>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</si>
  <si>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</si>
  <si>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</si>
  <si>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</si>
  <si>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</si>
  <si>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</si>
  <si>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</si>
  <si>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</si>
  <si>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</si>
  <si>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</si>
  <si>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</si>
  <si>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</si>
  <si>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</si>
  <si>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</si>
  <si>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</si>
  <si>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</si>
  <si>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</si>
  <si>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</si>
  <si>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</si>
  <si>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</si>
  <si>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</si>
  <si>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</si>
  <si>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</si>
  <si>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</si>
  <si>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</si>
  <si>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</si>
  <si>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</si>
  <si>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</si>
  <si>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</si>
  <si>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</si>
  <si>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</si>
  <si>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</si>
  <si>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</si>
  <si>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</si>
  <si>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</si>
  <si>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</si>
  <si>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</si>
  <si>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</si>
  <si>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</si>
  <si>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</si>
  <si>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</si>
  <si>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</si>
  <si>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</si>
  <si>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</si>
  <si>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</si>
  <si>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</si>
  <si>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</si>
  <si>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</si>
  <si>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</si>
  <si>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</si>
  <si>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</si>
  <si>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</si>
  <si>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</si>
  <si>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</si>
  <si>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</si>
  <si>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</si>
  <si>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</si>
  <si>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</si>
  <si>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</si>
  <si>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</si>
  <si>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</si>
  <si>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</si>
  <si>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</si>
  <si>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</si>
  <si>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</si>
  <si>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</si>
  <si>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</si>
  <si>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</si>
  <si>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</si>
  <si>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</si>
  <si>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</si>
  <si>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</si>
  <si>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</si>
  <si>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</si>
  <si>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</si>
  <si>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</si>
  <si>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</si>
  <si>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</si>
  <si>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</si>
  <si>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</si>
  <si>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</si>
  <si>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</si>
  <si>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</si>
  <si>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</si>
  <si>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</si>
  <si>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</si>
  <si>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</si>
  <si>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</si>
  <si>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</si>
  <si>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</si>
  <si>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</si>
  <si>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</si>
  <si>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</si>
  <si>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</si>
  <si>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</si>
  <si>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</si>
  <si>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</si>
  <si>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</si>
  <si>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</si>
  <si>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</si>
  <si>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</si>
  <si>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</si>
  <si>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</si>
  <si>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</si>
  <si>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</si>
  <si>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</si>
  <si>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</si>
  <si>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</si>
  <si>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</si>
  <si>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</si>
  <si>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</si>
  <si>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</si>
  <si>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</si>
  <si>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</si>
  <si>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</si>
  <si>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</si>
  <si>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</si>
  <si>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</si>
  <si>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</si>
  <si>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</si>
  <si>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</si>
  <si>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</si>
  <si>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</si>
  <si>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</si>
  <si>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</si>
  <si>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</si>
  <si>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</si>
  <si>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</si>
  <si>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</si>
  <si>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</si>
  <si>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</si>
  <si>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</si>
  <si>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</si>
  <si>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</si>
  <si>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</si>
  <si>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</si>
  <si>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</si>
  <si>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</si>
  <si>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</si>
  <si>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</si>
  <si>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</si>
  <si>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</si>
  <si>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</si>
  <si>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</si>
  <si>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</si>
  <si>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</si>
  <si>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</si>
  <si>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</si>
  <si>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</si>
  <si>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</si>
  <si>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</si>
  <si>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</si>
  <si>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</si>
  <si>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</si>
  <si>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</si>
  <si>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</si>
  <si>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</si>
  <si>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</si>
  <si>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</si>
  <si>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</si>
  <si>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</si>
  <si>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</si>
  <si>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</si>
  <si>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</si>
  <si>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</si>
  <si>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</si>
  <si>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</si>
  <si>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</si>
  <si>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</si>
  <si>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</si>
  <si>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</si>
  <si>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</si>
  <si>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</si>
  <si>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</si>
  <si>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</si>
  <si>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</si>
  <si>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</si>
  <si>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</si>
  <si>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</si>
  <si>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</si>
  <si>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</si>
  <si>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</si>
  <si>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</si>
  <si>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</si>
  <si>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</si>
  <si>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</si>
  <si>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</si>
  <si>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</si>
  <si>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</si>
  <si>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</si>
  <si>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</si>
  <si>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</si>
  <si>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</si>
  <si>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</si>
  <si>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</si>
  <si>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</si>
  <si>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</si>
  <si>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</si>
  <si>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</si>
  <si>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</si>
  <si>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</si>
  <si>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</si>
  <si>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</si>
  <si>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</si>
  <si>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</si>
  <si>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</si>
  <si>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</si>
  <si>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</si>
  <si>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</si>
  <si>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</si>
  <si>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</si>
  <si>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</si>
  <si>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</si>
  <si>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</si>
  <si>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</si>
  <si>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</si>
  <si>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</si>
  <si>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</si>
  <si>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</si>
  <si>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</si>
  <si>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</si>
  <si>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</si>
  <si>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</si>
  <si>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</si>
  <si>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</si>
  <si>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</si>
  <si>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</si>
  <si>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</si>
  <si>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</si>
  <si>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</si>
  <si>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</si>
  <si>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</si>
  <si>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</si>
  <si>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</si>
  <si>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</si>
  <si>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</si>
  <si>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</si>
  <si>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</si>
  <si>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</si>
  <si>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</si>
  <si>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</si>
  <si>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</si>
  <si>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</si>
  <si>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</si>
  <si>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</si>
  <si>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</si>
  <si>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</si>
  <si>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</si>
  <si>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</si>
  <si>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</si>
  <si>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</si>
  <si>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</si>
  <si>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</si>
  <si>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</si>
  <si>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</si>
  <si>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</si>
  <si>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</si>
  <si>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</si>
  <si>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</si>
  <si>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</si>
  <si>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</si>
  <si>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</si>
  <si>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</si>
  <si>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</si>
  <si>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</si>
  <si>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</si>
  <si>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</si>
  <si>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</si>
  <si>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</si>
  <si>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</si>
  <si>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</si>
  <si>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</si>
  <si>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</si>
  <si>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</si>
  <si>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</si>
  <si>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</si>
  <si>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</si>
  <si>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</si>
  <si>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</si>
  <si>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</si>
  <si>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</si>
  <si>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</si>
  <si>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</si>
  <si>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</si>
  <si>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</si>
  <si>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</si>
  <si>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</si>
  <si>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</si>
  <si>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</si>
  <si>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</si>
  <si>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</si>
  <si>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</si>
  <si>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</si>
  <si>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</si>
  <si>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</si>
  <si>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</si>
  <si>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</si>
  <si>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</si>
  <si>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</si>
  <si>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</si>
  <si>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</si>
  <si>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</si>
  <si>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</si>
  <si>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</si>
  <si>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</si>
  <si>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</si>
  <si>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</si>
  <si>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</si>
  <si>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</si>
  <si>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</si>
  <si>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</si>
  <si>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</si>
  <si>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</si>
  <si>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</si>
  <si>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</si>
  <si>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</si>
  <si>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</si>
  <si>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</si>
  <si>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</si>
  <si>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</si>
  <si>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</si>
  <si>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</si>
  <si>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</si>
  <si>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</si>
  <si>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</si>
  <si>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</si>
  <si>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</si>
  <si>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</si>
  <si>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</si>
  <si>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</si>
  <si>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</si>
  <si>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</si>
  <si>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</si>
  <si>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</si>
  <si>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</si>
  <si>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</si>
  <si>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</si>
  <si>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</si>
  <si>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</si>
  <si>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</si>
  <si>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</si>
  <si>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</si>
  <si>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</si>
  <si>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</si>
  <si>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</si>
  <si>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</si>
  <si>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</si>
  <si>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</si>
  <si>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</si>
  <si>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</si>
  <si>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</si>
  <si>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</si>
  <si>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</si>
  <si>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</si>
  <si>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</si>
  <si>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</si>
  <si>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</si>
  <si>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</si>
  <si>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</si>
  <si>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</si>
  <si>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</si>
  <si>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</si>
  <si>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</si>
  <si>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</si>
  <si>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</si>
  <si>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</si>
  <si>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</si>
  <si>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</si>
  <si>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</si>
  <si>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</si>
  <si>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</si>
  <si>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</si>
  <si>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</si>
  <si>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</si>
  <si>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</si>
  <si>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</si>
  <si>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</si>
  <si>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</si>
  <si>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</si>
  <si>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</si>
  <si>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</si>
  <si>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</si>
  <si>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</si>
  <si>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</si>
  <si>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</si>
  <si>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</si>
  <si>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</si>
  <si>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</si>
  <si>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</si>
  <si>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</si>
  <si>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</si>
  <si>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</si>
  <si>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</si>
  <si>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</si>
  <si>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</si>
  <si>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</si>
  <si>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</si>
  <si>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</si>
  <si>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</si>
  <si>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</si>
  <si>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</si>
  <si>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</si>
  <si>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</si>
  <si>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</si>
  <si>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</si>
  <si>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</si>
  <si>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</si>
  <si>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</si>
  <si>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</si>
  <si>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</si>
  <si>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</si>
  <si>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</si>
  <si>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</si>
  <si>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</si>
  <si>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</si>
  <si>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</si>
  <si>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</si>
  <si>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</si>
  <si>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</si>
  <si>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</si>
  <si>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</si>
  <si>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</si>
  <si>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</si>
  <si>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</si>
  <si>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</si>
  <si>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</si>
  <si>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</si>
  <si>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</si>
  <si>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</si>
  <si>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</si>
  <si>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</si>
  <si>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</si>
  <si>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</si>
  <si>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</si>
  <si>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</si>
  <si>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</si>
  <si>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</si>
  <si>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</si>
  <si>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</si>
  <si>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</si>
  <si>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</si>
  <si>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</si>
  <si>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</si>
  <si>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</si>
  <si>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</si>
  <si>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</si>
  <si>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</si>
  <si>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</si>
  <si>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</si>
  <si>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</si>
  <si>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</si>
  <si>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</si>
  <si>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</si>
  <si>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</si>
  <si>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</si>
  <si>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</si>
  <si>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</si>
  <si>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</si>
  <si>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</si>
  <si>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</si>
  <si>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</si>
  <si>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</si>
  <si>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</si>
  <si>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</si>
  <si>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</si>
  <si>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</si>
  <si>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</si>
  <si>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</si>
  <si>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</si>
  <si>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</si>
  <si>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</si>
  <si>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</si>
  <si>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</si>
  <si>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</si>
  <si>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</si>
  <si>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</si>
  <si>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</si>
  <si>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</si>
  <si>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</si>
  <si>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</si>
  <si>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</si>
  <si>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</si>
  <si>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</si>
  <si>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</si>
  <si>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</si>
  <si>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</si>
  <si>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</si>
  <si>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</si>
  <si>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</si>
  <si>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</si>
  <si>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</si>
  <si>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</si>
  <si>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</si>
  <si>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</si>
  <si>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</si>
  <si>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</si>
  <si>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</si>
  <si>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</si>
  <si>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</si>
  <si>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</si>
  <si>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</si>
  <si>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</si>
  <si>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</si>
  <si>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</si>
  <si>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</si>
  <si>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</si>
  <si>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</si>
  <si>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</si>
  <si>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</si>
  <si>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</si>
  <si>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</si>
  <si>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</si>
  <si>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</si>
  <si>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</si>
  <si>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</si>
  <si>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</si>
  <si>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</si>
  <si>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</si>
  <si>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</si>
  <si>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</si>
  <si>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</si>
  <si>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</si>
  <si>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</si>
  <si>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</si>
  <si>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</si>
  <si>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</si>
  <si>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</si>
  <si>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</si>
  <si>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</si>
  <si>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</si>
  <si>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</si>
  <si>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</si>
  <si>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</si>
  <si>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</si>
  <si>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</si>
  <si>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</si>
  <si>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</si>
  <si>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</si>
  <si>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</si>
  <si>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</si>
  <si>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</si>
  <si>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</si>
  <si>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</si>
  <si>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</si>
  <si>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</si>
  <si>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</si>
  <si>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</si>
  <si>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</si>
  <si>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</si>
  <si>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</si>
  <si>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</si>
  <si>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</si>
  <si>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</si>
  <si>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</si>
  <si>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</si>
  <si>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</si>
  <si>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</si>
  <si>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</si>
  <si>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</si>
  <si>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</si>
  <si>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</si>
  <si>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</si>
  <si>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</si>
  <si>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</si>
  <si>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</si>
  <si>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</si>
  <si>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</si>
  <si>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</si>
  <si>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</si>
  <si>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</si>
  <si>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</si>
  <si>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</si>
  <si>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</si>
  <si>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</si>
  <si>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</si>
  <si>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</si>
  <si>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</si>
  <si>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</si>
  <si>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</si>
  <si>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</si>
  <si>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</si>
  <si>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</si>
  <si>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</si>
  <si>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</si>
  <si>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</si>
  <si>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</si>
  <si>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</si>
  <si>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</si>
  <si>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</si>
  <si>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</si>
  <si>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</si>
  <si>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</si>
  <si>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</si>
  <si>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</si>
  <si>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</si>
  <si>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</si>
  <si>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</si>
  <si>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</si>
  <si>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</si>
  <si>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</si>
  <si>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</si>
  <si>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</si>
  <si>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</si>
  <si>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</si>
  <si>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</si>
  <si>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</si>
  <si>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</si>
  <si>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</si>
  <si>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</si>
  <si>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</si>
  <si>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</si>
  <si>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</si>
  <si>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</si>
  <si>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</si>
  <si>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</si>
  <si>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</si>
  <si>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</si>
  <si>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</si>
  <si>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</si>
  <si>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</si>
  <si>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</si>
  <si>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</si>
  <si>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</si>
  <si>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</si>
  <si>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</si>
  <si>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</si>
  <si>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</si>
  <si>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</si>
  <si>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</si>
  <si>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</si>
  <si>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</si>
  <si>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</si>
  <si>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</si>
  <si>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</si>
  <si>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</si>
  <si>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</si>
  <si>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</si>
  <si>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</si>
  <si>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</si>
  <si>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</si>
  <si>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</si>
  <si>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</si>
  <si>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</si>
  <si>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</si>
  <si>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</si>
  <si>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</si>
  <si>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</si>
  <si>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</si>
  <si>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</si>
  <si>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</si>
  <si>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</si>
  <si>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</si>
  <si>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</si>
  <si>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</si>
  <si>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</si>
  <si>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</si>
  <si>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</si>
  <si>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</si>
  <si>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</si>
  <si>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</si>
  <si>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</si>
  <si>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</si>
  <si>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</si>
  <si>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</si>
  <si>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</si>
  <si>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</si>
  <si>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</si>
  <si>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</si>
  <si>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</si>
  <si>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</si>
  <si>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</si>
  <si>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</si>
  <si>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</si>
  <si>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</si>
  <si>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</si>
  <si>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</si>
  <si>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</si>
  <si>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</si>
  <si>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</si>
  <si>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</si>
  <si>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</si>
  <si>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</si>
  <si>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</si>
  <si>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</si>
  <si>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</si>
  <si>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</si>
  <si>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</si>
  <si>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</si>
  <si>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</si>
  <si>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</si>
  <si>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</si>
  <si>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</si>
  <si>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</si>
  <si>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</si>
  <si>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</si>
  <si>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</si>
  <si>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</si>
  <si>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</si>
  <si>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</si>
  <si>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</si>
  <si>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</si>
  <si>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</si>
  <si>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</si>
  <si>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</si>
  <si>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</si>
  <si>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</si>
  <si>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</si>
  <si>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</si>
  <si>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</si>
  <si>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</si>
  <si>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</si>
  <si>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</si>
  <si>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</si>
  <si>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</si>
  <si>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</si>
  <si>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</si>
  <si>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</si>
  <si>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</si>
  <si>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</si>
  <si>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</si>
  <si>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</si>
  <si>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</si>
  <si>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</si>
  <si>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</si>
  <si>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</si>
  <si>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</si>
  <si>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</si>
  <si>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</si>
  <si>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</si>
  <si>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</si>
  <si>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</si>
  <si>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</si>
  <si>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</si>
  <si>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</si>
  <si>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</si>
  <si>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</si>
  <si>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</si>
  <si>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</si>
  <si>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</si>
  <si>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</si>
  <si>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</si>
  <si>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</si>
  <si>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</si>
  <si>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</si>
  <si>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</si>
  <si>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</si>
  <si>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</si>
  <si>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</si>
  <si>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</si>
  <si>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</si>
  <si>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</si>
  <si>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</si>
  <si>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</si>
  <si>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</si>
  <si>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</si>
  <si>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</si>
  <si>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</si>
  <si>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</si>
  <si>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</si>
  <si>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</si>
  <si>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</si>
  <si>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</si>
  <si>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</si>
  <si>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</si>
  <si>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</si>
  <si>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</si>
  <si>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</si>
  <si>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</si>
  <si>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</si>
  <si>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</si>
  <si>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</si>
  <si>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</si>
  <si>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</si>
  <si>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</si>
  <si>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</si>
  <si>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</si>
  <si>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</si>
  <si>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</si>
  <si>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</si>
  <si>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</si>
  <si>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</si>
  <si>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</si>
  <si>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</si>
  <si>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</si>
  <si>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</si>
  <si>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</si>
  <si>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</si>
  <si>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</si>
  <si>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</si>
  <si>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</si>
  <si>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</si>
  <si>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</si>
  <si>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</si>
  <si>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</si>
  <si>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</si>
  <si>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</si>
  <si>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</si>
  <si>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</si>
  <si>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</si>
  <si>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</si>
  <si>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</si>
  <si>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</si>
  <si>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</si>
  <si>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</si>
  <si>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</si>
  <si>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</si>
  <si>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</si>
  <si>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</si>
  <si>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</si>
  <si>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</si>
  <si>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</si>
  <si>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</si>
  <si>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</si>
  <si>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</si>
  <si>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</si>
  <si>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</si>
  <si>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</si>
  <si>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</si>
  <si>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</si>
  <si>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</si>
  <si>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</si>
  <si>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</si>
  <si>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</si>
  <si>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</si>
  <si>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</si>
  <si>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</si>
  <si>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</si>
  <si>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</si>
  <si>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</si>
  <si>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</si>
  <si>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</si>
  <si>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</si>
  <si>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</si>
  <si>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</si>
  <si>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</si>
  <si>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</si>
  <si>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</si>
  <si>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</si>
  <si>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</si>
  <si>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</si>
  <si>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</si>
  <si>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</si>
  <si>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</si>
  <si>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</si>
  <si>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</si>
  <si>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</si>
  <si>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</si>
  <si>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</si>
  <si>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</si>
  <si>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</si>
  <si>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</si>
  <si>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</si>
  <si>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</si>
  <si>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</si>
  <si>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</si>
  <si>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</si>
  <si>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</si>
  <si>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</si>
  <si>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</si>
  <si>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</si>
  <si>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</si>
  <si>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</si>
  <si>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</si>
  <si>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saxay</t>
  </si>
  <si>
    <t>nambaongutrang</t>
  </si>
  <si>
    <t>cachua</t>
  </si>
  <si>
    <t>bapmytrai</t>
  </si>
  <si>
    <t>binu</t>
  </si>
  <si>
    <t>caibe</t>
  </si>
  <si>
    <t>caithia</t>
  </si>
  <si>
    <t>carot</t>
  </si>
  <si>
    <t>raumuongcong</t>
  </si>
  <si>
    <t>otsungdo</t>
  </si>
  <si>
    <t>dotlang</t>
  </si>
  <si>
    <t>raudiepca</t>
  </si>
  <si>
    <t>hungcay</t>
  </si>
  <si>
    <t>hungque</t>
  </si>
  <si>
    <t>bongdiendien</t>
  </si>
  <si>
    <t>gia</t>
  </si>
  <si>
    <t>duduxanh</t>
  </si>
  <si>
    <t>loloxanh</t>
  </si>
  <si>
    <t>raukinhgioi</t>
  </si>
  <si>
    <t>dualeo</t>
  </si>
  <si>
    <t>bun</t>
  </si>
  <si>
    <t>bapchuoibao</t>
  </si>
  <si>
    <t>rautiato</t>
  </si>
  <si>
    <t>cantau</t>
  </si>
  <si>
    <t>otxanhdl</t>
  </si>
  <si>
    <t>otdodl</t>
  </si>
  <si>
    <t>gungtq</t>
  </si>
  <si>
    <t>khexanh</t>
  </si>
  <si>
    <t>tactrai</t>
  </si>
  <si>
    <t>toixay</t>
  </si>
  <si>
    <t>namrom</t>
  </si>
  <si>
    <t>dauquephap</t>
  </si>
  <si>
    <t>thila</t>
  </si>
  <si>
    <t>dauhutrangcay</t>
  </si>
  <si>
    <t>bongsung</t>
  </si>
  <si>
    <t>nambaonguxam</t>
  </si>
  <si>
    <t>pon</t>
  </si>
  <si>
    <t>hunglui</t>
  </si>
  <si>
    <t>caingong</t>
  </si>
  <si>
    <t>duigabb</t>
  </si>
  <si>
    <t>namkimcham</t>
  </si>
  <si>
    <t>bapcaitim</t>
  </si>
  <si>
    <t>dauhutrang</t>
  </si>
  <si>
    <t>otvangdl</t>
  </si>
  <si>
    <t>bapmyhat</t>
  </si>
  <si>
    <t>bongcaitrangdl</t>
  </si>
  <si>
    <t>bongcaixanhdl</t>
  </si>
  <si>
    <t>bongthienly</t>
  </si>
  <si>
    <t>cuden</t>
  </si>
  <si>
    <t>daubo</t>
  </si>
  <si>
    <t>hatsen</t>
  </si>
  <si>
    <t>lasen</t>
  </si>
  <si>
    <t>namlinhchitrang</t>
  </si>
  <si>
    <t>thomgot</t>
  </si>
  <si>
    <t>dauhuchien</t>
  </si>
  <si>
    <t>LONGWANG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</si>
</sst>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zoomScale="70" zoomScaleNormal="70" workbookViewId="0">
      <pane xSplit="1" ySplit="1" topLeftCell="B2" activePane="bottomRight" state="frozen"/>
      <selection pane="topRight" activeCell="B1" sqref="B1"/>
      <selection pane="bottomLeft" activeCell="A2" sqref="A2"/>
      <selection pane="bottomRight" activeCell="B3" sqref="B3:E58"/>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4119</v>
      </c>
    </row>
    <row r="2" spans="1:11" ht="14.4" customHeight="1">
      <c r="A2" s="2" t="s">
        <v>4124</v>
      </c>
      <c r="B2" s="1" t="str">
        <f>VLOOKUP(A2,'CODE NOTE'!A:B,2,0)</f>
        <v>I100002</v>
      </c>
      <c r="C2" s="1"/>
      <c r="D2" s="1" t="str">
        <f>VLOOKUP(A2,'CODE NOTE'!A:C,3,0)</f>
        <v>Bắp cải tím</v>
      </c>
      <c r="E2" s="1" t="str">
        <f>VLOOKUP(A2,'CODE NOTE'!D:E,2,0)</f>
        <v>Kg</v>
      </c>
      <c r="F2" s="90">
        <v>1</v>
      </c>
      <c r="G2" s="90"/>
      <c r="H2" s="13" t="str">
        <f>VLOOKUP(A2,'CODE NOTE'!D:F,3,0)</f>
        <v>0.8kg/bắp (0.5-1kg/bắp)</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4104</v>
      </c>
      <c r="B3" s="1" t="str">
        <f>VLOOKUP(A3,'CODE NOTE'!A:B,2,0)</f>
        <v>I100004</v>
      </c>
      <c r="C3" s="1"/>
      <c r="D3" s="1" t="str">
        <f>VLOOKUP(A3,'CODE NOTE'!A:C,3,0)</f>
        <v>Bắp chuối bào</v>
      </c>
      <c r="E3" s="1" t="str">
        <f>VLOOKUP(A3,'CODE NOTE'!D:E,2,0)</f>
        <v>Kg</v>
      </c>
      <c r="F3" s="90">
        <v>0.5</v>
      </c>
      <c r="G3" s="90"/>
      <c r="H3" s="13" t="str">
        <f>VLOOKUP(A3,'CODE NOTE'!D:F,3,0)</f>
        <v>xuất hđ đổi thành bắp chuối</v>
      </c>
      <c r="I3" s="106"/>
      <c r="J3" s="93" t="s">
        <v>1865</v>
      </c>
      <c r="K3" t="s">
        <v>3796</v>
      </c>
    </row>
    <row r="4" spans="1:11">
      <c r="A4" s="2" t="s">
        <v>4127</v>
      </c>
      <c r="B4" s="1" t="str">
        <f>VLOOKUP(A4,'CODE NOTE'!A:B,2,0)</f>
        <v>I100006</v>
      </c>
      <c r="C4" s="1"/>
      <c r="D4" s="1" t="str">
        <f>VLOOKUP(A4,'CODE NOTE'!A:C,3,0)</f>
        <v>Bắp mỹ hạt</v>
      </c>
      <c r="E4" s="1" t="str">
        <f>VLOOKUP(A4,'CODE NOTE'!D:E,2,0)</f>
        <v>Kg</v>
      </c>
      <c r="F4" s="90">
        <v>0.5</v>
      </c>
      <c r="G4" s="90"/>
      <c r="H4" s="13">
        <f>VLOOKUP(A4,'CODE NOTE'!D:F,3,0)</f>
        <v>0</v>
      </c>
      <c r="I4" s="106"/>
      <c r="J4" s="93" t="s">
        <v>519</v>
      </c>
      <c r="K4" t="s">
        <v>3797</v>
      </c>
    </row>
    <row r="5" spans="1:11">
      <c r="A5" s="2" t="s">
        <v>4086</v>
      </c>
      <c r="B5" s="1" t="str">
        <f>VLOOKUP(A5,'CODE NOTE'!A:B,2,0)</f>
        <v>I100008</v>
      </c>
      <c r="C5" s="1"/>
      <c r="D5" s="1" t="str">
        <f>VLOOKUP(A5,'CODE NOTE'!A:C,3,0)</f>
        <v>Bắp mỹ trái (Loại 1)</v>
      </c>
      <c r="E5" s="1" t="str">
        <f>VLOOKUP(A5,'CODE NOTE'!D:E,2,0)</f>
        <v>Trái</v>
      </c>
      <c r="F5" s="90">
        <v>5</v>
      </c>
      <c r="G5" s="90"/>
      <c r="H5" s="13" t="str">
        <f>VLOOKUP(A5,'CODE NOTE'!D:F,3,0)</f>
        <v>3 trái/kg</v>
      </c>
      <c r="I5" s="106"/>
      <c r="J5" s="93" t="s">
        <v>1660</v>
      </c>
      <c r="K5" t="s">
        <v>3798</v>
      </c>
    </row>
    <row r="6" spans="1:11">
      <c r="A6" s="2" t="s">
        <v>4087</v>
      </c>
      <c r="B6" s="1" t="str">
        <f>VLOOKUP(A6,'CODE NOTE'!A:B,2,0)</f>
        <v>I100017</v>
      </c>
      <c r="C6" s="1"/>
      <c r="D6" s="1" t="str">
        <f>VLOOKUP(A6,'CODE NOTE'!A:C,3,0)</f>
        <v>Bí nụ</v>
      </c>
      <c r="E6" s="1" t="str">
        <f>VLOOKUP(A6,'CODE NOTE'!D:E,2,0)</f>
        <v>kg</v>
      </c>
      <c r="F6" s="90">
        <v>1</v>
      </c>
      <c r="G6" s="90"/>
      <c r="H6" s="13" t="str">
        <f>VLOOKUP(A6,'CODE NOTE'!D:F,3,0)</f>
        <v>0.03-0.05kg/quả</v>
      </c>
      <c r="I6" s="106"/>
      <c r="J6" s="93" t="s">
        <v>3799</v>
      </c>
      <c r="K6" t="s">
        <v>3800</v>
      </c>
    </row>
    <row r="7" spans="1:11">
      <c r="A7" s="2" t="s">
        <v>4128</v>
      </c>
      <c r="B7" s="1" t="str">
        <f>VLOOKUP(A7,'CODE NOTE'!A:B,2,0)</f>
        <v>I100023</v>
      </c>
      <c r="C7" s="1"/>
      <c r="D7" s="1" t="str">
        <f>VLOOKUP(A7,'CODE NOTE'!A:C,3,0)</f>
        <v>Bông cải trắng ĐaLat</v>
      </c>
      <c r="E7" s="1" t="str">
        <f>VLOOKUP(A7,'CODE NOTE'!D:E,2,0)</f>
        <v>Kg</v>
      </c>
      <c r="F7" s="90">
        <v>0.5</v>
      </c>
      <c r="G7" s="90"/>
      <c r="H7" s="13" t="str">
        <f>VLOOKUP(A7,'CODE NOTE'!D:F,3,0)</f>
        <v>0.6kg/bông</v>
      </c>
      <c r="I7" s="106"/>
      <c r="J7" s="93" t="s">
        <v>258</v>
      </c>
      <c r="K7" t="s">
        <v>3795</v>
      </c>
    </row>
    <row r="8" spans="1:11">
      <c r="A8" s="2" t="s">
        <v>4129</v>
      </c>
      <c r="B8" s="1" t="str">
        <f>VLOOKUP(A8,'CODE NOTE'!A:B,2,0)</f>
        <v>I100026</v>
      </c>
      <c r="C8" s="1"/>
      <c r="D8" s="1" t="str">
        <f>VLOOKUP(A8,'CODE NOTE'!A:C,3,0)</f>
        <v>Bông cải xanh ĐaLat</v>
      </c>
      <c r="E8" s="1" t="str">
        <f>VLOOKUP(A8,'CODE NOTE'!D:E,2,0)</f>
        <v>Kg</v>
      </c>
      <c r="F8" s="90">
        <v>0.5</v>
      </c>
      <c r="G8" s="90"/>
      <c r="H8" s="13" t="str">
        <f>VLOOKUP(A8,'CODE NOTE'!D:F,3,0)</f>
        <v>0.5kg/bông</v>
      </c>
      <c r="I8" s="106"/>
      <c r="J8" s="93" t="s">
        <v>3814</v>
      </c>
    </row>
    <row r="9" spans="1:11">
      <c r="A9" s="2" t="s">
        <v>4097</v>
      </c>
      <c r="B9" s="1" t="str">
        <f>VLOOKUP(A9,'CODE NOTE'!A:B,2,0)</f>
        <v>I100027</v>
      </c>
      <c r="C9" s="1"/>
      <c r="D9" s="1" t="str">
        <f>VLOOKUP(A9,'CODE NOTE'!A:C,3,0)</f>
        <v>Bông điên điển</v>
      </c>
      <c r="E9" s="1" t="str">
        <f>VLOOKUP(A9,'CODE NOTE'!D:E,2,0)</f>
        <v>Kg</v>
      </c>
      <c r="F9" s="90">
        <v>0.3</v>
      </c>
      <c r="G9" s="90"/>
      <c r="H9" s="13">
        <f>VLOOKUP(A9,'CODE NOTE'!D:F,3,0)</f>
        <v>0</v>
      </c>
      <c r="I9" s="106"/>
      <c r="J9" s="93" t="s">
        <v>350</v>
      </c>
      <c r="K9" t="s">
        <v>3825</v>
      </c>
    </row>
    <row r="10" spans="1:11" ht="15.6" customHeight="1">
      <c r="A10" s="2" t="s">
        <v>4130</v>
      </c>
      <c r="B10" s="1" t="str">
        <f>VLOOKUP(A10,'CODE NOTE'!A:B,2,0)</f>
        <v>I100032</v>
      </c>
      <c r="C10" s="1"/>
      <c r="D10" s="1" t="str">
        <f>VLOOKUP(A10,'CODE NOTE'!A:C,3,0)</f>
        <v>Bông thiên lý</v>
      </c>
      <c r="E10" s="1" t="str">
        <f>VLOOKUP(A10,'CODE NOTE'!D:E,2,0)</f>
        <v>Kg</v>
      </c>
      <c r="F10" s="90">
        <v>0.3</v>
      </c>
      <c r="G10" s="90"/>
      <c r="H10" s="13">
        <f>VLOOKUP(A10,'CODE NOTE'!D:F,3,0)</f>
        <v>0</v>
      </c>
      <c r="I10" s="106"/>
      <c r="J10" s="93" t="s">
        <v>3824</v>
      </c>
      <c r="K10" t="s">
        <v>3831</v>
      </c>
    </row>
    <row r="11" spans="1:11">
      <c r="A11" s="2" t="s">
        <v>4085</v>
      </c>
      <c r="B11" s="1" t="str">
        <f>VLOOKUP(A11,'CODE NOTE'!A:B,2,0)</f>
        <v>I100034</v>
      </c>
      <c r="C11" s="1"/>
      <c r="D11" s="1" t="str">
        <f>VLOOKUP(A11,'CODE NOTE'!A:C,3,0)</f>
        <v>Cà chua</v>
      </c>
      <c r="E11" s="1" t="str">
        <f>VLOOKUP(A11,'CODE NOTE'!D:E,2,0)</f>
        <v>Kg</v>
      </c>
      <c r="F11" s="90">
        <v>2</v>
      </c>
      <c r="G11" s="90"/>
      <c r="H11" s="13" t="str">
        <f>VLOOKUP(A11,'CODE NOTE'!D:F,3,0)</f>
        <v>0.06-0.08kg/trái</v>
      </c>
      <c r="I11" s="106"/>
      <c r="J11" s="93" t="s">
        <v>274</v>
      </c>
      <c r="K11" t="s">
        <v>3827</v>
      </c>
    </row>
    <row r="12" spans="1:11" ht="14.4" customHeight="1">
      <c r="A12" s="2" t="s">
        <v>4090</v>
      </c>
      <c r="B12" s="1" t="str">
        <f>VLOOKUP(A12,'CODE NOTE'!A:B,2,0)</f>
        <v>I100039</v>
      </c>
      <c r="C12" s="1"/>
      <c r="D12" s="1" t="str">
        <f>VLOOKUP(A12,'CODE NOTE'!A:C,3,0)</f>
        <v>Cà rốt</v>
      </c>
      <c r="E12" s="1" t="str">
        <f>VLOOKUP(A12,'CODE NOTE'!D:E,2,0)</f>
        <v>Kg</v>
      </c>
      <c r="F12" s="90">
        <v>3</v>
      </c>
      <c r="G12" s="90"/>
      <c r="H12" s="13" t="str">
        <f>VLOOKUP(A12,'CODE NOTE'!D:F,3,0)</f>
        <v>0.15-0.25kg/trái</v>
      </c>
      <c r="I12" s="106"/>
      <c r="J12" s="93" t="s">
        <v>778</v>
      </c>
      <c r="K12" t="s">
        <v>3828</v>
      </c>
    </row>
    <row r="13" spans="1:11">
      <c r="A13" s="2" t="s">
        <v>4121</v>
      </c>
      <c r="B13" s="1" t="str">
        <f>VLOOKUP(A13,'CODE NOTE'!A:B,2,0)</f>
        <v>I100045</v>
      </c>
      <c r="C13" s="1"/>
      <c r="D13" s="1" t="str">
        <f>VLOOKUP(A13,'CODE NOTE'!A:C,3,0)</f>
        <v>Cải Hongkong(Cai ngong)</v>
      </c>
      <c r="E13" s="1" t="str">
        <f>VLOOKUP(A13,'CODE NOTE'!D:E,2,0)</f>
        <v>Kg</v>
      </c>
      <c r="F13" s="90">
        <v>1</v>
      </c>
      <c r="G13" s="90"/>
      <c r="H13" s="13">
        <f>VLOOKUP(A13,'CODE NOTE'!D:F,3,0)</f>
        <v>0</v>
      </c>
      <c r="I13" s="106"/>
      <c r="J13" s="93" t="s">
        <v>813</v>
      </c>
      <c r="K13" t="s">
        <v>3832</v>
      </c>
    </row>
    <row r="14" spans="1:11">
      <c r="A14" s="2" t="s">
        <v>3365</v>
      </c>
      <c r="B14" s="1" t="str">
        <f>VLOOKUP(A14,'CODE NOTE'!A:B,2,0)</f>
        <v>I100051</v>
      </c>
      <c r="C14" s="1"/>
      <c r="D14" s="1" t="str">
        <f>VLOOKUP(A14,'CODE NOTE'!A:C,3,0)</f>
        <v>Cải thảo</v>
      </c>
      <c r="E14" s="1" t="str">
        <f>VLOOKUP(A14,'CODE NOTE'!D:E,2,0)</f>
        <v>Kg</v>
      </c>
      <c r="F14" s="90">
        <v>3</v>
      </c>
      <c r="G14" s="90"/>
      <c r="H14" s="13" t="str">
        <f>VLOOKUP(A14,'CODE NOTE'!D:F,3,0)</f>
        <v>1 trái = 1 kí (0.5-1kg/bắp)</v>
      </c>
      <c r="I14" s="106"/>
      <c r="J14" s="93" t="s">
        <v>2356</v>
      </c>
    </row>
    <row r="15" spans="1:11">
      <c r="A15" s="2" t="s">
        <v>4089</v>
      </c>
      <c r="B15" s="1" t="str">
        <f>VLOOKUP(A15,'CODE NOTE'!A:B,2,0)</f>
        <v>I100052</v>
      </c>
      <c r="C15" s="1"/>
      <c r="D15" s="1" t="str">
        <f>VLOOKUP(A15,'CODE NOTE'!A:C,3,0)</f>
        <v>Cải thìa</v>
      </c>
      <c r="E15" s="1" t="str">
        <f>VLOOKUP(A15,'CODE NOTE'!D:E,2,0)</f>
        <v>Kg</v>
      </c>
      <c r="F15" s="90">
        <v>2</v>
      </c>
      <c r="G15" s="90"/>
      <c r="H15" s="13" t="str">
        <f>VLOOKUP(A15,'CODE NOTE'!D:F,3,0)</f>
        <v>0.05-0.07kg/cây</v>
      </c>
      <c r="I15" s="106"/>
      <c r="J15" s="93" t="s">
        <v>2412</v>
      </c>
      <c r="K15" t="s">
        <v>2844</v>
      </c>
    </row>
    <row r="16" spans="1:11">
      <c r="A16" s="2" t="s">
        <v>4106</v>
      </c>
      <c r="B16" s="1" t="str">
        <f>VLOOKUP(A16,'CODE NOTE'!A:B,2,0)</f>
        <v>I100056</v>
      </c>
      <c r="C16" s="1"/>
      <c r="D16" s="1" t="str">
        <f>VLOOKUP(A16,'CODE NOTE'!A:C,3,0)</f>
        <v>Cần tàu</v>
      </c>
      <c r="E16" s="1" t="str">
        <f>VLOOKUP(A16,'CODE NOTE'!D:E,2,0)</f>
        <v>Kg</v>
      </c>
      <c r="F16" s="90">
        <v>0.3</v>
      </c>
      <c r="G16" s="90"/>
      <c r="H16" s="13" t="str">
        <f>VLOOKUP(A16,'CODE NOTE'!D:F,3,0)</f>
        <v>0.3kg/gói</v>
      </c>
      <c r="I16" s="106"/>
    </row>
    <row r="17" spans="1:12">
      <c r="A17" s="2" t="s">
        <v>4131</v>
      </c>
      <c r="B17" s="1" t="str">
        <f>VLOOKUP(A17,'CODE NOTE'!A:B,2,0)</f>
        <v>I100068</v>
      </c>
      <c r="C17" s="1"/>
      <c r="D17" s="1" t="str">
        <f>VLOOKUP(A17,'CODE NOTE'!A:C,3,0)</f>
        <v>Củ dền lớn</v>
      </c>
      <c r="E17" s="1" t="str">
        <f>VLOOKUP(A17,'CODE NOTE'!D:E,2,0)</f>
        <v>Kg</v>
      </c>
      <c r="F17" s="90">
        <v>1</v>
      </c>
      <c r="G17" s="90"/>
      <c r="H17" s="13">
        <f>VLOOKUP(A17,'CODE NOTE'!D:F,3,0)</f>
        <v>0</v>
      </c>
      <c r="I17" s="106"/>
    </row>
    <row r="18" spans="1:12">
      <c r="A18" s="2" t="s">
        <v>4109</v>
      </c>
      <c r="B18" s="1" t="str">
        <f>VLOOKUP(A18,'CODE NOTE'!A:B,2,0)</f>
        <v>I100097</v>
      </c>
      <c r="C18" s="1"/>
      <c r="D18" s="1" t="str">
        <f>VLOOKUP(A18,'CODE NOTE'!A:C,3,0)</f>
        <v>Củ Gừng</v>
      </c>
      <c r="E18" s="1" t="str">
        <f>VLOOKUP(A18,'CODE NOTE'!D:E,2,0)</f>
        <v>Kg</v>
      </c>
      <c r="F18" s="90">
        <v>0.5</v>
      </c>
      <c r="G18" s="90"/>
      <c r="H18" s="13" t="str">
        <f>VLOOKUP(A18,'CODE NOTE'!D:F,3,0)</f>
        <v>0.1-0.2kg/củ</v>
      </c>
      <c r="I18" s="106"/>
    </row>
    <row r="19" spans="1:12">
      <c r="A19" s="2" t="s">
        <v>4132</v>
      </c>
      <c r="B19" s="1" t="str">
        <f>VLOOKUP(A19,'CODE NOTE'!A:B,2,0)</f>
        <v>I100076</v>
      </c>
      <c r="C19" s="1"/>
      <c r="D19" s="1" t="str">
        <f>VLOOKUP(A19,'CODE NOTE'!A:C,3,0)</f>
        <v>Đậu bo tươi</v>
      </c>
      <c r="E19" s="1" t="str">
        <f>VLOOKUP(A19,'CODE NOTE'!D:E,2,0)</f>
        <v>Kg</v>
      </c>
      <c r="F19" s="90">
        <v>0.5</v>
      </c>
      <c r="G19" s="90"/>
      <c r="H19" s="13">
        <f>VLOOKUP(A19,'CODE NOTE'!D:F,3,0)</f>
        <v>0</v>
      </c>
      <c r="I19" s="106"/>
      <c r="J19" s="98" t="s">
        <v>3829</v>
      </c>
      <c r="K19" s="99"/>
    </row>
    <row r="20" spans="1:12">
      <c r="A20" s="2" t="s">
        <v>4114</v>
      </c>
      <c r="B20" s="1" t="str">
        <f>VLOOKUP(A20,'CODE NOTE'!A:B,2,0)</f>
        <v>I100077</v>
      </c>
      <c r="C20" s="1"/>
      <c r="D20" s="1" t="str">
        <f>VLOOKUP(A20,'CODE NOTE'!A:C,3,0)</f>
        <v>Đậu cove Pháp (Nhật)</v>
      </c>
      <c r="E20" s="1" t="str">
        <f>VLOOKUP(A20,'CODE NOTE'!D:E,2,0)</f>
        <v>Kg</v>
      </c>
      <c r="F20" s="90">
        <v>0.3</v>
      </c>
      <c r="G20" s="90"/>
      <c r="H20" s="13">
        <f>VLOOKUP(A20,'CODE NOTE'!D:F,3,0)</f>
        <v>0</v>
      </c>
      <c r="I20" s="106"/>
    </row>
    <row r="21" spans="1:12">
      <c r="A21" s="2" t="s">
        <v>4093</v>
      </c>
      <c r="B21" s="1" t="str">
        <f>VLOOKUP(A21,'CODE NOTE'!A:B,2,0)</f>
        <v>I100085</v>
      </c>
      <c r="C21" s="1"/>
      <c r="D21" s="1" t="str">
        <f>VLOOKUP(A21,'CODE NOTE'!A:C,3,0)</f>
        <v>Đọt rau lang</v>
      </c>
      <c r="E21" s="1" t="str">
        <f>VLOOKUP(A21,'CODE NOTE'!D:E,2,0)</f>
        <v>Kg</v>
      </c>
      <c r="F21" s="90">
        <v>1</v>
      </c>
      <c r="G21" s="90"/>
      <c r="H21" s="13" t="str">
        <f>VLOOKUP(A21,'CODE NOTE'!D:F,3,0)</f>
        <v>Mua dư 1kg - Nguyên</v>
      </c>
      <c r="I21" s="106"/>
    </row>
    <row r="22" spans="1:12">
      <c r="A22" s="2" t="s">
        <v>4099</v>
      </c>
      <c r="B22" s="1" t="str">
        <f>VLOOKUP(A22,'CODE NOTE'!A:B,2,0)</f>
        <v>I100088</v>
      </c>
      <c r="C22" s="1"/>
      <c r="D22" s="1" t="str">
        <f>VLOOKUP(A22,'CODE NOTE'!A:C,3,0)</f>
        <v>Đu đủ trái xanh</v>
      </c>
      <c r="E22" s="1" t="str">
        <f>VLOOKUP(A22,'CODE NOTE'!D:E,2,0)</f>
        <v>Kg</v>
      </c>
      <c r="F22" s="90">
        <v>1</v>
      </c>
      <c r="G22" s="90"/>
      <c r="H22" s="13" t="str">
        <f>VLOOKUP(A22,'CODE NOTE'!D:F,3,0)</f>
        <v>0.5-1kg/trái</v>
      </c>
      <c r="I22" s="106"/>
    </row>
    <row r="23" spans="1:12">
      <c r="A23" s="2" t="s">
        <v>4102</v>
      </c>
      <c r="B23" s="1" t="str">
        <f>VLOOKUP(A23,'CODE NOTE'!A:B,2,0)</f>
        <v>I100089</v>
      </c>
      <c r="C23" s="1"/>
      <c r="D23" s="1" t="str">
        <f>VLOOKUP(A23,'CODE NOTE'!A:C,3,0)</f>
        <v>Dưa leo</v>
      </c>
      <c r="E23" s="1" t="str">
        <f>VLOOKUP(A23,'CODE NOTE'!D:E,2,0)</f>
        <v>Kg</v>
      </c>
      <c r="F23" s="90">
        <v>2</v>
      </c>
      <c r="H23" s="13" t="str">
        <f>VLOOKUP(A23,'CODE NOTE'!D:F,3,0)</f>
        <v>0.15-0.2kg/trái</v>
      </c>
      <c r="I23" s="106"/>
    </row>
    <row r="24" spans="1:12">
      <c r="A24" s="2" t="s">
        <v>4098</v>
      </c>
      <c r="B24" s="1" t="str">
        <f>VLOOKUP(A24,'CODE NOTE'!A:B,2,0)</f>
        <v>I100094</v>
      </c>
      <c r="C24" s="1"/>
      <c r="D24" s="1" t="str">
        <f>VLOOKUP(A24,'CODE NOTE'!A:C,3,0)</f>
        <v>Giá tươi</v>
      </c>
      <c r="E24" s="1" t="str">
        <f>VLOOKUP(A24,'CODE NOTE'!D:E,2,0)</f>
        <v>Kg</v>
      </c>
      <c r="F24" s="90">
        <v>2</v>
      </c>
      <c r="H24" s="13" t="str">
        <f>VLOOKUP(A24,'CODE NOTE'!D:F,3,0)</f>
        <v>Gom với giá lặt, lặt 2 đầu</v>
      </c>
      <c r="I24" s="106"/>
    </row>
    <row r="25" spans="1:12">
      <c r="A25" s="2" t="s">
        <v>4133</v>
      </c>
      <c r="B25" s="1" t="str">
        <f>VLOOKUP(A25,'CODE NOTE'!A:B,2,0)</f>
        <v>I100110</v>
      </c>
      <c r="C25" s="1"/>
      <c r="D25" s="1" t="str">
        <f>VLOOKUP(A25,'CODE NOTE'!A:C,3,0)</f>
        <v>Hạt sen tươi</v>
      </c>
      <c r="E25" s="1" t="str">
        <f>VLOOKUP(A25,'CODE NOTE'!D:E,2,0)</f>
        <v>Kg</v>
      </c>
      <c r="F25" s="91">
        <v>0.5</v>
      </c>
      <c r="H25" s="13">
        <f>VLOOKUP(A25,'CODE NOTE'!D:F,3,0)</f>
        <v>0</v>
      </c>
      <c r="I25" s="106"/>
    </row>
    <row r="26" spans="1:12">
      <c r="A26" s="2" t="s">
        <v>4095</v>
      </c>
      <c r="B26" s="1" t="str">
        <f>VLOOKUP(A26,'CODE NOTE'!A:B,2,0)</f>
        <v>I100112</v>
      </c>
      <c r="C26" s="1"/>
      <c r="D26" s="1" t="str">
        <f>VLOOKUP(A26,'CODE NOTE'!A:C,3,0)</f>
        <v>Húng cây</v>
      </c>
      <c r="E26" s="1" t="str">
        <f>VLOOKUP(A26,'CODE NOTE'!D:E,2,0)</f>
        <v>Kg</v>
      </c>
      <c r="F26" s="91">
        <v>0.3</v>
      </c>
      <c r="H26" s="13">
        <f>VLOOKUP(A26,'CODE NOTE'!D:F,3,0)</f>
        <v>0</v>
      </c>
      <c r="I26" s="106"/>
    </row>
    <row r="27" spans="1:12" ht="14.4" customHeight="1">
      <c r="A27" s="2" t="s">
        <v>4120</v>
      </c>
      <c r="B27" s="1" t="str">
        <f>VLOOKUP(A27,'CODE NOTE'!A:B,2,0)</f>
        <v>I100113</v>
      </c>
      <c r="C27" s="1"/>
      <c r="D27" s="1" t="str">
        <f>VLOOKUP(A27,'CODE NOTE'!A:C,3,0)</f>
        <v>Húng lũi</v>
      </c>
      <c r="E27" s="1" t="str">
        <f>VLOOKUP(A27,'CODE NOTE'!D:E,2,0)</f>
        <v>Kg</v>
      </c>
      <c r="F27" s="91">
        <v>0.2</v>
      </c>
      <c r="H27" s="13">
        <f>VLOOKUP(A27,'CODE NOTE'!D:F,3,0)</f>
        <v>0</v>
      </c>
      <c r="I27" s="106"/>
    </row>
    <row r="28" spans="1:12">
      <c r="A28" s="2" t="s">
        <v>4096</v>
      </c>
      <c r="B28" s="1" t="str">
        <f>VLOOKUP(A28,'CODE NOTE'!A:B,2,0)</f>
        <v>I100114</v>
      </c>
      <c r="C28" s="1"/>
      <c r="D28" s="1" t="str">
        <f>VLOOKUP(A28,'CODE NOTE'!A:C,3,0)</f>
        <v>Húng quế</v>
      </c>
      <c r="E28" s="1" t="str">
        <f>VLOOKUP(A28,'CODE NOTE'!D:E,2,0)</f>
        <v>Kg</v>
      </c>
      <c r="F28" s="91">
        <v>0.3</v>
      </c>
      <c r="H28" s="13">
        <f>VLOOKUP(A28,'CODE NOTE'!D:F,3,0)</f>
        <v>0</v>
      </c>
      <c r="I28" s="106"/>
      <c r="J28" s="15" t="s">
        <v>3006</v>
      </c>
      <c r="K28" s="14" t="s">
        <v>3067</v>
      </c>
      <c r="L28" s="14" t="s">
        <v>1511</v>
      </c>
    </row>
    <row r="29" spans="1:12">
      <c r="A29" s="2" t="s">
        <v>4110</v>
      </c>
      <c r="B29" s="1" t="str">
        <f>VLOOKUP(A29,'CODE NOTE'!A:B,2,0)</f>
        <v>I100116</v>
      </c>
      <c r="C29" s="1"/>
      <c r="D29" s="1" t="str">
        <f>VLOOKUP(A29,'CODE NOTE'!A:C,3,0)</f>
        <v>Khế xanh</v>
      </c>
      <c r="E29" s="1" t="str">
        <f>VLOOKUP(A29,'CODE NOTE'!D:E,2,0)</f>
        <v>Kg</v>
      </c>
      <c r="F29" s="91">
        <v>0.5</v>
      </c>
      <c r="H29" s="13" t="str">
        <f>VLOOKUP(A29,'CODE NOTE'!D:F,3,0)</f>
        <v>0..06-0.08kg/trái</v>
      </c>
      <c r="I29" s="106"/>
      <c r="J29" s="15" t="s">
        <v>2990</v>
      </c>
      <c r="K29" s="14" t="s">
        <v>2903</v>
      </c>
      <c r="L29" s="14" t="s">
        <v>568</v>
      </c>
    </row>
    <row r="30" spans="1:12">
      <c r="A30" s="2" t="s">
        <v>4134</v>
      </c>
      <c r="B30" s="1" t="str">
        <f>VLOOKUP(A30,'CODE NOTE'!A:B,2,0)</f>
        <v>I100141</v>
      </c>
      <c r="C30" s="1"/>
      <c r="D30" s="1" t="str">
        <f>VLOOKUP(A30,'CODE NOTE'!A:C,3,0)</f>
        <v>Lá sen tươi</v>
      </c>
      <c r="E30" s="1" t="str">
        <f>VLOOKUP(A30,'CODE NOTE'!D:E,2,0)</f>
        <v>Lá</v>
      </c>
      <c r="F30" s="91">
        <v>10</v>
      </c>
      <c r="H30" s="13">
        <f>VLOOKUP(A30,'CODE NOTE'!D:F,3,0)</f>
        <v>0</v>
      </c>
      <c r="I30" s="106"/>
      <c r="J30" s="15" t="s">
        <v>3008</v>
      </c>
      <c r="K30" s="14" t="s">
        <v>1438</v>
      </c>
      <c r="L30" s="14" t="s">
        <v>1436</v>
      </c>
    </row>
    <row r="31" spans="1:12" ht="14.4" customHeight="1">
      <c r="A31" s="2" t="s">
        <v>4135</v>
      </c>
      <c r="B31" s="1" t="str">
        <f>VLOOKUP(A31,'CODE NOTE'!A:B,2,0)</f>
        <v>I100242</v>
      </c>
      <c r="C31" s="1"/>
      <c r="D31" s="1" t="str">
        <f>VLOOKUP(A31,'CODE NOTE'!A:C,3,0)</f>
        <v>Nấm linh chi trắng</v>
      </c>
      <c r="E31" s="1" t="str">
        <f>VLOOKUP(A31,'CODE NOTE'!D:E,2,0)</f>
        <v>Hộp</v>
      </c>
      <c r="F31" s="91">
        <v>15</v>
      </c>
      <c r="H31" s="13" t="str">
        <f>VLOOKUP(A31,'CODE NOTE'!D:F,3,0)</f>
        <v>0.125kg/hộp</v>
      </c>
      <c r="I31" s="106"/>
      <c r="J31" s="15" t="s">
        <v>3013</v>
      </c>
      <c r="K31" s="14" t="s">
        <v>3069</v>
      </c>
      <c r="L31" s="14" t="s">
        <v>500</v>
      </c>
    </row>
    <row r="32" spans="1:12">
      <c r="A32" s="2" t="s">
        <v>3694</v>
      </c>
      <c r="B32" s="1" t="str">
        <f>VLOOKUP(A32,'CODE NOTE'!A:B,2,0)</f>
        <v>I100241</v>
      </c>
      <c r="C32" s="1"/>
      <c r="D32" s="1" t="str">
        <f>VLOOKUP(A32,'CODE NOTE'!A:C,3,0)</f>
        <v>Nấm linh chi đen</v>
      </c>
      <c r="E32" s="1" t="str">
        <f>VLOOKUP(A32,'CODE NOTE'!D:E,2,0)</f>
        <v>Hộp</v>
      </c>
      <c r="F32" s="91">
        <v>15</v>
      </c>
      <c r="H32" s="13" t="str">
        <f>VLOOKUP(A32,'CODE NOTE'!D:F,3,0)</f>
        <v>0.125kg/hộp</v>
      </c>
      <c r="I32" s="106"/>
      <c r="J32" s="15" t="s">
        <v>3124</v>
      </c>
      <c r="K32" s="14" t="s">
        <v>3125</v>
      </c>
      <c r="L32" s="14" t="s">
        <v>396</v>
      </c>
    </row>
    <row r="33" spans="1:12" ht="14.4" customHeight="1">
      <c r="A33" s="2" t="s">
        <v>4108</v>
      </c>
      <c r="B33" s="1" t="str">
        <f>VLOOKUP(A33,'CODE NOTE'!A:B,2,0)</f>
        <v>I100164</v>
      </c>
      <c r="C33" s="1"/>
      <c r="D33" s="1" t="str">
        <f>VLOOKUP(A33,'CODE NOTE'!A:C,3,0)</f>
        <v>Ớt đà lạt ( đỏ )</v>
      </c>
      <c r="E33" s="1" t="str">
        <f>VLOOKUP(A33,'CODE NOTE'!D:E,2,0)</f>
        <v>Kg</v>
      </c>
      <c r="F33" s="91">
        <v>0.5</v>
      </c>
      <c r="H33" s="13" t="str">
        <f>VLOOKUP(A33,'CODE NOTE'!D:F,3,0)</f>
        <v>250g/trái</v>
      </c>
      <c r="I33" s="106"/>
      <c r="J33" s="15" t="s">
        <v>3005</v>
      </c>
      <c r="K33" s="14" t="s">
        <v>131</v>
      </c>
      <c r="L33" s="14" t="s">
        <v>614</v>
      </c>
    </row>
    <row r="34" spans="1:12">
      <c r="A34" s="2" t="s">
        <v>4126</v>
      </c>
      <c r="B34" s="1" t="str">
        <f>VLOOKUP(A34,'CODE NOTE'!A:B,2,0)</f>
        <v>I100165</v>
      </c>
      <c r="C34" s="1"/>
      <c r="D34" s="1" t="str">
        <f>VLOOKUP(A34,'CODE NOTE'!A:C,3,0)</f>
        <v>Ớt đà lạt ( vàng )</v>
      </c>
      <c r="E34" s="1" t="str">
        <f>VLOOKUP(A34,'CODE NOTE'!D:E,2,0)</f>
        <v>Kg</v>
      </c>
      <c r="F34" s="91">
        <v>0.5</v>
      </c>
      <c r="H34" s="13" t="str">
        <f>VLOOKUP(A34,'CODE NOTE'!D:F,3,0)</f>
        <v>250g/trái</v>
      </c>
      <c r="I34" s="106"/>
      <c r="J34" s="15" t="s">
        <v>3004</v>
      </c>
      <c r="K34" s="14" t="s">
        <v>129</v>
      </c>
      <c r="L34" s="14" t="s">
        <v>613</v>
      </c>
    </row>
    <row r="35" spans="1:12" ht="14.4" customHeight="1">
      <c r="A35" s="2" t="s">
        <v>4107</v>
      </c>
      <c r="B35" s="1" t="str">
        <f>VLOOKUP(A35,'CODE NOTE'!A:B,2,0)</f>
        <v>I100166</v>
      </c>
      <c r="C35" s="1"/>
      <c r="D35" s="1" t="str">
        <f>VLOOKUP(A35,'CODE NOTE'!A:C,3,0)</f>
        <v>Ớt đà lạt ( xanh )</v>
      </c>
      <c r="E35" s="1" t="str">
        <f>VLOOKUP(A35,'CODE NOTE'!D:E,2,0)</f>
        <v>Kg</v>
      </c>
      <c r="F35" s="91">
        <v>0.5</v>
      </c>
      <c r="H35" s="13" t="str">
        <f>VLOOKUP(A35,'CODE NOTE'!D:F,3,0)</f>
        <v>250g/trái</v>
      </c>
      <c r="I35" s="106"/>
      <c r="J35" s="15" t="s">
        <v>3087</v>
      </c>
      <c r="K35" s="14" t="s">
        <v>366</v>
      </c>
      <c r="L35" s="14" t="s">
        <v>364</v>
      </c>
    </row>
    <row r="36" spans="1:12">
      <c r="A36" s="2" t="s">
        <v>4092</v>
      </c>
      <c r="B36" s="1" t="str">
        <f>VLOOKUP(A36,'CODE NOTE'!A:B,2,0)</f>
        <v>I100170</v>
      </c>
      <c r="C36" s="1"/>
      <c r="D36" s="1" t="str">
        <f>VLOOKUP(A36,'CODE NOTE'!A:C,3,0)</f>
        <v>Ớt sừng đỏ</v>
      </c>
      <c r="E36" s="1" t="str">
        <f>VLOOKUP(A36,'CODE NOTE'!D:E,2,0)</f>
        <v>Kg</v>
      </c>
      <c r="F36" s="91">
        <v>0.5</v>
      </c>
      <c r="H36" s="13" t="str">
        <f>VLOOKUP(A36,'CODE NOTE'!D:F,3,0)</f>
        <v>0.2kg/gói, 0.025kg/trái</v>
      </c>
      <c r="I36" s="106"/>
      <c r="J36" s="15" t="s">
        <v>3011</v>
      </c>
      <c r="K36" s="14" t="s">
        <v>16</v>
      </c>
      <c r="L36" s="14" t="s">
        <v>300</v>
      </c>
    </row>
    <row r="37" spans="1:12">
      <c r="A37" s="2" t="s">
        <v>4094</v>
      </c>
      <c r="B37" s="1" t="str">
        <f>VLOOKUP(A37,'CODE NOTE'!A:B,2,0)</f>
        <v>I100180</v>
      </c>
      <c r="C37" s="1"/>
      <c r="D37" s="1" t="str">
        <f>VLOOKUP(A37,'CODE NOTE'!A:C,3,0)</f>
        <v>Rau diếp cá</v>
      </c>
      <c r="E37" s="1" t="str">
        <f>VLOOKUP(A37,'CODE NOTE'!D:E,2,0)</f>
        <v>Kg</v>
      </c>
      <c r="F37" s="91">
        <v>0.3</v>
      </c>
      <c r="H37" s="13">
        <f>VLOOKUP(A37,'CODE NOTE'!D:F,3,0)</f>
        <v>0</v>
      </c>
      <c r="I37" s="106"/>
      <c r="J37" s="15" t="s">
        <v>2994</v>
      </c>
      <c r="K37" s="14" t="s">
        <v>3063</v>
      </c>
      <c r="L37" s="14" t="s">
        <v>694</v>
      </c>
    </row>
    <row r="38" spans="1:12">
      <c r="A38" s="2" t="s">
        <v>4101</v>
      </c>
      <c r="B38" s="1" t="str">
        <f>VLOOKUP(A38,'CODE NOTE'!A:B,2,0)</f>
        <v>I100181</v>
      </c>
      <c r="C38" s="1"/>
      <c r="D38" s="1" t="str">
        <f>VLOOKUP(A38,'CODE NOTE'!A:C,3,0)</f>
        <v>Rau kinh giới</v>
      </c>
      <c r="E38" s="1" t="str">
        <f>VLOOKUP(A38,'CODE NOTE'!D:E,2,0)</f>
        <v>Kg</v>
      </c>
      <c r="F38" s="91">
        <v>0.5</v>
      </c>
      <c r="H38" s="13">
        <f>VLOOKUP(A38,'CODE NOTE'!D:F,3,0)</f>
        <v>0</v>
      </c>
      <c r="I38" s="106"/>
      <c r="J38" s="15" t="s">
        <v>1823</v>
      </c>
      <c r="K38" s="14"/>
      <c r="L38" s="14"/>
    </row>
    <row r="39" spans="1:12" ht="14.4" customHeight="1">
      <c r="A39" s="2" t="s">
        <v>4091</v>
      </c>
      <c r="B39" s="1" t="str">
        <f>VLOOKUP(A39,'CODE NOTE'!A:B,2,0)</f>
        <v>I100184</v>
      </c>
      <c r="C39" s="1"/>
      <c r="D39" s="1" t="str">
        <f>VLOOKUP(A39,'CODE NOTE'!A:C,3,0)</f>
        <v>Rau muống cọng</v>
      </c>
      <c r="E39" s="1" t="str">
        <f>VLOOKUP(A39,'CODE NOTE'!D:E,2,0)</f>
        <v>Kg</v>
      </c>
      <c r="F39" s="91">
        <v>1</v>
      </c>
      <c r="H39" s="13">
        <f>VLOOKUP(A39,'CODE NOTE'!D:F,3,0)</f>
        <v>0</v>
      </c>
      <c r="I39" s="106"/>
      <c r="J39" s="15" t="s">
        <v>3001</v>
      </c>
      <c r="K39" s="14" t="s">
        <v>3066</v>
      </c>
      <c r="L39" s="14" t="s">
        <v>610</v>
      </c>
    </row>
    <row r="40" spans="1:12">
      <c r="A40" s="2" t="s">
        <v>4105</v>
      </c>
      <c r="B40" s="1" t="str">
        <f>VLOOKUP(A40,'CODE NOTE'!A:B,2,0)</f>
        <v>I100194</v>
      </c>
      <c r="C40" s="1"/>
      <c r="D40" s="1" t="str">
        <f>VLOOKUP(A40,'CODE NOTE'!A:C,3,0)</f>
        <v>Rau tía tô</v>
      </c>
      <c r="E40" s="1" t="str">
        <f>VLOOKUP(A40,'CODE NOTE'!D:E,2,0)</f>
        <v>Kg</v>
      </c>
      <c r="F40" s="91">
        <v>0.5</v>
      </c>
      <c r="H40" s="13">
        <f>VLOOKUP(A40,'CODE NOTE'!D:F,3,0)</f>
        <v>0</v>
      </c>
      <c r="I40" s="106"/>
      <c r="J40" s="15" t="s">
        <v>2998</v>
      </c>
      <c r="K40" s="14" t="s">
        <v>3065</v>
      </c>
      <c r="L40" s="14" t="s">
        <v>611</v>
      </c>
    </row>
    <row r="41" spans="1:12">
      <c r="A41" s="2" t="s">
        <v>4083</v>
      </c>
      <c r="B41" s="1" t="str">
        <f>VLOOKUP(A41,'CODE NOTE'!A:B,2,0)</f>
        <v>I100199</v>
      </c>
      <c r="C41" s="1"/>
      <c r="D41" s="1" t="str">
        <f>VLOOKUP(A41,'CODE NOTE'!A:C,3,0)</f>
        <v>Sả xay</v>
      </c>
      <c r="E41" s="1" t="str">
        <f>VLOOKUP(A41,'CODE NOTE'!D:E,2,0)</f>
        <v>Kg</v>
      </c>
      <c r="F41" s="91">
        <v>0.5</v>
      </c>
      <c r="H41" s="13" t="str">
        <f>VLOOKUP(A41,'CODE NOTE'!D:F,3,0)</f>
        <v>Vũ mua</v>
      </c>
      <c r="I41" s="106"/>
      <c r="J41" s="15" t="s">
        <v>341</v>
      </c>
      <c r="K41" s="14" t="s">
        <v>2896</v>
      </c>
      <c r="L41" s="14"/>
    </row>
    <row r="42" spans="1:12">
      <c r="A42" s="2" t="s">
        <v>4111</v>
      </c>
      <c r="B42" s="1" t="str">
        <f>VLOOKUP(A42,'CODE NOTE'!A:B,2,0)</f>
        <v>I100216</v>
      </c>
      <c r="C42" s="1"/>
      <c r="D42" s="1" t="str">
        <f>VLOOKUP(A42,'CODE NOTE'!A:C,3,0)</f>
        <v>Tắc trái</v>
      </c>
      <c r="E42" s="1" t="str">
        <f>VLOOKUP(A42,'CODE NOTE'!D:E,2,0)</f>
        <v>Kg</v>
      </c>
      <c r="F42" s="91">
        <v>1</v>
      </c>
      <c r="H42" s="13">
        <f>VLOOKUP(A42,'CODE NOTE'!D:F,3,0)</f>
        <v>0</v>
      </c>
      <c r="I42" s="106"/>
      <c r="J42" s="15" t="s">
        <v>3016</v>
      </c>
      <c r="K42" s="14" t="s">
        <v>20</v>
      </c>
      <c r="L42" s="14" t="s">
        <v>323</v>
      </c>
    </row>
    <row r="43" spans="1:12" ht="14.4" customHeight="1">
      <c r="A43" s="2" t="s">
        <v>4115</v>
      </c>
      <c r="B43" s="1" t="str">
        <f>VLOOKUP(A43,'CODE NOTE'!A:B,2,0)</f>
        <v>I100219</v>
      </c>
      <c r="C43" s="1"/>
      <c r="D43" s="1" t="str">
        <f>VLOOKUP(A43,'CODE NOTE'!A:C,3,0)</f>
        <v>Thì là</v>
      </c>
      <c r="E43" s="1" t="str">
        <f>VLOOKUP(A43,'CODE NOTE'!D:E,2,0)</f>
        <v>Kg</v>
      </c>
      <c r="F43" s="91">
        <v>0.3</v>
      </c>
      <c r="H43" s="13">
        <f>VLOOKUP(A43,'CODE NOTE'!D:F,3,0)</f>
        <v>0</v>
      </c>
      <c r="J43" s="15" t="s">
        <v>3010</v>
      </c>
      <c r="K43" s="14" t="s">
        <v>116</v>
      </c>
      <c r="L43" s="14" t="s">
        <v>594</v>
      </c>
    </row>
    <row r="44" spans="1:12">
      <c r="A44" s="2" t="s">
        <v>4136</v>
      </c>
      <c r="B44" s="1" t="str">
        <f>VLOOKUP(A44,'CODE NOTE'!A:B,2,0)</f>
        <v>I100221</v>
      </c>
      <c r="C44" s="1"/>
      <c r="D44" s="1" t="str">
        <f>VLOOKUP(A44,'CODE NOTE'!A:C,3,0)</f>
        <v>Thơm gọt</v>
      </c>
      <c r="E44" s="1" t="str">
        <f>VLOOKUP(A44,'CODE NOTE'!D:E,2,0)</f>
        <v>Trái</v>
      </c>
      <c r="F44" s="91">
        <v>1</v>
      </c>
      <c r="H44" s="13" t="str">
        <f>VLOOKUP(A44,'CODE NOTE'!D:F,3,0)</f>
        <v>(loại to 0.7kg/trái)</v>
      </c>
      <c r="J44" s="15" t="s">
        <v>2996</v>
      </c>
      <c r="K44" s="14" t="s">
        <v>3064</v>
      </c>
      <c r="L44" s="14" t="s">
        <v>258</v>
      </c>
    </row>
    <row r="45" spans="1:12">
      <c r="A45" s="2" t="s">
        <v>4112</v>
      </c>
      <c r="B45" s="1" t="str">
        <f>VLOOKUP(A45,'CODE NOTE'!A:B,2,0)</f>
        <v>I100232</v>
      </c>
      <c r="C45" s="1"/>
      <c r="D45" s="1" t="str">
        <f>VLOOKUP(A45,'CODE NOTE'!A:C,3,0)</f>
        <v>Tỏi xay</v>
      </c>
      <c r="E45" s="1" t="str">
        <f>VLOOKUP(A45,'CODE NOTE'!D:E,2,0)</f>
        <v>Kg</v>
      </c>
      <c r="F45" s="91">
        <v>0.5</v>
      </c>
      <c r="H45" s="13" t="str">
        <f>VLOOKUP(A45,'CODE NOTE'!D:F,3,0)</f>
        <v>bỏ xay</v>
      </c>
      <c r="J45" s="15" t="s">
        <v>2988</v>
      </c>
      <c r="K45" s="14" t="s">
        <v>64</v>
      </c>
      <c r="L45" s="14" t="s">
        <v>445</v>
      </c>
    </row>
    <row r="46" spans="1:12">
      <c r="A46" s="2" t="s">
        <v>4100</v>
      </c>
      <c r="B46" s="1" t="str">
        <f>VLOOKUP(A46,'CODE NOTE'!A:B,2,0)</f>
        <v>I100207</v>
      </c>
      <c r="C46" s="1"/>
      <c r="D46" s="1" t="str">
        <f>VLOOKUP(A46,'CODE NOTE'!A:C,3,0)</f>
        <v>Salad lolo xanh</v>
      </c>
      <c r="E46" s="1" t="str">
        <f>VLOOKUP(A46,'CODE NOTE'!D:E,2,0)</f>
        <v>Kg</v>
      </c>
      <c r="F46" s="91">
        <v>1</v>
      </c>
      <c r="H46" s="13">
        <f>VLOOKUP(A46,'CODE NOTE'!D:F,3,0)</f>
        <v>0</v>
      </c>
      <c r="J46" s="15" t="s">
        <v>2989</v>
      </c>
      <c r="K46" s="14" t="s">
        <v>3061</v>
      </c>
      <c r="L46" s="14" t="s">
        <v>1080</v>
      </c>
    </row>
    <row r="47" spans="1:12">
      <c r="A47" s="2" t="s">
        <v>4084</v>
      </c>
      <c r="B47" s="1" t="str">
        <f>VLOOKUP(A47,'CODE NOTE'!A:B,2,0)</f>
        <v>I100234</v>
      </c>
      <c r="C47" s="1"/>
      <c r="D47" s="1" t="str">
        <f>VLOOKUP(A47,'CODE NOTE'!A:C,3,0)</f>
        <v>Nấm bào ngư trắng</v>
      </c>
      <c r="E47" s="1" t="str">
        <f>VLOOKUP(A47,'CODE NOTE'!D:E,2,0)</f>
        <v>Kg</v>
      </c>
      <c r="F47" s="91">
        <v>2</v>
      </c>
      <c r="H47" s="13">
        <f>VLOOKUP(A47,'CODE NOTE'!D:F,3,0)</f>
        <v>0</v>
      </c>
      <c r="J47" s="15" t="s">
        <v>3084</v>
      </c>
      <c r="K47" s="14" t="s">
        <v>1529</v>
      </c>
      <c r="L47" s="14" t="s">
        <v>1527</v>
      </c>
    </row>
    <row r="48" spans="1:12">
      <c r="A48" s="2" t="s">
        <v>4118</v>
      </c>
      <c r="B48" s="1" t="str">
        <f>VLOOKUP(A48,'CODE NOTE'!A:B,2,0)</f>
        <v>I100235</v>
      </c>
      <c r="C48" s="1"/>
      <c r="D48" s="1" t="str">
        <f>VLOOKUP(A48,'CODE NOTE'!A:C,3,0)</f>
        <v>Nấm bào ngư xám</v>
      </c>
      <c r="E48" s="1" t="str">
        <f>VLOOKUP(A48,'CODE NOTE'!D:E,2,0)</f>
        <v>Kg</v>
      </c>
      <c r="F48" s="91">
        <v>2</v>
      </c>
      <c r="H48" s="13">
        <f>VLOOKUP(A48,'CODE NOTE'!D:F,3,0)</f>
        <v>0</v>
      </c>
      <c r="J48" s="15" t="s">
        <v>2997</v>
      </c>
      <c r="K48" s="14" t="s">
        <v>168</v>
      </c>
      <c r="L48" s="14" t="s">
        <v>759</v>
      </c>
    </row>
    <row r="49" spans="1:12">
      <c r="A49" s="2" t="s">
        <v>3686</v>
      </c>
      <c r="B49" s="1" t="str">
        <f>VLOOKUP(A49,'CODE NOTE'!A:B,2,0)</f>
        <v>I100237</v>
      </c>
      <c r="C49" s="1"/>
      <c r="D49" s="1" t="str">
        <f>VLOOKUP(A49,'CODE NOTE'!A:C,3,0)</f>
        <v>Nấm đùi gà</v>
      </c>
      <c r="E49" s="1" t="str">
        <f>VLOOKUP(A49,'CODE NOTE'!D:E,2,0)</f>
        <v>Kg</v>
      </c>
      <c r="F49" s="91">
        <v>1</v>
      </c>
      <c r="H49" s="13" t="str">
        <f>VLOOKUP(A49,'CODE NOTE'!D:F,3,0)</f>
        <v>0.5KG, 1KG/GÓI</v>
      </c>
      <c r="J49" s="15" t="s">
        <v>3101</v>
      </c>
      <c r="K49" s="14" t="s">
        <v>3072</v>
      </c>
      <c r="L49" s="14" t="s">
        <v>462</v>
      </c>
    </row>
    <row r="50" spans="1:12">
      <c r="A50" s="2" t="s">
        <v>4122</v>
      </c>
      <c r="B50" s="1" t="str">
        <f>VLOOKUP(A50,'CODE NOTE'!A:B,2,0)</f>
        <v>I100650</v>
      </c>
      <c r="C50" s="1"/>
      <c r="D50" s="1" t="str">
        <f>VLOOKUP(A50,'CODE NOTE'!A:C,3,0)</f>
        <v>Nấm đùi gà baby</v>
      </c>
      <c r="E50" s="1" t="str">
        <f>VLOOKUP(A50,'CODE NOTE'!D:E,2,0)</f>
        <v>Kg</v>
      </c>
      <c r="F50" s="91">
        <v>5</v>
      </c>
      <c r="H50" s="13" t="str">
        <f>VLOOKUP(A50,'CODE NOTE'!D:F,3,0)</f>
        <v>0.2/GÓI</v>
      </c>
      <c r="J50" s="15" t="s">
        <v>3074</v>
      </c>
      <c r="K50" s="14" t="s">
        <v>3075</v>
      </c>
      <c r="L50" s="14" t="s">
        <v>740</v>
      </c>
    </row>
    <row r="51" spans="1:12">
      <c r="A51" s="2" t="s">
        <v>4123</v>
      </c>
      <c r="B51" s="1" t="str">
        <f>VLOOKUP(A51,'CODE NOTE'!A:B,2,0)</f>
        <v>I100240</v>
      </c>
      <c r="C51" s="1"/>
      <c r="D51" s="1" t="str">
        <f>VLOOKUP(A51,'CODE NOTE'!A:C,3,0)</f>
        <v>Nấm kim châm tươi</v>
      </c>
      <c r="E51" s="1" t="str">
        <f>VLOOKUP(A51,'CODE NOTE'!D:E,2,0)</f>
        <v>Kg</v>
      </c>
      <c r="F51" s="91">
        <v>2</v>
      </c>
      <c r="H51" s="13">
        <f>VLOOKUP(A51,'CODE NOTE'!D:F,3,0)</f>
        <v>0</v>
      </c>
      <c r="J51" s="15" t="s">
        <v>2995</v>
      </c>
      <c r="K51" s="14" t="s">
        <v>468</v>
      </c>
      <c r="L51" s="14" t="s">
        <v>466</v>
      </c>
    </row>
    <row r="52" spans="1:12">
      <c r="A52" s="2" t="s">
        <v>4113</v>
      </c>
      <c r="B52" s="1" t="str">
        <f>VLOOKUP(A52,'CODE NOTE'!A:B,2,0)</f>
        <v>I100245</v>
      </c>
      <c r="C52" s="1"/>
      <c r="D52" s="1" t="str">
        <f>VLOOKUP(A52,'CODE NOTE'!A:C,3,0)</f>
        <v>Nấm rơm</v>
      </c>
      <c r="E52" s="1" t="str">
        <f>VLOOKUP(A52,'CODE NOTE'!D:E,2,0)</f>
        <v>Kg</v>
      </c>
      <c r="F52" s="91">
        <v>2</v>
      </c>
      <c r="H52" s="13">
        <f>VLOOKUP(A52,'CODE NOTE'!D:F,3,0)</f>
        <v>0</v>
      </c>
      <c r="J52" s="15" t="s">
        <v>3357</v>
      </c>
      <c r="K52" s="14" t="s">
        <v>3358</v>
      </c>
      <c r="L52" s="14" t="s">
        <v>619</v>
      </c>
    </row>
    <row r="53" spans="1:12">
      <c r="A53" s="2" t="s">
        <v>4103</v>
      </c>
      <c r="B53" s="1" t="str">
        <f>VLOOKUP(A53,'CODE NOTE'!A:B,2,0)</f>
        <v>I100256</v>
      </c>
      <c r="C53" s="1"/>
      <c r="D53" s="1" t="str">
        <f>VLOOKUP(A53,'CODE NOTE'!A:C,3,0)</f>
        <v>Bún nhỏ</v>
      </c>
      <c r="E53" s="1" t="str">
        <f>VLOOKUP(A53,'CODE NOTE'!D:E,2,0)</f>
        <v>Kg</v>
      </c>
      <c r="F53" s="91">
        <v>3</v>
      </c>
      <c r="H53" s="13" t="str">
        <f>VLOOKUP(A53,'CODE NOTE'!D:F,3,0)</f>
        <v>không xuất được hóa đơn</v>
      </c>
      <c r="J53" s="15" t="s">
        <v>3019</v>
      </c>
      <c r="K53" s="14" t="s">
        <v>3071</v>
      </c>
      <c r="L53" s="14" t="s">
        <v>1537</v>
      </c>
    </row>
    <row r="54" spans="1:12">
      <c r="A54" s="2" t="s">
        <v>4137</v>
      </c>
      <c r="B54" s="1" t="str">
        <f>VLOOKUP(A54,'CODE NOTE'!A:B,2,0)</f>
        <v>I100259</v>
      </c>
      <c r="C54" s="1"/>
      <c r="D54" s="1" t="str">
        <f>VLOOKUP(A54,'CODE NOTE'!A:C,3,0)</f>
        <v>Đậu hũ miếng chiên</v>
      </c>
      <c r="E54" s="1" t="str">
        <f>VLOOKUP(A54,'CODE NOTE'!D:E,2,0)</f>
        <v>Miếng</v>
      </c>
      <c r="F54" s="91">
        <v>35</v>
      </c>
      <c r="H54" s="13" t="str">
        <f>VLOOKUP(A54,'CODE NOTE'!D:F,3,0)</f>
        <v>không xuất được hóa đơn</v>
      </c>
      <c r="J54" s="15" t="s">
        <v>3020</v>
      </c>
      <c r="K54" s="14" t="s">
        <v>2898</v>
      </c>
      <c r="L54" s="14"/>
    </row>
    <row r="55" spans="1:12">
      <c r="A55" s="2" t="s">
        <v>4125</v>
      </c>
      <c r="B55" s="1" t="str">
        <f>VLOOKUP(A55,'CODE NOTE'!A:B,2,0)</f>
        <v>I100260</v>
      </c>
      <c r="C55" s="1"/>
      <c r="D55" s="1" t="str">
        <f>VLOOKUP(A55,'CODE NOTE'!A:C,3,0)</f>
        <v>Đậu hũ miếng trắng</v>
      </c>
      <c r="E55" s="1" t="str">
        <f>VLOOKUP(A55,'CODE NOTE'!D:E,2,0)</f>
        <v>Miếng</v>
      </c>
      <c r="F55" s="91">
        <v>35</v>
      </c>
      <c r="H55" s="13" t="str">
        <f>VLOOKUP(A55,'CODE NOTE'!D:F,3,0)</f>
        <v>không xuất được hóa đơn</v>
      </c>
      <c r="J55" s="15" t="s">
        <v>3078</v>
      </c>
      <c r="K55" s="14" t="s">
        <v>3079</v>
      </c>
      <c r="L55" s="14" t="s">
        <v>3077</v>
      </c>
    </row>
    <row r="56" spans="1:12">
      <c r="A56" s="2" t="s">
        <v>4116</v>
      </c>
      <c r="B56" s="1" t="str">
        <f>VLOOKUP(A56,'CODE NOTE'!A:B,2,0)</f>
        <v>I100262</v>
      </c>
      <c r="C56" s="1"/>
      <c r="D56" s="1" t="str">
        <f>VLOOKUP(A56,'CODE NOTE'!A:C,3,0)</f>
        <v>Đậu hũ trắng Ichiban</v>
      </c>
      <c r="E56" s="1" t="str">
        <f>VLOOKUP(A56,'CODE NOTE'!D:E,2,0)</f>
        <v>Cây</v>
      </c>
      <c r="F56" s="91">
        <v>5</v>
      </c>
      <c r="H56" s="13" t="str">
        <f>VLOOKUP(A56,'CODE NOTE'!D:F,3,0)</f>
        <v>không xuất được hóa đơn</v>
      </c>
      <c r="J56" s="15" t="s">
        <v>3017</v>
      </c>
      <c r="K56" s="14" t="s">
        <v>44</v>
      </c>
      <c r="L56" s="14" t="s">
        <v>386</v>
      </c>
    </row>
    <row r="57" spans="1:12">
      <c r="A57" s="2" t="s">
        <v>4117</v>
      </c>
      <c r="B57" s="1" t="str">
        <f>VLOOKUP(A57,'CODE NOTE'!A:B,2,0)</f>
        <v>I100031</v>
      </c>
      <c r="C57" s="1"/>
      <c r="D57" s="1" t="str">
        <f>VLOOKUP(A57,'CODE NOTE'!A:C,3,0)</f>
        <v>Bông súng</v>
      </c>
      <c r="E57" s="1" t="str">
        <f>VLOOKUP(A57,'CODE NOTE'!D:E,2,0)</f>
        <v>Kg</v>
      </c>
      <c r="F57" s="91">
        <v>0.5</v>
      </c>
      <c r="H57" s="13">
        <f>VLOOKUP(A57,'CODE NOTE'!D:F,3,0)</f>
        <v>0</v>
      </c>
      <c r="J57" s="15" t="s">
        <v>3018</v>
      </c>
      <c r="K57" s="14" t="s">
        <v>3070</v>
      </c>
      <c r="L57" s="14" t="s">
        <v>382</v>
      </c>
    </row>
    <row r="58" spans="1:12">
      <c r="A58" s="2" t="s">
        <v>4088</v>
      </c>
      <c r="B58" s="1" t="str">
        <f>VLOOKUP(A58,'CODE NOTE'!A:B,2,0)</f>
        <v>I100043</v>
      </c>
      <c r="C58" s="1"/>
      <c r="D58" s="1" t="str">
        <f>VLOOKUP(A58,'CODE NOTE'!A:C,3,0)</f>
        <v>Cải bẹ xanh có gốc</v>
      </c>
      <c r="E58" s="1" t="str">
        <f>VLOOKUP(A58,'CODE NOTE'!D:E,2,0)</f>
        <v>Kg</v>
      </c>
      <c r="F58" s="91">
        <v>1</v>
      </c>
      <c r="H58" s="13">
        <f>VLOOKUP(A58,'CODE NOTE'!D:F,3,0)</f>
        <v>0</v>
      </c>
      <c r="J58" s="15" t="s">
        <v>703</v>
      </c>
      <c r="K58" s="14" t="s">
        <v>2897</v>
      </c>
      <c r="L58" s="14"/>
    </row>
    <row r="59" spans="1:12">
      <c r="B59" s="1"/>
      <c r="C59" s="1"/>
      <c r="D59" s="1"/>
      <c r="E59" s="1"/>
      <c r="H59" s="13" t="e">
        <f>VLOOKUP(A59,'CODE NOTE'!D:F,3,0)</f>
        <v>#N/A</v>
      </c>
      <c r="J59" s="15" t="s">
        <v>3085</v>
      </c>
      <c r="K59" s="14" t="s">
        <v>3129</v>
      </c>
      <c r="L59" s="14" t="s">
        <v>499</v>
      </c>
    </row>
    <row r="60" spans="1:12">
      <c r="B60" s="1"/>
      <c r="C60" s="1"/>
      <c r="D60" s="1"/>
      <c r="E60" s="1"/>
      <c r="H60" s="13" t="e">
        <f>VLOOKUP(A60,'CODE NOTE'!D:F,3,0)</f>
        <v>#N/A</v>
      </c>
      <c r="J60" s="15" t="s">
        <v>785</v>
      </c>
      <c r="K60" s="14" t="s">
        <v>2900</v>
      </c>
      <c r="L60" s="14"/>
    </row>
    <row r="61" spans="1:12">
      <c r="B61" s="1"/>
      <c r="C61" s="1"/>
      <c r="D61" s="1"/>
      <c r="E61" s="1"/>
      <c r="H61" s="13" t="e">
        <f>VLOOKUP(A61,'CODE NOTE'!D:F,3,0)</f>
        <v>#N/A</v>
      </c>
      <c r="J61" s="15" t="s">
        <v>2993</v>
      </c>
      <c r="K61" s="14" t="s">
        <v>58</v>
      </c>
      <c r="L61" s="14" t="s">
        <v>411</v>
      </c>
    </row>
    <row r="62" spans="1:12">
      <c r="B62" s="1"/>
      <c r="C62" s="1"/>
      <c r="D62" s="1"/>
      <c r="E62" s="1"/>
      <c r="H62" s="13" t="e">
        <f>VLOOKUP(A62,'CODE NOTE'!D:F,3,0)</f>
        <v>#N/A</v>
      </c>
      <c r="J62" s="15" t="s">
        <v>3009</v>
      </c>
      <c r="K62" s="14" t="s">
        <v>3068</v>
      </c>
      <c r="L62" s="14" t="s">
        <v>1429</v>
      </c>
    </row>
    <row r="63" spans="1:12">
      <c r="B63" s="1"/>
      <c r="C63" s="1"/>
      <c r="D63" s="1"/>
      <c r="E63" s="1"/>
      <c r="H63" s="13" t="e">
        <f>VLOOKUP(A63,'CODE NOTE'!D:F,3,0)</f>
        <v>#N/A</v>
      </c>
      <c r="J63" s="15" t="s">
        <v>2992</v>
      </c>
      <c r="K63" s="14" t="s">
        <v>118</v>
      </c>
      <c r="L63" s="14" t="s">
        <v>604</v>
      </c>
    </row>
    <row r="64" spans="1: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tabSelected="1" zoomScale="82" zoomScaleNormal="82" workbookViewId="0">
      <selection activeCell="G13" sqref="G13"/>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7" t="s">
        <v>3810</v>
      </c>
      <c r="D3" s="97" t="s">
        <v>3811</v>
      </c>
      <c r="H3" s="7" t="s">
        <v>3669</v>
      </c>
      <c r="I3" s="96" t="s">
        <v>3808</v>
      </c>
      <c r="J3" s="96" t="s">
        <v>3809</v>
      </c>
      <c r="K3" s="102"/>
      <c r="L3" s="103" t="s">
        <v>4055</v>
      </c>
      <c r="M3" s="103" t="s">
        <v>3669</v>
      </c>
    </row>
    <row r="4" spans="1:13">
      <c r="A4" s="5">
        <v>2</v>
      </c>
      <c r="B4" s="6" t="s">
        <v>4027</v>
      </c>
      <c r="C4" s="97" t="s">
        <v>3810</v>
      </c>
      <c r="D4" s="97" t="s">
        <v>3811</v>
      </c>
      <c r="H4" s="7" t="s">
        <v>4042</v>
      </c>
      <c r="I4" s="96" t="s">
        <v>3808</v>
      </c>
      <c r="J4" s="96" t="s">
        <v>3809</v>
      </c>
      <c r="K4" s="102"/>
      <c r="L4" s="103" t="s">
        <v>4056</v>
      </c>
      <c r="M4" s="103" t="s">
        <v>4057</v>
      </c>
    </row>
    <row r="5" spans="1:13">
      <c r="A5" s="5">
        <v>3</v>
      </c>
      <c r="B5" s="6" t="s">
        <v>3802</v>
      </c>
      <c r="C5" s="97" t="s">
        <v>3810</v>
      </c>
      <c r="D5" s="97" t="s">
        <v>3811</v>
      </c>
      <c r="H5" s="7" t="s">
        <v>4043</v>
      </c>
      <c r="I5" s="96" t="s">
        <v>3808</v>
      </c>
      <c r="J5" s="96" t="s">
        <v>3809</v>
      </c>
      <c r="K5" s="102"/>
      <c r="L5" s="103" t="s">
        <v>4058</v>
      </c>
      <c r="M5" s="103" t="s">
        <v>4059</v>
      </c>
    </row>
    <row r="6" spans="1:13">
      <c r="A6" s="5">
        <v>4</v>
      </c>
      <c r="B6" s="6" t="s">
        <v>3803</v>
      </c>
      <c r="C6" s="97" t="s">
        <v>3810</v>
      </c>
      <c r="D6" s="97" t="s">
        <v>3811</v>
      </c>
      <c r="H6" s="7" t="s">
        <v>4044</v>
      </c>
      <c r="I6" s="96" t="s">
        <v>3808</v>
      </c>
      <c r="J6" s="96" t="s">
        <v>3809</v>
      </c>
      <c r="K6" s="102"/>
      <c r="L6" s="103" t="s">
        <v>4060</v>
      </c>
      <c r="M6" s="103" t="s">
        <v>4061</v>
      </c>
    </row>
    <row r="7" spans="1:13">
      <c r="A7" s="5">
        <v>5</v>
      </c>
      <c r="B7" s="6" t="s">
        <v>3804</v>
      </c>
      <c r="C7" s="97" t="s">
        <v>3810</v>
      </c>
      <c r="D7" s="97" t="s">
        <v>3811</v>
      </c>
      <c r="H7" s="7" t="s">
        <v>4045</v>
      </c>
      <c r="I7" s="96" t="s">
        <v>3808</v>
      </c>
      <c r="J7" s="96" t="s">
        <v>3809</v>
      </c>
      <c r="K7" s="102"/>
      <c r="L7" s="103" t="s">
        <v>4062</v>
      </c>
      <c r="M7" s="103" t="s">
        <v>4063</v>
      </c>
    </row>
    <row r="8" spans="1:13">
      <c r="A8" s="5">
        <v>6</v>
      </c>
      <c r="B8" s="6" t="s">
        <v>3805</v>
      </c>
      <c r="C8" s="97" t="s">
        <v>3810</v>
      </c>
      <c r="D8" s="97" t="s">
        <v>3811</v>
      </c>
      <c r="H8" s="7" t="s">
        <v>4046</v>
      </c>
      <c r="I8" s="96" t="s">
        <v>3808</v>
      </c>
      <c r="J8" s="96" t="s">
        <v>3809</v>
      </c>
      <c r="K8" s="102"/>
      <c r="L8" s="103" t="s">
        <v>3099</v>
      </c>
      <c r="M8" s="103" t="s">
        <v>3099</v>
      </c>
    </row>
    <row r="9" spans="1:13">
      <c r="A9" s="5">
        <v>7</v>
      </c>
      <c r="B9" s="6" t="s">
        <v>4021</v>
      </c>
      <c r="C9" s="97" t="s">
        <v>3810</v>
      </c>
      <c r="D9" s="97" t="s">
        <v>3811</v>
      </c>
      <c r="H9" s="7" t="s">
        <v>4047</v>
      </c>
      <c r="I9" s="96" t="s">
        <v>3808</v>
      </c>
      <c r="J9" s="96" t="s">
        <v>3809</v>
      </c>
      <c r="K9" s="102"/>
      <c r="L9" s="103" t="s">
        <v>4064</v>
      </c>
      <c r="M9" s="103" t="s">
        <v>4065</v>
      </c>
    </row>
    <row r="10" spans="1:13">
      <c r="A10" s="5">
        <v>8</v>
      </c>
      <c r="B10" s="7" t="s">
        <v>4026</v>
      </c>
      <c r="C10" s="97" t="s">
        <v>3810</v>
      </c>
      <c r="D10" s="97" t="s">
        <v>3811</v>
      </c>
      <c r="H10" s="6" t="s">
        <v>4048</v>
      </c>
      <c r="I10" s="96" t="s">
        <v>3808</v>
      </c>
      <c r="J10" s="96" t="s">
        <v>3809</v>
      </c>
      <c r="K10" s="102"/>
      <c r="L10" s="103" t="s">
        <v>4066</v>
      </c>
      <c r="M10" s="103" t="s">
        <v>4067</v>
      </c>
    </row>
    <row r="11" spans="1:13">
      <c r="A11" s="5">
        <v>9</v>
      </c>
      <c r="B11" s="6" t="s">
        <v>4036</v>
      </c>
      <c r="C11" s="97" t="s">
        <v>3810</v>
      </c>
      <c r="D11" s="97" t="s">
        <v>3811</v>
      </c>
      <c r="H11" s="7" t="s">
        <v>4049</v>
      </c>
      <c r="I11" s="96" t="s">
        <v>3808</v>
      </c>
      <c r="J11" s="96" t="s">
        <v>3809</v>
      </c>
      <c r="K11" s="102"/>
      <c r="L11" s="103" t="s">
        <v>4068</v>
      </c>
      <c r="M11" s="103" t="s">
        <v>4069</v>
      </c>
    </row>
    <row r="12" spans="1:13">
      <c r="A12" s="5">
        <v>10</v>
      </c>
      <c r="B12" s="6" t="s">
        <v>4037</v>
      </c>
      <c r="C12" s="97" t="s">
        <v>3810</v>
      </c>
      <c r="D12" s="97" t="s">
        <v>3811</v>
      </c>
      <c r="H12" s="7" t="s">
        <v>4050</v>
      </c>
      <c r="I12" s="96" t="s">
        <v>3808</v>
      </c>
      <c r="J12" s="96" t="s">
        <v>3809</v>
      </c>
      <c r="K12" s="102"/>
      <c r="L12" s="103" t="s">
        <v>3120</v>
      </c>
      <c r="M12" s="103" t="s">
        <v>4070</v>
      </c>
    </row>
    <row r="13" spans="1:13">
      <c r="A13" s="5">
        <v>11</v>
      </c>
      <c r="B13" s="6" t="s">
        <v>4082</v>
      </c>
      <c r="C13" s="97" t="s">
        <v>3810</v>
      </c>
      <c r="D13" s="97" t="s">
        <v>3811</v>
      </c>
      <c r="H13" s="7"/>
      <c r="I13" s="96"/>
      <c r="J13" s="96"/>
      <c r="K13" s="102"/>
      <c r="L13" s="103"/>
      <c r="M13" s="103"/>
    </row>
    <row r="14" spans="1:13">
      <c r="A14" s="5">
        <v>12</v>
      </c>
      <c r="B14" s="6" t="s">
        <v>4138</v>
      </c>
      <c r="C14" s="97" t="s">
        <v>3810</v>
      </c>
      <c r="D14" s="97" t="s">
        <v>3811</v>
      </c>
      <c r="H14" s="7" t="s">
        <v>4051</v>
      </c>
      <c r="I14" s="96" t="s">
        <v>3808</v>
      </c>
      <c r="J14" s="96" t="s">
        <v>3809</v>
      </c>
      <c r="K14" s="102"/>
      <c r="L14" s="103" t="s">
        <v>4071</v>
      </c>
      <c r="M14" s="103" t="s">
        <v>4072</v>
      </c>
    </row>
    <row r="15" spans="1:13">
      <c r="A15" s="5">
        <v>13</v>
      </c>
      <c r="B15" s="6" t="s">
        <v>4038</v>
      </c>
      <c r="C15" s="97" t="s">
        <v>3810</v>
      </c>
      <c r="D15" s="97" t="s">
        <v>3811</v>
      </c>
      <c r="H15" s="7" t="s">
        <v>4052</v>
      </c>
      <c r="I15" s="96" t="s">
        <v>3808</v>
      </c>
      <c r="J15" s="96" t="s">
        <v>3809</v>
      </c>
      <c r="K15" s="102"/>
      <c r="L15" s="103" t="s">
        <v>4071</v>
      </c>
      <c r="M15" s="103" t="s">
        <v>4073</v>
      </c>
    </row>
    <row r="16" spans="1:13">
      <c r="A16" s="5">
        <v>14</v>
      </c>
      <c r="B16" s="6" t="s">
        <v>3022</v>
      </c>
      <c r="C16" s="97" t="s">
        <v>3810</v>
      </c>
      <c r="D16" s="97" t="s">
        <v>3811</v>
      </c>
      <c r="H16" s="7" t="s">
        <v>4053</v>
      </c>
      <c r="I16" s="96" t="s">
        <v>3808</v>
      </c>
      <c r="J16" s="96" t="s">
        <v>3809</v>
      </c>
      <c r="K16" s="102"/>
      <c r="L16" s="103"/>
      <c r="M16" s="103" t="s">
        <v>4074</v>
      </c>
    </row>
    <row r="17" spans="1:13">
      <c r="A17" s="5">
        <v>15</v>
      </c>
      <c r="B17" s="6" t="s">
        <v>4078</v>
      </c>
      <c r="C17" s="97" t="s">
        <v>3810</v>
      </c>
      <c r="D17" s="97" t="s">
        <v>3811</v>
      </c>
      <c r="H17" s="7" t="s">
        <v>4054</v>
      </c>
      <c r="I17" s="96" t="s">
        <v>3808</v>
      </c>
      <c r="J17" s="96" t="s">
        <v>3809</v>
      </c>
      <c r="K17" s="102"/>
      <c r="L17" s="103" t="s">
        <v>4075</v>
      </c>
      <c r="M17" s="103" t="s">
        <v>4076</v>
      </c>
    </row>
    <row r="18" spans="1:13">
      <c r="A18" s="5">
        <v>16</v>
      </c>
      <c r="B18" s="6" t="s">
        <v>4077</v>
      </c>
      <c r="C18" s="97" t="s">
        <v>3810</v>
      </c>
      <c r="D18" s="97" t="s">
        <v>3811</v>
      </c>
      <c r="H18" s="101"/>
      <c r="I18" s="101"/>
      <c r="J18" s="102"/>
      <c r="K18" s="102"/>
    </row>
    <row r="19" spans="1:13">
      <c r="A19" s="5">
        <v>17</v>
      </c>
      <c r="B19" s="6" t="s">
        <v>2883</v>
      </c>
      <c r="C19" s="97" t="s">
        <v>3810</v>
      </c>
      <c r="D19" s="97" t="s">
        <v>3811</v>
      </c>
      <c r="H19" s="101"/>
      <c r="I19" s="101"/>
      <c r="J19" s="102"/>
      <c r="K19" s="102"/>
    </row>
    <row r="20" spans="1:13">
      <c r="A20" s="5">
        <v>18</v>
      </c>
      <c r="B20" s="6" t="s">
        <v>3806</v>
      </c>
      <c r="C20" s="97" t="s">
        <v>3810</v>
      </c>
      <c r="D20" s="97" t="s">
        <v>3811</v>
      </c>
      <c r="H20" s="101"/>
      <c r="I20" s="101"/>
      <c r="J20" s="102"/>
      <c r="K20" s="102"/>
    </row>
    <row r="21" spans="1:13">
      <c r="A21" s="5">
        <v>19</v>
      </c>
      <c r="B21" s="7" t="s">
        <v>3033</v>
      </c>
      <c r="C21" s="97" t="s">
        <v>3810</v>
      </c>
      <c r="D21" s="97" t="s">
        <v>3811</v>
      </c>
      <c r="H21" s="101"/>
      <c r="I21" s="101"/>
      <c r="J21" s="102"/>
      <c r="K21" s="102"/>
    </row>
    <row r="22" spans="1:13">
      <c r="A22" s="5">
        <v>20</v>
      </c>
      <c r="B22" s="7" t="s">
        <v>4041</v>
      </c>
      <c r="C22" s="97" t="s">
        <v>3810</v>
      </c>
      <c r="D22" s="97" t="s">
        <v>3811</v>
      </c>
      <c r="H22" s="101"/>
      <c r="I22" s="101"/>
      <c r="J22" s="102"/>
      <c r="K22" s="102"/>
    </row>
    <row r="23" spans="1:13">
      <c r="A23" s="5">
        <v>21</v>
      </c>
      <c r="B23" s="7" t="s">
        <v>2860</v>
      </c>
      <c r="C23" s="97" t="s">
        <v>3810</v>
      </c>
      <c r="D23" s="97" t="s">
        <v>3811</v>
      </c>
      <c r="H23" s="101"/>
      <c r="I23" s="101"/>
      <c r="J23" s="102"/>
      <c r="K23" s="102"/>
    </row>
    <row r="24" spans="1:13">
      <c r="A24" s="5">
        <v>22</v>
      </c>
      <c r="B24" s="7" t="s">
        <v>2902</v>
      </c>
      <c r="C24" s="97" t="s">
        <v>3810</v>
      </c>
      <c r="D24" s="97" t="s">
        <v>3811</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2025-04-11T16:37:15Z</dcterms:modified>
</cp:coreProperties>
</file>