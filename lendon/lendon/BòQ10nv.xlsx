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A8ECB786-EEEF-4F14-8A47-A66553BE2E40}"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D6" i="1"/>
  <c r="E6" i="1"/>
  <c r="B7" i="1"/>
  <c r="D7" i="1"/>
  <c r="E7" i="1"/>
  <c r="B4" i="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<sst xmlns="http://schemas.openxmlformats.org/spreadsheetml/2006/main" count="7087" uniqueCount="4090">
  <si>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</si>
  <si>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</si>
  <si>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</si>
  <si>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</si>
  <si>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</si>
  <si>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</si>
  <si>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</si>
  <si>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</si>
  <si>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</si>
  <si>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</si>
  <si>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</si>
  <si>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</si>
  <si>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</si>
  <si>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</si>
  <si>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</si>
  <si>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</si>
  <si>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</si>
  <si>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</si>
  <si>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</si>
  <si>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</si>
  <si>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</si>
  <si>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</si>
  <si>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</si>
  <si>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</si>
  <si>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</si>
  <si>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</si>
  <si>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</si>
  <si>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</si>
  <si>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</si>
  <si>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</si>
  <si>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</si>
  <si>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</si>
  <si>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</si>
  <si>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</si>
  <si>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</si>
  <si>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</si>
  <si>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</si>
  <si>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</si>
  <si>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</si>
  <si>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</si>
  <si>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</si>
  <si>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</si>
  <si>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</si>
  <si>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</si>
  <si>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</si>
  <si>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</si>
  <si>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</si>
  <si>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</si>
  <si>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</si>
  <si>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</si>
  <si>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</si>
  <si>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</si>
  <si>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</si>
  <si>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</si>
  <si>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</si>
  <si>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</si>
  <si>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</si>
  <si>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</si>
  <si>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</si>
  <si>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</si>
  <si>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</si>
  <si>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</si>
  <si>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</si>
  <si>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</si>
  <si>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</si>
  <si>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</si>
  <si>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</si>
  <si>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</si>
  <si>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</si>
  <si>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</si>
  <si>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</si>
  <si>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</si>
  <si>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</si>
  <si>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</si>
  <si>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</si>
  <si>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</si>
  <si>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</si>
  <si>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</si>
  <si>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</si>
  <si>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</si>
  <si>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</si>
  <si>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</si>
  <si>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</si>
  <si>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</si>
  <si>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</si>
  <si>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</si>
  <si>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</si>
  <si>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</si>
  <si>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</si>
  <si>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</si>
  <si>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</si>
  <si>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</si>
  <si>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</si>
  <si>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</si>
  <si>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</si>
  <si>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</si>
  <si>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</si>
  <si>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</si>
  <si>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</si>
  <si>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</si>
  <si>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</si>
  <si>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</si>
  <si>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</si>
  <si>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</si>
  <si>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</si>
  <si>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</si>
  <si>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</si>
  <si>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</si>
  <si>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</si>
  <si>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</si>
  <si>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</si>
  <si>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</si>
  <si>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</si>
  <si>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</si>
  <si>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</si>
  <si>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</si>
  <si>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</si>
  <si>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</si>
  <si>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</si>
  <si>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</si>
  <si>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</si>
  <si>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</si>
  <si>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</si>
  <si>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</si>
  <si>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</si>
  <si>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</si>
  <si>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</si>
  <si>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</si>
  <si>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</si>
  <si>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</si>
  <si>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</si>
  <si>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</si>
  <si>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</si>
  <si>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</si>
  <si>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</si>
  <si>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</si>
  <si>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</si>
  <si>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</si>
  <si>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</si>
  <si>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</si>
  <si>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</si>
  <si>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</si>
  <si>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</si>
  <si>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</si>
  <si>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</si>
  <si>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</si>
  <si>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</si>
  <si>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</si>
  <si>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</si>
  <si>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</si>
  <si>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</si>
  <si>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</si>
  <si>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</si>
  <si>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</si>
  <si>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</si>
  <si>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</si>
  <si>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</si>
  <si>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</si>
  <si>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</si>
  <si>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</si>
  <si>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</si>
  <si>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</si>
  <si>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</si>
  <si>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</si>
  <si>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</si>
  <si>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</si>
  <si>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</si>
  <si>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</si>
  <si>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</si>
  <si>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</si>
  <si>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</si>
  <si>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</si>
  <si>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</si>
  <si>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</si>
  <si>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</si>
  <si>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</si>
  <si>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</si>
  <si>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</si>
  <si>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</si>
  <si>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</si>
  <si>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</si>
  <si>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</si>
  <si>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</si>
  <si>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</si>
  <si>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</si>
  <si>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</si>
  <si>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</si>
  <si>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</si>
  <si>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</si>
  <si>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</si>
  <si>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</si>
  <si>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</si>
  <si>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</si>
  <si>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</si>
  <si>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</si>
  <si>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</si>
  <si>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</si>
  <si>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</si>
  <si>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</si>
  <si>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</si>
  <si>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</si>
  <si>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</si>
  <si>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</si>
  <si>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</si>
  <si>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</si>
  <si>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</si>
  <si>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</si>
  <si>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</si>
  <si>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</si>
  <si>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</si>
  <si>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</si>
  <si>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</si>
  <si>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</si>
  <si>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</si>
  <si>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</si>
  <si>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</si>
  <si>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</si>
  <si>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</si>
  <si>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</si>
  <si>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</si>
  <si>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</si>
  <si>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</si>
  <si>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</si>
  <si>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</si>
  <si>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</si>
  <si>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</si>
  <si>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</si>
  <si>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</si>
  <si>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</si>
  <si>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</si>
  <si>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</si>
  <si>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</si>
  <si>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</si>
  <si>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</si>
  <si>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</si>
  <si>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</si>
  <si>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</si>
  <si>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</si>
  <si>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</si>
  <si>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</si>
  <si>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</si>
  <si>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</si>
  <si>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</si>
  <si>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</si>
  <si>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</si>
  <si>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</si>
  <si>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</si>
  <si>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</si>
  <si>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</si>
  <si>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</si>
  <si>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</si>
  <si>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</si>
  <si>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</si>
  <si>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</si>
  <si>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</si>
  <si>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</si>
  <si>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</si>
  <si>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</si>
  <si>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</si>
  <si>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</si>
  <si>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</si>
  <si>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</si>
  <si>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</si>
  <si>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</si>
  <si>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</si>
  <si>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</si>
  <si>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</si>
  <si>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</si>
  <si>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</si>
  <si>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</si>
  <si>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</si>
  <si>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</si>
  <si>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</si>
  <si>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</si>
  <si>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</si>
  <si>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</si>
  <si>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</si>
  <si>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</si>
  <si>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</si>
  <si>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</si>
  <si>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</si>
  <si>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</si>
  <si>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</si>
  <si>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</si>
  <si>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</si>
  <si>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</si>
  <si>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</si>
  <si>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</si>
  <si>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</si>
  <si>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</si>
  <si>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</si>
  <si>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</si>
  <si>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</si>
  <si>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</si>
  <si>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</si>
  <si>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</si>
  <si>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</si>
  <si>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</si>
  <si>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</si>
  <si>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</si>
  <si>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</si>
  <si>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</si>
  <si>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</si>
  <si>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</si>
  <si>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</si>
  <si>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</si>
  <si>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</si>
  <si>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</si>
  <si>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</si>
  <si>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</si>
  <si>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</si>
  <si>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</si>
  <si>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</si>
  <si>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</si>
  <si>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</si>
  <si>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</si>
  <si>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</si>
  <si>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</si>
  <si>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</si>
  <si>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</si>
  <si>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</si>
  <si>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</si>
  <si>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</si>
  <si>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</si>
  <si>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</si>
  <si>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</si>
  <si>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</si>
  <si>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</si>
  <si>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</si>
  <si>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</si>
  <si>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</si>
  <si>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</si>
  <si>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</si>
  <si>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</si>
  <si>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</si>
  <si>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</si>
  <si>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</si>
  <si>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</si>
  <si>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</si>
  <si>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</si>
  <si>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</si>
  <si>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</si>
  <si>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</si>
  <si>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</si>
  <si>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</si>
  <si>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</si>
  <si>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</si>
  <si>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</si>
  <si>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</si>
  <si>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</si>
  <si>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</si>
  <si>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</si>
  <si>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</si>
  <si>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</si>
  <si>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</si>
  <si>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</si>
  <si>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</si>
  <si>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</si>
  <si>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</si>
  <si>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</si>
  <si>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</si>
  <si>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</si>
  <si>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</si>
  <si>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</si>
  <si>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</si>
  <si>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</si>
  <si>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</si>
  <si>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</si>
  <si>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</si>
  <si>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</si>
  <si>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</si>
  <si>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</si>
  <si>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</si>
  <si>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</si>
  <si>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</si>
  <si>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</si>
  <si>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</si>
  <si>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</si>
  <si>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</si>
  <si>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</si>
  <si>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</si>
  <si>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</si>
  <si>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</si>
  <si>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</si>
  <si>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</si>
  <si>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</si>
  <si>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</si>
  <si>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</si>
  <si>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</si>
  <si>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</si>
  <si>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</si>
  <si>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</si>
  <si>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</si>
  <si>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</si>
  <si>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</si>
  <si>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</si>
  <si>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</si>
  <si>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</si>
  <si>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</si>
  <si>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</si>
  <si>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</si>
  <si>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</si>
  <si>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</si>
  <si>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</si>
  <si>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</si>
  <si>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</si>
  <si>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</si>
  <si>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</si>
  <si>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</si>
  <si>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</si>
  <si>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</si>
  <si>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</si>
  <si>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</si>
  <si>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</si>
  <si>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</si>
  <si>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</si>
  <si>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</si>
  <si>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</si>
  <si>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</si>
  <si>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</si>
  <si>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</si>
  <si>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</si>
  <si>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</si>
  <si>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</si>
  <si>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</si>
  <si>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</si>
  <si>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</si>
  <si>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</si>
  <si>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</si>
  <si>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</si>
  <si>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</si>
  <si>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</si>
  <si>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</si>
  <si>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</si>
  <si>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</si>
  <si>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</si>
  <si>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</si>
  <si>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</si>
  <si>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</si>
  <si>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</si>
  <si>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</si>
  <si>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</si>
  <si>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</si>
  <si>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</si>
  <si>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</si>
  <si>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</si>
  <si>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</si>
  <si>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</si>
  <si>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</si>
  <si>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</si>
  <si>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</si>
  <si>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</si>
  <si>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</si>
  <si>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</si>
  <si>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</si>
  <si>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</si>
  <si>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</si>
  <si>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</si>
  <si>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</si>
  <si>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</si>
  <si>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</si>
  <si>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</si>
  <si>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</si>
  <si>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</si>
  <si>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</si>
  <si>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</si>
  <si>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</si>
  <si>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</si>
  <si>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</si>
  <si>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</si>
  <si>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</si>
  <si>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</si>
  <si>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</si>
  <si>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</si>
  <si>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</si>
  <si>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</si>
  <si>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</si>
  <si>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</si>
  <si>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</si>
  <si>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</si>
  <si>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</si>
  <si>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</si>
  <si>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</si>
  <si>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</si>
  <si>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</si>
  <si>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</si>
  <si>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</si>
  <si>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</si>
  <si>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</si>
  <si>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</si>
  <si>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</si>
  <si>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</si>
  <si>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</si>
  <si>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</si>
  <si>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</si>
  <si>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</si>
  <si>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</si>
  <si>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</si>
  <si>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</si>
  <si>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</si>
  <si>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</si>
  <si>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</si>
  <si>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</si>
  <si>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</si>
  <si>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</si>
  <si>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</si>
  <si>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</si>
  <si>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</si>
  <si>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</si>
  <si>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</si>
  <si>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</si>
  <si>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</si>
  <si>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</si>
  <si>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</si>
  <si>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</si>
  <si>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</si>
  <si>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</si>
  <si>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</si>
  <si>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</si>
  <si>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</si>
  <si>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</si>
  <si>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</si>
  <si>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</si>
  <si>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</si>
  <si>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</si>
  <si>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</si>
  <si>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</si>
  <si>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</si>
  <si>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</si>
  <si>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</si>
  <si>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</si>
  <si>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</si>
  <si>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</si>
  <si>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</si>
  <si>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</si>
  <si>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</si>
  <si>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</si>
  <si>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</si>
  <si>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</si>
  <si>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</si>
  <si>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</si>
  <si>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</si>
  <si>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</si>
  <si>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</si>
  <si>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</si>
  <si>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</si>
  <si>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</si>
  <si>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</si>
  <si>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</si>
  <si>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</si>
  <si>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</si>
  <si>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</si>
  <si>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</si>
  <si>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</si>
  <si>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</si>
  <si>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</si>
  <si>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</si>
  <si>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</si>
  <si>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</si>
  <si>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</si>
  <si>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</si>
  <si>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</si>
  <si>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</si>
  <si>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</si>
  <si>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</si>
  <si>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</si>
  <si>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</si>
  <si>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</si>
  <si>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</si>
  <si>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</si>
  <si>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</si>
  <si>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</si>
  <si>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</si>
  <si>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</si>
  <si>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</si>
  <si>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</si>
  <si>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</si>
  <si>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</si>
  <si>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</si>
  <si>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</si>
  <si>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</si>
  <si>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</si>
  <si>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</si>
  <si>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</si>
  <si>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</si>
  <si>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</si>
  <si>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</si>
  <si>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</si>
  <si>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</si>
  <si>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</si>
  <si>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</si>
  <si>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</si>
  <si>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</si>
  <si>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</si>
  <si>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</si>
  <si>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</si>
  <si>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</si>
  <si>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</si>
  <si>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</si>
  <si>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</si>
  <si>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</si>
  <si>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</si>
  <si>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</si>
  <si>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</si>
  <si>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</si>
  <si>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</si>
  <si>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</si>
  <si>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</si>
  <si>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</si>
  <si>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</si>
  <si>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</si>
  <si>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</si>
  <si>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</si>
  <si>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</si>
  <si>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</si>
  <si>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</si>
  <si>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</si>
  <si>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</si>
  <si>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</si>
  <si>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</si>
  <si>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</si>
  <si>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</si>
  <si>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</si>
  <si>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</si>
  <si>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</si>
  <si>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</si>
  <si>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</si>
  <si>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</si>
  <si>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</si>
  <si>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</si>
  <si>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</si>
  <si>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</si>
  <si>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</si>
  <si>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</si>
  <si>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</si>
  <si>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</si>
  <si>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</si>
  <si>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</si>
  <si>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</si>
  <si>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</si>
  <si>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</si>
  <si>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</si>
  <si>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</si>
  <si>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</si>
  <si>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</si>
  <si>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</si>
  <si>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</si>
  <si>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</si>
  <si>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</si>
  <si>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</si>
  <si>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</si>
  <si>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</si>
  <si>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</si>
  <si>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</si>
  <si>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</si>
  <si>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</si>
  <si>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</si>
  <si>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</si>
  <si>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</si>
  <si>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</si>
  <si>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</si>
  <si>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</si>
  <si>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</si>
  <si>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</si>
  <si>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</si>
  <si>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</si>
  <si>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</si>
  <si>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</si>
  <si>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</si>
  <si>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</si>
  <si>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</si>
  <si>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</si>
  <si>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</si>
  <si>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</si>
  <si>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</si>
  <si>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</si>
  <si>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</si>
  <si>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</si>
  <si>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</si>
  <si>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</si>
  <si>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</si>
  <si>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</si>
  <si>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</si>
  <si>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</si>
  <si>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</si>
  <si>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</si>
  <si>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</si>
  <si>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</si>
  <si>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</si>
  <si>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</si>
  <si>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</si>
  <si>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</si>
  <si>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</si>
  <si>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</si>
  <si>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</si>
  <si>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</si>
  <si>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</si>
  <si>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</si>
  <si>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</si>
  <si>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</si>
  <si>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</si>
  <si>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</si>
  <si>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</si>
  <si>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</si>
  <si>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</si>
  <si>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</si>
  <si>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</si>
  <si>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</si>
  <si>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</si>
  <si>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</si>
  <si>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</si>
  <si>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</si>
  <si>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</si>
  <si>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</si>
  <si>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</si>
  <si>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</si>
  <si>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</si>
  <si>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</si>
  <si>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</si>
  <si>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</si>
  <si>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</si>
  <si>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</si>
  <si>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</si>
  <si>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</si>
  <si>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</si>
  <si>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</si>
  <si>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</si>
  <si>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</si>
  <si>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</si>
  <si>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</si>
  <si>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</si>
  <si>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</si>
  <si>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</si>
  <si>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</si>
  <si>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</si>
  <si>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</si>
  <si>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</si>
  <si>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</si>
  <si>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</si>
  <si>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</si>
  <si>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</si>
  <si>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</si>
  <si>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</si>
  <si>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</si>
  <si>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</si>
  <si>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</si>
  <si>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</si>
  <si>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</si>
  <si>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</si>
  <si>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</si>
  <si>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</si>
  <si>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</si>
  <si>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</si>
  <si>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</si>
  <si>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</si>
  <si>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</si>
  <si>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</si>
  <si>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</si>
  <si>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</si>
  <si>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</si>
  <si>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</si>
  <si>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</si>
  <si>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</si>
  <si>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</si>
  <si>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</si>
  <si>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</si>
  <si>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</si>
  <si>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</si>
  <si>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</si>
  <si>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</si>
  <si>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</si>
  <si>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</si>
  <si>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</si>
  <si>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</si>
  <si>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</si>
  <si>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</si>
  <si>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</si>
  <si>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</si>
  <si>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</si>
  <si>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</si>
  <si>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</si>
  <si>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</si>
  <si>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</si>
  <si>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</si>
  <si>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</si>
  <si>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</si>
  <si>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</si>
  <si>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</si>
  <si>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</si>
  <si>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</si>
  <si>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</si>
  <si>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</si>
  <si>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</si>
  <si>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</si>
  <si>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</si>
  <si>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</si>
  <si>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</si>
  <si>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</si>
  <si>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</si>
  <si>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</si>
  <si>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</si>
  <si>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</si>
  <si>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</si>
  <si>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</si>
  <si>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</si>
  <si>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</si>
  <si>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</si>
  <si>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</si>
  <si>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</si>
  <si>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</si>
  <si>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</si>
  <si>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</si>
  <si>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</si>
  <si>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</si>
  <si>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</si>
  <si>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</si>
  <si>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</si>
  <si>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</si>
  <si>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</si>
  <si>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</si>
  <si>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</si>
  <si>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</si>
  <si>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</si>
  <si>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</si>
  <si>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</si>
  <si>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</si>
  <si>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</si>
  <si>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</si>
  <si>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</si>
  <si>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</si>
  <si>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</si>
  <si>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</si>
  <si>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</si>
  <si>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</si>
  <si>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</si>
  <si>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</si>
  <si>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</si>
  <si>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</si>
  <si>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</si>
  <si>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</si>
  <si>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</si>
  <si>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</si>
  <si>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</si>
  <si>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</si>
  <si>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</si>
  <si>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</si>
  <si>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</si>
  <si>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</si>
  <si>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</si>
  <si>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</si>
  <si>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</si>
  <si>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</si>
  <si>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</si>
  <si>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</si>
  <si>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</si>
  <si>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</si>
  <si>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</si>
  <si>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</si>
  <si>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</si>
  <si>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</si>
  <si>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</si>
  <si>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</si>
  <si>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</si>
  <si>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</si>
  <si>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</si>
  <si>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</si>
  <si>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</si>
  <si>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</si>
  <si>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</si>
  <si>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</si>
  <si>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</si>
  <si>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</si>
  <si>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</si>
  <si>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</si>
  <si>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</si>
  <si>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</si>
  <si>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</si>
  <si>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</si>
  <si>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</si>
  <si>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</si>
  <si>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</si>
  <si>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</si>
  <si>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</si>
  <si>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</si>
  <si>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</si>
  <si>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</si>
  <si>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</si>
  <si>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</si>
  <si>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</si>
  <si>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</si>
  <si>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</si>
  <si>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</si>
  <si>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</si>
  <si>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</si>
  <si>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</si>
  <si>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</si>
  <si>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</si>
  <si>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</si>
  <si>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</si>
  <si>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</si>
  <si>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</si>
  <si>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</si>
  <si>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</si>
  <si>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</si>
  <si>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</si>
  <si>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</si>
  <si>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</si>
  <si>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</si>
  <si>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</si>
  <si>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</si>
  <si>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</si>
  <si>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</si>
  <si>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</si>
  <si>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</si>
  <si>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</si>
  <si>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</si>
  <si>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</si>
  <si>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</si>
  <si>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</si>
  <si>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</si>
  <si>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</si>
  <si>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</si>
  <si>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</si>
  <si>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</si>
  <si>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</si>
  <si>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</si>
  <si>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</si>
  <si>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</si>
  <si>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</si>
  <si>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</si>
  <si>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</si>
  <si>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</si>
  <si>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</si>
  <si>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</si>
  <si>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</si>
  <si>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</si>
  <si>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</si>
  <si>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</si>
  <si>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</si>
  <si>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</si>
  <si>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</si>
  <si>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</si>
  <si>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</si>
  <si>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</si>
  <si>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</si>
  <si>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</si>
  <si>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</si>
  <si>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</si>
  <si>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</si>
  <si>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</si>
  <si>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</si>
  <si>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</si>
  <si>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</si>
  <si>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</si>
  <si>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</si>
  <si>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</si>
  <si>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</si>
  <si>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</si>
  <si>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</si>
  <si>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</si>
  <si>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</si>
  <si>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</si>
  <si>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</si>
  <si>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</si>
  <si>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</si>
  <si>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</si>
  <si>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</si>
  <si>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</si>
  <si>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</si>
  <si>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</si>
  <si>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</si>
  <si>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</si>
  <si>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</si>
  <si>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</si>
  <si>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</si>
  <si>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</si>
  <si>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</si>
  <si>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</si>
  <si>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</si>
  <si>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</si>
  <si>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</si>
  <si>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</si>
  <si>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</si>
  <si>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</si>
  <si>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</si>
  <si>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</si>
  <si>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</si>
  <si>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</si>
  <si>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</si>
  <si>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</si>
  <si>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</si>
  <si>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</si>
  <si>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</si>
  <si>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</si>
  <si>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</si>
  <si>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</si>
  <si>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</si>
  <si>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</si>
  <si>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</si>
  <si>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</si>
  <si>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</si>
  <si>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</si>
  <si>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</si>
  <si>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</si>
  <si>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</si>
  <si>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</si>
  <si>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</si>
  <si>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</si>
  <si>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</si>
  <si>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</si>
  <si>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</si>
  <si>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</si>
  <si>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</si>
  <si>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</si>
  <si>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</si>
  <si>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</si>
  <si>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</si>
  <si>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</si>
  <si>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</si>
  <si>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</si>
  <si>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</si>
  <si>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</si>
  <si>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</si>
  <si>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</si>
  <si>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</si>
  <si>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</si>
  <si>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</si>
  <si>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</si>
  <si>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</si>
  <si>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</si>
  <si>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</si>
  <si>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</si>
  <si>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</si>
  <si>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</si>
  <si>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</si>
  <si>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</si>
  <si>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</si>
  <si>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</si>
  <si>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</si>
  <si>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</si>
  <si>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</si>
  <si>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</si>
  <si>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</si>
  <si>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</si>
  <si>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</si>
  <si>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</si>
  <si>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</si>
  <si>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</si>
  <si>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</si>
  <si>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</si>
  <si>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</si>
  <si>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</si>
  <si>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</si>
  <si>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</si>
  <si>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</si>
  <si>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</si>
  <si>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</si>
  <si>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</si>
  <si>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</si>
  <si>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</si>
  <si>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</si>
  <si>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</si>
  <si>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</si>
  <si>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</si>
  <si>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</si>
  <si>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</si>
  <si>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</si>
  <si>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</si>
  <si>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</si>
  <si>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</si>
  <si>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</si>
  <si>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</si>
  <si>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</si>
  <si>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</si>
  <si>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</si>
  <si>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</si>
  <si>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</si>
  <si>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</si>
  <si>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</si>
  <si>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</si>
  <si>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</si>
  <si>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</si>
  <si>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</si>
  <si>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</si>
  <si>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</si>
  <si>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</si>
  <si>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</si>
  <si>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</si>
  <si>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</si>
  <si>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</si>
  <si>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</si>
  <si>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</si>
  <si>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</si>
  <si>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</si>
  <si>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</si>
  <si>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</si>
  <si>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</si>
  <si>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</si>
  <si>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</si>
  <si>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</si>
  <si>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</si>
  <si>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</si>
  <si>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</si>
  <si>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</si>
  <si>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</si>
  <si>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</si>
  <si>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</si>
  <si>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</si>
  <si>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</si>
  <si>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</si>
  <si>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</si>
  <si>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</si>
  <si>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</si>
  <si>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</si>
  <si>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</si>
  <si>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</si>
  <si>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</si>
  <si>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</si>
  <si>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</si>
  <si>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</si>
  <si>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</si>
  <si>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</si>
  <si>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</si>
  <si>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</si>
  <si>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</si>
  <si>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</si>
  <si>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</si>
  <si>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</si>
  <si>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</si>
  <si>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</si>
  <si>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</si>
  <si>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</si>
  <si>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</si>
  <si>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</si>
  <si>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</si>
  <si>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</si>
  <si>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</si>
  <si>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</si>
  <si>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</si>
  <si>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</si>
  <si>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</si>
  <si>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</si>
  <si>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</si>
  <si>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</si>
  <si>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</si>
  <si>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</si>
  <si>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</si>
  <si>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</si>
  <si>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</si>
  <si>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</si>
  <si>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</si>
  <si>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</si>
  <si>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</si>
  <si>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</si>
  <si>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</si>
  <si>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</si>
  <si>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</si>
  <si>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</si>
  <si>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</si>
  <si>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</si>
  <si>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</si>
  <si>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</si>
  <si>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</si>
  <si>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</si>
  <si>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</si>
  <si>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</si>
  <si>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</si>
  <si>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</si>
  <si>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</si>
  <si>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</si>
  <si>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</si>
  <si>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</si>
  <si>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</si>
  <si>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</si>
  <si>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</si>
  <si>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</si>
  <si>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</si>
  <si>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</si>
  <si>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</si>
  <si>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</si>
  <si>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</si>
  <si>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</si>
  <si>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</si>
  <si>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</si>
  <si>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</si>
  <si>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</si>
  <si>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</si>
  <si>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</si>
  <si>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</si>
  <si>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</si>
  <si>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</si>
  <si>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</si>
  <si>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</si>
  <si>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</si>
  <si>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</si>
  <si>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</si>
  <si>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</si>
  <si>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</si>
  <si>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</si>
  <si>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</si>
  <si>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</si>
  <si>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</si>
  <si>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</si>
  <si>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</si>
  <si>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</si>
  <si>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</si>
  <si>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</si>
  <si>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</si>
  <si>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</si>
  <si>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</si>
  <si>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</si>
  <si>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</si>
  <si>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</si>
  <si>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</si>
  <si>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</si>
  <si>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</si>
  <si>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</si>
  <si>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</si>
  <si>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</si>
  <si>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</si>
  <si>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</si>
  <si>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</si>
  <si>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</si>
  <si>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</si>
  <si>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</si>
  <si>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</si>
  <si>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</si>
  <si>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</si>
  <si>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</si>
  <si>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</si>
  <si>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</si>
  <si>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</si>
  <si>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</si>
  <si>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</si>
  <si>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</si>
  <si>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</si>
  <si>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</si>
  <si>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</si>
  <si>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</si>
  <si>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</si>
  <si>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</si>
  <si>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</si>
  <si>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</si>
  <si>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</si>
  <si>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</si>
  <si>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</si>
  <si>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</si>
  <si>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</si>
  <si>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</si>
  <si>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</si>
  <si>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</si>
  <si>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</si>
  <si>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</si>
  <si>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</si>
  <si>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</si>
  <si>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</si>
  <si>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</si>
  <si>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</si>
  <si>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</si>
  <si>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</si>
  <si>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</si>
  <si>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</si>
  <si>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</si>
  <si>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</si>
  <si>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</si>
  <si>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</si>
  <si>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</si>
  <si>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</si>
  <si>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</si>
  <si>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</si>
  <si>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</si>
  <si>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</si>
  <si>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</si>
  <si>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</si>
  <si>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</si>
  <si>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</si>
  <si>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</si>
  <si>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</si>
  <si>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</si>
  <si>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</si>
  <si>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</si>
  <si>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</si>
  <si>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</si>
  <si>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</si>
  <si>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</si>
  <si>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</si>
  <si>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</si>
  <si>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</si>
  <si>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</si>
  <si>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</si>
  <si>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</si>
  <si>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</si>
  <si>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</si>
  <si>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</si>
  <si>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</si>
  <si>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</si>
  <si>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</si>
  <si>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</si>
  <si>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</si>
  <si>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</si>
  <si>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</si>
  <si>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</si>
  <si>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</si>
  <si>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</si>
  <si>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</si>
  <si>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</si>
  <si>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</si>
  <si>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</si>
  <si>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</si>
  <si>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</si>
  <si>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</si>
  <si>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</si>
  <si>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</si>
  <si>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</si>
  <si>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</si>
  <si>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</si>
  <si>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</si>
  <si>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</si>
  <si>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</si>
  <si>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</si>
  <si>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</si>
  <si>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</si>
  <si>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</si>
  <si>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</si>
  <si>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</si>
  <si>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</si>
  <si>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</si>
  <si>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</si>
  <si>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</si>
  <si>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</si>
  <si>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</si>
  <si>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</si>
  <si>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</si>
  <si>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</si>
  <si>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</si>
  <si>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</si>
  <si>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</si>
  <si>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</si>
  <si>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</si>
  <si>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</si>
  <si>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</si>
  <si>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</si>
  <si>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</si>
  <si>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</si>
  <si>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</si>
  <si>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</si>
  <si>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</si>
  <si>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</si>
  <si>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</si>
  <si>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</si>
  <si>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</si>
  <si>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</si>
  <si>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</si>
  <si>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</si>
  <si>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</si>
  <si>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</si>
  <si>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</si>
  <si>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</si>
  <si>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</si>
  <si>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</si>
  <si>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</si>
  <si>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</si>
  <si>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</si>
  <si>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</si>
  <si>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</si>
  <si>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</si>
  <si>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</si>
  <si>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</si>
  <si>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</si>
  <si>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</si>
  <si>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</si>
  <si>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</si>
  <si>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</si>
  <si>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</si>
  <si>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</si>
  <si>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</si>
  <si>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</si>
  <si>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</si>
  <si>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</si>
  <si>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</si>
  <si>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</si>
  <si>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</si>
  <si>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</si>
  <si>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</si>
  <si>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</si>
  <si>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</si>
  <si>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</si>
  <si>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</si>
  <si>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</si>
  <si>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</si>
  <si>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</si>
  <si>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</si>
  <si>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</si>
  <si>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</si>
  <si>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</si>
  <si>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</si>
  <si>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</si>
  <si>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</si>
  <si>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</si>
  <si>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</si>
  <si>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</si>
  <si>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</si>
  <si>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</si>
  <si>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</si>
  <si>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</si>
  <si>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</si>
  <si>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</si>
  <si>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</si>
  <si>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</si>
  <si>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</si>
  <si>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</si>
  <si>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</si>
  <si>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</si>
  <si>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</si>
  <si>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</si>
  <si>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</si>
  <si>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</si>
  <si>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</si>
  <si>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</si>
  <si>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</si>
  <si>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</si>
  <si>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</si>
  <si>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</si>
  <si>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</si>
  <si>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</si>
  <si>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</si>
  <si>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</si>
  <si>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</si>
  <si>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</si>
  <si>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</si>
  <si>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</si>
  <si>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</si>
  <si>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</si>
  <si>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</si>
  <si>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</si>
  <si>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</si>
  <si>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</si>
  <si>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</si>
  <si>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</si>
  <si>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</si>
  <si>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</si>
  <si>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</si>
  <si>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</si>
  <si>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</si>
  <si>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</si>
  <si>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</si>
  <si>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</si>
  <si>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</si>
  <si>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</si>
  <si>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</si>
  <si>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</si>
  <si>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</si>
  <si>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</si>
  <si>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</si>
  <si>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</si>
  <si>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</si>
  <si>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</si>
  <si>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</si>
  <si>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</si>
  <si>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</si>
  <si>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</si>
  <si>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</si>
  <si>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</si>
  <si>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</si>
  <si>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</si>
  <si>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</si>
  <si>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</si>
  <si>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</si>
  <si>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</si>
  <si>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</si>
  <si>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</si>
  <si>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</si>
  <si>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</si>
  <si>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</si>
  <si>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</si>
  <si>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</si>
  <si>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</si>
  <si>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</si>
  <si>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</si>
  <si>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</si>
  <si>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</si>
  <si>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</si>
  <si>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</si>
  <si>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</si>
  <si>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</si>
  <si>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</si>
  <si>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</si>
  <si>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</si>
  <si>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</si>
  <si>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</si>
  <si>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</si>
  <si>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</si>
  <si>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</si>
  <si>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</si>
  <si>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</si>
  <si>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</si>
  <si>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</si>
  <si>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</si>
  <si>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</si>
  <si>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</si>
  <si>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</si>
  <si>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</si>
  <si>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</si>
  <si>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</si>
  <si>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</si>
  <si>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</si>
  <si>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</si>
  <si>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</si>
  <si>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</si>
  <si>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</si>
  <si>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</si>
  <si>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</si>
  <si>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</si>
  <si>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</si>
  <si>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</si>
  <si>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</si>
  <si>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</si>
  <si>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</si>
  <si>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</si>
  <si>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</si>
  <si>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</si>
  <si>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</si>
  <si>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</si>
  <si>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</si>
  <si>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</si>
  <si>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</si>
  <si>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</si>
  <si>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</si>
  <si>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</si>
  <si>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</si>
  <si>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</si>
  <si>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</si>
  <si>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</si>
  <si>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</si>
  <si>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</si>
  <si>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</si>
  <si>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</si>
  <si>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</si>
  <si>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</si>
  <si>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</si>
  <si>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</si>
  <si>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</si>
  <si>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</si>
  <si>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</si>
  <si>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</si>
  <si>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</si>
  <si>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</si>
  <si>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</si>
  <si>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</si>
  <si>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</si>
  <si>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</si>
  <si>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</si>
  <si>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</si>
  <si>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</si>
  <si>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</si>
  <si>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</si>
  <si>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</si>
  <si>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</si>
  <si>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</si>
  <si>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</si>
  <si>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</si>
  <si>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</si>
  <si>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</si>
  <si>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</si>
  <si>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</si>
  <si>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</si>
  <si>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</si>
  <si>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</si>
  <si>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</si>
  <si>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</si>
  <si>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</si>
  <si>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</si>
  <si>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</si>
  <si>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</si>
  <si>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</si>
  <si>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</si>
  <si>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</si>
  <si>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</si>
  <si>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</si>
  <si>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</si>
  <si>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</si>
  <si>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</si>
  <si>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</si>
  <si>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</si>
  <si>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</si>
  <si>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</si>
  <si>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</si>
  <si>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</si>
  <si>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</si>
  <si>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</si>
  <si>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</si>
  <si>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</si>
  <si>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</si>
  <si>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</si>
  <si>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</si>
  <si>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</si>
  <si>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</si>
  <si>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</si>
  <si>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</si>
  <si>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</si>
  <si>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</si>
  <si>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</si>
  <si>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</si>
  <si>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</si>
  <si>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</si>
  <si>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</si>
  <si>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</si>
  <si>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</si>
  <si>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</si>
  <si>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</si>
  <si>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</si>
  <si>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</si>
  <si>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</si>
  <si>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</si>
  <si>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</si>
  <si>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</si>
  <si>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</si>
  <si>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</si>
  <si>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</si>
  <si>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</si>
  <si>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</si>
  <si>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</si>
  <si>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</si>
  <si>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</si>
  <si>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</si>
  <si>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</si>
  <si>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</si>
  <si>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</si>
  <si>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</si>
  <si>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</si>
  <si>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</si>
  <si>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</si>
  <si>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</si>
  <si>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</si>
  <si>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</si>
  <si>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</si>
  <si>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</si>
  <si>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</si>
  <si>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</si>
  <si>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</si>
  <si>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</si>
  <si>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</si>
  <si>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</si>
  <si>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</si>
  <si>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</si>
  <si>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</si>
  <si>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</si>
  <si>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</si>
  <si>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</si>
  <si>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</si>
  <si>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</si>
  <si>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</si>
  <si>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</si>
  <si>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</si>
  <si>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</si>
  <si>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</si>
  <si>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</si>
  <si>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</si>
  <si>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</si>
  <si>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</si>
  <si>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</si>
  <si>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</si>
  <si>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</si>
  <si>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</si>
  <si>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</si>
  <si>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</si>
  <si>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</si>
  <si>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</si>
  <si>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</si>
  <si>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</si>
  <si>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</si>
  <si>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</si>
  <si>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</si>
  <si>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</si>
  <si>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</si>
  <si>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</si>
  <si>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</si>
  <si>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</si>
  <si>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</si>
  <si>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</si>
  <si>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</si>
  <si>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</si>
  <si>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</si>
  <si>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</si>
  <si>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</si>
  <si>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</si>
  <si>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</si>
  <si>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</si>
  <si>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</si>
  <si>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</si>
  <si>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</si>
  <si>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</si>
  <si>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</si>
  <si>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</si>
  <si>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</si>
  <si>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</si>
  <si>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</si>
  <si>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</si>
  <si>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</si>
  <si>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</si>
  <si>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</si>
  <si>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</si>
  <si>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</si>
  <si>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</si>
  <si>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</si>
  <si>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</si>
  <si>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</si>
  <si>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</si>
  <si>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</si>
  <si>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</si>
  <si>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</si>
  <si>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</si>
  <si>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</si>
  <si>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</si>
  <si>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</si>
  <si>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</si>
  <si>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</si>
  <si>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</si>
  <si>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</si>
  <si>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</si>
  <si>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</si>
  <si>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</si>
  <si>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</si>
  <si>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</si>
  <si>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</si>
  <si>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</si>
  <si>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</si>
  <si>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</si>
  <si>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</si>
  <si>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</si>
  <si>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</si>
  <si>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</si>
  <si>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</si>
  <si>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</si>
  <si>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</si>
  <si>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</si>
  <si>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</si>
  <si>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</si>
  <si>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</si>
  <si>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</si>
  <si>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</si>
  <si>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</si>
  <si>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</si>
  <si>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</si>
  <si>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</si>
  <si>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</si>
  <si>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</si>
  <si>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</si>
  <si>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</si>
  <si>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</si>
  <si>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</si>
  <si>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</si>
  <si>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</si>
  <si>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</si>
  <si>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</si>
  <si>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</si>
  <si>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</si>
  <si>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</si>
  <si>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</si>
  <si>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</si>
  <si>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</si>
  <si>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</si>
  <si>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</si>
  <si>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</si>
  <si>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</si>
  <si>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</si>
  <si>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</si>
  <si>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</si>
  <si>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</si>
  <si>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</si>
  <si>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</si>
  <si>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</si>
  <si>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</si>
  <si>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</si>
  <si>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</si>
  <si>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</si>
  <si>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</si>
  <si>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</si>
  <si>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</si>
  <si>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</si>
  <si>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</si>
  <si>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</si>
  <si>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</si>
  <si>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</si>
  <si>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</si>
  <si>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</si>
  <si>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</si>
  <si>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</si>
  <si>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</si>
  <si>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</si>
  <si>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</si>
  <si>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</si>
  <si>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</si>
  <si>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</si>
  <si>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</si>
  <si>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</si>
  <si>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</si>
  <si>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</si>
  <si>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</si>
  <si>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</si>
  <si>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</si>
  <si>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</si>
  <si>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</si>
  <si>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</si>
  <si>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</si>
  <si>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</si>
  <si>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</si>
  <si>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</si>
  <si>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</si>
  <si>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</si>
  <si>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</si>
  <si>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</si>
  <si>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</si>
  <si>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</si>
  <si>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</si>
  <si>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</si>
  <si>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</si>
  <si>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</si>
  <si>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</si>
  <si>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</si>
  <si>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</si>
  <si>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</si>
  <si>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</si>
  <si>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</si>
  <si>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</si>
  <si>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</si>
  <si>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</si>
  <si>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</si>
  <si>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</si>
  <si>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</si>
  <si>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</si>
  <si>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</si>
  <si>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</si>
  <si>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</si>
  <si>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</si>
  <si>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</si>
  <si>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</si>
  <si>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</si>
  <si>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</si>
  <si>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</si>
  <si>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</si>
  <si>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</si>
  <si>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</si>
  <si>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</si>
  <si>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</si>
  <si>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</si>
  <si>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</si>
  <si>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</si>
  <si>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</si>
  <si>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</si>
  <si>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</si>
  <si>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</si>
  <si>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</si>
  <si>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</si>
  <si>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</si>
  <si>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</si>
  <si>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</si>
  <si>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</si>
  <si>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</si>
  <si>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</si>
  <si>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</si>
  <si>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</si>
  <si>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</si>
  <si>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</si>
  <si>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</si>
  <si>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</si>
  <si>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</si>
  <si>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</si>
  <si>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</si>
  <si>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</si>
  <si>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</si>
  <si>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</si>
  <si>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</si>
  <si>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</si>
  <si>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</si>
  <si>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</si>
  <si>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</si>
  <si>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</si>
  <si>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</si>
  <si>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</si>
  <si>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</si>
  <si>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</si>
  <si>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</si>
  <si>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</si>
  <si>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</si>
  <si>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</si>
  <si>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</si>
  <si>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</si>
  <si>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</si>
  <si>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</si>
  <si>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</si>
  <si>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</si>
  <si>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</si>
  <si>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</si>
  <si>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</si>
  <si>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</si>
  <si>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</si>
  <si>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</si>
  <si>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</si>
  <si>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</si>
  <si>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</si>
  <si>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</si>
  <si>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</si>
  <si>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</si>
  <si>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</si>
  <si>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</si>
  <si>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</si>
  <si>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</si>
  <si>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</si>
  <si>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</si>
  <si>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</si>
  <si>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</si>
  <si>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</si>
  <si>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</si>
  <si>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</si>
  <si>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</si>
  <si>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</si>
  <si>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</si>
  <si>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</si>
  <si>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</si>
  <si>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</si>
  <si>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</si>
  <si>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</si>
  <si>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</si>
  <si>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</si>
  <si>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</si>
  <si>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</si>
  <si>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</si>
  <si>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</si>
  <si>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</si>
  <si>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</si>
  <si>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</si>
  <si>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</si>
  <si>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</si>
  <si>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</si>
  <si>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</si>
  <si>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</si>
  <si>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</si>
  <si>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</si>
  <si>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</si>
  <si>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</si>
  <si>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</si>
  <si>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</si>
  <si>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</si>
  <si>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</si>
  <si>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</si>
  <si>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</si>
  <si>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</si>
  <si>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</si>
  <si>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</si>
  <si>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</si>
  <si>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</si>
  <si>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</si>
  <si>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</si>
  <si>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</si>
  <si>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</si>
  <si>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</si>
  <si>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</si>
  <si>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</si>
  <si>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</si>
  <si>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</si>
  <si>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</si>
  <si>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</si>
  <si>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</si>
  <si>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</si>
  <si>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</si>
  <si>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</si>
  <si>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</si>
  <si>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</si>
  <si>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</si>
  <si>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</si>
  <si>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</si>
  <si>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</si>
  <si>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</si>
  <si>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</si>
  <si>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</si>
  <si>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</si>
  <si>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</si>
  <si>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</si>
  <si>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</si>
  <si>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</si>
  <si>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</si>
  <si>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</si>
  <si>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</si>
  <si>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</si>
  <si>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</si>
  <si>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</si>
  <si>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</si>
  <si>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</si>
  <si>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</si>
  <si>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</si>
  <si>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</si>
  <si>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</si>
  <si>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</si>
  <si>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</si>
  <si>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</si>
  <si>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</si>
  <si>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</si>
  <si>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</si>
  <si>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</si>
  <si>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</si>
  <si>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</si>
  <si>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</si>
  <si>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</si>
  <si>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</si>
  <si>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</si>
  <si>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</si>
  <si>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</si>
  <si>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</si>
  <si>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</si>
  <si>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</si>
  <si>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</si>
  <si>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</si>
  <si>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</si>
  <si>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</si>
  <si>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</si>
  <si>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</si>
  <si>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</si>
  <si>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</si>
  <si>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</si>
  <si>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</si>
  <si>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</si>
  <si>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</si>
  <si>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</si>
  <si>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</si>
  <si>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</si>
  <si>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</si>
  <si>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</si>
  <si>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</si>
  <si>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</si>
  <si>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</si>
  <si>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</si>
  <si>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</si>
  <si>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</si>
  <si>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</si>
  <si>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</si>
  <si>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</si>
  <si>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</si>
  <si>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</si>
  <si>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</si>
  <si>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</si>
  <si>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</si>
  <si>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</si>
  <si>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</si>
  <si>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</si>
  <si>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</si>
  <si>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</si>
  <si>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</si>
  <si>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</si>
  <si>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</si>
  <si>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</si>
  <si>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</si>
  <si>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</si>
  <si>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</si>
  <si>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</si>
  <si>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</si>
  <si>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</si>
  <si>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</si>
  <si>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</si>
  <si>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</si>
  <si>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</si>
  <si>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</si>
  <si>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</si>
  <si>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</si>
  <si>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</si>
  <si>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</si>
  <si>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</si>
  <si>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</si>
  <si>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</si>
  <si>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</si>
  <si>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</si>
  <si>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</si>
  <si>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</si>
  <si>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</si>
  <si>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</si>
  <si>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</si>
  <si>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</si>
  <si>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</si>
  <si>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</si>
  <si>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</si>
  <si>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</si>
  <si>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</si>
  <si>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</si>
  <si>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</si>
  <si>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</si>
  <si>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</si>
  <si>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</si>
  <si>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</si>
  <si>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</si>
  <si>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</si>
  <si>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</si>
  <si>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</si>
  <si>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</si>
  <si>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</si>
  <si>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</si>
  <si>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</si>
  <si>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</si>
  <si>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</si>
  <si>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</si>
  <si>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</si>
  <si>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</si>
  <si>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</si>
  <si>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</si>
  <si>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</si>
  <si>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</si>
  <si>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</si>
  <si>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</si>
  <si>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</si>
  <si>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</si>
  <si>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</si>
  <si>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</si>
  <si>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</si>
  <si>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</si>
  <si>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</si>
  <si>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</si>
  <si>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</si>
  <si>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</si>
  <si>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</si>
  <si>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</si>
  <si>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</si>
  <si>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</si>
  <si>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</si>
  <si>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</si>
  <si>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</si>
  <si>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</si>
  <si>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</si>
  <si>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</si>
  <si>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</si>
  <si>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</si>
  <si>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</si>
  <si>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</si>
  <si>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</si>
  <si>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</si>
  <si>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</si>
  <si>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</si>
  <si>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</si>
  <si>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</si>
  <si>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</si>
  <si>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</si>
  <si>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</si>
  <si>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</si>
  <si>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</si>
  <si>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</si>
  <si>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</si>
  <si>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</si>
  <si>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</si>
  <si>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</si>
  <si>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</si>
  <si>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</si>
  <si>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</si>
  <si>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</si>
  <si>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</si>
  <si>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</si>
  <si>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</si>
  <si>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</si>
  <si>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</si>
  <si>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</si>
  <si>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</si>
  <si>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</si>
  <si>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</si>
  <si>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</si>
  <si>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</si>
  <si>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</si>
  <si>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</si>
  <si>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</si>
  <si>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</si>
  <si>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</si>
  <si>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</si>
  <si>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</si>
  <si>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</si>
  <si>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</si>
  <si>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</si>
  <si>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</si>
  <si>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</si>
  <si>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</si>
  <si>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</si>
  <si>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</si>
  <si>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</si>
  <si>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</si>
  <si>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</si>
  <si>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</si>
  <si>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</si>
  <si>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</si>
  <si>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</si>
  <si>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</si>
  <si>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</si>
  <si>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</si>
  <si>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</si>
  <si>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</si>
  <si>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</si>
  <si>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</si>
  <si>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</si>
  <si>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</si>
  <si>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</si>
  <si>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</si>
  <si>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</si>
  <si>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</si>
  <si>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</si>
  <si>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</si>
  <si>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</si>
  <si>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</si>
  <si>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</si>
  <si>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</si>
  <si>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</si>
  <si>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</si>
  <si>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</si>
  <si>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</si>
  <si>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</si>
  <si>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</si>
  <si>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</si>
  <si>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</si>
  <si>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</si>
  <si>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</si>
  <si>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</si>
  <si>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</si>
  <si>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</si>
  <si>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</si>
  <si>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</si>
  <si>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</si>
  <si>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</si>
  <si>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</si>
  <si>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</si>
  <si>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</si>
  <si>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</si>
  <si>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</si>
  <si>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</si>
  <si>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</si>
  <si>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</si>
  <si>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</si>
  <si>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</si>
  <si>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</si>
  <si>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</si>
  <si>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</si>
  <si>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</si>
  <si>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</si>
  <si>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</si>
  <si>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</si>
  <si>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</si>
  <si>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</si>
  <si>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</si>
  <si>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</si>
  <si>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</si>
  <si>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</si>
  <si>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</si>
  <si>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</si>
  <si>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</si>
  <si>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</si>
  <si>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</si>
  <si>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</si>
  <si>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</si>
  <si>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</si>
  <si>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</si>
  <si>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</si>
  <si>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</si>
  <si>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</si>
  <si>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</si>
  <si>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</si>
  <si>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</si>
  <si>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</si>
  <si>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</si>
  <si>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</si>
  <si>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</si>
  <si>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</si>
  <si>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</si>
  <si>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</si>
  <si>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</si>
  <si>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</si>
  <si>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</si>
  <si>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</si>
  <si>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</si>
  <si>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</si>
  <si>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</si>
  <si>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</si>
  <si>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</si>
  <si>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</si>
  <si>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</si>
  <si>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</si>
  <si>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</si>
  <si>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</si>
  <si>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</si>
  <si>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</si>
  <si>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</si>
  <si>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</si>
  <si>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</si>
  <si>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</si>
  <si>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</si>
  <si>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</si>
  <si>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</si>
  <si>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</si>
  <si>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</si>
  <si>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</si>
  <si>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</si>
  <si>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</si>
  <si>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</si>
  <si>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</si>
  <si>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</si>
  <si>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</si>
  <si>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</si>
  <si>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</si>
  <si>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</si>
  <si>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</si>
  <si>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</si>
  <si>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</si>
  <si>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</si>
  <si>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</si>
  <si>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</si>
  <si>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</si>
  <si>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</si>
  <si>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</si>
  <si>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</si>
  <si>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</si>
  <si>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</si>
  <si>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</si>
  <si>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</si>
  <si>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</si>
  <si>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</si>
  <si>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</si>
  <si>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</si>
  <si>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</si>
  <si>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</si>
  <si>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</si>
  <si>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</si>
  <si>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</si>
  <si>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</si>
  <si>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</si>
  <si>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</si>
  <si>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</si>
  <si>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</si>
  <si>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</si>
  <si>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</si>
  <si>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</si>
  <si>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</si>
  <si>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</si>
  <si>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</si>
  <si>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</si>
  <si>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</si>
  <si>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</si>
  <si>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</si>
  <si>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</si>
  <si>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</si>
  <si>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</si>
  <si>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</si>
  <si>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</si>
  <si>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</si>
  <si>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</si>
  <si>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</si>
  <si>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</si>
  <si>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</si>
  <si>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</si>
  <si>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</si>
  <si>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</si>
  <si>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</si>
  <si>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</si>
  <si>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</si>
  <si>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</si>
  <si>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</si>
  <si>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</si>
  <si>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</si>
  <si>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</si>
  <si>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</si>
  <si>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</si>
  <si>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</si>
  <si>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</si>
  <si>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</si>
  <si>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</si>
  <si>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</si>
  <si>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</si>
  <si>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</si>
  <si>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</si>
  <si>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</si>
  <si>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</si>
  <si>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</si>
  <si>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</si>
  <si>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</si>
  <si>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</si>
  <si>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</si>
  <si>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</si>
  <si>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</si>
  <si>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</si>
  <si>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</si>
  <si>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</si>
  <si>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</si>
  <si>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</si>
  <si>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</si>
  <si>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</si>
  <si>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</si>
  <si>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</si>
  <si>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</si>
  <si>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</si>
  <si>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</si>
  <si>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</si>
  <si>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</si>
  <si>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</si>
  <si>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</si>
  <si>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</si>
  <si>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</si>
  <si>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</si>
  <si>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</si>
  <si>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</si>
  <si>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</si>
  <si>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</si>
  <si>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</si>
  <si>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</si>
  <si>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</si>
  <si>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</si>
  <si>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</si>
  <si>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</si>
  <si>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</si>
  <si>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</si>
  <si>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</si>
  <si>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</si>
  <si>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</si>
  <si>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</si>
  <si>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</si>
  <si>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</si>
  <si>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</si>
  <si>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</si>
  <si>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</si>
  <si>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</si>
  <si>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</si>
  <si>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</si>
  <si>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</si>
  <si>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</si>
  <si>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</si>
  <si>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</si>
  <si>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</si>
  <si>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</si>
  <si>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</si>
  <si>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</si>
  <si>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</si>
  <si>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</si>
  <si>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</si>
  <si>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</si>
  <si>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</si>
  <si>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</si>
  <si>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</si>
  <si>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</si>
  <si>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</si>
  <si>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</si>
  <si>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</si>
  <si>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</si>
  <si>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</si>
  <si>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</si>
  <si>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</si>
  <si>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</si>
  <si>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</si>
  <si>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</si>
  <si>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</si>
  <si>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</si>
  <si>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</si>
  <si>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</si>
  <si>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</si>
  <si>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</si>
  <si>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</si>
  <si>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</si>
  <si>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</si>
  <si>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</si>
  <si>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</si>
  <si>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</si>
  <si>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</si>
  <si>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</si>
  <si>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</si>
  <si>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</si>
  <si>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</si>
  <si>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</si>
  <si>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</si>
  <si>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</si>
  <si>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</si>
  <si>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</si>
  <si>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</si>
  <si>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</si>
  <si>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</si>
  <si>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</si>
  <si>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</si>
  <si>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</si>
  <si>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</si>
  <si>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</si>
  <si>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</si>
  <si>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</si>
  <si>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</si>
  <si>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</si>
  <si>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</si>
  <si>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</si>
  <si>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</si>
  <si>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</si>
  <si>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</si>
  <si>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</si>
  <si>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</si>
  <si>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</si>
  <si>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</si>
  <si>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</si>
  <si>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</si>
  <si>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</si>
  <si>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</si>
  <si>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</si>
  <si>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</si>
  <si>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</si>
  <si>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</si>
  <si>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</si>
  <si>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</si>
  <si>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</si>
  <si>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</si>
  <si>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</si>
  <si>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</si>
  <si>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</si>
  <si>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</si>
  <si>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</si>
  <si>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</si>
  <si>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</si>
  <si>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</si>
  <si>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</si>
  <si>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</si>
  <si>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</si>
  <si>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</si>
  <si>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</si>
  <si>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</si>
  <si>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</si>
  <si>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</si>
  <si>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</si>
  <si>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</si>
  <si>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</si>
  <si>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</si>
  <si>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</si>
  <si>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</si>
  <si>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</si>
  <si>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</si>
  <si>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</si>
  <si>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</si>
  <si>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</si>
  <si>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</si>
  <si>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</si>
  <si>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</si>
  <si>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</si>
  <si>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</si>
  <si>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</si>
  <si>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</si>
  <si>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</si>
  <si>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</si>
  <si>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</si>
  <si>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</si>
  <si>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</si>
  <si>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</si>
  <si>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</si>
  <si>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</si>
  <si>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</si>
  <si>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</si>
  <si>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</si>
  <si>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</si>
  <si>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</si>
  <si>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</si>
  <si>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</si>
  <si>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</si>
  <si>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</si>
  <si>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</si>
  <si>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</si>
  <si>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</si>
  <si>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</si>
  <si>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</si>
  <si>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</si>
  <si>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</si>
  <si>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</si>
  <si>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</si>
  <si>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</si>
  <si>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</si>
  <si>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</si>
  <si>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</si>
  <si>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</si>
  <si>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</si>
  <si>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</si>
  <si>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</si>
  <si>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</si>
  <si>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</si>
  <si>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</si>
  <si>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</si>
  <si>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</si>
  <si>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</si>
  <si>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</si>
  <si>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</si>
  <si>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</si>
  <si>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</si>
  <si>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</si>
  <si>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</si>
  <si>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</si>
  <si>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</si>
  <si>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</si>
  <si>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</si>
  <si>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</si>
  <si>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</si>
  <si>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</si>
  <si>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</si>
  <si>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</si>
  <si>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</si>
  <si>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</si>
  <si>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</si>
  <si>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</si>
  <si>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</si>
  <si>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</si>
  <si>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</si>
  <si>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</si>
  <si>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</si>
  <si>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</si>
  <si>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</si>
  <si>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</si>
  <si>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</si>
  <si>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</si>
  <si>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</si>
  <si>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</si>
  <si>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</si>
  <si>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</si>
  <si>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</si>
  <si>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</si>
  <si>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</si>
  <si>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</si>
  <si>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</si>
  <si>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</si>
  <si>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</si>
  <si>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</si>
  <si>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</si>
  <si>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</si>
  <si>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</si>
  <si>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</si>
  <si>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</si>
  <si>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</si>
  <si>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</si>
  <si>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</si>
  <si>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</si>
  <si>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</si>
  <si>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</si>
  <si>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</si>
  <si>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</si>
  <si>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</si>
  <si>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</si>
  <si>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</si>
  <si>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</si>
  <si>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</si>
  <si>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</si>
  <si>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</si>
  <si>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</si>
  <si>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</si>
  <si>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</si>
  <si>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</si>
  <si>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</si>
  <si>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</si>
  <si>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</si>
  <si>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</si>
  <si>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</si>
  <si>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</si>
  <si>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</si>
  <si>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</si>
  <si>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</si>
  <si>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</si>
  <si>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</si>
  <si>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</si>
  <si>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</si>
  <si>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</si>
  <si>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</si>
  <si>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</si>
  <si>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</si>
  <si>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</si>
  <si>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</si>
  <si>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</si>
  <si>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</si>
  <si>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</si>
  <si>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</si>
  <si>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</si>
  <si>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</si>
  <si>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</si>
  <si>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</si>
  <si>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</si>
  <si>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</si>
  <si>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</si>
  <si>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</si>
  <si>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</si>
  <si>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</si>
  <si>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</si>
  <si>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</si>
  <si>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</si>
  <si>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</si>
  <si>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</si>
  <si>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</si>
  <si>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</si>
  <si>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</si>
  <si>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</si>
  <si>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</si>
  <si>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</si>
  <si>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</si>
  <si>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</si>
  <si>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</si>
  <si>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</si>
  <si>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</si>
  <si>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</si>
  <si>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</si>
  <si>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</si>
  <si>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</si>
  <si>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</si>
  <si>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</si>
  <si>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</si>
  <si>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</si>
  <si>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</si>
  <si>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</si>
  <si>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</si>
  <si>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</si>
  <si>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</si>
  <si>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</si>
  <si>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</si>
  <si>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</si>
  <si>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</si>
  <si>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</si>
  <si>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</si>
  <si>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</si>
  <si>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</si>
  <si>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</si>
  <si>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</si>
  <si>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</si>
  <si>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</si>
  <si>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</si>
  <si>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</si>
  <si>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</si>
  <si>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</si>
  <si>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</si>
  <si>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</si>
  <si>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</si>
  <si>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</si>
  <si>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</si>
  <si>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</si>
  <si>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</si>
  <si>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</si>
  <si>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</si>
  <si>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</si>
  <si>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</si>
  <si>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</si>
  <si>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</si>
  <si>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</si>
  <si>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</si>
  <si>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</si>
  <si>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</si>
  <si>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</si>
  <si>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</si>
  <si>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</si>
  <si>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</si>
  <si>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</si>
  <si>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</si>
  <si>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</si>
  <si>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</si>
  <si>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</si>
  <si>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</si>
  <si>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</si>
  <si>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</si>
  <si>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</si>
  <si>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</si>
  <si>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</si>
  <si>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</si>
  <si>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</si>
  <si>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</si>
  <si>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</si>
  <si>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</si>
  <si>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</si>
  <si>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</si>
  <si>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</si>
  <si>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</si>
  <si>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</si>
  <si>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</si>
  <si>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</si>
  <si>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</si>
  <si>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</si>
  <si>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</si>
  <si>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</si>
  <si>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</si>
  <si>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</si>
  <si>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</si>
  <si>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</si>
  <si>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</si>
  <si>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</si>
  <si>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</si>
  <si>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</si>
  <si>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</si>
  <si>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</si>
  <si>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</si>
  <si>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</si>
  <si>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</si>
  <si>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</si>
  <si>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</si>
  <si>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</si>
  <si>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</si>
  <si>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</si>
  <si>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</si>
  <si>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</si>
  <si>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</si>
  <si>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</si>
  <si>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</si>
  <si>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</si>
  <si>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</si>
  <si>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</si>
  <si>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</si>
  <si>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</si>
  <si>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</si>
  <si>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</si>
  <si>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</si>
  <si>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</si>
  <si>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</si>
  <si>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</si>
  <si>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</si>
  <si>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</si>
  <si>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</si>
  <si>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</si>
  <si>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</si>
  <si>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</si>
  <si>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</si>
  <si>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</si>
  <si>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</si>
  <si>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</si>
  <si>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</si>
  <si>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</si>
  <si>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</si>
  <si>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</si>
  <si>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</si>
  <si>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</si>
  <si>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</si>
  <si>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</si>
  <si>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</si>
  <si>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</si>
  <si>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</si>
  <si>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</si>
  <si>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</si>
  <si>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</si>
  <si>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</si>
  <si>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</si>
  <si>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</si>
  <si>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</si>
  <si>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</si>
  <si>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</si>
  <si>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</si>
  <si>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</si>
  <si>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</si>
  <si>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</si>
  <si>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</si>
  <si>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</si>
  <si>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</si>
  <si>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</si>
  <si>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</si>
  <si>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</si>
  <si>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</si>
  <si>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</si>
  <si>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</si>
  <si>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</si>
  <si>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</si>
  <si>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</si>
  <si>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</si>
  <si>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</si>
  <si>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</si>
  <si>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</si>
  <si>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</si>
  <si>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</si>
  <si>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</si>
  <si>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</si>
  <si>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</si>
  <si>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</si>
  <si>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</si>
  <si>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</si>
  <si>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</si>
  <si>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</si>
  <si>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</si>
  <si>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</si>
  <si>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</si>
  <si>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</si>
  <si>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</si>
  <si>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</si>
  <si>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</si>
  <si>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</si>
  <si>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</si>
  <si>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</si>
  <si>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</si>
  <si>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</si>
  <si>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</si>
  <si>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</si>
  <si>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</si>
  <si>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</si>
  <si>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</si>
  <si>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</si>
  <si>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</si>
  <si>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</si>
  <si>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</si>
  <si>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</si>
  <si>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</si>
  <si>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</si>
  <si>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</si>
  <si>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</si>
  <si>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</si>
  <si>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</si>
  <si>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</si>
  <si>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</si>
  <si>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</si>
  <si>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</si>
  <si>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</si>
  <si>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</si>
  <si>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</si>
  <si>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</si>
  <si>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</si>
  <si>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</si>
  <si>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</si>
  <si>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</si>
  <si>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</si>
  <si>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</si>
  <si>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</si>
  <si>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</si>
  <si>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</si>
  <si>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</si>
  <si>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</si>
  <si>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</si>
  <si>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</si>
  <si>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</si>
  <si>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</si>
  <si>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</si>
  <si>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</si>
  <si>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</si>
  <si>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</si>
  <si>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</si>
  <si>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</si>
  <si>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</si>
  <si>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</si>
  <si>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</si>
  <si>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</si>
  <si>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</si>
  <si>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</si>
  <si>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</si>
  <si>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</si>
  <si>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</si>
  <si>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</si>
  <si>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</si>
  <si>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</si>
  <si>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</si>
  <si>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</si>
  <si>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</si>
  <si>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</si>
  <si>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</si>
  <si>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</si>
  <si>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</si>
  <si>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</si>
  <si>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</si>
  <si>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</si>
  <si>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</si>
  <si>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</si>
  <si>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</si>
  <si>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</si>
  <si>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</si>
  <si>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</si>
  <si>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</si>
  <si>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</si>
  <si>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</si>
  <si>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</si>
  <si>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</si>
  <si>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</si>
  <si>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</si>
  <si>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</si>
  <si>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</si>
  <si>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</si>
  <si>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</si>
  <si>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</si>
  <si>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</si>
  <si>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</si>
  <si>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</si>
  <si>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</si>
  <si>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</si>
  <si>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</si>
  <si>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</si>
  <si>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</si>
  <si>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</si>
  <si>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</si>
  <si>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</si>
  <si>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</si>
  <si>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</si>
  <si>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</si>
  <si>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</si>
  <si>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</si>
  <si>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</si>
  <si>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</si>
  <si>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</si>
  <si>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</si>
  <si>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</si>
  <si>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</si>
  <si>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</si>
  <si>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</si>
  <si>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</si>
  <si>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</si>
  <si>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</si>
  <si>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</si>
  <si>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</si>
  <si>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</si>
  <si>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</si>
  <si>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</si>
  <si>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</si>
  <si>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</si>
  <si>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</si>
  <si>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</si>
  <si>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</si>
  <si>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</si>
  <si>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</si>
  <si>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</si>
  <si>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</si>
  <si>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</si>
  <si>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</si>
  <si>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</si>
  <si>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</si>
  <si>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</si>
  <si>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</si>
  <si>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</si>
  <si>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</si>
  <si>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</si>
  <si>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</si>
  <si>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</si>
  <si>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</si>
  <si>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</si>
  <si>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</si>
  <si>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</si>
  <si>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</si>
  <si>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</si>
  <si>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</si>
  <si>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</si>
  <si>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</si>
  <si>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</si>
  <si>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</si>
  <si>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</si>
  <si>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</si>
  <si>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</si>
  <si>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</si>
  <si>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</si>
  <si>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</si>
  <si>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</si>
  <si>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</si>
  <si>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</si>
  <si>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</si>
  <si>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</si>
  <si>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</si>
  <si>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</si>
  <si>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</si>
  <si>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</si>
  <si>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</si>
  <si>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</si>
  <si>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</si>
  <si>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</si>
  <si>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</si>
  <si>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</si>
  <si>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</si>
  <si>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</si>
  <si>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</si>
  <si>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</si>
  <si>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</si>
  <si>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</si>
  <si>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</si>
  <si>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</si>
  <si>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</si>
  <si>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</si>
  <si>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</si>
  <si>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</si>
  <si>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</si>
  <si>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</si>
  <si>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</si>
  <si>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</si>
  <si>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</si>
  <si>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</si>
  <si>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</si>
  <si>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</si>
  <si>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</si>
  <si>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</si>
  <si>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</si>
  <si>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</si>
  <si>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</si>
  <si>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</si>
  <si>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</si>
  <si>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</si>
  <si>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</si>
  <si>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</si>
  <si>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</si>
  <si>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</si>
  <si>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</si>
  <si>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</si>
  <si>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</si>
  <si>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</si>
  <si>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</si>
  <si>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</si>
  <si>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</si>
  <si>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</si>
  <si>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</si>
  <si>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</si>
  <si>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</si>
  <si>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</si>
  <si>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</si>
  <si>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</si>
  <si>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</si>
  <si>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</si>
  <si>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</si>
  <si>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</si>
  <si>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</si>
  <si>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</si>
  <si>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</si>
  <si>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</si>
  <si>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</si>
  <si>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</si>
  <si>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</si>
  <si>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</si>
  <si>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</si>
  <si>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</si>
  <si>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</si>
  <si>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</si>
  <si>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</si>
  <si>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</si>
  <si>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</si>
  <si>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</si>
  <si>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</si>
  <si>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</si>
  <si>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</si>
  <si>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</si>
  <si>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</si>
  <si>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</si>
  <si>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</si>
  <si>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</si>
  <si>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</si>
  <si>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</si>
  <si>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</si>
  <si>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</si>
  <si>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</si>
  <si>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</si>
  <si>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</si>
  <si>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</si>
  <si>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</si>
  <si>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</si>
  <si>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</si>
  <si>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</si>
  <si>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</si>
  <si>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</si>
  <si>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</si>
  <si>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</si>
  <si>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</si>
  <si>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</si>
  <si>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</si>
  <si>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</si>
  <si>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</si>
  <si>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</si>
  <si>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</si>
  <si>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</si>
  <si>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</si>
  <si>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</si>
  <si>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</si>
  <si>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</si>
  <si>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</si>
  <si>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</si>
  <si>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</si>
  <si>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</si>
  <si>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</si>
  <si>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</si>
  <si>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</si>
  <si>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</si>
  <si>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</si>
  <si>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</si>
  <si>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</si>
  <si>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</si>
  <si>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</si>
  <si>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</si>
  <si>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</si>
  <si>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</si>
  <si>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</si>
  <si>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</si>
  <si>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</si>
  <si>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</si>
  <si>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</si>
  <si>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</si>
  <si>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</si>
  <si>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</si>
  <si>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</si>
  <si>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</si>
  <si>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</si>
  <si>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</si>
  <si>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</si>
  <si>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</si>
  <si>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</si>
  <si>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</si>
  <si>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</si>
  <si>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</si>
  <si>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</si>
  <si>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</si>
  <si>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</si>
  <si>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</si>
  <si>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</si>
  <si>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</si>
  <si>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</si>
  <si>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</si>
  <si>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</si>
  <si>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</si>
  <si>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</si>
  <si>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</si>
  <si>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</si>
  <si>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</si>
  <si>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</si>
  <si>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</si>
  <si>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</si>
  <si>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</si>
  <si>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</si>
  <si>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</si>
  <si>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</si>
  <si>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</si>
  <si>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</si>
  <si>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</si>
  <si>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</si>
  <si>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</si>
  <si>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</si>
  <si>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</si>
  <si>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</si>
  <si>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</si>
  <si>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</si>
  <si>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</si>
  <si>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</si>
  <si>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</si>
  <si>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</si>
  <si>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</si>
  <si>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</si>
  <si>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</si>
  <si>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</si>
  <si>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</si>
  <si>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</si>
  <si>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</si>
  <si>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</si>
  <si>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</si>
  <si>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</si>
  <si>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</si>
  <si>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</si>
  <si>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</si>
  <si>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</si>
  <si>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</si>
  <si>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</si>
  <si>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</si>
  <si>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</si>
  <si>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</si>
  <si>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</si>
  <si>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</si>
  <si>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</si>
  <si>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</si>
  <si>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</si>
  <si>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</si>
  <si>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</si>
  <si>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</si>
  <si>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</si>
  <si>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</si>
  <si>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</si>
  <si>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</si>
  <si>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</si>
  <si>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</si>
  <si>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</si>
  <si>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</si>
  <si>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</si>
  <si>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</si>
  <si>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</si>
  <si>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</si>
  <si>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</si>
  <si>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</si>
  <si>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</si>
  <si>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</si>
  <si>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</si>
  <si>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</si>
  <si>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</si>
  <si>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</si>
  <si>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</si>
  <si>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</si>
  <si>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</si>
  <si>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</si>
  <si>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</si>
  <si>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</si>
  <si>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</si>
  <si>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</si>
  <si>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</si>
  <si>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</si>
  <si>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</si>
  <si>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</si>
  <si>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</si>
  <si>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</si>
  <si>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</si>
  <si>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</si>
  <si>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</si>
  <si>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</si>
  <si>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</si>
  <si>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</si>
  <si>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</si>
  <si>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</si>
  <si>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</si>
  <si>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</si>
  <si>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</si>
  <si>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</si>
  <si>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</si>
  <si>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</si>
  <si>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</si>
  <si>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</si>
  <si>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</si>
  <si>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</si>
  <si>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</si>
  <si>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</si>
  <si>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</si>
  <si>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</si>
  <si>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</si>
  <si>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</si>
  <si>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</si>
  <si>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</si>
  <si>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</si>
  <si>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</si>
  <si>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</si>
  <si>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</si>
  <si>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</si>
  <si>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</si>
  <si>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</si>
  <si>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</si>
  <si>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</si>
  <si>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</si>
  <si>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</si>
  <si>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</si>
  <si>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</si>
  <si>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</si>
  <si>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</si>
  <si>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</si>
  <si>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</si>
  <si>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</si>
  <si>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</si>
  <si>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</si>
  <si>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</si>
  <si>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</si>
  <si>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</si>
  <si>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</si>
  <si>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</si>
  <si>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</si>
  <si>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</si>
  <si>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</si>
  <si>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</si>
  <si>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</si>
  <si>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</si>
  <si>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</si>
  <si>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</si>
  <si>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</si>
  <si>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</si>
  <si>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</si>
  <si>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</si>
  <si>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</si>
  <si>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</si>
  <si>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</si>
  <si>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</si>
  <si>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</si>
  <si>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</si>
  <si>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</si>
  <si>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</si>
  <si>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</si>
  <si>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</si>
  <si>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</si>
  <si>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</si>
  <si>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</si>
  <si>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</si>
  <si>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</si>
  <si>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</si>
  <si>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</si>
  <si>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</si>
  <si>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</si>
  <si>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</si>
  <si>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</si>
  <si>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</si>
  <si>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</si>
  <si>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</si>
  <si>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</si>
  <si>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</si>
  <si>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</si>
  <si>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</si>
  <si>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</si>
  <si>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</si>
  <si>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</si>
  <si>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</si>
  <si>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</si>
  <si>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</si>
  <si>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</si>
  <si>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</si>
  <si>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</si>
  <si>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</si>
  <si>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</si>
  <si>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</si>
  <si>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</si>
  <si>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</si>
  <si>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</si>
  <si>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</si>
  <si>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</si>
  <si>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</si>
  <si>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</si>
  <si>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</si>
  <si>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</si>
  <si>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</si>
  <si>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</si>
  <si>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</si>
  <si>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</si>
  <si>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</si>
  <si>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</si>
  <si>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</si>
  <si>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</si>
  <si>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</si>
  <si>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</si>
  <si>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</si>
  <si>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</si>
  <si>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</si>
  <si>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</si>
  <si>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</si>
  <si>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</si>
  <si>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</si>
  <si>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</si>
  <si>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</si>
  <si>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</si>
  <si>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</si>
  <si>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</si>
  <si>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</si>
  <si>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</si>
  <si>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</si>
  <si>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</si>
  <si>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</si>
  <si>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</si>
  <si>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</si>
  <si>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</si>
  <si>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</si>
  <si>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</si>
  <si>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</si>
  <si>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</si>
  <si>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</si>
  <si>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</si>
  <si>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</si>
  <si>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</si>
  <si>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</si>
  <si>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</si>
  <si>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</si>
  <si>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</si>
  <si>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</si>
  <si>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</si>
  <si>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</si>
  <si>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</si>
  <si>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</si>
  <si>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</si>
  <si>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</si>
  <si>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</si>
  <si>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</si>
  <si>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</si>
  <si>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</si>
  <si>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</si>
  <si>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</si>
  <si>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</si>
  <si>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</si>
  <si>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</si>
  <si>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</si>
  <si>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</si>
  <si>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</si>
  <si>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</si>
  <si>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</si>
  <si>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</si>
  <si>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</si>
  <si>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</si>
  <si>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</si>
  <si>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</si>
  <si>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</si>
  <si>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</si>
  <si>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</si>
  <si>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</si>
  <si>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</si>
  <si>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</si>
  <si>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</si>
  <si>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</si>
  <si>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</si>
  <si>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</si>
  <si>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</si>
  <si>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</si>
  <si>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</si>
  <si>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</si>
  <si>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</si>
  <si>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</si>
  <si>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</si>
  <si>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</si>
  <si>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</si>
  <si>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</si>
  <si>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</si>
  <si>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</si>
  <si>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</si>
  <si>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</si>
  <si>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</si>
  <si>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</si>
  <si>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</si>
  <si>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</si>
  <si>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</si>
  <si>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</si>
  <si>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</si>
  <si>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</si>
  <si>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</si>
  <si>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</si>
  <si>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</si>
  <si>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</si>
  <si>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</si>
  <si>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</si>
  <si>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</si>
  <si>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</si>
  <si>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</si>
  <si>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</si>
  <si>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</si>
  <si>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</si>
  <si>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</si>
  <si>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</si>
  <si>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</si>
  <si>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</si>
  <si>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</si>
  <si>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</si>
  <si>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</si>
  <si>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</si>
  <si>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</si>
  <si>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</si>
  <si>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</si>
  <si>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</si>
  <si>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</si>
  <si>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</si>
  <si>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</si>
  <si>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</si>
  <si>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</si>
  <si>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</si>
  <si>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</si>
  <si>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</si>
  <si>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</si>
  <si>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</si>
  <si>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</si>
  <si>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</si>
  <si>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</si>
  <si>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</si>
  <si>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</si>
  <si>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</si>
  <si>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</si>
  <si>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</si>
  <si>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</si>
  <si>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</si>
  <si>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</si>
  <si>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</si>
  <si>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</si>
  <si>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</si>
  <si>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</si>
  <si>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</si>
  <si>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</si>
  <si>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</si>
  <si>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</si>
  <si>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</si>
  <si>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</si>
  <si>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</si>
  <si>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</si>
  <si>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</si>
  <si>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</si>
  <si>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</si>
  <si>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</si>
  <si>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</si>
  <si>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</si>
  <si>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</si>
  <si>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</si>
  <si>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</si>
  <si>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</si>
  <si>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</si>
  <si>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</si>
  <si>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</si>
  <si>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</si>
  <si>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</si>
  <si>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</si>
  <si>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</si>
  <si>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</si>
  <si>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</si>
  <si>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</si>
  <si>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</si>
  <si>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</si>
  <si>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</si>
  <si>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</si>
  <si>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</si>
  <si>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</si>
  <si>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</si>
  <si>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</si>
  <si>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</si>
  <si>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</si>
  <si>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</si>
  <si>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</si>
  <si>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</si>
  <si>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</si>
  <si>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</si>
  <si>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</si>
  <si>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</si>
  <si>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</si>
  <si>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</si>
  <si>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</si>
  <si>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</si>
  <si>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</si>
  <si>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</si>
  <si>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</si>
  <si>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</si>
  <si>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</si>
  <si>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</si>
  <si>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</si>
  <si>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</si>
  <si>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</si>
  <si>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</si>
  <si>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</si>
  <si>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</si>
  <si>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</si>
  <si>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</si>
  <si>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</si>
  <si>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</si>
  <si>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</si>
  <si>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</si>
  <si>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</si>
  <si>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</si>
  <si>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</si>
  <si>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</si>
  <si>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</si>
  <si>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</si>
  <si>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</si>
  <si>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</si>
  <si>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</si>
  <si>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</si>
  <si>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</si>
  <si>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</si>
  <si>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</si>
  <si>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</si>
  <si>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</si>
  <si>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</si>
  <si>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</si>
  <si>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</si>
  <si>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</si>
  <si>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</si>
  <si>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</si>
  <si>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</si>
  <si>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</si>
  <si>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</si>
  <si>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</si>
  <si>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</si>
  <si>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</si>
  <si>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</si>
  <si>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</si>
  <si>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</si>
  <si>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</si>
  <si>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</si>
  <si>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</si>
  <si>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</si>
  <si>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</si>
  <si>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</si>
  <si>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</si>
  <si>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</si>
  <si>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</si>
  <si>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</si>
  <si>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</si>
  <si>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</si>
  <si>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</si>
  <si>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</si>
  <si>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</si>
  <si>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</si>
  <si>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</si>
  <si>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</si>
  <si>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</si>
  <si>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</si>
  <si>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</si>
  <si>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</si>
  <si>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</si>
  <si>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</si>
  <si>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</si>
  <si>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</si>
  <si>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</si>
  <si>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</si>
  <si>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</si>
  <si>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</si>
  <si>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</si>
  <si>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</si>
  <si>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</si>
  <si>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</si>
  <si>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</si>
  <si>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</si>
  <si>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</si>
  <si>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</si>
  <si>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</si>
  <si>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</si>
  <si>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</si>
  <si>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</si>
  <si>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</si>
  <si>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</si>
  <si>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</si>
  <si>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</si>
  <si>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</si>
  <si>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</si>
  <si>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</si>
  <si>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</si>
  <si>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</si>
  <si>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</si>
  <si>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</si>
  <si>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</si>
  <si>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</si>
  <si>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</si>
  <si>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</si>
  <si>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</si>
  <si>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</si>
  <si>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</si>
  <si>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</si>
  <si>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</si>
  <si>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</si>
  <si>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</si>
  <si>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</si>
  <si>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</si>
  <si>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</si>
  <si>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</si>
  <si>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</si>
  <si>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</si>
  <si>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</si>
  <si>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</si>
  <si>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</si>
  <si>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</si>
  <si>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</si>
  <si>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</si>
  <si>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</si>
  <si>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</si>
  <si>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</si>
  <si>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</si>
  <si>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</si>
  <si>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</si>
  <si>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</si>
  <si>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</si>
  <si>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</si>
  <si>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</si>
  <si>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</si>
  <si>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</si>
  <si>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</si>
  <si>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</si>
  <si>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</si>
  <si>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</si>
  <si>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</si>
  <si>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</si>
  <si>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</si>
  <si>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</si>
  <si>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</si>
  <si>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</si>
  <si>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</si>
  <si>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</si>
  <si>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</si>
  <si>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</si>
  <si>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</si>
  <si>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</si>
  <si>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</si>
  <si>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</si>
  <si>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</si>
  <si>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</si>
  <si>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</si>
  <si>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</si>
  <si>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</si>
  <si>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</si>
  <si>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</si>
  <si>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</si>
  <si>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</si>
  <si>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</si>
  <si>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</si>
  <si>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</si>
  <si>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</si>
  <si>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</si>
  <si>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</si>
  <si>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</si>
  <si>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</si>
  <si>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</si>
  <si>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</si>
  <si>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</si>
  <si>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</si>
  <si>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</si>
  <si>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</si>
  <si>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</si>
  <si>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</si>
  <si>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</si>
  <si>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</si>
  <si>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</si>
  <si>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</si>
  <si>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</si>
  <si>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</si>
  <si>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</si>
  <si>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</si>
  <si>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</si>
  <si>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</si>
  <si>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</si>
  <si>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</si>
  <si>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</si>
  <si>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</si>
  <si>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</si>
  <si>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</si>
  <si>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</si>
  <si>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</si>
  <si>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</si>
  <si>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</si>
  <si>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</si>
  <si>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</si>
  <si>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</si>
  <si>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</si>
  <si>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</si>
  <si>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</si>
  <si>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</si>
  <si>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</si>
  <si>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</si>
  <si>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</si>
  <si>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</si>
  <si>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</si>
  <si>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</si>
  <si>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</si>
  <si>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</si>
  <si>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</si>
  <si>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</si>
  <si>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</si>
  <si>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</si>
  <si>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</si>
  <si>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</si>
  <si>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</si>
  <si>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</si>
  <si>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</si>
  <si>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</si>
  <si>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</si>
  <si>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</si>
  <si>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</si>
  <si>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</si>
  <si>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</si>
  <si>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</si>
  <si>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</si>
  <si>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</si>
  <si>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</si>
  <si>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</si>
  <si>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</si>
  <si>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</si>
  <si>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</si>
  <si>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</si>
  <si>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</si>
  <si>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</si>
  <si>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</si>
  <si>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</si>
  <si>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</si>
  <si>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</si>
  <si>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</si>
  <si>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</si>
  <si>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</si>
  <si>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</si>
  <si>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</si>
  <si>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</si>
  <si>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</si>
  <si>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</si>
  <si>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</si>
  <si>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</si>
  <si>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</si>
  <si>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</si>
  <si>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</si>
  <si>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</si>
  <si>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</si>
  <si>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</si>
  <si>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</si>
  <si>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</si>
  <si>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</si>
  <si>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</si>
  <si>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</si>
  <si>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</si>
  <si>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</si>
  <si>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</si>
  <si>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</si>
  <si>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</si>
  <si>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</si>
  <si>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</si>
  <si>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</si>
  <si>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</si>
  <si>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</si>
  <si>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</si>
  <si>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</si>
  <si>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</si>
  <si>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</si>
  <si>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</si>
  <si>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</si>
  <si>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</si>
  <si>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</si>
  <si>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</si>
  <si>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</si>
  <si>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</si>
  <si>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</si>
  <si>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</si>
  <si>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</si>
  <si>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</si>
  <si>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</si>
  <si>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</si>
  <si>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</si>
  <si>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</si>
  <si>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</si>
  <si>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</si>
  <si>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</si>
  <si>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</si>
  <si>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</si>
  <si>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</si>
  <si>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</si>
  <si>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</si>
  <si>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</si>
  <si>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</si>
  <si>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</si>
  <si>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</si>
  <si>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</si>
  <si>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</si>
  <si>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</si>
  <si>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</si>
  <si>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</si>
  <si>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</si>
  <si>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</si>
  <si>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</si>
  <si>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</si>
  <si>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</si>
  <si>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</si>
  <si>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</si>
  <si>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</si>
  <si>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</si>
  <si>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</si>
  <si>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</si>
  <si>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</si>
  <si>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</si>
  <si>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</si>
  <si>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</si>
  <si>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</si>
  <si>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</si>
  <si>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</si>
  <si>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</si>
  <si>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</si>
  <si>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</si>
  <si>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</si>
  <si>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</si>
  <si>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</si>
  <si>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</si>
  <si>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</si>
  <si>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</si>
  <si>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</si>
  <si>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</si>
  <si>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</si>
  <si>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</si>
  <si>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</si>
  <si>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</si>
  <si>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</si>
  <si>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</si>
  <si>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</si>
  <si>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</si>
  <si>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</si>
  <si>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</si>
  <si>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</si>
  <si>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</si>
  <si>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</si>
  <si>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</si>
  <si>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</si>
  <si>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</si>
  <si>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</si>
  <si>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</si>
  <si>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</si>
  <si>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</si>
  <si>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</si>
  <si>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</si>
  <si>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</si>
  <si>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</si>
  <si>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</si>
  <si>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</si>
  <si>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</si>
  <si>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</si>
  <si>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</si>
  <si>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</si>
  <si>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</si>
  <si>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</si>
  <si>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</si>
  <si>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</si>
  <si>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</si>
  <si>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</si>
  <si>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</si>
  <si>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</si>
  <si>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</si>
  <si>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</si>
  <si>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</si>
  <si>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</si>
  <si>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</si>
  <si>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</si>
  <si>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</si>
  <si>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</si>
  <si>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</si>
  <si>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</si>
  <si>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</si>
  <si>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</si>
  <si>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</si>
  <si>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</si>
  <si>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</si>
  <si>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</si>
  <si>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</si>
  <si>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</si>
  <si>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</si>
  <si>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</si>
  <si>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</si>
  <si>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</si>
  <si>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</si>
  <si>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</si>
  <si>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</si>
  <si>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</si>
  <si>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</si>
  <si>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</si>
  <si>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</si>
  <si>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</si>
  <si>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</si>
  <si>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</si>
  <si>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</si>
  <si>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</si>
  <si>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</si>
  <si>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</si>
  <si>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</si>
  <si>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</si>
  <si>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</si>
  <si>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</si>
  <si>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</si>
  <si>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</si>
  <si>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</si>
  <si>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</si>
  <si>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</si>
  <si>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</si>
  <si>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</si>
  <si>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</si>
  <si>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</si>
  <si>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</si>
  <si>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</si>
  <si>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</si>
  <si>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</si>
  <si>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</si>
  <si>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</si>
  <si>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</si>
  <si>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</si>
  <si>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</si>
  <si>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</si>
  <si>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</si>
  <si>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</si>
  <si>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</si>
  <si>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</si>
  <si>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</si>
  <si>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</si>
  <si>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</si>
  <si>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</si>
  <si>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</si>
  <si>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</si>
  <si>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</si>
  <si>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</si>
  <si>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</si>
  <si>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</si>
  <si>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</si>
  <si>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</si>
  <si>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</si>
  <si>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</si>
  <si>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</si>
  <si>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</si>
  <si>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</si>
  <si>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</si>
  <si>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</si>
  <si>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</si>
  <si>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</si>
  <si>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</si>
  <si>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</si>
  <si>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</si>
  <si>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</si>
  <si>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</si>
  <si>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</si>
  <si>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</si>
  <si>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</si>
  <si>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</si>
  <si>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</si>
  <si>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</si>
  <si>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</si>
  <si>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</si>
  <si>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</si>
  <si>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</si>
  <si>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</si>
  <si>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</si>
  <si>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</si>
  <si>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</si>
  <si>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</si>
  <si>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</si>
  <si>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</si>
  <si>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</si>
  <si>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</si>
  <si>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</si>
  <si>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</si>
  <si>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</si>
  <si>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</si>
  <si>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</si>
  <si>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</si>
  <si>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</si>
  <si>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</si>
  <si>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</si>
  <si>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</si>
  <si>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</si>
  <si>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</si>
  <si>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</si>
  <si>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</si>
  <si>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daubap</t>
  </si>
  <si>
    <t>bapcaitrang</t>
  </si>
  <si>
    <t>bauxanh</t>
  </si>
  <si>
    <t>khoqua</t>
  </si>
  <si>
    <t>pon</t>
  </si>
  <si>
    <t>dauhutrang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</si>
</sst>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8" sqref="F8"/>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4088</v>
      </c>
    </row>
    <row r="2" spans="1:11" ht="14.4" customHeight="1">
      <c r="A2" s="2" t="s">
        <v>4087</v>
      </c>
      <c r="B2" s="1" t="str">
        <f>VLOOKUP(A2,'CODE NOTE'!A:B,2,0)</f>
        <v>I100118</v>
      </c>
      <c r="C2" s="1"/>
      <c r="D2" s="1" t="str">
        <f>VLOOKUP(A2,'CODE NOTE'!A:C,3,0)</f>
        <v>Khổ qua</v>
      </c>
      <c r="E2" s="1" t="str">
        <f>VLOOKUP(A2,'CODE NOTE'!D:E,2,0)</f>
        <v>Kg</v>
      </c>
      <c r="F2" s="90">
        <v>0.7</v>
      </c>
      <c r="G2" s="90"/>
      <c r="H2" s="13" t="str">
        <f>VLOOKUP(A2,'CODE NOTE'!D:F,3,0)</f>
        <v>0.3kg/trái</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4086</v>
      </c>
      <c r="B3" s="1" t="str">
        <f>VLOOKUP(A3,'CODE NOTE'!A:B,2,0)</f>
        <v>I100010</v>
      </c>
      <c r="C3" s="1"/>
      <c r="D3" s="1" t="str">
        <f>VLOOKUP(A3,'CODE NOTE'!A:C,3,0)</f>
        <v>Bầu xanh</v>
      </c>
      <c r="E3" s="1" t="str">
        <f>VLOOKUP(A3,'CODE NOTE'!D:E,2,0)</f>
        <v>Kg</v>
      </c>
      <c r="F3" s="90">
        <v>2</v>
      </c>
      <c r="G3" s="90"/>
      <c r="H3" s="13" t="str">
        <f>VLOOKUP(A3,'CODE NOTE'!D:F,3,0)</f>
        <v>0.5kg/trái (0.3-0.5kg/trái)</v>
      </c>
      <c r="I3" s="106"/>
      <c r="J3" s="93" t="s">
        <v>1865</v>
      </c>
      <c r="K3" t="s">
        <v>3796</v>
      </c>
    </row>
    <row r="4" spans="1:11">
      <c r="A4" s="2" t="s">
        <v>3789</v>
      </c>
      <c r="B4" s="1" t="str">
        <f>VLOOKUP(A4,'CODE NOTE'!A:B,2,0)</f>
        <v>I100067</v>
      </c>
      <c r="C4" s="1"/>
      <c r="D4" s="1" t="str">
        <f>VLOOKUP(A4,'CODE NOTE'!A:C,3,0)</f>
        <v>Củ cải trắng (Loại 1)</v>
      </c>
      <c r="E4" s="1" t="str">
        <f>VLOOKUP(A4,'CODE NOTE'!D:E,2,0)</f>
        <v>Kg</v>
      </c>
      <c r="F4" s="90">
        <v>1</v>
      </c>
      <c r="G4" s="90"/>
      <c r="H4" s="13" t="str">
        <f>VLOOKUP(A4,'CODE NOTE'!D:F,3,0)</f>
        <v>0.15-0.3kg/củ</v>
      </c>
      <c r="I4" s="106"/>
      <c r="J4" s="93" t="s">
        <v>519</v>
      </c>
      <c r="K4" t="s">
        <v>3797</v>
      </c>
    </row>
    <row r="5" spans="1:11">
      <c r="A5" s="2" t="s">
        <v>4089</v>
      </c>
      <c r="B5" s="1" t="str">
        <f>VLOOKUP(A5,'CODE NOTE'!A:B,2,0)</f>
        <v>I100260</v>
      </c>
      <c r="C5" s="1"/>
      <c r="D5" s="1" t="str">
        <f>VLOOKUP(A5,'CODE NOTE'!A:C,3,0)</f>
        <v>Đậu hũ miếng trắng</v>
      </c>
      <c r="E5" s="1" t="str">
        <f>VLOOKUP(A5,'CODE NOTE'!D:E,2,0)</f>
        <v>Miếng</v>
      </c>
      <c r="F5" s="90">
        <v>8</v>
      </c>
      <c r="G5" s="90"/>
      <c r="H5" s="13" t="str">
        <f>VLOOKUP(A5,'CODE NOTE'!D:F,3,0)</f>
        <v>không xuất được hóa đơn</v>
      </c>
      <c r="I5" s="106"/>
      <c r="J5" s="93" t="s">
        <v>1660</v>
      </c>
      <c r="K5" t="s">
        <v>3798</v>
      </c>
    </row>
    <row r="6" spans="1:11">
      <c r="A6" s="2" t="s">
        <v>4084</v>
      </c>
      <c r="B6" s="1" t="str">
        <f>VLOOKUP(A6,'CODE NOTE'!A:B,2,0)</f>
        <v>I100075</v>
      </c>
      <c r="C6" s="1"/>
      <c r="D6" s="1" t="str">
        <f>VLOOKUP(A6,'CODE NOTE'!A:C,3,0)</f>
        <v>Đậu bắp</v>
      </c>
      <c r="E6" s="1" t="str">
        <f>VLOOKUP(A6,'CODE NOTE'!D:E,2,0)</f>
        <v>Kg</v>
      </c>
      <c r="F6" s="90">
        <v>0.7</v>
      </c>
      <c r="G6" s="90"/>
      <c r="H6" s="13">
        <f>VLOOKUP(A6,'CODE NOTE'!D:F,3,0)</f>
        <v>0</v>
      </c>
      <c r="I6" s="106"/>
      <c r="J6" s="93" t="s">
        <v>3799</v>
      </c>
      <c r="K6" t="s">
        <v>3800</v>
      </c>
    </row>
    <row r="7" spans="1:11">
      <c r="A7" s="2" t="s">
        <v>4085</v>
      </c>
      <c r="B7" s="1" t="str">
        <f>VLOOKUP(A7,'CODE NOTE'!A:B,2,0)</f>
        <v>I100003</v>
      </c>
      <c r="C7" s="1"/>
      <c r="D7" s="1" t="str">
        <f>VLOOKUP(A7,'CODE NOTE'!A:C,3,0)</f>
        <v>Bắp cải trắng</v>
      </c>
      <c r="E7" s="1" t="str">
        <f>VLOOKUP(A7,'CODE NOTE'!D:E,2,0)</f>
        <v>Kg</v>
      </c>
      <c r="F7" s="90">
        <v>0.5</v>
      </c>
      <c r="G7" s="90"/>
      <c r="H7" s="13" t="str">
        <f>VLOOKUP(A7,'CODE NOTE'!D:F,3,0)</f>
        <v>0.8kg/bắp (0.5-1.2kg/bắp)</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2025-04-11T16:21:28Z</dcterms:modified>
</cp:coreProperties>
</file>