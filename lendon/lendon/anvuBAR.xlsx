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63FB9B20-411E-4F99-B983-99761B1EA141}"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<sst xmlns="http://schemas.openxmlformats.org/spreadsheetml/2006/main" count="7085" uniqueCount="4088">
  <si>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</si>
  <si>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</si>
  <si>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</si>
  <si>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</si>
  <si>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</si>
  <si>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</si>
  <si>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</si>
  <si>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</si>
  <si>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</si>
  <si>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</si>
  <si>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</si>
  <si>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</si>
  <si>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</si>
  <si>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</si>
  <si>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</si>
  <si>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</si>
  <si>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</si>
  <si>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</si>
  <si>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</si>
  <si>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</si>
  <si>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</si>
  <si>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</si>
  <si>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</si>
  <si>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</si>
  <si>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</si>
  <si>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</si>
  <si>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</si>
  <si>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</si>
  <si>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</si>
  <si>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</si>
  <si>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</si>
  <si>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</si>
  <si>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</si>
  <si>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</si>
  <si>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</si>
  <si>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</si>
  <si>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</si>
  <si>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</si>
  <si>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</si>
  <si>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</si>
  <si>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</si>
  <si>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</si>
  <si>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</si>
  <si>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</si>
  <si>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</si>
  <si>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</si>
  <si>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</si>
  <si>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</si>
  <si>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</si>
  <si>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</si>
  <si>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</si>
  <si>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</si>
  <si>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</si>
  <si>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</si>
  <si>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</si>
  <si>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</si>
  <si>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</si>
  <si>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</si>
  <si>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</si>
  <si>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</si>
  <si>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</si>
  <si>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</si>
  <si>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</si>
  <si>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</si>
  <si>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</si>
  <si>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</si>
  <si>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</si>
  <si>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</si>
  <si>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</si>
  <si>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</si>
  <si>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</si>
  <si>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</si>
  <si>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</si>
  <si>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</si>
  <si>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</si>
  <si>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</si>
  <si>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</si>
  <si>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</si>
  <si>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</si>
  <si>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</si>
  <si>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</si>
  <si>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</si>
  <si>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</si>
  <si>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</si>
  <si>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</si>
  <si>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</si>
  <si>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</si>
  <si>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</si>
  <si>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</si>
  <si>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</si>
  <si>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</si>
  <si>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</si>
  <si>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</si>
  <si>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</si>
  <si>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</si>
  <si>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</si>
  <si>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</si>
  <si>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</si>
  <si>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</si>
  <si>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</si>
  <si>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</si>
  <si>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</si>
  <si>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</si>
  <si>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</si>
  <si>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</si>
  <si>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</si>
  <si>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</si>
  <si>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</si>
  <si>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</si>
  <si>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</si>
  <si>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</si>
  <si>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</si>
  <si>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</si>
  <si>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</si>
  <si>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</si>
  <si>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</si>
  <si>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</si>
  <si>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</si>
  <si>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</si>
  <si>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</si>
  <si>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</si>
  <si>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</si>
  <si>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</si>
  <si>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</si>
  <si>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</si>
  <si>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</si>
  <si>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</si>
  <si>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</si>
  <si>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</si>
  <si>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</si>
  <si>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</si>
  <si>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</si>
  <si>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</si>
  <si>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</si>
  <si>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</si>
  <si>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</si>
  <si>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</si>
  <si>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</si>
  <si>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</si>
  <si>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</si>
  <si>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</si>
  <si>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</si>
  <si>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</si>
  <si>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</si>
  <si>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</si>
  <si>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</si>
  <si>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</si>
  <si>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</si>
  <si>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</si>
  <si>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</si>
  <si>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</si>
  <si>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</si>
  <si>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</si>
  <si>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</si>
  <si>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</si>
  <si>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</si>
  <si>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</si>
  <si>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</si>
  <si>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</si>
  <si>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</si>
  <si>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</si>
  <si>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</si>
  <si>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</si>
  <si>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</si>
  <si>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</si>
  <si>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</si>
  <si>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</si>
  <si>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</si>
  <si>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</si>
  <si>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</si>
  <si>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</si>
  <si>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</si>
  <si>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</si>
  <si>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</si>
  <si>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</si>
  <si>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</si>
  <si>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</si>
  <si>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</si>
  <si>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</si>
  <si>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</si>
  <si>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</si>
  <si>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</si>
  <si>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</si>
  <si>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</si>
  <si>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</si>
  <si>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</si>
  <si>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</si>
  <si>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</si>
  <si>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</si>
  <si>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</si>
  <si>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</si>
  <si>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</si>
  <si>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</si>
  <si>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</si>
  <si>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</si>
  <si>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</si>
  <si>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</si>
  <si>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</si>
  <si>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</si>
  <si>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</si>
  <si>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</si>
  <si>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</si>
  <si>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</si>
  <si>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</si>
  <si>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</si>
  <si>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</si>
  <si>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</si>
  <si>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</si>
  <si>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</si>
  <si>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</si>
  <si>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</si>
  <si>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</si>
  <si>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</si>
  <si>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</si>
  <si>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</si>
  <si>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</si>
  <si>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</si>
  <si>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</si>
  <si>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</si>
  <si>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</si>
  <si>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</si>
  <si>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</si>
  <si>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</si>
  <si>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</si>
  <si>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</si>
  <si>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</si>
  <si>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</si>
  <si>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</si>
  <si>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</si>
  <si>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</si>
  <si>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</si>
  <si>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</si>
  <si>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</si>
  <si>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</si>
  <si>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</si>
  <si>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</si>
  <si>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</si>
  <si>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</si>
  <si>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</si>
  <si>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</si>
  <si>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</si>
  <si>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</si>
  <si>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</si>
  <si>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</si>
  <si>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</si>
  <si>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</si>
  <si>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</si>
  <si>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</si>
  <si>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</si>
  <si>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</si>
  <si>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</si>
  <si>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</si>
  <si>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</si>
  <si>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</si>
  <si>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</si>
  <si>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</si>
  <si>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</si>
  <si>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</si>
  <si>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</si>
  <si>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</si>
  <si>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</si>
  <si>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</si>
  <si>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</si>
  <si>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</si>
  <si>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</si>
  <si>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</si>
  <si>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</si>
  <si>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</si>
  <si>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</si>
  <si>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</si>
  <si>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</si>
  <si>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</si>
  <si>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</si>
  <si>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</si>
  <si>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</si>
  <si>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</si>
  <si>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</si>
  <si>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</si>
  <si>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</si>
  <si>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</si>
  <si>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</si>
  <si>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</si>
  <si>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</si>
  <si>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</si>
  <si>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</si>
  <si>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</si>
  <si>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</si>
  <si>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</si>
  <si>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</si>
  <si>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</si>
  <si>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</si>
  <si>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</si>
  <si>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</si>
  <si>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</si>
  <si>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</si>
  <si>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</si>
  <si>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</si>
  <si>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</si>
  <si>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</si>
  <si>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</si>
  <si>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</si>
  <si>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</si>
  <si>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</si>
  <si>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</si>
  <si>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</si>
  <si>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</si>
  <si>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</si>
  <si>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</si>
  <si>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</si>
  <si>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</si>
  <si>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</si>
  <si>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</si>
  <si>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</si>
  <si>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</si>
  <si>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</si>
  <si>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</si>
  <si>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</si>
  <si>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</si>
  <si>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</si>
  <si>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</si>
  <si>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</si>
  <si>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</si>
  <si>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</si>
  <si>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</si>
  <si>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</si>
  <si>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</si>
  <si>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</si>
  <si>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</si>
  <si>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</si>
  <si>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</si>
  <si>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</si>
  <si>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</si>
  <si>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</si>
  <si>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</si>
  <si>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</si>
  <si>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</si>
  <si>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</si>
  <si>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</si>
  <si>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</si>
  <si>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</si>
  <si>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</si>
  <si>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</si>
  <si>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</si>
  <si>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</si>
  <si>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</si>
  <si>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</si>
  <si>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</si>
  <si>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</si>
  <si>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</si>
  <si>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</si>
  <si>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</si>
  <si>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</si>
  <si>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</si>
  <si>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</si>
  <si>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</si>
  <si>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</si>
  <si>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</si>
  <si>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</si>
  <si>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</si>
  <si>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</si>
  <si>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</si>
  <si>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</si>
  <si>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</si>
  <si>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</si>
  <si>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</si>
  <si>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</si>
  <si>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</si>
  <si>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</si>
  <si>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</si>
  <si>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</si>
  <si>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</si>
  <si>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</si>
  <si>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</si>
  <si>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</si>
  <si>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</si>
  <si>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</si>
  <si>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</si>
  <si>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</si>
  <si>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</si>
  <si>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</si>
  <si>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</si>
  <si>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</si>
  <si>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</si>
  <si>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</si>
  <si>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</si>
  <si>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</si>
  <si>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</si>
  <si>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</si>
  <si>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</si>
  <si>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</si>
  <si>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</si>
  <si>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</si>
  <si>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</si>
  <si>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</si>
  <si>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</si>
  <si>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</si>
  <si>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</si>
  <si>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</si>
  <si>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</si>
  <si>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</si>
  <si>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</si>
  <si>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</si>
  <si>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</si>
  <si>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</si>
  <si>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</si>
  <si>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</si>
  <si>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</si>
  <si>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</si>
  <si>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</si>
  <si>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</si>
  <si>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</si>
  <si>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</si>
  <si>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</si>
  <si>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</si>
  <si>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</si>
  <si>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</si>
  <si>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</si>
  <si>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</si>
  <si>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</si>
  <si>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</si>
  <si>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</si>
  <si>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</si>
  <si>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</si>
  <si>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</si>
  <si>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</si>
  <si>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</si>
  <si>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</si>
  <si>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</si>
  <si>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</si>
  <si>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</si>
  <si>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</si>
  <si>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</si>
  <si>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</si>
  <si>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</si>
  <si>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</si>
  <si>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</si>
  <si>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</si>
  <si>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</si>
  <si>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</si>
  <si>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</si>
  <si>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</si>
  <si>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</si>
  <si>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</si>
  <si>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</si>
  <si>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</si>
  <si>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</si>
  <si>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</si>
  <si>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</si>
  <si>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</si>
  <si>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</si>
  <si>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</si>
  <si>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</si>
  <si>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</si>
  <si>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</si>
  <si>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</si>
  <si>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</si>
  <si>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</si>
  <si>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</si>
  <si>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</si>
  <si>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</si>
  <si>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</si>
  <si>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</si>
  <si>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</si>
  <si>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</si>
  <si>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</si>
  <si>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</si>
  <si>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</si>
  <si>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</si>
  <si>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</si>
  <si>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</si>
  <si>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</si>
  <si>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</si>
  <si>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</si>
  <si>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</si>
  <si>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</si>
  <si>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</si>
  <si>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</si>
  <si>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</si>
  <si>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</si>
  <si>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</si>
  <si>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</si>
  <si>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</si>
  <si>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</si>
  <si>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</si>
  <si>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</si>
  <si>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</si>
  <si>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</si>
  <si>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</si>
  <si>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</si>
  <si>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</si>
  <si>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</si>
  <si>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</si>
  <si>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</si>
  <si>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</si>
  <si>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</si>
  <si>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</si>
  <si>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</si>
  <si>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</si>
  <si>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</si>
  <si>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</si>
  <si>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</si>
  <si>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</si>
  <si>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</si>
  <si>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</si>
  <si>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</si>
  <si>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</si>
  <si>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</si>
  <si>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</si>
  <si>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</si>
  <si>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</si>
  <si>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</si>
  <si>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</si>
  <si>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</si>
  <si>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</si>
  <si>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</si>
  <si>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</si>
  <si>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</si>
  <si>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</si>
  <si>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</si>
  <si>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</si>
  <si>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</si>
  <si>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</si>
  <si>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</si>
  <si>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</si>
  <si>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</si>
  <si>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</si>
  <si>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</si>
  <si>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</si>
  <si>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</si>
  <si>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</si>
  <si>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</si>
  <si>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</si>
  <si>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</si>
  <si>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</si>
  <si>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</si>
  <si>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</si>
  <si>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</si>
  <si>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</si>
  <si>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</si>
  <si>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</si>
  <si>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</si>
  <si>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</si>
  <si>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</si>
  <si>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</si>
  <si>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</si>
  <si>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</si>
  <si>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</si>
  <si>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</si>
  <si>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</si>
  <si>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</si>
  <si>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</si>
  <si>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</si>
  <si>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</si>
  <si>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</si>
  <si>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</si>
  <si>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</si>
  <si>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</si>
  <si>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</si>
  <si>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</si>
  <si>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</si>
  <si>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</si>
  <si>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</si>
  <si>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</si>
  <si>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</si>
  <si>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</si>
  <si>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</si>
  <si>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</si>
  <si>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</si>
  <si>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</si>
  <si>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</si>
  <si>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</si>
  <si>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</si>
  <si>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</si>
  <si>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</si>
  <si>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</si>
  <si>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</si>
  <si>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</si>
  <si>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</si>
  <si>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</si>
  <si>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</si>
  <si>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</si>
  <si>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</si>
  <si>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</si>
  <si>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</si>
  <si>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</si>
  <si>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</si>
  <si>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</si>
  <si>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</si>
  <si>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</si>
  <si>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</si>
  <si>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</si>
  <si>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</si>
  <si>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</si>
  <si>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</si>
  <si>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</si>
  <si>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</si>
  <si>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</si>
  <si>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</si>
  <si>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</si>
  <si>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</si>
  <si>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</si>
  <si>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</si>
  <si>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</si>
  <si>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</si>
  <si>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</si>
  <si>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</si>
  <si>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</si>
  <si>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</si>
  <si>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</si>
  <si>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</si>
  <si>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</si>
  <si>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</si>
  <si>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</si>
  <si>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</si>
  <si>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</si>
  <si>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</si>
  <si>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</si>
  <si>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</si>
  <si>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</si>
  <si>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</si>
  <si>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</si>
  <si>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</si>
  <si>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</si>
  <si>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</si>
  <si>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</si>
  <si>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</si>
  <si>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</si>
  <si>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</si>
  <si>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</si>
  <si>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</si>
  <si>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</si>
  <si>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</si>
  <si>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</si>
  <si>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</si>
  <si>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</si>
  <si>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</si>
  <si>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</si>
  <si>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</si>
  <si>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</si>
  <si>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</si>
  <si>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</si>
  <si>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</si>
  <si>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</si>
  <si>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</si>
  <si>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</si>
  <si>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</si>
  <si>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</si>
  <si>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</si>
  <si>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</si>
  <si>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</si>
  <si>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</si>
  <si>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</si>
  <si>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</si>
  <si>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</si>
  <si>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</si>
  <si>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</si>
  <si>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</si>
  <si>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</si>
  <si>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</si>
  <si>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</si>
  <si>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</si>
  <si>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</si>
  <si>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</si>
  <si>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</si>
  <si>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</si>
  <si>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</si>
  <si>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</si>
  <si>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</si>
  <si>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</si>
  <si>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</si>
  <si>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</si>
  <si>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</si>
  <si>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</si>
  <si>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</si>
  <si>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</si>
  <si>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</si>
  <si>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</si>
  <si>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</si>
  <si>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</si>
  <si>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</si>
  <si>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</si>
  <si>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</si>
  <si>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</si>
  <si>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</si>
  <si>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</si>
  <si>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</si>
  <si>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</si>
  <si>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</si>
  <si>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</si>
  <si>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</si>
  <si>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</si>
  <si>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</si>
  <si>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</si>
  <si>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</si>
  <si>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</si>
  <si>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</si>
  <si>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</si>
  <si>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</si>
  <si>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</si>
  <si>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</si>
  <si>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</si>
  <si>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</si>
  <si>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</si>
  <si>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</si>
  <si>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</si>
  <si>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</si>
  <si>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</si>
  <si>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</si>
  <si>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</si>
  <si>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</si>
  <si>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</si>
  <si>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</si>
  <si>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</si>
  <si>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</si>
  <si>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</si>
  <si>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</si>
  <si>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</si>
  <si>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</si>
  <si>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</si>
  <si>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</si>
  <si>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</si>
  <si>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</si>
  <si>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</si>
  <si>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</si>
  <si>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</si>
  <si>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</si>
  <si>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</si>
  <si>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</si>
  <si>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</si>
  <si>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</si>
  <si>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</si>
  <si>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</si>
  <si>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</si>
  <si>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</si>
  <si>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</si>
  <si>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</si>
  <si>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</si>
  <si>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</si>
  <si>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</si>
  <si>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</si>
  <si>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</si>
  <si>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</si>
  <si>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</si>
  <si>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</si>
  <si>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</si>
  <si>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</si>
  <si>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</si>
  <si>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</si>
  <si>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</si>
  <si>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</si>
  <si>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</si>
  <si>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</si>
  <si>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</si>
  <si>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</si>
  <si>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</si>
  <si>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</si>
  <si>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</si>
  <si>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</si>
  <si>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</si>
  <si>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</si>
  <si>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</si>
  <si>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</si>
  <si>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</si>
  <si>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</si>
  <si>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</si>
  <si>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</si>
  <si>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</si>
  <si>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</si>
  <si>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</si>
  <si>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</si>
  <si>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</si>
  <si>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</si>
  <si>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</si>
  <si>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</si>
  <si>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</si>
  <si>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</si>
  <si>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</si>
  <si>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</si>
  <si>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</si>
  <si>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</si>
  <si>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</si>
  <si>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</si>
  <si>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</si>
  <si>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</si>
  <si>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</si>
  <si>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</si>
  <si>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</si>
  <si>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</si>
  <si>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</si>
  <si>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</si>
  <si>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</si>
  <si>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</si>
  <si>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</si>
  <si>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</si>
  <si>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</si>
  <si>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</si>
  <si>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</si>
  <si>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</si>
  <si>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</si>
  <si>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</si>
  <si>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</si>
  <si>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</si>
  <si>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</si>
  <si>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</si>
  <si>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</si>
  <si>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</si>
  <si>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</si>
  <si>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</si>
  <si>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</si>
  <si>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</si>
  <si>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</si>
  <si>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</si>
  <si>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</si>
  <si>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</si>
  <si>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</si>
  <si>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</si>
  <si>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</si>
  <si>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</si>
  <si>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</si>
  <si>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</si>
  <si>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</si>
  <si>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</si>
  <si>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</si>
  <si>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</si>
  <si>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</si>
  <si>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</si>
  <si>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</si>
  <si>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</si>
  <si>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</si>
  <si>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</si>
  <si>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</si>
  <si>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</si>
  <si>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</si>
  <si>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</si>
  <si>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</si>
  <si>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</si>
  <si>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</si>
  <si>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</si>
  <si>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</si>
  <si>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</si>
  <si>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</si>
  <si>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</si>
  <si>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</si>
  <si>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</si>
  <si>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</si>
  <si>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</si>
  <si>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</si>
  <si>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</si>
  <si>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</si>
  <si>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</si>
  <si>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</si>
  <si>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</si>
  <si>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</si>
  <si>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</si>
  <si>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</si>
  <si>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</si>
  <si>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</si>
  <si>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</si>
  <si>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</si>
  <si>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</si>
  <si>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</si>
  <si>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</si>
  <si>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</si>
  <si>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</si>
  <si>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</si>
  <si>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</si>
  <si>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</si>
  <si>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</si>
  <si>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</si>
  <si>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</si>
  <si>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</si>
  <si>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</si>
  <si>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</si>
  <si>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</si>
  <si>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</si>
  <si>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</si>
  <si>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</si>
  <si>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</si>
  <si>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</si>
  <si>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</si>
  <si>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</si>
  <si>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</si>
  <si>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</si>
  <si>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</si>
  <si>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</si>
  <si>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</si>
  <si>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</si>
  <si>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</si>
  <si>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</si>
  <si>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</si>
  <si>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</si>
  <si>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</si>
  <si>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</si>
  <si>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</si>
  <si>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</si>
  <si>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</si>
  <si>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</si>
  <si>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</si>
  <si>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</si>
  <si>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</si>
  <si>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</si>
  <si>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</si>
  <si>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</si>
  <si>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</si>
  <si>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</si>
  <si>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</si>
  <si>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</si>
  <si>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</si>
  <si>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</si>
  <si>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</si>
  <si>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</si>
  <si>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</si>
  <si>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</si>
  <si>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</si>
  <si>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</si>
  <si>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</si>
  <si>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</si>
  <si>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</si>
  <si>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</si>
  <si>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</si>
  <si>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</si>
  <si>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</si>
  <si>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</si>
  <si>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</si>
  <si>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</si>
  <si>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</si>
  <si>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</si>
  <si>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</si>
  <si>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</si>
  <si>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</si>
  <si>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</si>
  <si>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</si>
  <si>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</si>
  <si>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</si>
  <si>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</si>
  <si>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</si>
  <si>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</si>
  <si>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</si>
  <si>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</si>
  <si>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</si>
  <si>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</si>
  <si>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</si>
  <si>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</si>
  <si>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</si>
  <si>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</si>
  <si>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</si>
  <si>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</si>
  <si>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</si>
  <si>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</si>
  <si>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</si>
  <si>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</si>
  <si>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</si>
  <si>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</si>
  <si>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</si>
  <si>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</si>
  <si>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</si>
  <si>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</si>
  <si>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</si>
  <si>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</si>
  <si>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</si>
  <si>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</si>
  <si>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</si>
  <si>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</si>
  <si>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</si>
  <si>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</si>
  <si>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</si>
  <si>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</si>
  <si>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</si>
  <si>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</si>
  <si>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</si>
  <si>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</si>
  <si>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</si>
  <si>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</si>
  <si>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</si>
  <si>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</si>
  <si>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</si>
  <si>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</si>
  <si>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</si>
  <si>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</si>
  <si>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</si>
  <si>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</si>
  <si>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</si>
  <si>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</si>
  <si>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</si>
  <si>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</si>
  <si>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</si>
  <si>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</si>
  <si>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</si>
  <si>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</si>
  <si>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</si>
  <si>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</si>
  <si>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</si>
  <si>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</si>
  <si>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</si>
  <si>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</si>
  <si>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</si>
  <si>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</si>
  <si>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</si>
  <si>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</si>
  <si>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</si>
  <si>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</si>
  <si>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</si>
  <si>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</si>
  <si>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</si>
  <si>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</si>
  <si>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</si>
  <si>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</si>
  <si>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</si>
  <si>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</si>
  <si>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</si>
  <si>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</si>
  <si>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</si>
  <si>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</si>
  <si>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</si>
  <si>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</si>
  <si>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</si>
  <si>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</si>
  <si>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</si>
  <si>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</si>
  <si>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</si>
  <si>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</si>
  <si>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</si>
  <si>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</si>
  <si>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</si>
  <si>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</si>
  <si>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</si>
  <si>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</si>
  <si>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</si>
  <si>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</si>
  <si>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</si>
  <si>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</si>
  <si>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</si>
  <si>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</si>
  <si>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</si>
  <si>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</si>
  <si>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</si>
  <si>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</si>
  <si>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</si>
  <si>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</si>
  <si>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</si>
  <si>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</si>
  <si>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</si>
  <si>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</si>
  <si>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</si>
  <si>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</si>
  <si>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</si>
  <si>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</si>
  <si>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</si>
  <si>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</si>
  <si>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</si>
  <si>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</si>
  <si>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</si>
  <si>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</si>
  <si>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</si>
  <si>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</si>
  <si>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</si>
  <si>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</si>
  <si>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</si>
  <si>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</si>
  <si>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</si>
  <si>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</si>
  <si>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</si>
  <si>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</si>
  <si>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</si>
  <si>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</si>
  <si>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</si>
  <si>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</si>
  <si>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</si>
  <si>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</si>
  <si>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</si>
  <si>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</si>
  <si>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</si>
  <si>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</si>
  <si>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</si>
  <si>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</si>
  <si>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</si>
  <si>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</si>
  <si>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</si>
  <si>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</si>
  <si>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</si>
  <si>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</si>
  <si>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</si>
  <si>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</si>
  <si>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</si>
  <si>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</si>
  <si>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</si>
  <si>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</si>
  <si>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</si>
  <si>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</si>
  <si>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</si>
  <si>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</si>
  <si>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</si>
  <si>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</si>
  <si>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</si>
  <si>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</si>
  <si>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</si>
  <si>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</si>
  <si>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</si>
  <si>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</si>
  <si>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</si>
  <si>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</si>
  <si>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</si>
  <si>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</si>
  <si>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</si>
  <si>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</si>
  <si>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</si>
  <si>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</si>
  <si>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</si>
  <si>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</si>
  <si>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</si>
  <si>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</si>
  <si>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</si>
  <si>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</si>
  <si>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</si>
  <si>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</si>
  <si>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</si>
  <si>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</si>
  <si>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</si>
  <si>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</si>
  <si>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</si>
  <si>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</si>
  <si>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</si>
  <si>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</si>
  <si>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</si>
  <si>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</si>
  <si>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</si>
  <si>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</si>
  <si>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</si>
  <si>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</si>
  <si>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</si>
  <si>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</si>
  <si>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</si>
  <si>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</si>
  <si>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</si>
  <si>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</si>
  <si>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</si>
  <si>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</si>
  <si>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</si>
  <si>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</si>
  <si>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</si>
  <si>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</si>
  <si>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</si>
  <si>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</si>
  <si>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</si>
  <si>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</si>
  <si>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</si>
  <si>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</si>
  <si>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</si>
  <si>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</si>
  <si>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</si>
  <si>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</si>
  <si>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</si>
  <si>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</si>
  <si>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</si>
  <si>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</si>
  <si>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</si>
  <si>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</si>
  <si>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</si>
  <si>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</si>
  <si>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</si>
  <si>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</si>
  <si>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</si>
  <si>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</si>
  <si>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</si>
  <si>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</si>
  <si>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</si>
  <si>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</si>
  <si>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</si>
  <si>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</si>
  <si>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</si>
  <si>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</si>
  <si>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</si>
  <si>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</si>
  <si>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</si>
  <si>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</si>
  <si>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</si>
  <si>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</si>
  <si>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</si>
  <si>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</si>
  <si>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</si>
  <si>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</si>
  <si>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</si>
  <si>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</si>
  <si>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</si>
  <si>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</si>
  <si>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</si>
  <si>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</si>
  <si>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</si>
  <si>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</si>
  <si>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</si>
  <si>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</si>
  <si>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</si>
  <si>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</si>
  <si>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</si>
  <si>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</si>
  <si>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</si>
  <si>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</si>
  <si>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</si>
  <si>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</si>
  <si>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</si>
  <si>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</si>
  <si>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</si>
  <si>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</si>
  <si>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</si>
  <si>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</si>
  <si>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</si>
  <si>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</si>
  <si>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</si>
  <si>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</si>
  <si>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</si>
  <si>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</si>
  <si>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</si>
  <si>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</si>
  <si>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</si>
  <si>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</si>
  <si>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</si>
  <si>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</si>
  <si>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</si>
  <si>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</si>
  <si>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</si>
  <si>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</si>
  <si>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</si>
  <si>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</si>
  <si>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</si>
  <si>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</si>
  <si>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</si>
  <si>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</si>
  <si>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</si>
  <si>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</si>
  <si>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</si>
  <si>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</si>
  <si>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</si>
  <si>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</si>
  <si>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</si>
  <si>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</si>
  <si>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</si>
  <si>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</si>
  <si>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</si>
  <si>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</si>
  <si>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</si>
  <si>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</si>
  <si>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</si>
  <si>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</si>
  <si>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</si>
  <si>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</si>
  <si>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</si>
  <si>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</si>
  <si>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</si>
  <si>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</si>
  <si>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</si>
  <si>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</si>
  <si>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</si>
  <si>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</si>
  <si>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</si>
  <si>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</si>
  <si>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</si>
  <si>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</si>
  <si>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</si>
  <si>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</si>
  <si>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</si>
  <si>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</si>
  <si>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</si>
  <si>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</si>
  <si>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</si>
  <si>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</si>
  <si>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</si>
  <si>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</si>
  <si>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</si>
  <si>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</si>
  <si>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</si>
  <si>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</si>
  <si>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</si>
  <si>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</si>
  <si>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</si>
  <si>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</si>
  <si>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</si>
  <si>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</si>
  <si>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</si>
  <si>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</si>
  <si>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</si>
  <si>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</si>
  <si>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</si>
  <si>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</si>
  <si>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</si>
  <si>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</si>
  <si>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</si>
  <si>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</si>
  <si>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</si>
  <si>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</si>
  <si>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</si>
  <si>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</si>
  <si>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</si>
  <si>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</si>
  <si>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</si>
  <si>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</si>
  <si>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</si>
  <si>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</si>
  <si>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</si>
  <si>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</si>
  <si>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</si>
  <si>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</si>
  <si>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</si>
  <si>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</si>
  <si>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</si>
  <si>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</si>
  <si>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</si>
  <si>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</si>
  <si>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</si>
  <si>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</si>
  <si>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</si>
  <si>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</si>
  <si>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</si>
  <si>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</si>
  <si>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</si>
  <si>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</si>
  <si>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</si>
  <si>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</si>
  <si>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</si>
  <si>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</si>
  <si>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</si>
  <si>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</si>
  <si>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</si>
  <si>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</si>
  <si>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</si>
  <si>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</si>
  <si>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</si>
  <si>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</si>
  <si>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</si>
  <si>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</si>
  <si>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</si>
  <si>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</si>
  <si>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</si>
  <si>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</si>
  <si>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</si>
  <si>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</si>
  <si>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</si>
  <si>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</si>
  <si>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</si>
  <si>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</si>
  <si>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</si>
  <si>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</si>
  <si>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</si>
  <si>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</si>
  <si>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</si>
  <si>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</si>
  <si>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</si>
  <si>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</si>
  <si>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</si>
  <si>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</si>
  <si>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</si>
  <si>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</si>
  <si>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</si>
  <si>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</si>
  <si>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</si>
  <si>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</si>
  <si>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</si>
  <si>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</si>
  <si>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</si>
  <si>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</si>
  <si>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</si>
  <si>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</si>
  <si>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</si>
  <si>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</si>
  <si>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</si>
  <si>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</si>
  <si>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</si>
  <si>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</si>
  <si>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</si>
  <si>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</si>
  <si>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</si>
  <si>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</si>
  <si>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</si>
  <si>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</si>
  <si>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</si>
  <si>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</si>
  <si>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</si>
  <si>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</si>
  <si>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</si>
  <si>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</si>
  <si>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</si>
  <si>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</si>
  <si>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</si>
  <si>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</si>
  <si>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</si>
  <si>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</si>
  <si>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</si>
  <si>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</si>
  <si>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</si>
  <si>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</si>
  <si>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</si>
  <si>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</si>
  <si>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</si>
  <si>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</si>
  <si>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</si>
  <si>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</si>
  <si>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</si>
  <si>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</si>
  <si>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</si>
  <si>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</si>
  <si>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</si>
  <si>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</si>
  <si>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</si>
  <si>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</si>
  <si>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</si>
  <si>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</si>
  <si>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</si>
  <si>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</si>
  <si>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</si>
  <si>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</si>
  <si>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</si>
  <si>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</si>
  <si>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</si>
  <si>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</si>
  <si>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</si>
  <si>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</si>
  <si>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</si>
  <si>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</si>
  <si>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</si>
  <si>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</si>
  <si>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</si>
  <si>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</si>
  <si>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</si>
  <si>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</si>
  <si>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</si>
  <si>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</si>
  <si>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</si>
  <si>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</si>
  <si>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</si>
  <si>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</si>
  <si>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</si>
  <si>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</si>
  <si>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</si>
  <si>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</si>
  <si>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</si>
  <si>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</si>
  <si>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</si>
  <si>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</si>
  <si>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</si>
  <si>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</si>
  <si>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</si>
  <si>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</si>
  <si>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</si>
  <si>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</si>
  <si>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</si>
  <si>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</si>
  <si>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</si>
  <si>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</si>
  <si>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</si>
  <si>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</si>
  <si>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</si>
  <si>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</si>
  <si>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</si>
  <si>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</si>
  <si>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</si>
  <si>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</si>
  <si>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</si>
  <si>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</si>
  <si>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</si>
  <si>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</si>
  <si>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</si>
  <si>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</si>
  <si>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</si>
  <si>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</si>
  <si>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</si>
  <si>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</si>
  <si>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</si>
  <si>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</si>
  <si>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</si>
  <si>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</si>
  <si>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</si>
  <si>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</si>
  <si>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</si>
  <si>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</si>
  <si>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</si>
  <si>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</si>
  <si>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</si>
  <si>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</si>
  <si>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</si>
  <si>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</si>
  <si>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</si>
  <si>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</si>
  <si>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</si>
  <si>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</si>
  <si>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</si>
  <si>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</si>
  <si>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</si>
  <si>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</si>
  <si>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</si>
  <si>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</si>
  <si>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</si>
  <si>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</si>
  <si>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</si>
  <si>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</si>
  <si>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</si>
  <si>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</si>
  <si>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</si>
  <si>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</si>
  <si>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</si>
  <si>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</si>
  <si>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</si>
  <si>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</si>
  <si>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</si>
  <si>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</si>
  <si>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</si>
  <si>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</si>
  <si>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</si>
  <si>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</si>
  <si>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</si>
  <si>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</si>
  <si>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</si>
  <si>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</si>
  <si>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</si>
  <si>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</si>
  <si>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</si>
  <si>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</si>
  <si>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</si>
  <si>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</si>
  <si>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</si>
  <si>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</si>
  <si>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</si>
  <si>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</si>
  <si>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</si>
  <si>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</si>
  <si>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</si>
  <si>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</si>
  <si>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</si>
  <si>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</si>
  <si>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</si>
  <si>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</si>
  <si>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</si>
  <si>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</si>
  <si>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</si>
  <si>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</si>
  <si>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</si>
  <si>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</si>
  <si>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</si>
  <si>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</si>
  <si>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</si>
  <si>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</si>
  <si>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</si>
  <si>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</si>
  <si>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</si>
  <si>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</si>
  <si>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</si>
  <si>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</si>
  <si>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</si>
  <si>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</si>
  <si>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</si>
  <si>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</si>
  <si>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</si>
  <si>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</si>
  <si>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</si>
  <si>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</si>
  <si>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</si>
  <si>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</si>
  <si>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</si>
  <si>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</si>
  <si>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</si>
  <si>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</si>
  <si>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</si>
  <si>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</si>
  <si>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</si>
  <si>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</si>
  <si>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</si>
  <si>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</si>
  <si>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</si>
  <si>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</si>
  <si>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</si>
  <si>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</si>
  <si>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</si>
  <si>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</si>
  <si>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</si>
  <si>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</si>
  <si>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</si>
  <si>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</si>
  <si>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</si>
  <si>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</si>
  <si>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</si>
  <si>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</si>
  <si>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</si>
  <si>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</si>
  <si>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</si>
  <si>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</si>
  <si>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</si>
  <si>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</si>
  <si>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</si>
  <si>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</si>
  <si>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</si>
  <si>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</si>
  <si>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</si>
  <si>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</si>
  <si>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</si>
  <si>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</si>
  <si>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</si>
  <si>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</si>
  <si>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</si>
  <si>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</si>
  <si>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</si>
  <si>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</si>
  <si>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</si>
  <si>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</si>
  <si>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</si>
  <si>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</si>
  <si>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</si>
  <si>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</si>
  <si>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</si>
  <si>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</si>
  <si>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</si>
  <si>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</si>
  <si>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</si>
  <si>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</si>
  <si>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</si>
  <si>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</si>
  <si>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</si>
  <si>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</si>
  <si>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</si>
  <si>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</si>
  <si>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</si>
  <si>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</si>
  <si>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</si>
  <si>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</si>
  <si>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</si>
  <si>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</si>
  <si>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</si>
  <si>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</si>
  <si>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</si>
  <si>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</si>
  <si>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</si>
  <si>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</si>
  <si>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</si>
  <si>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</si>
  <si>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</si>
  <si>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</si>
  <si>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</si>
  <si>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</si>
  <si>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</si>
  <si>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</si>
  <si>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</si>
  <si>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</si>
  <si>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</si>
  <si>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</si>
  <si>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</si>
  <si>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</si>
  <si>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</si>
  <si>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</si>
  <si>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</si>
  <si>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</si>
  <si>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</si>
  <si>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</si>
  <si>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</si>
  <si>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</si>
  <si>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</si>
  <si>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</si>
  <si>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</si>
  <si>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</si>
  <si>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</si>
  <si>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</si>
  <si>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</si>
  <si>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</si>
  <si>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</si>
  <si>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</si>
  <si>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</si>
  <si>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</si>
  <si>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</si>
  <si>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</si>
  <si>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</si>
  <si>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</si>
  <si>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</si>
  <si>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</si>
  <si>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</si>
  <si>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</si>
  <si>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</si>
  <si>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</si>
  <si>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</si>
  <si>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</si>
  <si>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</si>
  <si>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</si>
  <si>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</si>
  <si>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</si>
  <si>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</si>
  <si>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</si>
  <si>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</si>
  <si>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</si>
  <si>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</si>
  <si>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</si>
  <si>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</si>
  <si>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</si>
  <si>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</si>
  <si>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</si>
  <si>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</si>
  <si>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</si>
  <si>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</si>
  <si>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</si>
  <si>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</si>
  <si>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</si>
  <si>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</si>
  <si>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</si>
  <si>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</si>
  <si>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</si>
  <si>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</si>
  <si>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</si>
  <si>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</si>
  <si>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</si>
  <si>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</si>
  <si>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</si>
  <si>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</si>
  <si>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</si>
  <si>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</si>
  <si>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</si>
  <si>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</si>
  <si>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</si>
  <si>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</si>
  <si>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</si>
  <si>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</si>
  <si>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</si>
  <si>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</si>
  <si>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</si>
  <si>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</si>
  <si>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</si>
  <si>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</si>
  <si>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</si>
  <si>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</si>
  <si>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</si>
  <si>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</si>
  <si>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</si>
  <si>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</si>
  <si>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</si>
  <si>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</si>
  <si>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</si>
  <si>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</si>
  <si>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</si>
  <si>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</si>
  <si>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</si>
  <si>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</si>
  <si>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</si>
  <si>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</si>
  <si>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</si>
  <si>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</si>
  <si>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</si>
  <si>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</si>
  <si>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</si>
  <si>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</si>
  <si>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</si>
  <si>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</si>
  <si>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</si>
  <si>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</si>
  <si>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</si>
  <si>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</si>
  <si>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</si>
  <si>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</si>
  <si>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</si>
  <si>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</si>
  <si>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</si>
  <si>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</si>
  <si>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</si>
  <si>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</si>
  <si>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</si>
  <si>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</si>
  <si>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</si>
  <si>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</si>
  <si>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</si>
  <si>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</si>
  <si>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</si>
  <si>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</si>
  <si>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</si>
  <si>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</si>
  <si>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</si>
  <si>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</si>
  <si>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</si>
  <si>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</si>
  <si>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</si>
  <si>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</si>
  <si>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</si>
  <si>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</si>
  <si>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</si>
  <si>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</si>
  <si>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</si>
  <si>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</si>
  <si>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</si>
  <si>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</si>
  <si>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</si>
  <si>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</si>
  <si>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</si>
  <si>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</si>
  <si>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</si>
  <si>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</si>
  <si>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</si>
  <si>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</si>
  <si>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</si>
  <si>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</si>
  <si>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</si>
  <si>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</si>
  <si>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</si>
  <si>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</si>
  <si>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</si>
  <si>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</si>
  <si>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</si>
  <si>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</si>
  <si>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</si>
  <si>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</si>
  <si>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</si>
  <si>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</si>
  <si>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</si>
  <si>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</si>
  <si>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</si>
  <si>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</si>
  <si>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</si>
  <si>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</si>
  <si>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</si>
  <si>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</si>
  <si>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</si>
  <si>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</si>
  <si>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</si>
  <si>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</si>
  <si>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</si>
  <si>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</si>
  <si>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</si>
  <si>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</si>
  <si>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</si>
  <si>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</si>
  <si>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</si>
  <si>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</si>
  <si>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</si>
  <si>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</si>
  <si>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</si>
  <si>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</si>
  <si>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</si>
  <si>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</si>
  <si>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</si>
  <si>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</si>
  <si>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</si>
  <si>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</si>
  <si>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</si>
  <si>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</si>
  <si>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</si>
  <si>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</si>
  <si>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</si>
  <si>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</si>
  <si>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</si>
  <si>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</si>
  <si>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</si>
  <si>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</si>
  <si>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</si>
  <si>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</si>
  <si>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</si>
  <si>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</si>
  <si>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</si>
  <si>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</si>
  <si>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</si>
  <si>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</si>
  <si>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</si>
  <si>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</si>
  <si>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</si>
  <si>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</si>
  <si>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</si>
  <si>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</si>
  <si>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</si>
  <si>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</si>
  <si>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</si>
  <si>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</si>
  <si>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</si>
  <si>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</si>
  <si>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</si>
  <si>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</si>
  <si>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</si>
  <si>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</si>
  <si>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</si>
  <si>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</si>
  <si>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</si>
  <si>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</si>
  <si>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</si>
  <si>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</si>
  <si>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</si>
  <si>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</si>
  <si>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</si>
  <si>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</si>
  <si>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</si>
  <si>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</si>
  <si>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</si>
  <si>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</si>
  <si>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</si>
  <si>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</si>
  <si>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</si>
  <si>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</si>
  <si>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</si>
  <si>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</si>
  <si>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</si>
  <si>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</si>
  <si>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</si>
  <si>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</si>
  <si>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</si>
  <si>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</si>
  <si>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</si>
  <si>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</si>
  <si>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</si>
  <si>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</si>
  <si>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</si>
  <si>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</si>
  <si>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</si>
  <si>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</si>
  <si>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</si>
  <si>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</si>
  <si>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</si>
  <si>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</si>
  <si>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</si>
  <si>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</si>
  <si>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</si>
  <si>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</si>
  <si>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</si>
  <si>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</si>
  <si>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</si>
  <si>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</si>
  <si>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</si>
  <si>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</si>
  <si>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</si>
  <si>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</si>
  <si>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</si>
  <si>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</si>
  <si>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</si>
  <si>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</si>
  <si>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</si>
  <si>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</si>
  <si>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</si>
  <si>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</si>
  <si>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</si>
  <si>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</si>
  <si>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</si>
  <si>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</si>
  <si>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</si>
  <si>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</si>
  <si>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</si>
  <si>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</si>
  <si>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</si>
  <si>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</si>
  <si>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</si>
  <si>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</si>
  <si>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</si>
  <si>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</si>
  <si>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</si>
  <si>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</si>
  <si>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</si>
  <si>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</si>
  <si>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</si>
  <si>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</si>
  <si>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</si>
  <si>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</si>
  <si>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</si>
  <si>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</si>
  <si>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</si>
  <si>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</si>
  <si>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</si>
  <si>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</si>
  <si>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</si>
  <si>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</si>
  <si>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</si>
  <si>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</si>
  <si>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</si>
  <si>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</si>
  <si>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</si>
  <si>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</si>
  <si>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</si>
  <si>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</si>
  <si>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</si>
  <si>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</si>
  <si>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</si>
  <si>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</si>
  <si>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</si>
  <si>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</si>
  <si>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</si>
  <si>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</si>
  <si>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</si>
  <si>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</si>
  <si>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</si>
  <si>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</si>
  <si>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</si>
  <si>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</si>
  <si>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</si>
  <si>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</si>
  <si>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</si>
  <si>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</si>
  <si>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</si>
  <si>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</si>
  <si>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</si>
  <si>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</si>
  <si>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</si>
  <si>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</si>
  <si>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</si>
  <si>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</si>
  <si>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</si>
  <si>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</si>
  <si>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</si>
  <si>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</si>
  <si>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</si>
  <si>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</si>
  <si>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</si>
  <si>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</si>
  <si>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</si>
  <si>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</si>
  <si>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</si>
  <si>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</si>
  <si>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</si>
  <si>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</si>
  <si>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</si>
  <si>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</si>
  <si>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</si>
  <si>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</si>
  <si>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</si>
  <si>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</si>
  <si>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</si>
  <si>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</si>
  <si>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</si>
  <si>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</si>
  <si>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</si>
  <si>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</si>
  <si>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</si>
  <si>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</si>
  <si>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</si>
  <si>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</si>
  <si>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</si>
  <si>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</si>
  <si>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</si>
  <si>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</si>
  <si>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</si>
  <si>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</si>
  <si>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</si>
  <si>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</si>
  <si>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</si>
  <si>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</si>
  <si>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</si>
  <si>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</si>
  <si>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</si>
  <si>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</si>
  <si>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</si>
  <si>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</si>
  <si>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</si>
  <si>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</si>
  <si>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</si>
  <si>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</si>
  <si>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</si>
  <si>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</si>
  <si>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</si>
  <si>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</si>
  <si>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</si>
  <si>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</si>
  <si>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</si>
  <si>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</si>
  <si>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</si>
  <si>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</si>
  <si>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</si>
  <si>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</si>
  <si>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</si>
  <si>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</si>
  <si>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</si>
  <si>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</si>
  <si>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</si>
  <si>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</si>
  <si>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</si>
  <si>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</si>
  <si>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</si>
  <si>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</si>
  <si>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</si>
  <si>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</si>
  <si>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</si>
  <si>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</si>
  <si>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</si>
  <si>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</si>
  <si>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</si>
  <si>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</si>
  <si>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</si>
  <si>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</si>
  <si>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</si>
  <si>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</si>
  <si>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</si>
  <si>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</si>
  <si>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</si>
  <si>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</si>
  <si>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</si>
  <si>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</si>
  <si>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</si>
  <si>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</si>
  <si>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</si>
  <si>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</si>
  <si>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</si>
  <si>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</si>
  <si>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</si>
  <si>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</si>
  <si>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</si>
  <si>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</si>
  <si>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</si>
  <si>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</si>
  <si>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</si>
  <si>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</si>
  <si>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</si>
  <si>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</si>
  <si>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</si>
  <si>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</si>
  <si>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</si>
  <si>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</si>
  <si>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</si>
  <si>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</si>
  <si>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</si>
  <si>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</si>
  <si>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</si>
  <si>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</si>
  <si>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</si>
  <si>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</si>
  <si>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</si>
  <si>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</si>
  <si>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</si>
  <si>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</si>
  <si>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</si>
  <si>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</si>
  <si>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</si>
  <si>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</si>
  <si>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</si>
  <si>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</si>
  <si>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</si>
  <si>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</si>
  <si>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</si>
  <si>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</si>
  <si>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</si>
  <si>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</si>
  <si>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</si>
  <si>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</si>
  <si>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</si>
  <si>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</si>
  <si>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</si>
  <si>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</si>
  <si>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</si>
  <si>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</si>
  <si>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</si>
  <si>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</si>
  <si>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</si>
  <si>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</si>
  <si>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</si>
  <si>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</si>
  <si>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</si>
  <si>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</si>
  <si>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</si>
  <si>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</si>
  <si>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</si>
  <si>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</si>
  <si>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</si>
  <si>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</si>
  <si>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</si>
  <si>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</si>
  <si>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</si>
  <si>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</si>
  <si>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</si>
  <si>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</si>
  <si>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</si>
  <si>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</si>
  <si>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</si>
  <si>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</si>
  <si>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</si>
  <si>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</si>
  <si>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</si>
  <si>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</si>
  <si>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</si>
  <si>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</si>
  <si>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</si>
  <si>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</si>
  <si>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</si>
  <si>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</si>
  <si>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</si>
  <si>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</si>
  <si>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</si>
  <si>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</si>
  <si>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</si>
  <si>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</si>
  <si>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</si>
  <si>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</si>
  <si>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</si>
  <si>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</si>
  <si>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</si>
  <si>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</si>
  <si>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</si>
  <si>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</si>
  <si>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</si>
  <si>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</si>
  <si>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</si>
  <si>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</si>
  <si>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</si>
  <si>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</si>
  <si>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</si>
  <si>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</si>
  <si>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</si>
  <si>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</si>
  <si>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</si>
  <si>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</si>
  <si>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</si>
  <si>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</si>
  <si>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</si>
  <si>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</si>
  <si>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</si>
  <si>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</si>
  <si>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</si>
  <si>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</si>
  <si>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</si>
  <si>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</si>
  <si>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</si>
  <si>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</si>
  <si>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</si>
  <si>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</si>
  <si>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</si>
  <si>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</si>
  <si>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</si>
  <si>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</si>
  <si>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</si>
  <si>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</si>
  <si>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</si>
  <si>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</si>
  <si>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</si>
  <si>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</si>
  <si>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</si>
  <si>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</si>
  <si>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</si>
  <si>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</si>
  <si>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</si>
  <si>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</si>
  <si>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</si>
  <si>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</si>
  <si>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</si>
  <si>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</si>
  <si>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</si>
  <si>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</si>
  <si>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</si>
  <si>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</si>
  <si>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</si>
  <si>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</si>
  <si>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</si>
  <si>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</si>
  <si>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</si>
  <si>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</si>
  <si>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</si>
  <si>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</si>
  <si>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</si>
  <si>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</si>
  <si>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</si>
  <si>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</si>
  <si>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</si>
  <si>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</si>
  <si>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</si>
  <si>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</si>
  <si>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</si>
  <si>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</si>
  <si>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</si>
  <si>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</si>
  <si>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</si>
  <si>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</si>
  <si>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</si>
  <si>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</si>
  <si>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</si>
  <si>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</si>
  <si>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</si>
  <si>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</si>
  <si>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</si>
  <si>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</si>
  <si>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</si>
  <si>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</si>
  <si>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</si>
  <si>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</si>
  <si>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</si>
  <si>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</si>
  <si>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</si>
  <si>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</si>
  <si>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</si>
  <si>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</si>
  <si>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</si>
  <si>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</si>
  <si>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</si>
  <si>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</si>
  <si>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</si>
  <si>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</si>
  <si>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</si>
  <si>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</si>
  <si>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</si>
  <si>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</si>
  <si>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</si>
  <si>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</si>
  <si>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</si>
  <si>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</si>
  <si>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</si>
  <si>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</si>
  <si>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</si>
  <si>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</si>
  <si>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</si>
  <si>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</si>
  <si>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</si>
  <si>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</si>
  <si>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</si>
  <si>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</si>
  <si>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</si>
  <si>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</si>
  <si>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</si>
  <si>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</si>
  <si>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</si>
  <si>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</si>
  <si>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</si>
  <si>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</si>
  <si>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</si>
  <si>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</si>
  <si>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</si>
  <si>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</si>
  <si>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</si>
  <si>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</si>
  <si>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</si>
  <si>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</si>
  <si>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</si>
  <si>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</si>
  <si>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</si>
  <si>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</si>
  <si>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</si>
  <si>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</si>
  <si>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</si>
  <si>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</si>
  <si>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</si>
  <si>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</si>
  <si>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</si>
  <si>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</si>
  <si>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</si>
  <si>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</si>
  <si>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</si>
  <si>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</si>
  <si>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</si>
  <si>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</si>
  <si>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</si>
  <si>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</si>
  <si>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</si>
  <si>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</si>
  <si>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</si>
  <si>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</si>
  <si>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</si>
  <si>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</si>
  <si>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</si>
  <si>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</si>
  <si>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</si>
  <si>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</si>
  <si>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</si>
  <si>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</si>
  <si>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</si>
  <si>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</si>
  <si>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</si>
  <si>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</si>
  <si>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</si>
  <si>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</si>
  <si>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</si>
  <si>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</si>
  <si>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</si>
  <si>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</si>
  <si>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</si>
  <si>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</si>
  <si>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</si>
  <si>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</si>
  <si>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</si>
  <si>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</si>
  <si>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</si>
  <si>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</si>
  <si>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</si>
  <si>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</si>
  <si>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</si>
  <si>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</si>
  <si>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</si>
  <si>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</si>
  <si>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</si>
  <si>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</si>
  <si>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</si>
  <si>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</si>
  <si>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</si>
  <si>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</si>
  <si>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</si>
  <si>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</si>
  <si>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</si>
  <si>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</si>
  <si>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</si>
  <si>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</si>
  <si>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</si>
  <si>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</si>
  <si>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</si>
  <si>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</si>
  <si>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</si>
  <si>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</si>
  <si>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</si>
  <si>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</si>
  <si>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</si>
  <si>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</si>
  <si>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</si>
  <si>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</si>
  <si>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</si>
  <si>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</si>
  <si>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</si>
  <si>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</si>
  <si>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</si>
  <si>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</si>
  <si>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</si>
  <si>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</si>
  <si>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</si>
  <si>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</si>
  <si>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</si>
  <si>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</si>
  <si>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</si>
  <si>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</si>
  <si>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</si>
  <si>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</si>
  <si>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</si>
  <si>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</si>
  <si>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</si>
  <si>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</si>
  <si>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</si>
  <si>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</si>
  <si>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</si>
  <si>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</si>
  <si>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</si>
  <si>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</si>
  <si>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</si>
  <si>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</si>
  <si>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</si>
  <si>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</si>
  <si>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</si>
  <si>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</si>
  <si>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</si>
  <si>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</si>
  <si>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</si>
  <si>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</si>
  <si>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</si>
  <si>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</si>
  <si>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</si>
  <si>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</si>
  <si>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</si>
  <si>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</si>
  <si>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</si>
  <si>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</si>
  <si>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</si>
  <si>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</si>
  <si>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</si>
  <si>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</si>
  <si>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</si>
  <si>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</si>
  <si>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</si>
  <si>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</si>
  <si>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</si>
  <si>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</si>
  <si>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</si>
  <si>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</si>
  <si>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</si>
  <si>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</si>
  <si>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</si>
  <si>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</si>
  <si>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</si>
  <si>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</si>
  <si>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</si>
  <si>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</si>
  <si>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</si>
  <si>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</si>
  <si>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</si>
  <si>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</si>
  <si>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</si>
  <si>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</si>
  <si>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</si>
  <si>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</si>
  <si>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</si>
  <si>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</si>
  <si>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</si>
  <si>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</si>
  <si>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</si>
  <si>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</si>
  <si>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</si>
  <si>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</si>
  <si>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</si>
  <si>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</si>
  <si>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</si>
  <si>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</si>
  <si>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</si>
  <si>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</si>
  <si>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</si>
  <si>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</si>
  <si>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</si>
  <si>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</si>
  <si>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</si>
  <si>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</si>
  <si>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</si>
  <si>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</si>
  <si>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</si>
  <si>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</si>
  <si>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</si>
  <si>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</si>
  <si>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</si>
  <si>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</si>
  <si>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</si>
  <si>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</si>
  <si>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</si>
  <si>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</si>
  <si>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</si>
  <si>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</si>
  <si>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</si>
  <si>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</si>
  <si>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</si>
  <si>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</si>
  <si>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</si>
  <si>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</si>
  <si>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</si>
  <si>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</si>
  <si>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</si>
  <si>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</si>
  <si>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</si>
  <si>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</si>
  <si>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</si>
  <si>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</si>
  <si>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</si>
  <si>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</si>
  <si>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</si>
  <si>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</si>
  <si>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</si>
  <si>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</si>
  <si>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</si>
  <si>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</si>
  <si>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</si>
  <si>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</si>
  <si>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</si>
  <si>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</si>
  <si>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</si>
  <si>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</si>
  <si>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</si>
  <si>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</si>
  <si>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</si>
  <si>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</si>
  <si>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</si>
  <si>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</si>
  <si>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</si>
  <si>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</si>
  <si>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</si>
  <si>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</si>
  <si>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</si>
  <si>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</si>
  <si>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</si>
  <si>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</si>
  <si>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</si>
  <si>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</si>
  <si>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</si>
  <si>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</si>
  <si>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</si>
  <si>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</si>
  <si>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</si>
  <si>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</si>
  <si>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</si>
  <si>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</si>
  <si>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</si>
  <si>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</si>
  <si>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</si>
  <si>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</si>
  <si>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</si>
  <si>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</si>
  <si>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</si>
  <si>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</si>
  <si>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</si>
  <si>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</si>
  <si>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</si>
  <si>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</si>
  <si>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</si>
  <si>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</si>
  <si>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</si>
  <si>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</si>
  <si>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</si>
  <si>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</si>
  <si>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</si>
  <si>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</si>
  <si>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</si>
  <si>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</si>
  <si>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</si>
  <si>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</si>
  <si>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</si>
  <si>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</si>
  <si>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</si>
  <si>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</si>
  <si>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</si>
  <si>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</si>
  <si>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</si>
  <si>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</si>
  <si>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</si>
  <si>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</si>
  <si>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</si>
  <si>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</si>
  <si>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</si>
  <si>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</si>
  <si>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</si>
  <si>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</si>
  <si>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</si>
  <si>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</si>
  <si>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</si>
  <si>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</si>
  <si>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</si>
  <si>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</si>
  <si>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</si>
  <si>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</si>
  <si>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</si>
  <si>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</si>
  <si>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</si>
  <si>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</si>
  <si>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</si>
  <si>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</si>
  <si>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</si>
  <si>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</si>
  <si>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</si>
  <si>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</si>
  <si>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</si>
  <si>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</si>
  <si>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</si>
  <si>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</si>
  <si>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</si>
  <si>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</si>
  <si>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</si>
  <si>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</si>
  <si>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</si>
  <si>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</si>
  <si>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</si>
  <si>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</si>
  <si>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</si>
  <si>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</si>
  <si>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</si>
  <si>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</si>
  <si>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</si>
  <si>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</si>
  <si>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</si>
  <si>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</si>
  <si>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</si>
  <si>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</si>
  <si>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</si>
  <si>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</si>
  <si>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</si>
  <si>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</si>
  <si>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</si>
  <si>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</si>
  <si>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</si>
  <si>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</si>
  <si>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</si>
  <si>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</si>
  <si>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</si>
  <si>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</si>
  <si>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</si>
  <si>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</si>
  <si>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</si>
  <si>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</si>
  <si>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</si>
  <si>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</si>
  <si>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</si>
  <si>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</si>
  <si>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</si>
  <si>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</si>
  <si>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</si>
  <si>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</si>
  <si>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</si>
  <si>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</si>
  <si>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</si>
  <si>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</si>
  <si>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</si>
  <si>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</si>
  <si>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</si>
  <si>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</si>
  <si>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</si>
  <si>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</si>
  <si>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</si>
  <si>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</si>
  <si>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</si>
  <si>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</si>
  <si>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</si>
  <si>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</si>
  <si>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</si>
  <si>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</si>
  <si>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</si>
  <si>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</si>
  <si>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</si>
  <si>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</si>
  <si>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</si>
  <si>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</si>
  <si>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</si>
  <si>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</si>
  <si>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</si>
  <si>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</si>
  <si>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</si>
  <si>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</si>
  <si>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</si>
  <si>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</si>
  <si>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</si>
  <si>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</si>
  <si>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</si>
  <si>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</si>
  <si>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</si>
  <si>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</si>
  <si>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</si>
  <si>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</si>
  <si>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</si>
  <si>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</si>
  <si>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</si>
  <si>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</si>
  <si>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</si>
  <si>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</si>
  <si>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</si>
  <si>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</si>
  <si>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</si>
  <si>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</si>
  <si>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</si>
  <si>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</si>
  <si>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</si>
  <si>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</si>
  <si>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</si>
  <si>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</si>
  <si>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</si>
  <si>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</si>
  <si>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</si>
  <si>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</si>
  <si>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</si>
  <si>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</si>
  <si>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</si>
  <si>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</si>
  <si>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</si>
  <si>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</si>
  <si>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</si>
  <si>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</si>
  <si>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</si>
  <si>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</si>
  <si>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</si>
  <si>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</si>
  <si>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</si>
  <si>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</si>
  <si>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</si>
  <si>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</si>
  <si>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</si>
  <si>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</si>
  <si>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</si>
  <si>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</si>
  <si>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</si>
  <si>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</si>
  <si>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</si>
  <si>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</si>
  <si>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</si>
  <si>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</si>
  <si>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</si>
  <si>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</si>
  <si>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</si>
  <si>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</si>
  <si>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</si>
  <si>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</si>
  <si>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</si>
  <si>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</si>
  <si>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</si>
  <si>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</si>
  <si>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</si>
  <si>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</si>
  <si>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</si>
  <si>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</si>
  <si>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</si>
  <si>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</si>
  <si>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</si>
  <si>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</si>
  <si>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</si>
  <si>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</si>
  <si>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</si>
  <si>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</si>
  <si>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</si>
  <si>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</si>
  <si>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</si>
  <si>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</si>
  <si>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</si>
  <si>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</si>
  <si>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</si>
  <si>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</si>
  <si>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</si>
  <si>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</si>
  <si>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</si>
  <si>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</si>
  <si>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</si>
  <si>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</si>
  <si>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</si>
  <si>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</si>
  <si>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</si>
  <si>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</si>
  <si>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</si>
  <si>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</si>
  <si>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</si>
  <si>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</si>
  <si>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</si>
  <si>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</si>
  <si>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</si>
  <si>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</si>
  <si>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</si>
  <si>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</si>
  <si>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</si>
  <si>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</si>
  <si>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</si>
  <si>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</si>
  <si>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</si>
  <si>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</si>
  <si>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</si>
  <si>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</si>
  <si>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</si>
  <si>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</si>
  <si>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</si>
  <si>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</si>
  <si>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</si>
  <si>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</si>
  <si>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</si>
  <si>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</si>
  <si>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</si>
  <si>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</si>
  <si>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</si>
  <si>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</si>
  <si>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</si>
  <si>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</si>
  <si>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</si>
  <si>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</si>
  <si>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</si>
  <si>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</si>
  <si>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</si>
  <si>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</si>
  <si>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</si>
  <si>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</si>
  <si>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</si>
  <si>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</si>
  <si>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</si>
  <si>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</si>
  <si>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</si>
  <si>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</si>
  <si>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</si>
  <si>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</si>
  <si>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</si>
  <si>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</si>
  <si>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</si>
  <si>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</si>
  <si>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</si>
  <si>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</si>
  <si>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</si>
  <si>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</si>
  <si>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</si>
  <si>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</si>
  <si>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</si>
  <si>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</si>
  <si>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</si>
  <si>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</si>
  <si>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</si>
  <si>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</si>
  <si>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</si>
  <si>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</si>
  <si>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</si>
  <si>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</si>
  <si>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</si>
  <si>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</si>
  <si>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</si>
  <si>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</si>
  <si>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</si>
  <si>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</si>
  <si>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</si>
  <si>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</si>
  <si>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</si>
  <si>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</si>
  <si>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</si>
  <si>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</si>
  <si>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</si>
  <si>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</si>
  <si>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</si>
  <si>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</si>
  <si>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</si>
  <si>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</si>
  <si>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</si>
  <si>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</si>
  <si>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</si>
  <si>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</si>
  <si>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</si>
  <si>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</si>
  <si>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</si>
  <si>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</si>
  <si>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</si>
  <si>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</si>
  <si>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</si>
  <si>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</si>
  <si>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</si>
  <si>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</si>
  <si>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</si>
  <si>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</si>
  <si>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</si>
  <si>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</si>
  <si>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</si>
  <si>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</si>
  <si>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</si>
  <si>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</si>
  <si>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</si>
  <si>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</si>
  <si>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</si>
  <si>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</si>
  <si>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</si>
  <si>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</si>
  <si>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</si>
  <si>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</si>
  <si>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</si>
  <si>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</si>
  <si>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</si>
  <si>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</si>
  <si>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</si>
  <si>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</si>
  <si>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</si>
  <si>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</si>
  <si>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</si>
  <si>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</si>
  <si>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</si>
  <si>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</si>
  <si>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</si>
  <si>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</si>
  <si>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</si>
  <si>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</si>
  <si>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</si>
  <si>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</si>
  <si>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</si>
  <si>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</si>
  <si>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</si>
  <si>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</si>
  <si>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</si>
  <si>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</si>
  <si>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</si>
  <si>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</si>
  <si>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</si>
  <si>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</si>
  <si>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</si>
  <si>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</si>
  <si>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</si>
  <si>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</si>
  <si>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</si>
  <si>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</si>
  <si>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</si>
  <si>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</si>
  <si>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</si>
  <si>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</si>
  <si>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</si>
  <si>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</si>
  <si>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</si>
  <si>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</si>
  <si>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</si>
  <si>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</si>
  <si>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</si>
  <si>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</si>
  <si>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</si>
  <si>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</si>
  <si>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</si>
  <si>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</si>
  <si>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</si>
  <si>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</si>
  <si>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</si>
  <si>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</si>
  <si>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</si>
  <si>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</si>
  <si>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</si>
  <si>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</si>
  <si>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</si>
  <si>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</si>
  <si>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</si>
  <si>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</si>
  <si>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</si>
  <si>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</si>
  <si>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</si>
  <si>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</si>
  <si>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</si>
  <si>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</si>
  <si>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</si>
  <si>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</si>
  <si>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</si>
  <si>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</si>
  <si>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</si>
  <si>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</si>
  <si>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</si>
  <si>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</si>
  <si>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</si>
  <si>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</si>
  <si>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</si>
  <si>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</si>
  <si>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</si>
  <si>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</si>
  <si>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</si>
  <si>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</si>
  <si>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</si>
  <si>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</si>
  <si>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</si>
  <si>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</si>
  <si>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</si>
  <si>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</si>
  <si>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</si>
  <si>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</si>
  <si>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</si>
  <si>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</si>
  <si>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</si>
  <si>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</si>
  <si>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</si>
  <si>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</si>
  <si>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</si>
  <si>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</si>
  <si>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</si>
  <si>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</si>
  <si>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</si>
  <si>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</si>
  <si>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</si>
  <si>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</si>
  <si>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</si>
  <si>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</si>
  <si>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</si>
  <si>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</si>
  <si>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</si>
  <si>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</si>
  <si>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</si>
  <si>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</si>
  <si>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</si>
  <si>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</si>
  <si>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</si>
  <si>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</si>
  <si>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</si>
  <si>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</si>
  <si>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</si>
  <si>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</si>
  <si>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</si>
  <si>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</si>
  <si>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</si>
  <si>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</si>
  <si>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</si>
  <si>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</si>
  <si>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</si>
  <si>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</si>
  <si>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</si>
  <si>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</si>
  <si>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</si>
  <si>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</si>
  <si>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</si>
  <si>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</si>
  <si>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</si>
  <si>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</si>
  <si>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</si>
  <si>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</si>
  <si>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</si>
  <si>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</si>
  <si>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</si>
  <si>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</si>
  <si>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</si>
  <si>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</si>
  <si>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</si>
  <si>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</si>
  <si>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</si>
  <si>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</si>
  <si>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</si>
  <si>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</si>
  <si>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</si>
  <si>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</si>
  <si>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</si>
  <si>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</si>
  <si>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</si>
  <si>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</si>
  <si>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</si>
  <si>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</si>
  <si>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</si>
  <si>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</si>
  <si>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</si>
  <si>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</si>
  <si>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</si>
  <si>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</si>
  <si>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</si>
  <si>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</si>
  <si>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</si>
  <si>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</si>
  <si>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</si>
  <si>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</si>
  <si>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</si>
  <si>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</si>
  <si>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</si>
  <si>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</si>
  <si>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</si>
  <si>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</si>
  <si>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</si>
  <si>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</si>
  <si>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</si>
  <si>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</si>
  <si>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</si>
  <si>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</si>
  <si>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</si>
  <si>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</si>
  <si>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</si>
  <si>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</si>
  <si>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</si>
  <si>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</si>
  <si>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</si>
  <si>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</si>
  <si>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</si>
  <si>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</si>
  <si>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</si>
  <si>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</si>
  <si>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</si>
  <si>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</si>
  <si>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</si>
  <si>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</si>
  <si>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</si>
  <si>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</si>
  <si>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</si>
  <si>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</si>
  <si>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</si>
  <si>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</si>
  <si>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</si>
  <si>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</si>
  <si>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</si>
  <si>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</si>
  <si>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</si>
  <si>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</si>
  <si>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</si>
  <si>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</si>
  <si>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</si>
  <si>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</si>
  <si>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</si>
  <si>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</si>
  <si>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</si>
  <si>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</si>
  <si>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</si>
  <si>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</si>
  <si>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</si>
  <si>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</si>
  <si>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</si>
  <si>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</si>
  <si>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</si>
  <si>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</si>
  <si>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</si>
  <si>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</si>
  <si>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</si>
  <si>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</si>
  <si>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</si>
  <si>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</si>
  <si>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</si>
  <si>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</si>
  <si>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</si>
  <si>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</si>
  <si>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</si>
  <si>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</si>
  <si>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</si>
  <si>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</si>
  <si>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</si>
  <si>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</si>
  <si>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</si>
  <si>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</si>
  <si>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</si>
  <si>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</si>
  <si>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</si>
  <si>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</si>
  <si>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</si>
  <si>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</si>
  <si>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</si>
  <si>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</si>
  <si>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</si>
  <si>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</si>
  <si>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</si>
  <si>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</si>
  <si>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</si>
  <si>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</si>
  <si>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</si>
  <si>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</si>
  <si>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</si>
  <si>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</si>
  <si>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</si>
  <si>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</si>
  <si>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</si>
  <si>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</si>
  <si>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</si>
  <si>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</si>
  <si>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</si>
  <si>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</si>
  <si>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</si>
  <si>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</si>
  <si>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</si>
  <si>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</si>
  <si>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</si>
  <si>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</si>
  <si>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</si>
  <si>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</si>
  <si>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</si>
  <si>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</si>
  <si>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</si>
  <si>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</si>
  <si>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</si>
  <si>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</si>
  <si>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</si>
  <si>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</si>
  <si>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</si>
  <si>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</si>
  <si>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</si>
  <si>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</si>
  <si>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</si>
  <si>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</si>
  <si>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</si>
  <si>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</si>
  <si>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</si>
  <si>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</si>
  <si>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</si>
  <si>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</si>
  <si>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</si>
  <si>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</si>
  <si>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</si>
  <si>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</si>
  <si>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</si>
  <si>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</si>
  <si>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</si>
  <si>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</si>
  <si>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</si>
  <si>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</si>
  <si>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</si>
  <si>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</si>
  <si>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</si>
  <si>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</si>
  <si>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</si>
  <si>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</si>
  <si>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</si>
  <si>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</si>
  <si>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</si>
  <si>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</si>
  <si>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</si>
  <si>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</si>
  <si>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</si>
  <si>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</si>
  <si>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</si>
  <si>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</si>
  <si>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</si>
  <si>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</si>
  <si>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</si>
  <si>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</si>
  <si>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</si>
  <si>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</si>
  <si>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</si>
  <si>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</si>
  <si>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</si>
  <si>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</si>
  <si>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</si>
  <si>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</si>
  <si>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</si>
  <si>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</si>
  <si>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</si>
  <si>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</si>
  <si>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</si>
  <si>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</si>
  <si>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</si>
  <si>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</si>
  <si>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</si>
  <si>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</si>
  <si>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</si>
  <si>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</si>
  <si>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</si>
  <si>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</si>
  <si>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</si>
  <si>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</si>
  <si>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</si>
  <si>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</si>
  <si>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</si>
  <si>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</si>
  <si>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</si>
  <si>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</si>
  <si>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</si>
  <si>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</si>
  <si>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</si>
  <si>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</si>
  <si>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</si>
  <si>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</si>
  <si>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</si>
  <si>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</si>
  <si>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</si>
  <si>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</si>
  <si>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</si>
  <si>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</si>
  <si>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</si>
  <si>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</si>
  <si>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</si>
  <si>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</si>
  <si>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</si>
  <si>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</si>
  <si>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</si>
  <si>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</si>
  <si>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</si>
  <si>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</si>
  <si>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</si>
  <si>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</si>
  <si>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</si>
  <si>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</si>
  <si>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</si>
  <si>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</si>
  <si>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</si>
  <si>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</si>
  <si>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</si>
  <si>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</si>
  <si>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</si>
  <si>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</si>
  <si>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</si>
  <si>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</si>
  <si>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</si>
  <si>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</si>
  <si>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</si>
  <si>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</si>
  <si>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</si>
  <si>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</si>
  <si>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</si>
  <si>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</si>
  <si>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</si>
  <si>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</si>
  <si>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</si>
  <si>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</si>
  <si>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</si>
  <si>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</si>
  <si>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</si>
  <si>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</si>
  <si>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</si>
  <si>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</si>
  <si>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</si>
  <si>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</si>
  <si>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</si>
  <si>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</si>
  <si>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</si>
  <si>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</si>
  <si>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</si>
  <si>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</si>
  <si>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</si>
  <si>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</si>
  <si>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</si>
  <si>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</si>
  <si>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</si>
  <si>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</si>
  <si>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</si>
  <si>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</si>
  <si>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</si>
  <si>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</si>
  <si>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</si>
  <si>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</si>
  <si>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</si>
  <si>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</si>
  <si>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</si>
  <si>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</si>
  <si>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</si>
  <si>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</si>
  <si>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</si>
  <si>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</si>
  <si>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</si>
  <si>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</si>
  <si>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</si>
  <si>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</si>
  <si>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</si>
  <si>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</si>
  <si>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</si>
  <si>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</si>
  <si>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</si>
  <si>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</si>
  <si>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</si>
  <si>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</si>
  <si>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</si>
  <si>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</si>
  <si>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</si>
  <si>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</si>
  <si>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</si>
  <si>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</si>
  <si>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</si>
  <si>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</si>
  <si>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</si>
  <si>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</si>
  <si>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</si>
  <si>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</si>
  <si>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</si>
  <si>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</si>
  <si>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</si>
  <si>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</si>
  <si>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</si>
  <si>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</si>
  <si>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</si>
  <si>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</si>
  <si>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</si>
  <si>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</si>
  <si>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</si>
  <si>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</si>
  <si>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</si>
  <si>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</si>
  <si>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</si>
  <si>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</si>
  <si>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</si>
  <si>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</si>
  <si>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</si>
  <si>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</si>
  <si>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</si>
  <si>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</si>
  <si>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</si>
  <si>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</si>
  <si>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</si>
  <si>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</si>
  <si>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</si>
  <si>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</si>
  <si>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</si>
  <si>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</si>
  <si>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</si>
  <si>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</si>
  <si>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</si>
  <si>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</si>
  <si>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</si>
  <si>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</si>
  <si>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</si>
  <si>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</si>
  <si>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</si>
  <si>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</si>
  <si>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</si>
  <si>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</si>
  <si>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</si>
  <si>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</si>
  <si>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</si>
  <si>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</si>
  <si>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</si>
  <si>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</si>
  <si>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</si>
  <si>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</si>
  <si>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</si>
  <si>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</si>
  <si>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</si>
  <si>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</si>
  <si>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</si>
  <si>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</si>
  <si>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</si>
  <si>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</si>
  <si>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</si>
  <si>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</si>
  <si>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</si>
  <si>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</si>
  <si>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</si>
  <si>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</si>
  <si>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</si>
  <si>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</si>
  <si>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</si>
  <si>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</si>
  <si>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</si>
  <si>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</si>
  <si>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</si>
  <si>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</si>
  <si>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</si>
  <si>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</si>
  <si>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</si>
  <si>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</si>
  <si>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</si>
  <si>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</si>
  <si>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</si>
  <si>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</si>
  <si>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</si>
  <si>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</si>
  <si>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</si>
  <si>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</si>
  <si>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</si>
  <si>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</si>
  <si>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</si>
  <si>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</si>
  <si>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</si>
  <si>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</si>
  <si>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</si>
  <si>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</si>
  <si>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</si>
  <si>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</si>
  <si>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</si>
  <si>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</si>
  <si>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</si>
  <si>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</si>
  <si>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</si>
  <si>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</si>
  <si>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</si>
  <si>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</si>
  <si>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</si>
  <si>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</si>
  <si>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</si>
  <si>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</si>
  <si>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</si>
  <si>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</si>
  <si>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</si>
  <si>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</si>
  <si>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</si>
  <si>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</si>
  <si>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</si>
  <si>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</si>
  <si>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</si>
  <si>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</si>
  <si>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</si>
  <si>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</si>
  <si>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</si>
  <si>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</si>
  <si>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</si>
  <si>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</si>
  <si>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</si>
  <si>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</si>
  <si>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</si>
  <si>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</si>
  <si>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</si>
  <si>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</si>
  <si>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</si>
  <si>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</si>
  <si>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</si>
  <si>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</si>
  <si>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</si>
  <si>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</si>
  <si>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</si>
  <si>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</si>
  <si>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</si>
  <si>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</si>
  <si>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</si>
  <si>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</si>
  <si>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</si>
  <si>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</si>
  <si>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</si>
  <si>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</si>
  <si>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</si>
  <si>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</si>
  <si>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</si>
  <si>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</si>
  <si>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</si>
  <si>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</si>
  <si>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</si>
  <si>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</si>
  <si>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</si>
  <si>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</si>
  <si>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</si>
  <si>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</si>
  <si>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</si>
  <si>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</si>
  <si>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</si>
  <si>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</si>
  <si>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</si>
  <si>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</si>
  <si>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</si>
  <si>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</si>
  <si>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</si>
  <si>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</si>
  <si>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</si>
  <si>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</si>
  <si>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</si>
  <si>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</si>
  <si>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</si>
  <si>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</si>
  <si>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</si>
  <si>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</si>
  <si>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</si>
  <si>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</si>
  <si>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</si>
  <si>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</si>
  <si>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</si>
  <si>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</si>
  <si>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</si>
  <si>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</si>
  <si>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</si>
  <si>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</si>
  <si>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</si>
  <si>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</si>
  <si>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</si>
  <si>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</si>
  <si>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</si>
  <si>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</si>
  <si>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</si>
  <si>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</si>
  <si>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</si>
  <si>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</si>
  <si>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</si>
  <si>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</si>
  <si>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</si>
  <si>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</si>
  <si>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</si>
  <si>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</si>
  <si>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</si>
  <si>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</si>
  <si>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</si>
  <si>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</si>
  <si>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</si>
  <si>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</si>
  <si>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</si>
  <si>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</si>
  <si>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</si>
  <si>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</si>
  <si>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</si>
  <si>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</si>
  <si>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</si>
  <si>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</si>
  <si>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</si>
  <si>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</si>
  <si>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</si>
  <si>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</si>
  <si>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</si>
  <si>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</si>
  <si>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</si>
  <si>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</si>
  <si>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</si>
  <si>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</si>
  <si>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</si>
  <si>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</si>
  <si>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</si>
  <si>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</si>
  <si>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</si>
  <si>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</si>
  <si>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</si>
  <si>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</si>
  <si>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</si>
  <si>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</si>
  <si>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</si>
  <si>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</si>
  <si>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</si>
  <si>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</si>
  <si>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</si>
  <si>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</si>
  <si>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</si>
  <si>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</si>
  <si>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</si>
  <si>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</si>
  <si>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</si>
  <si>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</si>
  <si>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</si>
  <si>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</si>
  <si>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</si>
  <si>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</si>
  <si>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</si>
  <si>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</si>
  <si>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</si>
  <si>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</si>
  <si>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</si>
  <si>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</si>
  <si>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</si>
  <si>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</si>
  <si>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</si>
  <si>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</si>
  <si>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</si>
  <si>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</si>
  <si>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</si>
  <si>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</si>
  <si>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</si>
  <si>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</si>
  <si>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</si>
  <si>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</si>
  <si>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</si>
  <si>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</si>
  <si>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</si>
  <si>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</si>
  <si>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</si>
  <si>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</si>
  <si>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</si>
  <si>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</si>
  <si>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</si>
  <si>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</si>
  <si>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</si>
  <si>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</si>
  <si>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</si>
  <si>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</si>
  <si>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</si>
  <si>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</si>
  <si>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</si>
  <si>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</si>
  <si>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</si>
  <si>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</si>
  <si>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</si>
  <si>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</si>
  <si>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</si>
  <si>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</si>
  <si>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</si>
  <si>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</si>
  <si>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</si>
  <si>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</si>
  <si>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</si>
  <si>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</si>
  <si>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</si>
  <si>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</si>
  <si>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</si>
  <si>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</si>
  <si>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</si>
  <si>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</si>
  <si>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</si>
  <si>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</si>
  <si>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</si>
  <si>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</si>
  <si>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</si>
  <si>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</si>
  <si>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</si>
  <si>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</si>
  <si>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</si>
  <si>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</si>
  <si>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</si>
  <si>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</si>
  <si>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</si>
  <si>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</si>
  <si>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</si>
  <si>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</si>
  <si>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</si>
  <si>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</si>
  <si>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</si>
  <si>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</si>
  <si>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</si>
  <si>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</si>
  <si>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</si>
  <si>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</si>
  <si>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</si>
  <si>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</si>
  <si>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</si>
  <si>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</si>
  <si>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</si>
  <si>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</si>
  <si>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</si>
  <si>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</si>
  <si>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</si>
  <si>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</si>
  <si>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</si>
  <si>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</si>
  <si>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</si>
  <si>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</si>
  <si>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</si>
  <si>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</si>
  <si>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</si>
  <si>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</si>
  <si>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</si>
  <si>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</si>
  <si>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</si>
  <si>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</si>
  <si>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</si>
  <si>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</si>
  <si>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</si>
  <si>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</si>
  <si>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</si>
  <si>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</si>
  <si>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</si>
  <si>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</si>
  <si>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</si>
  <si>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</si>
  <si>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</si>
  <si>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</si>
  <si>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</si>
  <si>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</si>
  <si>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</si>
  <si>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</si>
  <si>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</si>
  <si>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</si>
  <si>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</si>
  <si>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</si>
  <si>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</si>
  <si>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</si>
  <si>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</si>
  <si>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</si>
  <si>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</si>
  <si>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</si>
  <si>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</si>
  <si>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</si>
  <si>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</si>
  <si>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</si>
  <si>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</si>
  <si>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</si>
  <si>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</si>
  <si>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</si>
  <si>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</si>
  <si>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</si>
  <si>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</si>
  <si>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</si>
  <si>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</si>
  <si>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</si>
  <si>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</si>
  <si>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</si>
  <si>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</si>
  <si>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</si>
  <si>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</si>
  <si>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</si>
  <si>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</si>
  <si>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</si>
  <si>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</si>
  <si>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</si>
  <si>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</si>
  <si>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</si>
  <si>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</si>
  <si>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</si>
  <si>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</si>
  <si>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</si>
  <si>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</si>
  <si>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</si>
  <si>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</si>
  <si>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</si>
  <si>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</si>
  <si>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</si>
  <si>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</si>
  <si>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</si>
  <si>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</si>
  <si>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</si>
  <si>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</si>
  <si>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</si>
  <si>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</si>
  <si>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</si>
  <si>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</si>
  <si>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</si>
  <si>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</si>
  <si>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</si>
  <si>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</si>
  <si>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</si>
  <si>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</si>
  <si>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</si>
  <si>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</si>
  <si>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</si>
  <si>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</si>
  <si>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</si>
  <si>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</si>
  <si>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</si>
  <si>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</si>
  <si>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</si>
  <si>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</si>
  <si>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</si>
  <si>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</si>
  <si>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</si>
  <si>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</si>
  <si>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</si>
  <si>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</si>
  <si>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</si>
  <si>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</si>
  <si>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</si>
  <si>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</si>
  <si>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</si>
  <si>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</si>
  <si>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</si>
  <si>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</si>
  <si>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</si>
  <si>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</si>
  <si>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</si>
  <si>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</si>
  <si>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</si>
  <si>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</si>
  <si>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</si>
  <si>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</si>
  <si>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</si>
  <si>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</si>
  <si>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</si>
  <si>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</si>
  <si>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</si>
  <si>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</si>
  <si>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</si>
  <si>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</si>
  <si>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</si>
  <si>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</si>
  <si>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</si>
  <si>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</si>
  <si>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</si>
  <si>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</si>
  <si>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</si>
  <si>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</si>
  <si>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</si>
  <si>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</si>
  <si>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</si>
  <si>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</si>
  <si>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</si>
  <si>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</si>
  <si>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</si>
  <si>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</si>
  <si>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</si>
  <si>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</si>
  <si>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</si>
  <si>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</si>
  <si>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</si>
  <si>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</si>
  <si>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</si>
  <si>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</si>
  <si>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</si>
  <si>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</si>
  <si>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</si>
  <si>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</si>
  <si>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</si>
  <si>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</si>
  <si>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</si>
  <si>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</si>
  <si>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</si>
  <si>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</si>
  <si>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</si>
  <si>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</si>
  <si>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</si>
  <si>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</si>
  <si>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</si>
  <si>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</si>
  <si>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</si>
  <si>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</si>
  <si>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</si>
  <si>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</si>
  <si>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</si>
  <si>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</si>
  <si>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</si>
  <si>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</si>
  <si>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</si>
  <si>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</si>
  <si>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</si>
  <si>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</si>
  <si>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</si>
  <si>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</si>
  <si>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</si>
  <si>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</si>
  <si>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</si>
  <si>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</si>
  <si>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</si>
  <si>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</si>
  <si>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</si>
  <si>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</si>
  <si>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</si>
  <si>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</si>
  <si>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</si>
  <si>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</si>
  <si>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</si>
  <si>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</si>
  <si>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</si>
  <si>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</si>
  <si>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</si>
  <si>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</si>
  <si>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</si>
  <si>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</si>
  <si>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</si>
  <si>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</si>
  <si>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</si>
  <si>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</si>
  <si>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</si>
  <si>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</si>
  <si>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</si>
  <si>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</si>
  <si>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</si>
  <si>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</si>
  <si>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</si>
  <si>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</si>
  <si>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</si>
  <si>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</si>
  <si>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</si>
  <si>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</si>
  <si>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</si>
  <si>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</si>
  <si>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</si>
  <si>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</si>
  <si>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</si>
  <si>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</si>
  <si>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</si>
  <si>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</si>
  <si>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</si>
  <si>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</si>
  <si>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</si>
  <si>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</si>
  <si>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</si>
  <si>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</si>
  <si>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</si>
  <si>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</si>
  <si>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</si>
  <si>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</si>
  <si>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</si>
  <si>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</si>
  <si>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</si>
  <si>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</si>
  <si>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</si>
  <si>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</si>
  <si>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</si>
  <si>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</si>
  <si>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</si>
  <si>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</si>
  <si>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</si>
  <si>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</si>
  <si>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</si>
  <si>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</si>
  <si>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</si>
  <si>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</si>
  <si>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</si>
  <si>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</si>
  <si>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</si>
  <si>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</si>
  <si>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</si>
  <si>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</si>
  <si>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</si>
  <si>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</si>
  <si>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</si>
  <si>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</si>
  <si>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</si>
  <si>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</si>
  <si>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</si>
  <si>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</si>
  <si>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</si>
  <si>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</si>
  <si>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</si>
  <si>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</si>
  <si>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</si>
  <si>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</si>
  <si>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</si>
  <si>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</si>
  <si>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</si>
  <si>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</si>
  <si>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</si>
  <si>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</si>
  <si>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</si>
  <si>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</si>
  <si>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</si>
  <si>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</si>
  <si>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</si>
  <si>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</si>
  <si>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</si>
  <si>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</si>
  <si>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</si>
  <si>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</si>
  <si>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</si>
  <si>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</si>
  <si>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</si>
  <si>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</si>
  <si>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</si>
  <si>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</si>
  <si>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</si>
  <si>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</si>
  <si>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</si>
  <si>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</si>
  <si>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</si>
  <si>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</si>
  <si>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</si>
  <si>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</si>
  <si>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</si>
  <si>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</si>
  <si>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</si>
  <si>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</si>
  <si>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</si>
  <si>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</si>
  <si>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</si>
  <si>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</si>
  <si>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</si>
  <si>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</si>
  <si>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</si>
  <si>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</si>
  <si>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</si>
  <si>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</si>
  <si>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</si>
  <si>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</si>
  <si>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</si>
  <si>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</si>
  <si>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</si>
  <si>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</si>
  <si>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</si>
  <si>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</si>
  <si>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</si>
  <si>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</si>
  <si>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</si>
  <si>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</si>
  <si>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</si>
  <si>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</si>
  <si>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</si>
  <si>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</si>
  <si>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</si>
  <si>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</si>
  <si>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</si>
  <si>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</si>
  <si>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</si>
  <si>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</si>
  <si>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</si>
  <si>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</si>
  <si>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</si>
  <si>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</si>
  <si>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</si>
  <si>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</si>
  <si>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</si>
  <si>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</si>
  <si>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</si>
  <si>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</si>
  <si>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</si>
  <si>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</si>
  <si>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</si>
  <si>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</si>
  <si>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</si>
  <si>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</si>
  <si>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</si>
  <si>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</si>
  <si>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</si>
  <si>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</si>
  <si>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</si>
  <si>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</si>
  <si>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</si>
  <si>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</si>
  <si>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</si>
  <si>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</si>
  <si>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</si>
  <si>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</si>
  <si>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</si>
  <si>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</si>
  <si>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</si>
  <si>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</si>
  <si>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</si>
  <si>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</si>
  <si>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</si>
  <si>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</si>
  <si>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</si>
  <si>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</si>
  <si>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</si>
  <si>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</si>
  <si>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</si>
  <si>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</si>
  <si>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</si>
  <si>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</si>
  <si>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</si>
  <si>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</si>
  <si>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</si>
  <si>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</si>
  <si>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</si>
  <si>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tactrai</t>
  </si>
  <si>
    <t>chanhkhonghat</t>
  </si>
  <si>
    <t>pon</t>
  </si>
  <si>
    <t>chanhday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</si>
</sst>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6" sqref="F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4086</v>
      </c>
    </row>
    <row r="2" spans="1:11" ht="14.4" customHeight="1">
      <c r="A2" s="2" t="s">
        <v>3638</v>
      </c>
      <c r="B2" s="1" t="str">
        <f>VLOOKUP(A2,'CODE NOTE'!A:B,2,0)</f>
        <v>I100167</v>
      </c>
      <c r="C2" s="1"/>
      <c r="D2" s="1" t="str">
        <f>VLOOKUP(A2,'CODE NOTE'!A:C,3,0)</f>
        <v>Ớt hiểm đỏ</v>
      </c>
      <c r="E2" s="1" t="str">
        <f>VLOOKUP(A2,'CODE NOTE'!D:E,2,0)</f>
        <v>Kg</v>
      </c>
      <c r="F2" s="90">
        <v>1</v>
      </c>
      <c r="G2" s="90"/>
      <c r="H2" s="13" t="str">
        <f>VLOOKUP(A2,'CODE NOTE'!D:F,3,0)</f>
        <v>50g/gói</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4084</v>
      </c>
      <c r="B3" s="1" t="str">
        <f>VLOOKUP(A3,'CODE NOTE'!A:B,2,0)</f>
        <v>I100216</v>
      </c>
      <c r="C3" s="1"/>
      <c r="D3" s="1" t="str">
        <f>VLOOKUP(A3,'CODE NOTE'!A:C,3,0)</f>
        <v>Tắc trái</v>
      </c>
      <c r="E3" s="1" t="str">
        <f>VLOOKUP(A3,'CODE NOTE'!D:E,2,0)</f>
        <v>Kg</v>
      </c>
      <c r="F3" s="90">
        <v>1</v>
      </c>
      <c r="G3" s="90"/>
      <c r="H3" s="13">
        <f>VLOOKUP(A3,'CODE NOTE'!D:F,3,0)</f>
        <v>0</v>
      </c>
      <c r="I3" s="106"/>
      <c r="J3" s="93" t="s">
        <v>1865</v>
      </c>
      <c r="K3" t="s">
        <v>3796</v>
      </c>
    </row>
    <row r="4" spans="1:11">
      <c r="A4" s="2" t="s">
        <v>4087</v>
      </c>
      <c r="B4" s="1" t="str">
        <f>VLOOKUP(A4,'CODE NOTE'!A:B,2,0)</f>
        <v>I100474</v>
      </c>
      <c r="C4" s="1"/>
      <c r="D4" s="1" t="str">
        <f>VLOOKUP(A4,'CODE NOTE'!A:C,3,0)</f>
        <v>Chanh Dây</v>
      </c>
      <c r="E4" s="1" t="str">
        <f>VLOOKUP(A4,'CODE NOTE'!D:E,2,0)</f>
        <v>Kg</v>
      </c>
      <c r="F4" s="90">
        <v>1</v>
      </c>
      <c r="G4" s="90"/>
      <c r="H4" s="13" t="str">
        <f>VLOOKUP(A4,'CODE NOTE'!D:F,3,0)</f>
        <v>1 trái = 0.1kg</v>
      </c>
      <c r="I4" s="106"/>
      <c r="J4" s="93" t="s">
        <v>519</v>
      </c>
      <c r="K4" t="s">
        <v>3797</v>
      </c>
    </row>
    <row r="5" spans="1:11">
      <c r="A5" s="2" t="s">
        <v>4085</v>
      </c>
      <c r="B5" s="1" t="str">
        <f>VLOOKUP(A5,'CODE NOTE'!A:B,2,0)</f>
        <v>I100060</v>
      </c>
      <c r="C5" s="1"/>
      <c r="D5" s="1" t="str">
        <f>VLOOKUP(A5,'CODE NOTE'!A:C,3,0)</f>
        <v>Chanh ko hạt</v>
      </c>
      <c r="E5" s="1" t="str">
        <f>VLOOKUP(A5,'CODE NOTE'!D:E,2,0)</f>
        <v>Kg</v>
      </c>
      <c r="F5" s="90">
        <v>1</v>
      </c>
      <c r="G5" s="90"/>
      <c r="H5" s="13" t="str">
        <f>VLOOKUP(A5,'CODE NOTE'!D:F,3,0)</f>
        <v>0.06-0.1kg/quả</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2025-04-11T16:11:43Z</dcterms:modified>
</cp:coreProperties>
</file>