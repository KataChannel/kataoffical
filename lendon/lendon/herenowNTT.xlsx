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D6A2087A-B839-40C9-8064-46F588849990}"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25" i="1"/>
  <c r="D25" i="1"/>
  <c r="E25" i="1"/>
  <c r="B6" i="1" l="1"/>
  <c r="D6" i="1"/>
  <c r="E6" i="1"/>
  <c r="B5" i="1"/>
  <c r="D5" i="1"/>
  <c r="E5"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<sst xmlns="http://schemas.openxmlformats.org/spreadsheetml/2006/main" count="7108" uniqueCount="4108">
  <si>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</si>
  <si>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</si>
  <si>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</si>
  <si>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</si>
  <si>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</si>
  <si>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</si>
  <si>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</si>
  <si>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</si>
  <si>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</si>
  <si>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</si>
  <si>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</si>
  <si>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</si>
  <si>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</si>
  <si>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</si>
  <si>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</si>
  <si>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</si>
  <si>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</si>
  <si>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</si>
  <si>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</si>
  <si>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</si>
  <si>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</si>
  <si>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</si>
  <si>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</si>
  <si>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</si>
  <si>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</si>
  <si>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</si>
  <si>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</si>
  <si>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</si>
  <si>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</si>
  <si>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</si>
  <si>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</si>
  <si>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</si>
  <si>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</si>
  <si>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</si>
  <si>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</si>
  <si>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</si>
  <si>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</si>
  <si>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</si>
  <si>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</si>
  <si>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</si>
  <si>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</si>
  <si>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</si>
  <si>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</si>
  <si>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</si>
  <si>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</si>
  <si>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</si>
  <si>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</si>
  <si>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</si>
  <si>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</si>
  <si>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</si>
  <si>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</si>
  <si>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</si>
  <si>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</si>
  <si>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</si>
  <si>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</si>
  <si>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</si>
  <si>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</si>
  <si>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</si>
  <si>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</si>
  <si>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</si>
  <si>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</si>
  <si>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</si>
  <si>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</si>
  <si>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</si>
  <si>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</si>
  <si>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</si>
  <si>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</si>
  <si>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</si>
  <si>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</si>
  <si>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</si>
  <si>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</si>
  <si>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</si>
  <si>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</si>
  <si>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</si>
  <si>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</si>
  <si>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</si>
  <si>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</si>
  <si>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</si>
  <si>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</si>
  <si>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</si>
  <si>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</si>
  <si>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</si>
  <si>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</si>
  <si>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</si>
  <si>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</si>
  <si>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</si>
  <si>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</si>
  <si>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</si>
  <si>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</si>
  <si>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</si>
  <si>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</si>
  <si>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</si>
  <si>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</si>
  <si>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</si>
  <si>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</si>
  <si>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</si>
  <si>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</si>
  <si>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</si>
  <si>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</si>
  <si>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</si>
  <si>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</si>
  <si>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</si>
  <si>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</si>
  <si>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</si>
  <si>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</si>
  <si>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</si>
  <si>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</si>
  <si>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</si>
  <si>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</si>
  <si>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</si>
  <si>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</si>
  <si>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</si>
  <si>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</si>
  <si>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</si>
  <si>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</si>
  <si>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</si>
  <si>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</si>
  <si>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</si>
  <si>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</si>
  <si>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</si>
  <si>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</si>
  <si>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</si>
  <si>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</si>
  <si>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</si>
  <si>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</si>
  <si>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</si>
  <si>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</si>
  <si>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</si>
  <si>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</si>
  <si>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</si>
  <si>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</si>
  <si>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</si>
  <si>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</si>
  <si>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</si>
  <si>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</si>
  <si>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</si>
  <si>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</si>
  <si>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</si>
  <si>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</si>
  <si>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</si>
  <si>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</si>
  <si>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</si>
  <si>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</si>
  <si>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</si>
  <si>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</si>
  <si>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</si>
  <si>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</si>
  <si>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</si>
  <si>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</si>
  <si>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</si>
  <si>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</si>
  <si>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</si>
  <si>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</si>
  <si>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</si>
  <si>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</si>
  <si>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</si>
  <si>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</si>
  <si>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</si>
  <si>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</si>
  <si>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</si>
  <si>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</si>
  <si>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</si>
  <si>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</si>
  <si>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</si>
  <si>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</si>
  <si>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</si>
  <si>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</si>
  <si>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</si>
  <si>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</si>
  <si>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</si>
  <si>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</si>
  <si>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</si>
  <si>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</si>
  <si>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</si>
  <si>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</si>
  <si>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</si>
  <si>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</si>
  <si>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</si>
  <si>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</si>
  <si>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</si>
  <si>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</si>
  <si>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</si>
  <si>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</si>
  <si>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</si>
  <si>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</si>
  <si>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</si>
  <si>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</si>
  <si>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</si>
  <si>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</si>
  <si>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</si>
  <si>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</si>
  <si>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</si>
  <si>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</si>
  <si>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</si>
  <si>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</si>
  <si>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</si>
  <si>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</si>
  <si>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</si>
  <si>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</si>
  <si>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</si>
  <si>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</si>
  <si>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</si>
  <si>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</si>
  <si>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</si>
  <si>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</si>
  <si>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</si>
  <si>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</si>
  <si>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</si>
  <si>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</si>
  <si>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</si>
  <si>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</si>
  <si>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</si>
  <si>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</si>
  <si>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</si>
  <si>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</si>
  <si>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</si>
  <si>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</si>
  <si>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</si>
  <si>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</si>
  <si>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</si>
  <si>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</si>
  <si>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</si>
  <si>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</si>
  <si>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</si>
  <si>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</si>
  <si>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</si>
  <si>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</si>
  <si>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</si>
  <si>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</si>
  <si>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</si>
  <si>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</si>
  <si>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</si>
  <si>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</si>
  <si>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</si>
  <si>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</si>
  <si>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</si>
  <si>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</si>
  <si>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</si>
  <si>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</si>
  <si>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</si>
  <si>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</si>
  <si>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</si>
  <si>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</si>
  <si>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</si>
  <si>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</si>
  <si>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</si>
  <si>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</si>
  <si>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</si>
  <si>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</si>
  <si>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</si>
  <si>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</si>
  <si>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</si>
  <si>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</si>
  <si>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</si>
  <si>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</si>
  <si>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</si>
  <si>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</si>
  <si>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</si>
  <si>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</si>
  <si>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</si>
  <si>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</si>
  <si>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</si>
  <si>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</si>
  <si>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</si>
  <si>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</si>
  <si>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</si>
  <si>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</si>
  <si>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</si>
  <si>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</si>
  <si>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</si>
  <si>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</si>
  <si>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</si>
  <si>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</si>
  <si>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</si>
  <si>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</si>
  <si>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</si>
  <si>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</si>
  <si>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</si>
  <si>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</si>
  <si>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</si>
  <si>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</si>
  <si>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</si>
  <si>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</si>
  <si>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</si>
  <si>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</si>
  <si>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</si>
  <si>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</si>
  <si>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</si>
  <si>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</si>
  <si>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</si>
  <si>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</si>
  <si>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</si>
  <si>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</si>
  <si>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</si>
  <si>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</si>
  <si>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</si>
  <si>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</si>
  <si>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</si>
  <si>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</si>
  <si>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</si>
  <si>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</si>
  <si>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</si>
  <si>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</si>
  <si>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</si>
  <si>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</si>
  <si>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</si>
  <si>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</si>
  <si>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</si>
  <si>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</si>
  <si>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</si>
  <si>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</si>
  <si>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</si>
  <si>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</si>
  <si>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</si>
  <si>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</si>
  <si>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</si>
  <si>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</si>
  <si>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</si>
  <si>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</si>
  <si>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</si>
  <si>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</si>
  <si>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</si>
  <si>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</si>
  <si>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</si>
  <si>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</si>
  <si>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</si>
  <si>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</si>
  <si>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</si>
  <si>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</si>
  <si>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</si>
  <si>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</si>
  <si>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</si>
  <si>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</si>
  <si>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</si>
  <si>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</si>
  <si>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</si>
  <si>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</si>
  <si>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</si>
  <si>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</si>
  <si>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</si>
  <si>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</si>
  <si>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</si>
  <si>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</si>
  <si>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</si>
  <si>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</si>
  <si>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</si>
  <si>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</si>
  <si>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</si>
  <si>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</si>
  <si>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</si>
  <si>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</si>
  <si>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</si>
  <si>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</si>
  <si>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</si>
  <si>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</si>
  <si>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</si>
  <si>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</si>
  <si>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</si>
  <si>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</si>
  <si>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</si>
  <si>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</si>
  <si>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</si>
  <si>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</si>
  <si>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</si>
  <si>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</si>
  <si>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</si>
  <si>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</si>
  <si>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</si>
  <si>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</si>
  <si>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</si>
  <si>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</si>
  <si>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</si>
  <si>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</si>
  <si>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</si>
  <si>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</si>
  <si>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</si>
  <si>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</si>
  <si>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</si>
  <si>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</si>
  <si>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</si>
  <si>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</si>
  <si>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</si>
  <si>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</si>
  <si>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</si>
  <si>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</si>
  <si>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</si>
  <si>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</si>
  <si>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</si>
  <si>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</si>
  <si>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</si>
  <si>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</si>
  <si>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</si>
  <si>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</si>
  <si>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</si>
  <si>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</si>
  <si>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</si>
  <si>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</si>
  <si>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</si>
  <si>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</si>
  <si>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</si>
  <si>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</si>
  <si>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</si>
  <si>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</si>
  <si>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</si>
  <si>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</si>
  <si>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</si>
  <si>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</si>
  <si>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</si>
  <si>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</si>
  <si>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</si>
  <si>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</si>
  <si>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</si>
  <si>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</si>
  <si>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</si>
  <si>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</si>
  <si>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</si>
  <si>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</si>
  <si>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</si>
  <si>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</si>
  <si>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</si>
  <si>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</si>
  <si>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</si>
  <si>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</si>
  <si>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</si>
  <si>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</si>
  <si>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</si>
  <si>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</si>
  <si>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</si>
  <si>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</si>
  <si>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</si>
  <si>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</si>
  <si>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</si>
  <si>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</si>
  <si>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</si>
  <si>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</si>
  <si>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</si>
  <si>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</si>
  <si>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</si>
  <si>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</si>
  <si>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</si>
  <si>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</si>
  <si>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</si>
  <si>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</si>
  <si>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</si>
  <si>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</si>
  <si>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</si>
  <si>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</si>
  <si>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</si>
  <si>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</si>
  <si>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</si>
  <si>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</si>
  <si>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</si>
  <si>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</si>
  <si>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</si>
  <si>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</si>
  <si>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</si>
  <si>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</si>
  <si>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</si>
  <si>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</si>
  <si>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</si>
  <si>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</si>
  <si>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</si>
  <si>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</si>
  <si>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</si>
  <si>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</si>
  <si>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</si>
  <si>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</si>
  <si>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</si>
  <si>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</si>
  <si>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</si>
  <si>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</si>
  <si>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</si>
  <si>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</si>
  <si>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</si>
  <si>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</si>
  <si>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</si>
  <si>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</si>
  <si>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</si>
  <si>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</si>
  <si>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</si>
  <si>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</si>
  <si>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</si>
  <si>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</si>
  <si>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</si>
  <si>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</si>
  <si>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</si>
  <si>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</si>
  <si>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</si>
  <si>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</si>
  <si>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</si>
  <si>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</si>
  <si>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</si>
  <si>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</si>
  <si>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</si>
  <si>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</si>
  <si>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</si>
  <si>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</si>
  <si>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</si>
  <si>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</si>
  <si>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</si>
  <si>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</si>
  <si>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</si>
  <si>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</si>
  <si>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</si>
  <si>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</si>
  <si>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</si>
  <si>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</si>
  <si>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</si>
  <si>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</si>
  <si>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</si>
  <si>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</si>
  <si>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</si>
  <si>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</si>
  <si>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</si>
  <si>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</si>
  <si>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</si>
  <si>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</si>
  <si>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</si>
  <si>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</si>
  <si>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</si>
  <si>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</si>
  <si>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</si>
  <si>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</si>
  <si>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</si>
  <si>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</si>
  <si>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</si>
  <si>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</si>
  <si>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</si>
  <si>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</si>
  <si>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</si>
  <si>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</si>
  <si>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</si>
  <si>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</si>
  <si>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</si>
  <si>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</si>
  <si>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</si>
  <si>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</si>
  <si>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</si>
  <si>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</si>
  <si>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</si>
  <si>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</si>
  <si>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</si>
  <si>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</si>
  <si>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</si>
  <si>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</si>
  <si>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</si>
  <si>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</si>
  <si>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</si>
  <si>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</si>
  <si>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</si>
  <si>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</si>
  <si>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</si>
  <si>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</si>
  <si>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</si>
  <si>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</si>
  <si>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</si>
  <si>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</si>
  <si>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</si>
  <si>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</si>
  <si>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</si>
  <si>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</si>
  <si>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</si>
  <si>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</si>
  <si>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</si>
  <si>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</si>
  <si>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</si>
  <si>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</si>
  <si>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</si>
  <si>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</si>
  <si>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</si>
  <si>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</si>
  <si>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</si>
  <si>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</si>
  <si>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</si>
  <si>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</si>
  <si>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</si>
  <si>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</si>
  <si>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</si>
  <si>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</si>
  <si>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</si>
  <si>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</si>
  <si>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</si>
  <si>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</si>
  <si>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</si>
  <si>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</si>
  <si>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</si>
  <si>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</si>
  <si>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</si>
  <si>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</si>
  <si>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</si>
  <si>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</si>
  <si>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</si>
  <si>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</si>
  <si>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</si>
  <si>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</si>
  <si>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</si>
  <si>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</si>
  <si>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</si>
  <si>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</si>
  <si>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</si>
  <si>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</si>
  <si>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</si>
  <si>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</si>
  <si>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</si>
  <si>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</si>
  <si>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</si>
  <si>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</si>
  <si>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</si>
  <si>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</si>
  <si>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</si>
  <si>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</si>
  <si>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</si>
  <si>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</si>
  <si>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</si>
  <si>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</si>
  <si>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</si>
  <si>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</si>
  <si>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</si>
  <si>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</si>
  <si>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</si>
  <si>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</si>
  <si>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</si>
  <si>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</si>
  <si>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</si>
  <si>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</si>
  <si>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</si>
  <si>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</si>
  <si>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</si>
  <si>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</si>
  <si>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</si>
  <si>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</si>
  <si>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</si>
  <si>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</si>
  <si>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</si>
  <si>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</si>
  <si>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</si>
  <si>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</si>
  <si>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</si>
  <si>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</si>
  <si>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</si>
  <si>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</si>
  <si>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</si>
  <si>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</si>
  <si>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</si>
  <si>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</si>
  <si>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</si>
  <si>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</si>
  <si>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</si>
  <si>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</si>
  <si>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</si>
  <si>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</si>
  <si>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</si>
  <si>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</si>
  <si>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</si>
  <si>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</si>
  <si>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</si>
  <si>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</si>
  <si>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</si>
  <si>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</si>
  <si>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</si>
  <si>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</si>
  <si>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</si>
  <si>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</si>
  <si>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</si>
  <si>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</si>
  <si>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</si>
  <si>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</si>
  <si>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</si>
  <si>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</si>
  <si>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</si>
  <si>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</si>
  <si>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</si>
  <si>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</si>
  <si>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</si>
  <si>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</si>
  <si>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</si>
  <si>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</si>
  <si>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</si>
  <si>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</si>
  <si>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</si>
  <si>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</si>
  <si>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</si>
  <si>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</si>
  <si>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</si>
  <si>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</si>
  <si>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</si>
  <si>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</si>
  <si>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</si>
  <si>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</si>
  <si>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</si>
  <si>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</si>
  <si>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</si>
  <si>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</si>
  <si>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</si>
  <si>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</si>
  <si>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</si>
  <si>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</si>
  <si>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</si>
  <si>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</si>
  <si>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</si>
  <si>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</si>
  <si>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</si>
  <si>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</si>
  <si>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</si>
  <si>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</si>
  <si>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</si>
  <si>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</si>
  <si>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</si>
  <si>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</si>
  <si>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</si>
  <si>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</si>
  <si>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</si>
  <si>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</si>
  <si>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</si>
  <si>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</si>
  <si>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</si>
  <si>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</si>
  <si>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</si>
  <si>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</si>
  <si>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</si>
  <si>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</si>
  <si>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</si>
  <si>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</si>
  <si>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</si>
  <si>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</si>
  <si>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</si>
  <si>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</si>
  <si>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</si>
  <si>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</si>
  <si>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</si>
  <si>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</si>
  <si>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</si>
  <si>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</si>
  <si>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</si>
  <si>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</si>
  <si>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</si>
  <si>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</si>
  <si>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</si>
  <si>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</si>
  <si>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</si>
  <si>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</si>
  <si>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</si>
  <si>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</si>
  <si>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</si>
  <si>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</si>
  <si>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</si>
  <si>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</si>
  <si>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</si>
  <si>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</si>
  <si>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</si>
  <si>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</si>
  <si>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</si>
  <si>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</si>
  <si>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</si>
  <si>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</si>
  <si>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</si>
  <si>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</si>
  <si>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</si>
  <si>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</si>
  <si>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</si>
  <si>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</si>
  <si>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</si>
  <si>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</si>
  <si>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</si>
  <si>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</si>
  <si>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</si>
  <si>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</si>
  <si>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</si>
  <si>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</si>
  <si>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</si>
  <si>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</si>
  <si>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</si>
  <si>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</si>
  <si>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</si>
  <si>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</si>
  <si>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</si>
  <si>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</si>
  <si>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</si>
  <si>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</si>
  <si>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</si>
  <si>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</si>
  <si>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</si>
  <si>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</si>
  <si>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</si>
  <si>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</si>
  <si>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</si>
  <si>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</si>
  <si>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</si>
  <si>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</si>
  <si>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</si>
  <si>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</si>
  <si>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</si>
  <si>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</si>
  <si>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</si>
  <si>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</si>
  <si>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</si>
  <si>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</si>
  <si>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</si>
  <si>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</si>
  <si>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</si>
  <si>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</si>
  <si>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</si>
  <si>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</si>
  <si>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</si>
  <si>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</si>
  <si>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</si>
  <si>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</si>
  <si>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</si>
  <si>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</si>
  <si>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</si>
  <si>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</si>
  <si>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</si>
  <si>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</si>
  <si>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</si>
  <si>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</si>
  <si>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</si>
  <si>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</si>
  <si>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</si>
  <si>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</si>
  <si>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</si>
  <si>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</si>
  <si>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</si>
  <si>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</si>
  <si>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</si>
  <si>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</si>
  <si>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</si>
  <si>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</si>
  <si>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</si>
  <si>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</si>
  <si>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</si>
  <si>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</si>
  <si>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</si>
  <si>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</si>
  <si>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</si>
  <si>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</si>
  <si>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</si>
  <si>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</si>
  <si>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</si>
  <si>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</si>
  <si>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</si>
  <si>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</si>
  <si>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</si>
  <si>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</si>
  <si>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</si>
  <si>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</si>
  <si>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</si>
  <si>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</si>
  <si>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</si>
  <si>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</si>
  <si>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</si>
  <si>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</si>
  <si>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</si>
  <si>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</si>
  <si>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</si>
  <si>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</si>
  <si>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</si>
  <si>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</si>
  <si>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</si>
  <si>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</si>
  <si>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</si>
  <si>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</si>
  <si>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</si>
  <si>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</si>
  <si>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</si>
  <si>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</si>
  <si>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</si>
  <si>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</si>
  <si>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</si>
  <si>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</si>
  <si>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</si>
  <si>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</si>
  <si>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</si>
  <si>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</si>
  <si>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</si>
  <si>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</si>
  <si>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</si>
  <si>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</si>
  <si>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</si>
  <si>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</si>
  <si>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</si>
  <si>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</si>
  <si>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</si>
  <si>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</si>
  <si>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</si>
  <si>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</si>
  <si>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</si>
  <si>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</si>
  <si>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</si>
  <si>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</si>
  <si>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</si>
  <si>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</si>
  <si>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</si>
  <si>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</si>
  <si>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</si>
  <si>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</si>
  <si>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</si>
  <si>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</si>
  <si>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</si>
  <si>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</si>
  <si>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</si>
  <si>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</si>
  <si>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</si>
  <si>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</si>
  <si>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</si>
  <si>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</si>
  <si>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</si>
  <si>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</si>
  <si>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</si>
  <si>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</si>
  <si>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</si>
  <si>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</si>
  <si>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</si>
  <si>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</si>
  <si>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</si>
  <si>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</si>
  <si>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</si>
  <si>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</si>
  <si>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</si>
  <si>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</si>
  <si>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</si>
  <si>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</si>
  <si>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</si>
  <si>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</si>
  <si>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</si>
  <si>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</si>
  <si>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</si>
  <si>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</si>
  <si>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</si>
  <si>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</si>
  <si>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</si>
  <si>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</si>
  <si>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</si>
  <si>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</si>
  <si>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</si>
  <si>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</si>
  <si>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</si>
  <si>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</si>
  <si>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</si>
  <si>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</si>
  <si>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</si>
  <si>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</si>
  <si>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</si>
  <si>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</si>
  <si>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</si>
  <si>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</si>
  <si>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</si>
  <si>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</si>
  <si>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</si>
  <si>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</si>
  <si>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</si>
  <si>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</si>
  <si>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</si>
  <si>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</si>
  <si>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</si>
  <si>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</si>
  <si>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</si>
  <si>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</si>
  <si>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</si>
  <si>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</si>
  <si>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</si>
  <si>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</si>
  <si>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</si>
  <si>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</si>
  <si>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</si>
  <si>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</si>
  <si>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</si>
  <si>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</si>
  <si>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</si>
  <si>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</si>
  <si>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</si>
  <si>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</si>
  <si>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</si>
  <si>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</si>
  <si>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</si>
  <si>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</si>
  <si>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</si>
  <si>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</si>
  <si>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</si>
  <si>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</si>
  <si>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</si>
  <si>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</si>
  <si>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</si>
  <si>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</si>
  <si>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</si>
  <si>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</si>
  <si>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</si>
  <si>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</si>
  <si>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</si>
  <si>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</si>
  <si>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</si>
  <si>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</si>
  <si>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</si>
  <si>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</si>
  <si>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</si>
  <si>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</si>
  <si>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</si>
  <si>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</si>
  <si>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</si>
  <si>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</si>
  <si>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</si>
  <si>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</si>
  <si>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</si>
  <si>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</si>
  <si>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</si>
  <si>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</si>
  <si>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</si>
  <si>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</si>
  <si>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</si>
  <si>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</si>
  <si>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</si>
  <si>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</si>
  <si>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</si>
  <si>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</si>
  <si>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</si>
  <si>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</si>
  <si>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</si>
  <si>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</si>
  <si>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</si>
  <si>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</si>
  <si>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</si>
  <si>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</si>
  <si>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</si>
  <si>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</si>
  <si>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</si>
  <si>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</si>
  <si>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</si>
  <si>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</si>
  <si>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</si>
  <si>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</si>
  <si>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</si>
  <si>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</si>
  <si>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</si>
  <si>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</si>
  <si>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</si>
  <si>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</si>
  <si>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</si>
  <si>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</si>
  <si>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</si>
  <si>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</si>
  <si>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</si>
  <si>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</si>
  <si>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</si>
  <si>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</si>
  <si>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</si>
  <si>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</si>
  <si>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</si>
  <si>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</si>
  <si>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</si>
  <si>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</si>
  <si>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</si>
  <si>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</si>
  <si>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</si>
  <si>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</si>
  <si>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</si>
  <si>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</si>
  <si>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</si>
  <si>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</si>
  <si>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</si>
  <si>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</si>
  <si>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</si>
  <si>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</si>
  <si>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</si>
  <si>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</si>
  <si>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</si>
  <si>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</si>
  <si>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</si>
  <si>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</si>
  <si>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</si>
  <si>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</si>
  <si>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</si>
  <si>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</si>
  <si>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</si>
  <si>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</si>
  <si>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</si>
  <si>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</si>
  <si>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</si>
  <si>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</si>
  <si>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</si>
  <si>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</si>
  <si>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</si>
  <si>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</si>
  <si>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</si>
  <si>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</si>
  <si>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</si>
  <si>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</si>
  <si>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</si>
  <si>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</si>
  <si>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</si>
  <si>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</si>
  <si>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</si>
  <si>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</si>
  <si>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</si>
  <si>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</si>
  <si>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</si>
  <si>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</si>
  <si>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</si>
  <si>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</si>
  <si>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</si>
  <si>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</si>
  <si>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</si>
  <si>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</si>
  <si>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</si>
  <si>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</si>
  <si>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</si>
  <si>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</si>
  <si>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</si>
  <si>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</si>
  <si>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</si>
  <si>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</si>
  <si>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</si>
  <si>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</si>
  <si>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</si>
  <si>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</si>
  <si>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</si>
  <si>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</si>
  <si>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</si>
  <si>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</si>
  <si>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</si>
  <si>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</si>
  <si>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</si>
  <si>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</si>
  <si>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</si>
  <si>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</si>
  <si>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</si>
  <si>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</si>
  <si>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</si>
  <si>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</si>
  <si>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</si>
  <si>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</si>
  <si>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</si>
  <si>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</si>
  <si>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</si>
  <si>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</si>
  <si>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</si>
  <si>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</si>
  <si>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</si>
  <si>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</si>
  <si>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</si>
  <si>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</si>
  <si>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</si>
  <si>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</si>
  <si>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</si>
  <si>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</si>
  <si>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</si>
  <si>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</si>
  <si>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</si>
  <si>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</si>
  <si>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</si>
  <si>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</si>
  <si>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</si>
  <si>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</si>
  <si>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</si>
  <si>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</si>
  <si>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</si>
  <si>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</si>
  <si>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</si>
  <si>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</si>
  <si>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</si>
  <si>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</si>
  <si>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</si>
  <si>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</si>
  <si>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</si>
  <si>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</si>
  <si>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</si>
  <si>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</si>
  <si>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</si>
  <si>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</si>
  <si>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</si>
  <si>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</si>
  <si>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</si>
  <si>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</si>
  <si>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</si>
  <si>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</si>
  <si>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</si>
  <si>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</si>
  <si>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</si>
  <si>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</si>
  <si>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</si>
  <si>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</si>
  <si>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</si>
  <si>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</si>
  <si>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</si>
  <si>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</si>
  <si>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</si>
  <si>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</si>
  <si>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</si>
  <si>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</si>
  <si>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</si>
  <si>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</si>
  <si>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</si>
  <si>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</si>
  <si>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</si>
  <si>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</si>
  <si>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</si>
  <si>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</si>
  <si>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</si>
  <si>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</si>
  <si>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</si>
  <si>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</si>
  <si>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</si>
  <si>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</si>
  <si>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</si>
  <si>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</si>
  <si>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</si>
  <si>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</si>
  <si>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</si>
  <si>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</si>
  <si>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</si>
  <si>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</si>
  <si>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</si>
  <si>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</si>
  <si>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</si>
  <si>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</si>
  <si>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</si>
  <si>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</si>
  <si>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</si>
  <si>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</si>
  <si>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</si>
  <si>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</si>
  <si>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</si>
  <si>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</si>
  <si>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</si>
  <si>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</si>
  <si>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</si>
  <si>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</si>
  <si>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</si>
  <si>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</si>
  <si>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</si>
  <si>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</si>
  <si>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</si>
  <si>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</si>
  <si>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</si>
  <si>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</si>
  <si>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</si>
  <si>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</si>
  <si>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</si>
  <si>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</si>
  <si>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</si>
  <si>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</si>
  <si>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</si>
  <si>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</si>
  <si>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</si>
  <si>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</si>
  <si>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</si>
  <si>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</si>
  <si>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</si>
  <si>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</si>
  <si>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</si>
  <si>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</si>
  <si>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</si>
  <si>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</si>
  <si>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</si>
  <si>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</si>
  <si>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</si>
  <si>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</si>
  <si>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</si>
  <si>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</si>
  <si>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</si>
  <si>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</si>
  <si>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</si>
  <si>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</si>
  <si>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</si>
  <si>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</si>
  <si>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</si>
  <si>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</si>
  <si>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</si>
  <si>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</si>
  <si>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</si>
  <si>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</si>
  <si>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</si>
  <si>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</si>
  <si>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</si>
  <si>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</si>
  <si>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</si>
  <si>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</si>
  <si>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</si>
  <si>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</si>
  <si>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</si>
  <si>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</si>
  <si>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</si>
  <si>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</si>
  <si>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</si>
  <si>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</si>
  <si>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</si>
  <si>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</si>
  <si>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</si>
  <si>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</si>
  <si>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</si>
  <si>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</si>
  <si>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</si>
  <si>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</si>
  <si>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</si>
  <si>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</si>
  <si>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</si>
  <si>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</si>
  <si>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</si>
  <si>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</si>
  <si>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</si>
  <si>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</si>
  <si>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</si>
  <si>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</si>
  <si>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</si>
  <si>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</si>
  <si>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</si>
  <si>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</si>
  <si>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</si>
  <si>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</si>
  <si>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</si>
  <si>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</si>
  <si>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</si>
  <si>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</si>
  <si>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</si>
  <si>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</si>
  <si>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</si>
  <si>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</si>
  <si>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</si>
  <si>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</si>
  <si>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</si>
  <si>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</si>
  <si>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</si>
  <si>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</si>
  <si>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</si>
  <si>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</si>
  <si>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</si>
  <si>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</si>
  <si>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</si>
  <si>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</si>
  <si>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</si>
  <si>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</si>
  <si>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</si>
  <si>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</si>
  <si>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</si>
  <si>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</si>
  <si>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</si>
  <si>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</si>
  <si>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</si>
  <si>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</si>
  <si>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</si>
  <si>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</si>
  <si>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</si>
  <si>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</si>
  <si>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</si>
  <si>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</si>
  <si>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</si>
  <si>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</si>
  <si>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</si>
  <si>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</si>
  <si>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</si>
  <si>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</si>
  <si>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</si>
  <si>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</si>
  <si>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</si>
  <si>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</si>
  <si>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</si>
  <si>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</si>
  <si>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</si>
  <si>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</si>
  <si>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</si>
  <si>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</si>
  <si>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</si>
  <si>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</si>
  <si>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</si>
  <si>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</si>
  <si>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</si>
  <si>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</si>
  <si>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</si>
  <si>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</si>
  <si>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</si>
  <si>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</si>
  <si>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</si>
  <si>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</si>
  <si>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</si>
  <si>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</si>
  <si>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</si>
  <si>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</si>
  <si>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</si>
  <si>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</si>
  <si>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</si>
  <si>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</si>
  <si>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</si>
  <si>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</si>
  <si>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</si>
  <si>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</si>
  <si>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</si>
  <si>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</si>
  <si>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</si>
  <si>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</si>
  <si>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</si>
  <si>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</si>
  <si>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</si>
  <si>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</si>
  <si>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</si>
  <si>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</si>
  <si>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</si>
  <si>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</si>
  <si>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</si>
  <si>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</si>
  <si>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</si>
  <si>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</si>
  <si>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</si>
  <si>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</si>
  <si>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</si>
  <si>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</si>
  <si>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</si>
  <si>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</si>
  <si>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</si>
  <si>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</si>
  <si>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</si>
  <si>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</si>
  <si>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</si>
  <si>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</si>
  <si>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</si>
  <si>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</si>
  <si>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</si>
  <si>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</si>
  <si>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</si>
  <si>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</si>
  <si>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</si>
  <si>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</si>
  <si>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</si>
  <si>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</si>
  <si>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</si>
  <si>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</si>
  <si>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</si>
  <si>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</si>
  <si>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</si>
  <si>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</si>
  <si>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</si>
  <si>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</si>
  <si>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</si>
  <si>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</si>
  <si>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</si>
  <si>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</si>
  <si>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</si>
  <si>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</si>
  <si>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</si>
  <si>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</si>
  <si>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</si>
  <si>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</si>
  <si>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</si>
  <si>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</si>
  <si>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</si>
  <si>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</si>
  <si>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</si>
  <si>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</si>
  <si>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</si>
  <si>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</si>
  <si>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</si>
  <si>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</si>
  <si>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</si>
  <si>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</si>
  <si>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</si>
  <si>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</si>
  <si>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</si>
  <si>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</si>
  <si>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</si>
  <si>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</si>
  <si>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</si>
  <si>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</si>
  <si>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</si>
  <si>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</si>
  <si>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</si>
  <si>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</si>
  <si>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</si>
  <si>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</si>
  <si>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</si>
  <si>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</si>
  <si>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</si>
  <si>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</si>
  <si>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</si>
  <si>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</si>
  <si>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</si>
  <si>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</si>
  <si>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</si>
  <si>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</si>
  <si>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</si>
  <si>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</si>
  <si>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</si>
  <si>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</si>
  <si>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</si>
  <si>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</si>
  <si>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</si>
  <si>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</si>
  <si>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</si>
  <si>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</si>
  <si>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</si>
  <si>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</si>
  <si>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</si>
  <si>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</si>
  <si>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</si>
  <si>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</si>
  <si>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</si>
  <si>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</si>
  <si>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</si>
  <si>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</si>
  <si>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</si>
  <si>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</si>
  <si>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</si>
  <si>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</si>
  <si>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</si>
  <si>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</si>
  <si>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</si>
  <si>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</si>
  <si>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</si>
  <si>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</si>
  <si>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</si>
  <si>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</si>
  <si>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</si>
  <si>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</si>
  <si>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</si>
  <si>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</si>
  <si>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</si>
  <si>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</si>
  <si>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</si>
  <si>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</si>
  <si>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</si>
  <si>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</si>
  <si>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</si>
  <si>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</si>
  <si>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</si>
  <si>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</si>
  <si>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</si>
  <si>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</si>
  <si>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</si>
  <si>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</si>
  <si>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</si>
  <si>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</si>
  <si>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</si>
  <si>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</si>
  <si>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</si>
  <si>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</si>
  <si>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</si>
  <si>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</si>
  <si>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</si>
  <si>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</si>
  <si>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</si>
  <si>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</si>
  <si>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</si>
  <si>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</si>
  <si>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</si>
  <si>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</si>
  <si>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</si>
  <si>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</si>
  <si>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</si>
  <si>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</si>
  <si>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</si>
  <si>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</si>
  <si>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</si>
  <si>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</si>
  <si>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</si>
  <si>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</si>
  <si>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</si>
  <si>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</si>
  <si>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</si>
  <si>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</si>
  <si>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</si>
  <si>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</si>
  <si>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</si>
  <si>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</si>
  <si>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</si>
  <si>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</si>
  <si>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</si>
  <si>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</si>
  <si>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</si>
  <si>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</si>
  <si>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</si>
  <si>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</si>
  <si>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</si>
  <si>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</si>
  <si>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</si>
  <si>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</si>
  <si>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</si>
  <si>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</si>
  <si>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</si>
  <si>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</si>
  <si>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</si>
  <si>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</si>
  <si>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</si>
  <si>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</si>
  <si>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</si>
  <si>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</si>
  <si>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</si>
  <si>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</si>
  <si>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</si>
  <si>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</si>
  <si>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</si>
  <si>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</si>
  <si>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</si>
  <si>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</si>
  <si>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</si>
  <si>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</si>
  <si>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</si>
  <si>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</si>
  <si>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</si>
  <si>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</si>
  <si>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</si>
  <si>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</si>
  <si>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</si>
  <si>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</si>
  <si>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</si>
  <si>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</si>
  <si>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</si>
  <si>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</si>
  <si>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</si>
  <si>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</si>
  <si>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</si>
  <si>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</si>
  <si>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</si>
  <si>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</si>
  <si>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</si>
  <si>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</si>
  <si>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</si>
  <si>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</si>
  <si>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</si>
  <si>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</si>
  <si>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</si>
  <si>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</si>
  <si>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</si>
  <si>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</si>
  <si>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</si>
  <si>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</si>
  <si>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</si>
  <si>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</si>
  <si>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</si>
  <si>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</si>
  <si>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</si>
  <si>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</si>
  <si>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</si>
  <si>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</si>
  <si>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</si>
  <si>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</si>
  <si>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</si>
  <si>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</si>
  <si>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</si>
  <si>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</si>
  <si>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</si>
  <si>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</si>
  <si>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</si>
  <si>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</si>
  <si>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</si>
  <si>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</si>
  <si>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</si>
  <si>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</si>
  <si>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</si>
  <si>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</si>
  <si>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</si>
  <si>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</si>
  <si>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</si>
  <si>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</si>
  <si>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</si>
  <si>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</si>
  <si>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</si>
  <si>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</si>
  <si>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</si>
  <si>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</si>
  <si>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</si>
  <si>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</si>
  <si>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</si>
  <si>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</si>
  <si>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</si>
  <si>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</si>
  <si>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</si>
  <si>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</si>
  <si>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</si>
  <si>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</si>
  <si>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</si>
  <si>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</si>
  <si>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</si>
  <si>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</si>
  <si>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</si>
  <si>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</si>
  <si>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</si>
  <si>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</si>
  <si>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</si>
  <si>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</si>
  <si>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</si>
  <si>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</si>
  <si>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</si>
  <si>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</si>
  <si>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</si>
  <si>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</si>
  <si>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</si>
  <si>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</si>
  <si>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</si>
  <si>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</si>
  <si>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</si>
  <si>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</si>
  <si>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</si>
  <si>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</si>
  <si>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</si>
  <si>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</si>
  <si>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</si>
  <si>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</si>
  <si>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</si>
  <si>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</si>
  <si>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</si>
  <si>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</si>
  <si>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</si>
  <si>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</si>
  <si>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</si>
  <si>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</si>
  <si>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</si>
  <si>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</si>
  <si>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</si>
  <si>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</si>
  <si>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</si>
  <si>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</si>
  <si>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</si>
  <si>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</si>
  <si>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</si>
  <si>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</si>
  <si>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</si>
  <si>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</si>
  <si>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</si>
  <si>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</si>
  <si>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</si>
  <si>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</si>
  <si>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</si>
  <si>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</si>
  <si>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</si>
  <si>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</si>
  <si>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</si>
  <si>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</si>
  <si>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</si>
  <si>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</si>
  <si>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</si>
  <si>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</si>
  <si>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</si>
  <si>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</si>
  <si>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</si>
  <si>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</si>
  <si>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</si>
  <si>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</si>
  <si>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</si>
  <si>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</si>
  <si>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</si>
  <si>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</si>
  <si>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</si>
  <si>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</si>
  <si>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</si>
  <si>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</si>
  <si>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</si>
  <si>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</si>
  <si>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</si>
  <si>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</si>
  <si>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</si>
  <si>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</si>
  <si>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</si>
  <si>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</si>
  <si>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</si>
  <si>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</si>
  <si>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</si>
  <si>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</si>
  <si>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</si>
  <si>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</si>
  <si>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</si>
  <si>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</si>
  <si>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</si>
  <si>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</si>
  <si>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</si>
  <si>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</si>
  <si>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</si>
  <si>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</si>
  <si>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</si>
  <si>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</si>
  <si>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</si>
  <si>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</si>
  <si>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</si>
  <si>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</si>
  <si>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</si>
  <si>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</si>
  <si>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</si>
  <si>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</si>
  <si>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</si>
  <si>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</si>
  <si>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</si>
  <si>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</si>
  <si>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</si>
  <si>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</si>
  <si>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</si>
  <si>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</si>
  <si>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</si>
  <si>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</si>
  <si>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</si>
  <si>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</si>
  <si>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</si>
  <si>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</si>
  <si>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</si>
  <si>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</si>
  <si>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</si>
  <si>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</si>
  <si>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</si>
  <si>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</si>
  <si>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</si>
  <si>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</si>
  <si>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</si>
  <si>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</si>
  <si>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</si>
  <si>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</si>
  <si>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</si>
  <si>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</si>
  <si>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</si>
  <si>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</si>
  <si>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</si>
  <si>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</si>
  <si>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</si>
  <si>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</si>
  <si>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</si>
  <si>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</si>
  <si>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</si>
  <si>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</si>
  <si>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</si>
  <si>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</si>
  <si>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</si>
  <si>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</si>
  <si>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</si>
  <si>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</si>
  <si>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</si>
  <si>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</si>
  <si>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</si>
  <si>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</si>
  <si>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</si>
  <si>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</si>
  <si>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</si>
  <si>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</si>
  <si>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</si>
  <si>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</si>
  <si>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</si>
  <si>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</si>
  <si>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</si>
  <si>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</si>
  <si>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</si>
  <si>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</si>
  <si>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</si>
  <si>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</si>
  <si>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</si>
  <si>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</si>
  <si>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</si>
  <si>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</si>
  <si>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</si>
  <si>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</si>
  <si>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</si>
  <si>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</si>
  <si>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</si>
  <si>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</si>
  <si>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</si>
  <si>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</si>
  <si>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</si>
  <si>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</si>
  <si>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</si>
  <si>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</si>
  <si>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</si>
  <si>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</si>
  <si>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</si>
  <si>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</si>
  <si>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</si>
  <si>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</si>
  <si>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</si>
  <si>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</si>
  <si>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</si>
  <si>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</si>
  <si>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</si>
  <si>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</si>
  <si>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</si>
  <si>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</si>
  <si>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</si>
  <si>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</si>
  <si>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</si>
  <si>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</si>
  <si>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</si>
  <si>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</si>
  <si>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</si>
  <si>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</si>
  <si>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</si>
  <si>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</si>
  <si>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</si>
  <si>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</si>
  <si>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</si>
  <si>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</si>
  <si>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</si>
  <si>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</si>
  <si>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</si>
  <si>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</si>
  <si>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</si>
  <si>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</si>
  <si>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</si>
  <si>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</si>
  <si>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</si>
  <si>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</si>
  <si>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</si>
  <si>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</si>
  <si>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</si>
  <si>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</si>
  <si>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</si>
  <si>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</si>
  <si>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</si>
  <si>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</si>
  <si>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</si>
  <si>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</si>
  <si>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</si>
  <si>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</si>
  <si>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</si>
  <si>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</si>
  <si>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</si>
  <si>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</si>
  <si>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</si>
  <si>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</si>
  <si>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</si>
  <si>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</si>
  <si>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</si>
  <si>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</si>
  <si>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</si>
  <si>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</si>
  <si>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</si>
  <si>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</si>
  <si>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</si>
  <si>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</si>
  <si>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</si>
  <si>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</si>
  <si>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</si>
  <si>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</si>
  <si>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</si>
  <si>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</si>
  <si>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</si>
  <si>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</si>
  <si>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</si>
  <si>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</si>
  <si>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</si>
  <si>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</si>
  <si>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</si>
  <si>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</si>
  <si>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</si>
  <si>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</si>
  <si>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</si>
  <si>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</si>
  <si>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</si>
  <si>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</si>
  <si>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</si>
  <si>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</si>
  <si>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</si>
  <si>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</si>
  <si>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</si>
  <si>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</si>
  <si>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</si>
  <si>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</si>
  <si>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</si>
  <si>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</si>
  <si>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</si>
  <si>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</si>
  <si>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</si>
  <si>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</si>
  <si>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</si>
  <si>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</si>
  <si>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</si>
  <si>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</si>
  <si>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</si>
  <si>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</si>
  <si>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</si>
  <si>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</si>
  <si>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</si>
  <si>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</si>
  <si>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</si>
  <si>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</si>
  <si>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</si>
  <si>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</si>
  <si>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</si>
  <si>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</si>
  <si>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</si>
  <si>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</si>
  <si>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</si>
  <si>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</si>
  <si>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</si>
  <si>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</si>
  <si>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</si>
  <si>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</si>
  <si>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</si>
  <si>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</si>
  <si>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</si>
  <si>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</si>
  <si>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</si>
  <si>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</si>
  <si>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</si>
  <si>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</si>
  <si>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</si>
  <si>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</si>
  <si>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</si>
  <si>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</si>
  <si>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</si>
  <si>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</si>
  <si>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</si>
  <si>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</si>
  <si>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</si>
  <si>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</si>
  <si>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</si>
  <si>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</si>
  <si>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</si>
  <si>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</si>
  <si>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</si>
  <si>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</si>
  <si>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</si>
  <si>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</si>
  <si>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</si>
  <si>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</si>
  <si>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</si>
  <si>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</si>
  <si>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</si>
  <si>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</si>
  <si>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</si>
  <si>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</si>
  <si>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</si>
  <si>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</si>
  <si>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</si>
  <si>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</si>
  <si>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</si>
  <si>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</si>
  <si>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</si>
  <si>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</si>
  <si>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</si>
  <si>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</si>
  <si>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</si>
  <si>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</si>
  <si>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</si>
  <si>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</si>
  <si>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</si>
  <si>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</si>
  <si>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</si>
  <si>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</si>
  <si>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</si>
  <si>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</si>
  <si>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</si>
  <si>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</si>
  <si>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</si>
  <si>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</si>
  <si>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</si>
  <si>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</si>
  <si>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</si>
  <si>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</si>
  <si>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</si>
  <si>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</si>
  <si>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</si>
  <si>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</si>
  <si>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</si>
  <si>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</si>
  <si>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</si>
  <si>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</si>
  <si>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</si>
  <si>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</si>
  <si>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</si>
  <si>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</si>
  <si>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</si>
  <si>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</si>
  <si>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</si>
  <si>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</si>
  <si>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</si>
  <si>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</si>
  <si>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</si>
  <si>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</si>
  <si>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</si>
  <si>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</si>
  <si>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</si>
  <si>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</si>
  <si>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</si>
  <si>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</si>
  <si>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</si>
  <si>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</si>
  <si>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</si>
  <si>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</si>
  <si>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</si>
  <si>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</si>
  <si>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</si>
  <si>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</si>
  <si>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</si>
  <si>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</si>
  <si>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</si>
  <si>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</si>
  <si>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</si>
  <si>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</si>
  <si>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</si>
  <si>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</si>
  <si>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</si>
  <si>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</si>
  <si>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</si>
  <si>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</si>
  <si>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</si>
  <si>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</si>
  <si>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</si>
  <si>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</si>
  <si>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</si>
  <si>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</si>
  <si>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</si>
  <si>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</si>
  <si>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</si>
  <si>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</si>
  <si>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</si>
  <si>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</si>
  <si>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</si>
  <si>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</si>
  <si>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</si>
  <si>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</si>
  <si>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</si>
  <si>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</si>
  <si>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</si>
  <si>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</si>
  <si>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</si>
  <si>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</si>
  <si>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</si>
  <si>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</si>
  <si>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</si>
  <si>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</si>
  <si>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</si>
  <si>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</si>
  <si>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</si>
  <si>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</si>
  <si>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</si>
  <si>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</si>
  <si>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</si>
  <si>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</si>
  <si>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</si>
  <si>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</si>
  <si>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</si>
  <si>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</si>
  <si>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</si>
  <si>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</si>
  <si>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</si>
  <si>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</si>
  <si>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</si>
  <si>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</si>
  <si>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</si>
  <si>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</si>
  <si>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</si>
  <si>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</si>
  <si>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</si>
  <si>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</si>
  <si>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</si>
  <si>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</si>
  <si>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</si>
  <si>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</si>
  <si>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</si>
  <si>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</si>
  <si>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</si>
  <si>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</si>
  <si>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</si>
  <si>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</si>
  <si>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</si>
  <si>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</si>
  <si>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</si>
  <si>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</si>
  <si>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</si>
  <si>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</si>
  <si>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</si>
  <si>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</si>
  <si>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</si>
  <si>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</si>
  <si>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</si>
  <si>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</si>
  <si>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</si>
  <si>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</si>
  <si>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</si>
  <si>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</si>
  <si>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</si>
  <si>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</si>
  <si>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</si>
  <si>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</si>
  <si>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</si>
  <si>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</si>
  <si>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</si>
  <si>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</si>
  <si>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</si>
  <si>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</si>
  <si>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</si>
  <si>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</si>
  <si>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</si>
  <si>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</si>
  <si>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</si>
  <si>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</si>
  <si>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</si>
  <si>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</si>
  <si>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</si>
  <si>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</si>
  <si>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</si>
  <si>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</si>
  <si>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</si>
  <si>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</si>
  <si>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</si>
  <si>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</si>
  <si>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</si>
  <si>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</si>
  <si>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</si>
  <si>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</si>
  <si>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</si>
  <si>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</si>
  <si>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</si>
  <si>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</si>
  <si>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</si>
  <si>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</si>
  <si>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</si>
  <si>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</si>
  <si>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</si>
  <si>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</si>
  <si>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</si>
  <si>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</si>
  <si>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</si>
  <si>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</si>
  <si>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</si>
  <si>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</si>
  <si>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</si>
  <si>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</si>
  <si>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</si>
  <si>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</si>
  <si>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</si>
  <si>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</si>
  <si>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</si>
  <si>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</si>
  <si>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</si>
  <si>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</si>
  <si>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</si>
  <si>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</si>
  <si>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</si>
  <si>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</si>
  <si>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</si>
  <si>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</si>
  <si>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</si>
  <si>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</si>
  <si>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</si>
  <si>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</si>
  <si>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</si>
  <si>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</si>
  <si>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</si>
  <si>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</si>
  <si>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</si>
  <si>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</si>
  <si>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</si>
  <si>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</si>
  <si>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</si>
  <si>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</si>
  <si>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</si>
  <si>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</si>
  <si>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</si>
  <si>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</si>
  <si>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</si>
  <si>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</si>
  <si>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</si>
  <si>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</si>
  <si>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</si>
  <si>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</si>
  <si>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</si>
  <si>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</si>
  <si>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</si>
  <si>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</si>
  <si>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</si>
  <si>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</si>
  <si>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</si>
  <si>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</si>
  <si>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</si>
  <si>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</si>
  <si>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</si>
  <si>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</si>
  <si>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</si>
  <si>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</si>
  <si>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</si>
  <si>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</si>
  <si>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</si>
  <si>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</si>
  <si>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</si>
  <si>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</si>
  <si>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</si>
  <si>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</si>
  <si>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</si>
  <si>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</si>
  <si>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</si>
  <si>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</si>
  <si>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</si>
  <si>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</si>
  <si>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</si>
  <si>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</si>
  <si>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</si>
  <si>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</si>
  <si>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</si>
  <si>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</si>
  <si>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</si>
  <si>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</si>
  <si>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</si>
  <si>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</si>
  <si>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</si>
  <si>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</si>
  <si>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</si>
  <si>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</si>
  <si>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</si>
  <si>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</si>
  <si>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</si>
  <si>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</si>
  <si>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</si>
  <si>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</si>
  <si>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</si>
  <si>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</si>
  <si>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</si>
  <si>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</si>
  <si>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</si>
  <si>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</si>
  <si>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</si>
  <si>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</si>
  <si>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</si>
  <si>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</si>
  <si>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</si>
  <si>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</si>
  <si>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</si>
  <si>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</si>
  <si>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</si>
  <si>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</si>
  <si>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</si>
  <si>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</si>
  <si>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</si>
  <si>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</si>
  <si>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</si>
  <si>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</si>
  <si>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</si>
  <si>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</si>
  <si>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</si>
  <si>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</si>
  <si>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</si>
  <si>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</si>
  <si>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</si>
  <si>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</si>
  <si>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</si>
  <si>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</si>
  <si>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</si>
  <si>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</si>
  <si>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</si>
  <si>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</si>
  <si>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</si>
  <si>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</si>
  <si>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</si>
  <si>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</si>
  <si>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</si>
  <si>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</si>
  <si>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</si>
  <si>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</si>
  <si>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</si>
  <si>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</si>
  <si>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</si>
  <si>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</si>
  <si>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</si>
  <si>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</si>
  <si>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</si>
  <si>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</si>
  <si>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</si>
  <si>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</si>
  <si>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</si>
  <si>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</si>
  <si>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</si>
  <si>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</si>
  <si>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</si>
  <si>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</si>
  <si>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</si>
  <si>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</si>
  <si>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</si>
  <si>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</si>
  <si>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</si>
  <si>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</si>
  <si>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</si>
  <si>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</si>
  <si>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</si>
  <si>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</si>
  <si>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</si>
  <si>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</si>
  <si>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</si>
  <si>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</si>
  <si>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</si>
  <si>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</si>
  <si>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</si>
  <si>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</si>
  <si>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</si>
  <si>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</si>
  <si>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</si>
  <si>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</si>
  <si>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</si>
  <si>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</si>
  <si>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</si>
  <si>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</si>
  <si>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</si>
  <si>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</si>
  <si>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</si>
  <si>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</si>
  <si>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</si>
  <si>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</si>
  <si>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</si>
  <si>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</si>
  <si>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</si>
  <si>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</si>
  <si>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</si>
  <si>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</si>
  <si>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</si>
  <si>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</si>
  <si>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</si>
  <si>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</si>
  <si>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</si>
  <si>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</si>
  <si>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</si>
  <si>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</si>
  <si>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</si>
  <si>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</si>
  <si>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</si>
  <si>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</si>
  <si>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</si>
  <si>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</si>
  <si>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</si>
  <si>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</si>
  <si>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</si>
  <si>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</si>
  <si>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</si>
  <si>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</si>
  <si>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</si>
  <si>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</si>
  <si>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</si>
  <si>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</si>
  <si>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</si>
  <si>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</si>
  <si>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</si>
  <si>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</si>
  <si>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</si>
  <si>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</si>
  <si>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</si>
  <si>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</si>
  <si>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</si>
  <si>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</si>
  <si>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</si>
  <si>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</si>
  <si>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</si>
  <si>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</si>
  <si>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</si>
  <si>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</si>
  <si>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</si>
  <si>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</si>
  <si>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</si>
  <si>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</si>
  <si>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</si>
  <si>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</si>
  <si>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</si>
  <si>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</si>
  <si>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</si>
  <si>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</si>
  <si>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</si>
  <si>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</si>
  <si>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</si>
  <si>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</si>
  <si>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</si>
  <si>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</si>
  <si>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</si>
  <si>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</si>
  <si>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</si>
  <si>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</si>
  <si>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</si>
  <si>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</si>
  <si>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</si>
  <si>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</si>
  <si>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</si>
  <si>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</si>
  <si>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</si>
  <si>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</si>
  <si>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</si>
  <si>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</si>
  <si>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</si>
  <si>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</si>
  <si>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</si>
  <si>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</si>
  <si>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</si>
  <si>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</si>
  <si>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</si>
  <si>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</si>
  <si>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</si>
  <si>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</si>
  <si>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</si>
  <si>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</si>
  <si>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</si>
  <si>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</si>
  <si>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</si>
  <si>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</si>
  <si>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</si>
  <si>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</si>
  <si>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</si>
  <si>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</si>
  <si>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</si>
  <si>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</si>
  <si>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</si>
  <si>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</si>
  <si>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</si>
  <si>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</si>
  <si>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</si>
  <si>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</si>
  <si>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</si>
  <si>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</si>
  <si>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</si>
  <si>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</si>
  <si>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</si>
  <si>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</si>
  <si>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</si>
  <si>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</si>
  <si>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</si>
  <si>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</si>
  <si>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</si>
  <si>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</si>
  <si>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</si>
  <si>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</si>
  <si>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</si>
  <si>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</si>
  <si>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</si>
  <si>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</si>
  <si>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</si>
  <si>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</si>
  <si>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</si>
  <si>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</si>
  <si>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</si>
  <si>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</si>
  <si>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</si>
  <si>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</si>
  <si>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</si>
  <si>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</si>
  <si>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</si>
  <si>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</si>
  <si>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</si>
  <si>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</si>
  <si>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</si>
  <si>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</si>
  <si>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</si>
  <si>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</si>
  <si>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</si>
  <si>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</si>
  <si>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</si>
  <si>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</si>
  <si>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</si>
  <si>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</si>
  <si>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</si>
  <si>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</si>
  <si>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</si>
  <si>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</si>
  <si>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</si>
  <si>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</si>
  <si>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</si>
  <si>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</si>
  <si>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</si>
  <si>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</si>
  <si>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</si>
  <si>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</si>
  <si>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</si>
  <si>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</si>
  <si>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</si>
  <si>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</si>
  <si>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</si>
  <si>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</si>
  <si>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</si>
  <si>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</si>
  <si>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</si>
  <si>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</si>
  <si>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</si>
  <si>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</si>
  <si>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</si>
  <si>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</si>
  <si>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</si>
  <si>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</si>
  <si>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</si>
  <si>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</si>
  <si>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</si>
  <si>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</si>
  <si>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</si>
  <si>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</si>
  <si>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</si>
  <si>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</si>
  <si>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</si>
  <si>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</si>
  <si>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</si>
  <si>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</si>
  <si>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</si>
  <si>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</si>
  <si>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</si>
  <si>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</si>
  <si>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</si>
  <si>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</si>
  <si>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</si>
  <si>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</si>
  <si>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</si>
  <si>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</si>
  <si>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</si>
  <si>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</si>
  <si>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</si>
  <si>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</si>
  <si>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</si>
  <si>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</si>
  <si>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</si>
  <si>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</si>
  <si>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</si>
  <si>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</si>
  <si>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</si>
  <si>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</si>
  <si>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</si>
  <si>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</si>
  <si>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</si>
  <si>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</si>
  <si>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</si>
  <si>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</si>
  <si>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</si>
  <si>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</si>
  <si>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</si>
  <si>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</si>
  <si>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</si>
  <si>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</si>
  <si>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</si>
  <si>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</si>
  <si>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</si>
  <si>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</si>
  <si>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</si>
  <si>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</si>
  <si>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</si>
  <si>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</si>
  <si>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</si>
  <si>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</si>
  <si>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</si>
  <si>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</si>
  <si>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</si>
  <si>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</si>
  <si>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</si>
  <si>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</si>
  <si>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</si>
  <si>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</si>
  <si>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</si>
  <si>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</si>
  <si>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</si>
  <si>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</si>
  <si>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</si>
  <si>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</si>
  <si>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</si>
  <si>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</si>
  <si>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</si>
  <si>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</si>
  <si>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</si>
  <si>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</si>
  <si>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</si>
  <si>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</si>
  <si>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</si>
  <si>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</si>
  <si>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</si>
  <si>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</si>
  <si>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</si>
  <si>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</si>
  <si>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</si>
  <si>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</si>
  <si>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</si>
  <si>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</si>
  <si>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</si>
  <si>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</si>
  <si>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</si>
  <si>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</si>
  <si>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</si>
  <si>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</si>
  <si>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</si>
  <si>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</si>
  <si>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</si>
  <si>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</si>
  <si>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</si>
  <si>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</si>
  <si>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</si>
  <si>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</si>
  <si>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</si>
  <si>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</si>
  <si>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</si>
  <si>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</si>
  <si>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</si>
  <si>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</si>
  <si>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</si>
  <si>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</si>
  <si>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</si>
  <si>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</si>
  <si>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</si>
  <si>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</si>
  <si>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</si>
  <si>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</si>
  <si>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</si>
  <si>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</si>
  <si>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</si>
  <si>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</si>
  <si>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</si>
  <si>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</si>
  <si>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</si>
  <si>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</si>
  <si>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</si>
  <si>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</si>
  <si>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</si>
  <si>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</si>
  <si>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</si>
  <si>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</si>
  <si>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</si>
  <si>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</si>
  <si>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</si>
  <si>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</si>
  <si>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</si>
  <si>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</si>
  <si>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</si>
  <si>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</si>
  <si>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</si>
  <si>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</si>
  <si>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</si>
  <si>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</si>
  <si>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</si>
  <si>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</si>
  <si>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</si>
  <si>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</si>
  <si>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</si>
  <si>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</si>
  <si>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</si>
  <si>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</si>
  <si>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</si>
  <si>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</si>
  <si>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</si>
  <si>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</si>
  <si>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</si>
  <si>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</si>
  <si>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</si>
  <si>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</si>
  <si>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</si>
  <si>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</si>
  <si>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</si>
  <si>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</si>
  <si>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</si>
  <si>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</si>
  <si>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</si>
  <si>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</si>
  <si>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</si>
  <si>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</si>
  <si>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</si>
  <si>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</si>
  <si>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</si>
  <si>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</si>
  <si>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</si>
  <si>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</si>
  <si>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</si>
  <si>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</si>
  <si>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</si>
  <si>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</si>
  <si>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</si>
  <si>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</si>
  <si>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</si>
  <si>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</si>
  <si>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</si>
  <si>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</si>
  <si>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</si>
  <si>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</si>
  <si>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</si>
  <si>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</si>
  <si>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</si>
  <si>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</si>
  <si>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</si>
  <si>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</si>
  <si>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</si>
  <si>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</si>
  <si>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</si>
  <si>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</si>
  <si>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</si>
  <si>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</si>
  <si>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</si>
  <si>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</si>
  <si>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</si>
  <si>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</si>
  <si>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</si>
  <si>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</si>
  <si>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</si>
  <si>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</si>
  <si>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</si>
  <si>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</si>
  <si>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</si>
  <si>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</si>
  <si>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</si>
  <si>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</si>
  <si>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</si>
  <si>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</si>
  <si>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</si>
  <si>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</si>
  <si>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</si>
  <si>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</si>
  <si>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</si>
  <si>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</si>
  <si>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</si>
  <si>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</si>
  <si>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</si>
  <si>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</si>
  <si>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</si>
  <si>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</si>
  <si>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</si>
  <si>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</si>
  <si>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</si>
  <si>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</si>
  <si>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</si>
  <si>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</si>
  <si>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</si>
  <si>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</si>
  <si>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</si>
  <si>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</si>
  <si>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</si>
  <si>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</si>
  <si>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</si>
  <si>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</si>
  <si>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</si>
  <si>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</si>
  <si>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</si>
  <si>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</si>
  <si>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</si>
  <si>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</si>
  <si>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</si>
  <si>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</si>
  <si>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</si>
  <si>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</si>
  <si>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</si>
  <si>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</si>
  <si>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</si>
  <si>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</si>
  <si>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</si>
  <si>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</si>
  <si>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</si>
  <si>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</si>
  <si>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</si>
  <si>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</si>
  <si>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</si>
  <si>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</si>
  <si>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</si>
  <si>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</si>
  <si>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</si>
  <si>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</si>
  <si>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</si>
  <si>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</si>
  <si>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</si>
  <si>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</si>
  <si>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</si>
  <si>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</si>
  <si>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</si>
  <si>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</si>
  <si>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</si>
  <si>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</si>
  <si>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</si>
  <si>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</si>
  <si>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</si>
  <si>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</si>
  <si>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</si>
  <si>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</si>
  <si>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</si>
  <si>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</si>
  <si>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</si>
  <si>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</si>
  <si>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</si>
  <si>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</si>
  <si>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</si>
  <si>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</si>
  <si>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</si>
  <si>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</si>
  <si>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</si>
  <si>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</si>
  <si>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</si>
  <si>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</si>
  <si>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</si>
  <si>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</si>
  <si>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</si>
  <si>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</si>
  <si>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</si>
  <si>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</si>
  <si>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</si>
  <si>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</si>
  <si>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</si>
  <si>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</si>
  <si>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</si>
  <si>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</si>
  <si>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</si>
  <si>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</si>
  <si>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</si>
  <si>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</si>
  <si>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</si>
  <si>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</si>
  <si>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</si>
  <si>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</si>
  <si>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</si>
  <si>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</si>
  <si>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</si>
  <si>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</si>
  <si>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</si>
  <si>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</si>
  <si>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</si>
  <si>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</si>
  <si>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</si>
  <si>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</si>
  <si>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</si>
  <si>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</si>
  <si>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</si>
  <si>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</si>
  <si>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</si>
  <si>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</si>
  <si>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</si>
  <si>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</si>
  <si>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</si>
  <si>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</si>
  <si>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</si>
  <si>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</si>
  <si>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</si>
  <si>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</si>
  <si>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</si>
  <si>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</si>
  <si>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</si>
  <si>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</si>
  <si>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</si>
  <si>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</si>
  <si>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</si>
  <si>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</si>
  <si>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</si>
  <si>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</si>
  <si>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</si>
  <si>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</si>
  <si>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</si>
  <si>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</si>
  <si>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</si>
  <si>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</si>
  <si>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</si>
  <si>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</si>
  <si>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</si>
  <si>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</si>
  <si>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</si>
  <si>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</si>
  <si>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</si>
  <si>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</si>
  <si>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</si>
  <si>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</si>
  <si>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</si>
  <si>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</si>
  <si>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</si>
  <si>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</si>
  <si>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</si>
  <si>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</si>
  <si>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</si>
  <si>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</si>
  <si>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</si>
  <si>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</si>
  <si>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</si>
  <si>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</si>
  <si>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</si>
  <si>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</si>
  <si>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</si>
  <si>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</si>
  <si>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</si>
  <si>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</si>
  <si>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</si>
  <si>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</si>
  <si>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</si>
  <si>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</si>
  <si>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</si>
  <si>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</si>
  <si>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</si>
  <si>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</si>
  <si>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</si>
  <si>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</si>
  <si>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</si>
  <si>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</si>
  <si>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</si>
  <si>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</si>
  <si>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</si>
  <si>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</si>
  <si>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</si>
  <si>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</si>
  <si>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</si>
  <si>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</si>
  <si>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</si>
  <si>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</si>
  <si>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</si>
  <si>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</si>
  <si>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</si>
  <si>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</si>
  <si>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</si>
  <si>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</si>
  <si>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</si>
  <si>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</si>
  <si>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</si>
  <si>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</si>
  <si>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</si>
  <si>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</si>
  <si>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</si>
  <si>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</si>
  <si>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</si>
  <si>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</si>
  <si>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</si>
  <si>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</si>
  <si>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</si>
  <si>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</si>
  <si>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</si>
  <si>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</si>
  <si>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</si>
  <si>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</si>
  <si>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</si>
  <si>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</si>
  <si>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</si>
  <si>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</si>
  <si>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</si>
  <si>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</si>
  <si>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</si>
  <si>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</si>
  <si>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</si>
  <si>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</si>
  <si>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</si>
  <si>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</si>
  <si>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</si>
  <si>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</si>
  <si>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</si>
  <si>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</si>
  <si>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</si>
  <si>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</si>
  <si>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</si>
  <si>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</si>
  <si>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</si>
  <si>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</si>
  <si>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</si>
  <si>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</si>
  <si>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</si>
  <si>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</si>
  <si>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</si>
  <si>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</si>
  <si>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</si>
  <si>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</si>
  <si>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</si>
  <si>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</si>
  <si>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</si>
  <si>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</si>
  <si>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</si>
  <si>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</si>
  <si>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</si>
  <si>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</si>
  <si>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</si>
  <si>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</si>
  <si>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</si>
  <si>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</si>
  <si>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</si>
  <si>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</si>
  <si>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</si>
  <si>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</si>
  <si>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</si>
  <si>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</si>
  <si>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</si>
  <si>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</si>
  <si>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</si>
  <si>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</si>
  <si>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</si>
  <si>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</si>
  <si>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</si>
  <si>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</si>
  <si>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</si>
  <si>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</si>
  <si>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</si>
  <si>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</si>
  <si>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</si>
  <si>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</si>
  <si>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</si>
  <si>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</si>
  <si>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</si>
  <si>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</si>
  <si>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</si>
  <si>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</si>
  <si>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</si>
  <si>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</si>
  <si>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</si>
  <si>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</si>
  <si>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</si>
  <si>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</si>
  <si>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</si>
  <si>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</si>
  <si>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</si>
  <si>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</si>
  <si>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</si>
  <si>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</si>
  <si>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</si>
  <si>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</si>
  <si>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</si>
  <si>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</si>
  <si>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</si>
  <si>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</si>
  <si>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</si>
  <si>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</si>
  <si>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</si>
  <si>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</si>
  <si>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</si>
  <si>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</si>
  <si>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</si>
  <si>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</si>
  <si>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</si>
  <si>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</si>
  <si>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</si>
  <si>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</si>
  <si>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</si>
  <si>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</si>
  <si>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</si>
  <si>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</si>
  <si>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</si>
  <si>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</si>
  <si>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</si>
  <si>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</si>
  <si>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</si>
  <si>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</si>
  <si>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</si>
  <si>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</si>
  <si>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</si>
  <si>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</si>
  <si>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</si>
  <si>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</si>
  <si>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</si>
  <si>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</si>
  <si>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</si>
  <si>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</si>
  <si>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</si>
  <si>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</si>
  <si>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</si>
  <si>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</si>
  <si>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</si>
  <si>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</si>
  <si>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</si>
  <si>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</si>
  <si>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</si>
  <si>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</si>
  <si>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</si>
  <si>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</si>
  <si>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</si>
  <si>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</si>
  <si>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</si>
  <si>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</si>
  <si>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</si>
  <si>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</si>
  <si>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</si>
  <si>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</si>
  <si>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</si>
  <si>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</si>
  <si>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</si>
  <si>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</si>
  <si>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</si>
  <si>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</si>
  <si>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</si>
  <si>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</si>
  <si>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</si>
  <si>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</si>
  <si>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</si>
  <si>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</si>
  <si>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</si>
  <si>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</si>
  <si>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</si>
  <si>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</si>
  <si>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</si>
  <si>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</si>
  <si>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</si>
  <si>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</si>
  <si>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</si>
  <si>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</si>
  <si>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</si>
  <si>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</si>
  <si>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</si>
  <si>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</si>
  <si>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</si>
  <si>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</si>
  <si>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</si>
  <si>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</si>
  <si>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</si>
  <si>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</si>
  <si>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</si>
  <si>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</si>
  <si>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</si>
  <si>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</si>
  <si>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</si>
  <si>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</si>
  <si>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</si>
  <si>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</si>
  <si>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</si>
  <si>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</si>
  <si>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</si>
  <si>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</si>
  <si>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</si>
  <si>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</si>
  <si>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</si>
  <si>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</si>
  <si>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</si>
  <si>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</si>
  <si>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</si>
  <si>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</si>
  <si>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</si>
  <si>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</si>
  <si>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</si>
  <si>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</si>
  <si>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</si>
  <si>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</si>
  <si>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</si>
  <si>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</si>
  <si>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</si>
  <si>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</si>
  <si>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</si>
  <si>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</si>
  <si>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</si>
  <si>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</si>
  <si>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</si>
  <si>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</si>
  <si>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</si>
  <si>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</si>
  <si>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</si>
  <si>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</si>
  <si>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</si>
  <si>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</si>
  <si>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</si>
  <si>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</si>
  <si>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</si>
  <si>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</si>
  <si>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</si>
  <si>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</si>
  <si>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</si>
  <si>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</si>
  <si>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</si>
  <si>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</si>
  <si>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</si>
  <si>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</si>
  <si>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</si>
  <si>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</si>
  <si>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</si>
  <si>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</si>
  <si>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</si>
  <si>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</si>
  <si>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</si>
  <si>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</si>
  <si>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</si>
  <si>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</si>
  <si>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</si>
  <si>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</si>
  <si>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</si>
  <si>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</si>
  <si>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</si>
  <si>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</si>
  <si>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</si>
  <si>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</si>
  <si>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</si>
  <si>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</si>
  <si>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</si>
  <si>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</si>
  <si>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</si>
  <si>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</si>
  <si>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</si>
  <si>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</si>
  <si>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</si>
  <si>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</si>
  <si>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</si>
  <si>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</si>
  <si>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</si>
  <si>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</si>
  <si>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</si>
  <si>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</si>
  <si>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</si>
  <si>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</si>
  <si>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</si>
  <si>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</si>
  <si>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</si>
  <si>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</si>
  <si>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</si>
  <si>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</si>
  <si>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</si>
  <si>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</si>
  <si>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</si>
  <si>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</si>
  <si>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</si>
  <si>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</si>
  <si>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</si>
  <si>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</si>
  <si>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</si>
  <si>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</si>
  <si>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</si>
  <si>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</si>
  <si>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</si>
  <si>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</si>
  <si>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</si>
  <si>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</si>
  <si>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</si>
  <si>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</si>
  <si>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</si>
  <si>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</si>
  <si>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</si>
  <si>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</si>
  <si>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</si>
  <si>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</si>
  <si>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</si>
  <si>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</si>
  <si>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</si>
  <si>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</si>
  <si>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</si>
  <si>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</si>
  <si>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</si>
  <si>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</si>
  <si>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</si>
  <si>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</si>
  <si>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</si>
  <si>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</si>
  <si>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</si>
  <si>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</si>
  <si>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</si>
  <si>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</si>
  <si>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</si>
  <si>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</si>
  <si>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</si>
  <si>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</si>
  <si>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</si>
  <si>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</si>
  <si>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</si>
  <si>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</si>
  <si>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</si>
  <si>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</si>
  <si>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</si>
  <si>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</si>
  <si>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</si>
  <si>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</si>
  <si>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</si>
  <si>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</si>
  <si>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</si>
  <si>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</si>
  <si>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</si>
  <si>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</si>
  <si>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</si>
  <si>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</si>
  <si>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</si>
  <si>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</si>
  <si>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</si>
  <si>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</si>
  <si>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</si>
  <si>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</si>
  <si>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</si>
  <si>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</si>
  <si>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</si>
  <si>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</si>
  <si>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</si>
  <si>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</si>
  <si>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</si>
  <si>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</si>
  <si>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</si>
  <si>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</si>
  <si>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</si>
  <si>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</si>
  <si>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</si>
  <si>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</si>
  <si>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</si>
  <si>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</si>
  <si>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</si>
  <si>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</si>
  <si>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</si>
  <si>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</si>
  <si>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</si>
  <si>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</si>
  <si>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</si>
  <si>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</si>
  <si>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</si>
  <si>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</si>
  <si>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</si>
  <si>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</si>
  <si>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</si>
  <si>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</si>
  <si>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</si>
  <si>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</si>
  <si>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</si>
  <si>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</si>
  <si>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</si>
  <si>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</si>
  <si>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</si>
  <si>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</si>
  <si>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</si>
  <si>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</si>
  <si>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</si>
  <si>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</si>
  <si>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</si>
  <si>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</si>
  <si>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</si>
  <si>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</si>
  <si>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</si>
  <si>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</si>
  <si>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</si>
  <si>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</si>
  <si>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</si>
  <si>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</si>
  <si>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</si>
  <si>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</si>
  <si>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</si>
  <si>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</si>
  <si>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</si>
  <si>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</si>
  <si>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</si>
  <si>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</si>
  <si>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</si>
  <si>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</si>
  <si>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</si>
  <si>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</si>
  <si>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</si>
  <si>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</si>
  <si>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</si>
  <si>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</si>
  <si>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</si>
  <si>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</si>
  <si>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</si>
  <si>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</si>
  <si>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</si>
  <si>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</si>
  <si>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</si>
  <si>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</si>
  <si>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</si>
  <si>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</si>
  <si>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</si>
  <si>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</si>
  <si>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</si>
  <si>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</si>
  <si>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</si>
  <si>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</si>
  <si>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</si>
  <si>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</si>
  <si>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</si>
  <si>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</si>
  <si>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</si>
  <si>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</si>
  <si>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</si>
  <si>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</si>
  <si>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</si>
  <si>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</si>
  <si>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</si>
  <si>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</si>
  <si>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</si>
  <si>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</si>
  <si>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</si>
  <si>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</si>
  <si>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</si>
  <si>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</si>
  <si>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</si>
  <si>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</si>
  <si>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</si>
  <si>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</si>
  <si>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</si>
  <si>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</si>
  <si>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</si>
  <si>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</si>
  <si>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</si>
  <si>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</si>
  <si>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</si>
  <si>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</si>
  <si>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</si>
  <si>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</si>
  <si>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</si>
  <si>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</si>
  <si>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</si>
  <si>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</si>
  <si>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</si>
  <si>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</si>
  <si>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</si>
  <si>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</si>
  <si>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</si>
  <si>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</si>
  <si>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</si>
  <si>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</si>
  <si>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</si>
  <si>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</si>
  <si>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</si>
  <si>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</si>
  <si>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</si>
  <si>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</si>
  <si>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</si>
  <si>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</si>
  <si>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</si>
  <si>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</si>
  <si>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</si>
  <si>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</si>
  <si>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</si>
  <si>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</si>
  <si>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</si>
  <si>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</si>
  <si>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</si>
  <si>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</si>
  <si>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</si>
  <si>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</si>
  <si>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</si>
  <si>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</si>
  <si>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</si>
  <si>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</si>
  <si>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</si>
  <si>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</si>
  <si>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</si>
  <si>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</si>
  <si>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</si>
  <si>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</si>
  <si>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</si>
  <si>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</si>
  <si>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</si>
  <si>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</si>
  <si>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</si>
  <si>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</si>
  <si>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</si>
  <si>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</si>
  <si>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</si>
  <si>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</si>
  <si>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</si>
  <si>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</si>
  <si>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</si>
  <si>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</si>
  <si>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</si>
  <si>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</si>
  <si>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</si>
  <si>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</si>
  <si>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</si>
  <si>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</si>
  <si>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</si>
  <si>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</si>
  <si>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</si>
  <si>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</si>
  <si>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</si>
  <si>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</si>
  <si>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</si>
  <si>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</si>
  <si>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</si>
  <si>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</si>
  <si>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</si>
  <si>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</si>
  <si>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</si>
  <si>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</si>
  <si>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</si>
  <si>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</si>
  <si>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</si>
  <si>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</si>
  <si>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</si>
  <si>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</si>
  <si>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</si>
  <si>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</si>
  <si>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</si>
  <si>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</si>
  <si>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</si>
  <si>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</si>
  <si>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</si>
  <si>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</si>
  <si>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</si>
  <si>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</si>
  <si>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</si>
  <si>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</si>
  <si>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</si>
  <si>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</si>
  <si>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</si>
  <si>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</si>
  <si>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</si>
  <si>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</si>
  <si>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</si>
  <si>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</si>
  <si>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</si>
  <si>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</si>
  <si>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</si>
  <si>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</si>
  <si>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</si>
  <si>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</si>
  <si>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</si>
  <si>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</si>
  <si>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</si>
  <si>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</si>
  <si>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</si>
  <si>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</si>
  <si>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</si>
  <si>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</si>
  <si>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</si>
  <si>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</si>
  <si>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</si>
  <si>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</si>
  <si>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</si>
  <si>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</si>
  <si>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</si>
  <si>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</si>
  <si>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</si>
  <si>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</si>
  <si>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</si>
  <si>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</si>
  <si>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</si>
  <si>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</si>
  <si>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</si>
  <si>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</si>
  <si>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</si>
  <si>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</si>
  <si>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</si>
  <si>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</si>
  <si>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</si>
  <si>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</si>
  <si>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</si>
  <si>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</si>
  <si>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</si>
  <si>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</si>
  <si>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</si>
  <si>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</si>
  <si>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</si>
  <si>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</si>
  <si>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</si>
  <si>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</si>
  <si>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</si>
  <si>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</si>
  <si>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</si>
  <si>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</si>
  <si>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</si>
  <si>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</si>
  <si>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</si>
  <si>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</si>
  <si>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</si>
  <si>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</si>
  <si>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</si>
  <si>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</si>
  <si>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</si>
  <si>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</si>
  <si>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</si>
  <si>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</si>
  <si>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</si>
  <si>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</si>
  <si>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</si>
  <si>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</si>
  <si>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</si>
  <si>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</si>
  <si>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</si>
  <si>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</si>
  <si>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</si>
  <si>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</si>
  <si>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</si>
  <si>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</si>
  <si>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</si>
  <si>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</si>
  <si>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</si>
  <si>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</si>
  <si>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</si>
  <si>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</si>
  <si>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</si>
  <si>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</si>
  <si>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</si>
  <si>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</si>
  <si>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</si>
  <si>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</si>
  <si>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</si>
  <si>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</si>
  <si>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</si>
  <si>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</si>
  <si>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</si>
  <si>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</si>
  <si>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</si>
  <si>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</si>
  <si>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</si>
  <si>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</si>
  <si>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</si>
  <si>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</si>
  <si>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</si>
  <si>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</si>
  <si>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</si>
  <si>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</si>
  <si>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</si>
  <si>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</si>
  <si>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</si>
  <si>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</si>
  <si>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</si>
  <si>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</si>
  <si>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</si>
  <si>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</si>
  <si>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</si>
  <si>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</si>
  <si>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</si>
  <si>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</si>
  <si>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</si>
  <si>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</si>
  <si>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</si>
  <si>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</si>
  <si>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</si>
  <si>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</si>
  <si>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</si>
  <si>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</si>
  <si>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</si>
  <si>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</si>
  <si>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</si>
  <si>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</si>
  <si>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</si>
  <si>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</si>
  <si>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</si>
  <si>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</si>
  <si>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</si>
  <si>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</si>
  <si>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</si>
  <si>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</si>
  <si>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</si>
  <si>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</si>
  <si>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</si>
  <si>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</si>
  <si>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</si>
  <si>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</si>
  <si>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</si>
  <si>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</si>
  <si>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</si>
  <si>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</si>
  <si>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</si>
  <si>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</si>
  <si>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</si>
  <si>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</si>
  <si>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</si>
  <si>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</si>
  <si>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</si>
  <si>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</si>
  <si>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</si>
  <si>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</si>
  <si>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</si>
  <si>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</si>
  <si>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</si>
  <si>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</si>
  <si>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</si>
  <si>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</si>
  <si>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</si>
  <si>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</si>
  <si>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</si>
  <si>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</si>
  <si>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</si>
  <si>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</si>
  <si>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</si>
  <si>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</si>
  <si>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</si>
  <si>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</si>
  <si>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</si>
  <si>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</si>
  <si>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</si>
  <si>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</si>
  <si>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</si>
  <si>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</si>
  <si>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</si>
  <si>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</si>
  <si>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</si>
  <si>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</si>
  <si>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</si>
  <si>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</si>
  <si>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</si>
  <si>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</si>
  <si>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</si>
  <si>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</si>
  <si>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</si>
  <si>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</si>
  <si>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</si>
  <si>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</si>
  <si>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</si>
  <si>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</si>
  <si>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</si>
  <si>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</si>
  <si>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</si>
  <si>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</si>
  <si>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</si>
  <si>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</si>
  <si>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</si>
  <si>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</si>
  <si>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</si>
  <si>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</si>
  <si>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</si>
  <si>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</si>
  <si>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</si>
  <si>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</si>
  <si>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</si>
  <si>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</si>
  <si>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</si>
  <si>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</si>
  <si>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</si>
  <si>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</si>
  <si>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</si>
  <si>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</si>
  <si>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</si>
  <si>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</si>
  <si>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</si>
  <si>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</si>
  <si>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</si>
  <si>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</si>
  <si>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</si>
  <si>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</si>
  <si>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</si>
  <si>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</si>
  <si>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</si>
  <si>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</si>
  <si>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</si>
  <si>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</si>
  <si>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</si>
  <si>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</si>
  <si>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</si>
  <si>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</si>
  <si>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</si>
  <si>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</si>
  <si>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</si>
  <si>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</si>
  <si>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</si>
  <si>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</si>
  <si>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</si>
  <si>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</si>
  <si>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</si>
  <si>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</si>
  <si>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</si>
  <si>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</si>
  <si>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</si>
  <si>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</si>
  <si>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</si>
  <si>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</si>
  <si>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</si>
  <si>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</si>
  <si>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</si>
  <si>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</si>
  <si>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</si>
  <si>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</si>
  <si>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</si>
  <si>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</si>
  <si>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</si>
  <si>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</si>
  <si>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</si>
  <si>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</si>
  <si>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</si>
  <si>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</si>
  <si>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</si>
  <si>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</si>
  <si>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</si>
  <si>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</si>
  <si>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</si>
  <si>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</si>
  <si>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</si>
  <si>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</si>
  <si>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</si>
  <si>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</si>
  <si>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</si>
  <si>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</si>
  <si>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</si>
  <si>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</si>
  <si>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</si>
  <si>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</si>
  <si>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</si>
  <si>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</si>
  <si>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</si>
  <si>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</si>
  <si>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</si>
  <si>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</si>
  <si>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</si>
  <si>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</si>
  <si>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</si>
  <si>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</si>
  <si>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</si>
  <si>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</si>
  <si>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</si>
  <si>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</si>
  <si>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</si>
  <si>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</si>
  <si>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</si>
  <si>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</si>
  <si>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</si>
  <si>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</si>
  <si>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</si>
  <si>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</si>
  <si>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</si>
  <si>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</si>
  <si>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</si>
  <si>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</si>
  <si>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</si>
  <si>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</si>
  <si>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</si>
  <si>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</si>
  <si>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</si>
  <si>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</si>
  <si>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</si>
  <si>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</si>
  <si>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</si>
  <si>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</si>
  <si>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</si>
  <si>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</si>
  <si>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</si>
  <si>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</si>
  <si>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</si>
  <si>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</si>
  <si>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</si>
  <si>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</si>
  <si>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</si>
  <si>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</si>
  <si>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</si>
  <si>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</si>
  <si>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</si>
  <si>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</si>
  <si>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</si>
  <si>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</si>
  <si>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</si>
  <si>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</si>
  <si>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</si>
  <si>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</si>
  <si>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</si>
  <si>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</si>
  <si>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</si>
  <si>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</si>
  <si>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</si>
  <si>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</si>
  <si>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</si>
  <si>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</si>
  <si>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</si>
  <si>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</si>
  <si>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</si>
  <si>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</si>
  <si>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</si>
  <si>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</si>
  <si>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</si>
  <si>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</si>
  <si>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</si>
  <si>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</si>
  <si>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</si>
  <si>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</si>
  <si>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</si>
  <si>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</si>
  <si>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</si>
  <si>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</si>
  <si>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</si>
  <si>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</si>
  <si>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</si>
  <si>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</si>
  <si>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</si>
  <si>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</si>
  <si>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</si>
  <si>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</si>
  <si>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</si>
  <si>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</si>
  <si>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</si>
  <si>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</si>
  <si>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</si>
  <si>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</si>
  <si>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</si>
  <si>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</si>
  <si>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</si>
  <si>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</si>
  <si>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</si>
  <si>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</si>
  <si>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</si>
  <si>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</si>
  <si>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</si>
  <si>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</si>
  <si>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</si>
  <si>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</si>
  <si>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</si>
  <si>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</si>
  <si>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</si>
  <si>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</si>
  <si>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</si>
  <si>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</si>
  <si>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</si>
  <si>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</si>
  <si>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</si>
  <si>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</si>
  <si>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</si>
  <si>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</si>
  <si>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</si>
  <si>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</si>
  <si>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</si>
  <si>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</si>
  <si>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</si>
  <si>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</si>
  <si>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</si>
  <si>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</si>
  <si>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</si>
  <si>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</si>
  <si>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</si>
  <si>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</si>
  <si>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</si>
  <si>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</si>
  <si>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</si>
  <si>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</si>
  <si>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</si>
  <si>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</si>
  <si>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</si>
  <si>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</si>
  <si>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</si>
  <si>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</si>
  <si>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</si>
  <si>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</si>
  <si>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</si>
  <si>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</si>
  <si>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</si>
  <si>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</si>
  <si>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</si>
  <si>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</si>
  <si>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</si>
  <si>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</si>
  <si>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</si>
  <si>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</si>
  <si>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</si>
  <si>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</si>
  <si>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</si>
  <si>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</si>
  <si>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</si>
  <si>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</si>
  <si>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</si>
  <si>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</si>
  <si>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</si>
  <si>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</si>
  <si>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</si>
  <si>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</si>
  <si>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</si>
  <si>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</si>
  <si>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</si>
  <si>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</si>
  <si>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</si>
  <si>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</si>
  <si>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</si>
  <si>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</si>
  <si>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</si>
  <si>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</si>
  <si>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</si>
  <si>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</si>
  <si>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</si>
  <si>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</si>
  <si>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</si>
  <si>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</si>
  <si>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</si>
  <si>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</si>
  <si>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</si>
  <si>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</si>
  <si>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</si>
  <si>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</si>
  <si>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</si>
  <si>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</si>
  <si>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</si>
  <si>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</si>
  <si>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</si>
  <si>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</si>
  <si>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</si>
  <si>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</si>
  <si>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</si>
  <si>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</si>
  <si>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</si>
  <si>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</si>
  <si>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</si>
  <si>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</si>
  <si>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</si>
  <si>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</si>
  <si>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</si>
  <si>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</si>
  <si>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</si>
  <si>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</si>
  <si>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</si>
  <si>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</si>
  <si>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</si>
  <si>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</si>
  <si>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</si>
  <si>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</si>
  <si>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</si>
  <si>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</si>
  <si>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</si>
  <si>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</si>
  <si>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</si>
  <si>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</si>
  <si>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</si>
  <si>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</si>
  <si>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</si>
  <si>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hanhtay</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</si>
  <si>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</si>
  <si>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</si>
  <si>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</si>
  <si>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</si>
  <si>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</si>
  <si>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</si>
  <si>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</si>
  <si>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</si>
  <si>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</si>
  <si>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</si>
  <si>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</si>
  <si>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</si>
  <si>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</si>
  <si>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</si>
  <si>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</si>
  <si>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</si>
  <si>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</si>
  <si>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</si>
  <si>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</si>
  <si>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</si>
  <si>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</si>
  <si>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</si>
  <si>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</si>
  <si>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</si>
  <si>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</si>
  <si>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</si>
  <si>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</si>
  <si>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</si>
  <si>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</si>
  <si>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</si>
  <si>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</si>
  <si>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</si>
  <si>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</si>
  <si>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</si>
  <si>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</si>
  <si>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</si>
  <si>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</si>
  <si>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</si>
  <si>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</si>
  <si>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</si>
  <si>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</si>
  <si>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</si>
  <si>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</si>
  <si>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</si>
  <si>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sacay</t>
  </si>
  <si>
    <t>bapmytrai</t>
  </si>
  <si>
    <t>caithia</t>
  </si>
  <si>
    <t>carot</t>
  </si>
  <si>
    <t>rauram</t>
  </si>
  <si>
    <t>1 bắp</t>
  </si>
  <si>
    <t>hungque</t>
  </si>
  <si>
    <t>gia</t>
  </si>
  <si>
    <t>bapcaitrang</t>
  </si>
  <si>
    <t>hela</t>
  </si>
  <si>
    <t>loloxanh</t>
  </si>
  <si>
    <t>raukinhgioi</t>
  </si>
  <si>
    <t>hanhparo</t>
  </si>
  <si>
    <t>cusan</t>
  </si>
  <si>
    <t>binhat</t>
  </si>
  <si>
    <t>dualeo</t>
  </si>
  <si>
    <t>chanhgiay</t>
  </si>
  <si>
    <t>caikale</t>
  </si>
  <si>
    <t>2 trái</t>
  </si>
  <si>
    <t>bongcaixanhbaby</t>
  </si>
  <si>
    <t>bunbo</t>
  </si>
  <si>
    <t>bun</t>
  </si>
  <si>
    <t>bapchuoibao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</si>
</sst>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tabSelected="1" zoomScale="70" zoomScaleNormal="70" workbookViewId="0">
      <pane xSplit="1" ySplit="1" topLeftCell="B2" activePane="bottomRight" state="frozen"/>
      <selection pane="topRight" activeCell="B1" sqref="B1"/>
      <selection pane="bottomLeft" activeCell="A2" sqref="A2"/>
      <selection pane="bottomRight" activeCell="B4" sqref="B4:E25"/>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4085</v>
      </c>
      <c r="B2" s="1" t="str">
        <f>VLOOKUP(A2,'CODE NOTE'!A:B,2,0)</f>
        <v>I100198</v>
      </c>
      <c r="C2" s="1"/>
      <c r="D2" s="1" t="str">
        <f>VLOOKUP(A2,'CODE NOTE'!A:C,3,0)</f>
        <v>Sả cây</v>
      </c>
      <c r="E2" s="1" t="str">
        <f>VLOOKUP(A2,'CODE NOTE'!D:E,2,0)</f>
        <v>Kg</v>
      </c>
      <c r="F2" s="90">
        <v>1</v>
      </c>
      <c r="G2" s="90"/>
      <c r="H2" s="13">
        <f>VLOOKUP(A2,'CODE NOTE'!D:F,3,0)</f>
        <v>0</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4087</v>
      </c>
      <c r="B3" s="1" t="str">
        <f>VLOOKUP(A3,'CODE NOTE'!A:B,2,0)</f>
        <v>I100052</v>
      </c>
      <c r="C3" s="1"/>
      <c r="D3" s="1" t="str">
        <f>VLOOKUP(A3,'CODE NOTE'!A:C,3,0)</f>
        <v>Cải thìa</v>
      </c>
      <c r="E3" s="1" t="str">
        <f>VLOOKUP(A3,'CODE NOTE'!D:E,2,0)</f>
        <v>Kg</v>
      </c>
      <c r="F3" s="90">
        <v>1</v>
      </c>
      <c r="G3" s="90"/>
      <c r="H3" s="13" t="str">
        <f>VLOOKUP(A3,'CODE NOTE'!D:F,3,0)</f>
        <v>0.05-0.07kg/cây</v>
      </c>
      <c r="I3" s="106"/>
      <c r="J3" s="93" t="s">
        <v>1865</v>
      </c>
      <c r="K3" t="s">
        <v>3796</v>
      </c>
    </row>
    <row r="4" spans="1:11">
      <c r="A4" s="2" t="s">
        <v>3365</v>
      </c>
      <c r="B4" s="1" t="str">
        <f>VLOOKUP(A4,'CODE NOTE'!A:B,2,0)</f>
        <v>I100051</v>
      </c>
      <c r="C4" s="1"/>
      <c r="D4" s="1" t="str">
        <f>VLOOKUP(A4,'CODE NOTE'!A:C,3,0)</f>
        <v>Cải thảo</v>
      </c>
      <c r="E4" s="1" t="str">
        <f>VLOOKUP(A4,'CODE NOTE'!D:E,2,0)</f>
        <v>Kg</v>
      </c>
      <c r="F4" s="90">
        <v>1</v>
      </c>
      <c r="G4" s="90" t="s">
        <v>4090</v>
      </c>
      <c r="H4" s="13" t="str">
        <f>VLOOKUP(A4,'CODE NOTE'!D:F,3,0)</f>
        <v>1 trái = 1 kí (0.5-1kg/bắp)</v>
      </c>
      <c r="I4" s="106"/>
      <c r="J4" s="93" t="s">
        <v>519</v>
      </c>
      <c r="K4" t="s">
        <v>3797</v>
      </c>
    </row>
    <row r="5" spans="1:11">
      <c r="A5" s="2" t="s">
        <v>4093</v>
      </c>
      <c r="B5" s="1" t="str">
        <f>VLOOKUP(A5,'CODE NOTE'!A:B,2,0)</f>
        <v>I100003</v>
      </c>
      <c r="C5" s="1"/>
      <c r="D5" s="1" t="str">
        <f>VLOOKUP(A5,'CODE NOTE'!A:C,3,0)</f>
        <v>Bắp cải trắng</v>
      </c>
      <c r="E5" s="1" t="str">
        <f>VLOOKUP(A5,'CODE NOTE'!D:E,2,0)</f>
        <v>Kg</v>
      </c>
      <c r="F5" s="90">
        <v>1</v>
      </c>
      <c r="G5" s="90" t="s">
        <v>4090</v>
      </c>
      <c r="H5" s="13" t="str">
        <f>VLOOKUP(A5,'CODE NOTE'!D:F,3,0)</f>
        <v>0.8kg/bắp (0.5-1.2kg/bắp)</v>
      </c>
      <c r="I5" s="106"/>
      <c r="J5" s="93" t="s">
        <v>1660</v>
      </c>
      <c r="K5" t="s">
        <v>3798</v>
      </c>
    </row>
    <row r="6" spans="1:11">
      <c r="A6" s="2" t="s">
        <v>4094</v>
      </c>
      <c r="B6" s="1" t="str">
        <f>VLOOKUP(A6,'CODE NOTE'!A:B,2,0)</f>
        <v>I100111</v>
      </c>
      <c r="C6" s="1"/>
      <c r="D6" s="1" t="str">
        <f>VLOOKUP(A6,'CODE NOTE'!A:C,3,0)</f>
        <v>Hẹ lá</v>
      </c>
      <c r="E6" s="1" t="str">
        <f>VLOOKUP(A6,'CODE NOTE'!D:E,2,0)</f>
        <v>Kg</v>
      </c>
      <c r="F6" s="90">
        <v>0.2</v>
      </c>
      <c r="G6" s="90"/>
      <c r="H6" s="13">
        <f>VLOOKUP(A6,'CODE NOTE'!D:F,3,0)</f>
        <v>0</v>
      </c>
      <c r="I6" s="106"/>
      <c r="J6" s="93" t="s">
        <v>3799</v>
      </c>
      <c r="K6" t="s">
        <v>3800</v>
      </c>
    </row>
    <row r="7" spans="1:11">
      <c r="A7" s="2" t="s">
        <v>4092</v>
      </c>
      <c r="B7" s="1" t="str">
        <f>VLOOKUP(A7,'CODE NOTE'!A:B,2,0)</f>
        <v>I100094</v>
      </c>
      <c r="C7" s="1"/>
      <c r="D7" s="1" t="str">
        <f>VLOOKUP(A7,'CODE NOTE'!A:C,3,0)</f>
        <v>Giá tươi</v>
      </c>
      <c r="E7" s="1" t="str">
        <f>VLOOKUP(A7,'CODE NOTE'!D:E,2,0)</f>
        <v>Kg</v>
      </c>
      <c r="F7" s="90">
        <v>2</v>
      </c>
      <c r="G7" s="90"/>
      <c r="H7" s="13" t="str">
        <f>VLOOKUP(A7,'CODE NOTE'!D:F,3,0)</f>
        <v>Gom với giá lặt, lặt 2 đầu</v>
      </c>
      <c r="I7" s="106"/>
      <c r="J7" s="93" t="s">
        <v>258</v>
      </c>
      <c r="K7" t="s">
        <v>3795</v>
      </c>
    </row>
    <row r="8" spans="1:11">
      <c r="A8" s="2" t="s">
        <v>4089</v>
      </c>
      <c r="B8" s="1" t="str">
        <f>VLOOKUP(A8,'CODE NOTE'!A:B,2,0)</f>
        <v>I100189</v>
      </c>
      <c r="C8" s="1"/>
      <c r="D8" s="1" t="str">
        <f>VLOOKUP(A8,'CODE NOTE'!A:C,3,0)</f>
        <v>Rau răm</v>
      </c>
      <c r="E8" s="1" t="str">
        <f>VLOOKUP(A8,'CODE NOTE'!D:E,2,0)</f>
        <v>Kg</v>
      </c>
      <c r="F8" s="90">
        <v>0.3</v>
      </c>
      <c r="G8" s="90"/>
      <c r="H8" s="13">
        <f>VLOOKUP(A8,'CODE NOTE'!D:F,3,0)</f>
        <v>0</v>
      </c>
      <c r="I8" s="106"/>
      <c r="J8" s="93" t="s">
        <v>3814</v>
      </c>
    </row>
    <row r="9" spans="1:11">
      <c r="A9" s="2" t="s">
        <v>4095</v>
      </c>
      <c r="B9" s="1" t="str">
        <f>VLOOKUP(A9,'CODE NOTE'!A:B,2,0)</f>
        <v>I100207</v>
      </c>
      <c r="C9" s="1"/>
      <c r="D9" s="1" t="str">
        <f>VLOOKUP(A9,'CODE NOTE'!A:C,3,0)</f>
        <v>Salad lolo xanh</v>
      </c>
      <c r="E9" s="1" t="str">
        <f>VLOOKUP(A9,'CODE NOTE'!D:E,2,0)</f>
        <v>Kg</v>
      </c>
      <c r="F9" s="90">
        <v>0.3</v>
      </c>
      <c r="G9" s="90"/>
      <c r="H9" s="13">
        <f>VLOOKUP(A9,'CODE NOTE'!D:F,3,0)</f>
        <v>0</v>
      </c>
      <c r="I9" s="106"/>
      <c r="J9" s="93" t="s">
        <v>350</v>
      </c>
      <c r="K9" t="s">
        <v>3825</v>
      </c>
    </row>
    <row r="10" spans="1:11" ht="15.6" customHeight="1">
      <c r="A10" s="2" t="s">
        <v>4091</v>
      </c>
      <c r="B10" s="1" t="str">
        <f>VLOOKUP(A10,'CODE NOTE'!A:B,2,0)</f>
        <v>I100114</v>
      </c>
      <c r="C10" s="1"/>
      <c r="D10" s="1" t="str">
        <f>VLOOKUP(A10,'CODE NOTE'!A:C,3,0)</f>
        <v>Húng quế</v>
      </c>
      <c r="E10" s="1" t="str">
        <f>VLOOKUP(A10,'CODE NOTE'!D:E,2,0)</f>
        <v>Kg</v>
      </c>
      <c r="F10" s="90">
        <v>0.2</v>
      </c>
      <c r="G10" s="90"/>
      <c r="H10" s="13">
        <f>VLOOKUP(A10,'CODE NOTE'!D:F,3,0)</f>
        <v>0</v>
      </c>
      <c r="I10" s="106"/>
      <c r="J10" s="93" t="s">
        <v>3824</v>
      </c>
      <c r="K10" t="s">
        <v>3831</v>
      </c>
    </row>
    <row r="11" spans="1:11">
      <c r="A11" s="2" t="s">
        <v>4096</v>
      </c>
      <c r="B11" s="1" t="str">
        <f>VLOOKUP(A11,'CODE NOTE'!A:B,2,0)</f>
        <v>I100181</v>
      </c>
      <c r="C11" s="1"/>
      <c r="D11" s="1" t="str">
        <f>VLOOKUP(A11,'CODE NOTE'!A:C,3,0)</f>
        <v>Rau kinh giới</v>
      </c>
      <c r="E11" s="1" t="str">
        <f>VLOOKUP(A11,'CODE NOTE'!D:E,2,0)</f>
        <v>Kg</v>
      </c>
      <c r="F11" s="90">
        <v>0.2</v>
      </c>
      <c r="G11" s="90"/>
      <c r="H11" s="13">
        <f>VLOOKUP(A11,'CODE NOTE'!D:F,3,0)</f>
        <v>0</v>
      </c>
      <c r="I11" s="106"/>
      <c r="J11" s="93" t="s">
        <v>274</v>
      </c>
      <c r="K11" t="s">
        <v>3827</v>
      </c>
    </row>
    <row r="12" spans="1:11" ht="14.4" customHeight="1">
      <c r="A12" s="2" t="s">
        <v>4097</v>
      </c>
      <c r="B12" s="1" t="str">
        <f>VLOOKUP(A12,'CODE NOTE'!A:B,2,0)</f>
        <v>I100099</v>
      </c>
      <c r="C12" s="1"/>
      <c r="D12" s="1" t="str">
        <f>VLOOKUP(A12,'CODE NOTE'!A:C,3,0)</f>
        <v>Hành Paro</v>
      </c>
      <c r="E12" s="1" t="str">
        <f>VLOOKUP(A12,'CODE NOTE'!D:E,2,0)</f>
        <v>Kg</v>
      </c>
      <c r="F12" s="90">
        <v>0.5</v>
      </c>
      <c r="G12" s="90"/>
      <c r="H12" s="13" t="str">
        <f>VLOOKUP(A12,'CODE NOTE'!D:F,3,0)</f>
        <v>0.5KG/CÂY</v>
      </c>
      <c r="I12" s="106"/>
      <c r="J12" s="93" t="s">
        <v>778</v>
      </c>
      <c r="K12" t="s">
        <v>3828</v>
      </c>
    </row>
    <row r="13" spans="1:11">
      <c r="A13" s="2" t="s">
        <v>3789</v>
      </c>
      <c r="B13" s="1" t="str">
        <f>VLOOKUP(A13,'CODE NOTE'!A:B,2,0)</f>
        <v>I100067</v>
      </c>
      <c r="C13" s="1"/>
      <c r="D13" s="1" t="str">
        <f>VLOOKUP(A13,'CODE NOTE'!A:C,3,0)</f>
        <v>Củ cải trắng (Loại 1)</v>
      </c>
      <c r="E13" s="1" t="str">
        <f>VLOOKUP(A13,'CODE NOTE'!D:E,2,0)</f>
        <v>Kg</v>
      </c>
      <c r="F13" s="90">
        <v>1.5</v>
      </c>
      <c r="G13" s="90"/>
      <c r="H13" s="13" t="str">
        <f>VLOOKUP(A13,'CODE NOTE'!D:F,3,0)</f>
        <v>0.15-0.3kg/củ</v>
      </c>
      <c r="I13" s="106"/>
      <c r="J13" s="93" t="s">
        <v>813</v>
      </c>
      <c r="K13" t="s">
        <v>3832</v>
      </c>
    </row>
    <row r="14" spans="1:11">
      <c r="A14" s="2" t="s">
        <v>4098</v>
      </c>
      <c r="B14" s="1" t="str">
        <f>VLOOKUP(A14,'CODE NOTE'!A:B,2,0)</f>
        <v>I100073</v>
      </c>
      <c r="C14" s="1"/>
      <c r="D14" s="1" t="str">
        <f>VLOOKUP(A14,'CODE NOTE'!A:C,3,0)</f>
        <v>Củ sắn</v>
      </c>
      <c r="E14" s="1" t="str">
        <f>VLOOKUP(A14,'CODE NOTE'!D:E,2,0)</f>
        <v>Kg</v>
      </c>
      <c r="F14" s="90">
        <v>1</v>
      </c>
      <c r="G14" s="90"/>
      <c r="H14" s="13" t="str">
        <f>VLOOKUP(A14,'CODE NOTE'!D:F,3,0)</f>
        <v>1 củ = 0.25kg</v>
      </c>
      <c r="I14" s="106"/>
      <c r="J14" s="93" t="s">
        <v>2356</v>
      </c>
    </row>
    <row r="15" spans="1:11">
      <c r="A15" s="2" t="s">
        <v>4099</v>
      </c>
      <c r="B15" s="1" t="str">
        <f>VLOOKUP(A15,'CODE NOTE'!A:B,2,0)</f>
        <v>I100013</v>
      </c>
      <c r="C15" s="1"/>
      <c r="D15" s="1" t="str">
        <f>VLOOKUP(A15,'CODE NOTE'!A:C,3,0)</f>
        <v>Bí nhật</v>
      </c>
      <c r="E15" s="1" t="str">
        <f>VLOOKUP(A15,'CODE NOTE'!D:E,2,0)</f>
        <v>kg</v>
      </c>
      <c r="F15" s="90">
        <v>0.7</v>
      </c>
      <c r="G15" s="90" t="s">
        <v>4103</v>
      </c>
      <c r="H15" s="13" t="str">
        <f>VLOOKUP(A15,'CODE NOTE'!D:F,3,0)</f>
        <v>0.15-0.35kg/trái</v>
      </c>
      <c r="I15" s="106"/>
      <c r="J15" s="93" t="s">
        <v>2412</v>
      </c>
      <c r="K15" t="s">
        <v>2844</v>
      </c>
    </row>
    <row r="16" spans="1:11">
      <c r="A16" s="2" t="s">
        <v>4088</v>
      </c>
      <c r="B16" s="1" t="str">
        <f>VLOOKUP(A16,'CODE NOTE'!A:B,2,0)</f>
        <v>I100039</v>
      </c>
      <c r="C16" s="1"/>
      <c r="D16" s="1" t="str">
        <f>VLOOKUP(A16,'CODE NOTE'!A:C,3,0)</f>
        <v>Cà rốt</v>
      </c>
      <c r="E16" s="1" t="str">
        <f>VLOOKUP(A16,'CODE NOTE'!D:E,2,0)</f>
        <v>Kg</v>
      </c>
      <c r="F16" s="91">
        <v>1.5</v>
      </c>
      <c r="G16" s="90"/>
      <c r="H16" s="13" t="str">
        <f>VLOOKUP(A16,'CODE NOTE'!D:F,3,0)</f>
        <v>0.15-0.25kg/trái</v>
      </c>
      <c r="I16" s="106"/>
    </row>
    <row r="17" spans="1:12">
      <c r="A17" s="2" t="s">
        <v>4100</v>
      </c>
      <c r="B17" s="1" t="str">
        <f>VLOOKUP(A17,'CODE NOTE'!A:B,2,0)</f>
        <v>I100089</v>
      </c>
      <c r="C17" s="1"/>
      <c r="D17" s="1" t="str">
        <f>VLOOKUP(A17,'CODE NOTE'!A:C,3,0)</f>
        <v>Dưa leo</v>
      </c>
      <c r="E17" s="1" t="str">
        <f>VLOOKUP(A17,'CODE NOTE'!D:E,2,0)</f>
        <v>Kg</v>
      </c>
      <c r="F17" s="90">
        <v>1</v>
      </c>
      <c r="G17" s="90"/>
      <c r="H17" s="13" t="str">
        <f>VLOOKUP(A17,'CODE NOTE'!D:F,3,0)</f>
        <v>0.15-0.2kg/trái</v>
      </c>
      <c r="I17" s="106"/>
    </row>
    <row r="18" spans="1:12">
      <c r="A18" s="2" t="s">
        <v>4101</v>
      </c>
      <c r="B18" s="1" t="str">
        <f>VLOOKUP(A18,'CODE NOTE'!A:B,2,0)</f>
        <v>I100059</v>
      </c>
      <c r="C18" s="1"/>
      <c r="D18" s="1" t="str">
        <f>VLOOKUP(A18,'CODE NOTE'!A:C,3,0)</f>
        <v>Chanh giấy</v>
      </c>
      <c r="E18" s="1" t="str">
        <f>VLOOKUP(A18,'CODE NOTE'!D:E,2,0)</f>
        <v>Kg</v>
      </c>
      <c r="F18" s="90">
        <v>0.5</v>
      </c>
      <c r="G18" s="90"/>
      <c r="H18" s="13">
        <f>VLOOKUP(A18,'CODE NOTE'!D:F,3,0)</f>
        <v>0</v>
      </c>
      <c r="I18" s="106"/>
    </row>
    <row r="19" spans="1:12">
      <c r="A19" s="2" t="s">
        <v>4102</v>
      </c>
      <c r="B19" s="1" t="str">
        <f>VLOOKUP(A19,'CODE NOTE'!A:B,2,0)</f>
        <v>I100523</v>
      </c>
      <c r="C19" s="1"/>
      <c r="D19" s="1" t="str">
        <f>VLOOKUP(A19,'CODE NOTE'!A:C,3,0)</f>
        <v>Cải Kale</v>
      </c>
      <c r="E19" s="1" t="str">
        <f>VLOOKUP(A19,'CODE NOTE'!D:E,2,0)</f>
        <v>Kg</v>
      </c>
      <c r="F19" s="90">
        <v>0.5</v>
      </c>
      <c r="G19" s="90"/>
      <c r="H19" s="13">
        <f>VLOOKUP(A19,'CODE NOTE'!D:F,3,0)</f>
        <v>0</v>
      </c>
      <c r="I19" s="106"/>
    </row>
    <row r="20" spans="1:12">
      <c r="A20" s="2" t="s">
        <v>4040</v>
      </c>
      <c r="B20" s="1" t="str">
        <f>VLOOKUP(A20,'CODE NOTE'!A:B,2,0)</f>
        <v>I100101</v>
      </c>
      <c r="C20" s="1"/>
      <c r="D20" s="1" t="str">
        <f>VLOOKUP(A20,'CODE NOTE'!A:C,3,0)</f>
        <v>Hành tây</v>
      </c>
      <c r="E20" s="1" t="str">
        <f>VLOOKUP(A20,'CODE NOTE'!D:E,2,0)</f>
        <v>Kg</v>
      </c>
      <c r="F20" s="90">
        <v>1.5</v>
      </c>
      <c r="G20" s="90"/>
      <c r="H20" s="13" t="str">
        <f>VLOOKUP(A20,'CODE NOTE'!D:F,3,0)</f>
        <v>0.3kg/củ</v>
      </c>
      <c r="I20" s="106"/>
      <c r="J20" s="98" t="s">
        <v>3829</v>
      </c>
      <c r="K20" s="99"/>
    </row>
    <row r="21" spans="1:12">
      <c r="A21" s="2" t="s">
        <v>4104</v>
      </c>
      <c r="B21" s="1" t="str">
        <f>VLOOKUP(A21,'CODE NOTE'!A:B,2,0)</f>
        <v>I100025</v>
      </c>
      <c r="C21" s="1"/>
      <c r="D21" s="1" t="str">
        <f>VLOOKUP(A21,'CODE NOTE'!A:C,3,0)</f>
        <v>Bông cải xanh Baby</v>
      </c>
      <c r="E21" s="1" t="str">
        <f>VLOOKUP(A21,'CODE NOTE'!D:E,2,0)</f>
        <v>Kg</v>
      </c>
      <c r="F21" s="90">
        <v>1</v>
      </c>
      <c r="G21" s="90"/>
      <c r="H21" s="13">
        <f>VLOOKUP(A21,'CODE NOTE'!D:F,3,0)</f>
        <v>0</v>
      </c>
      <c r="I21" s="106"/>
    </row>
    <row r="22" spans="1:12">
      <c r="A22" s="2" t="s">
        <v>4105</v>
      </c>
      <c r="B22" s="1" t="str">
        <f>VLOOKUP(A22,'CODE NOTE'!A:B,2,0)</f>
        <v>I100255</v>
      </c>
      <c r="C22" s="1"/>
      <c r="D22" s="1" t="str">
        <f>VLOOKUP(A22,'CODE NOTE'!A:C,3,0)</f>
        <v>Bún bò</v>
      </c>
      <c r="E22" s="1" t="str">
        <f>VLOOKUP(A22,'CODE NOTE'!D:E,2,0)</f>
        <v>Kg</v>
      </c>
      <c r="F22" s="90">
        <v>1</v>
      </c>
      <c r="G22" s="90"/>
      <c r="H22" s="13" t="str">
        <f>VLOOKUP(A22,'CODE NOTE'!D:F,3,0)</f>
        <v>không xuất được hóa đơn</v>
      </c>
      <c r="I22" s="106"/>
    </row>
    <row r="23" spans="1:12">
      <c r="A23" s="2" t="s">
        <v>4106</v>
      </c>
      <c r="B23" s="1" t="str">
        <f>VLOOKUP(A23,'CODE NOTE'!A:B,2,0)</f>
        <v>I100256</v>
      </c>
      <c r="C23" s="1"/>
      <c r="D23" s="1" t="str">
        <f>VLOOKUP(A23,'CODE NOTE'!A:C,3,0)</f>
        <v>Bún nhỏ</v>
      </c>
      <c r="E23" s="1" t="str">
        <f>VLOOKUP(A23,'CODE NOTE'!D:E,2,0)</f>
        <v>Kg</v>
      </c>
      <c r="F23" s="90">
        <v>1</v>
      </c>
      <c r="G23" s="90"/>
      <c r="H23" s="13" t="str">
        <f>VLOOKUP(A23,'CODE NOTE'!D:F,3,0)</f>
        <v>không xuất được hóa đơn</v>
      </c>
      <c r="I23" s="106"/>
    </row>
    <row r="24" spans="1:12">
      <c r="A24" s="2" t="s">
        <v>4107</v>
      </c>
      <c r="B24" s="1" t="str">
        <f>VLOOKUP(A24,'CODE NOTE'!A:B,2,0)</f>
        <v>I100004</v>
      </c>
      <c r="C24" s="1"/>
      <c r="D24" s="1" t="str">
        <f>VLOOKUP(A24,'CODE NOTE'!A:C,3,0)</f>
        <v>Bắp chuối bào</v>
      </c>
      <c r="E24" s="1" t="str">
        <f>VLOOKUP(A24,'CODE NOTE'!D:E,2,0)</f>
        <v>Kg</v>
      </c>
      <c r="F24" s="90">
        <v>0.5</v>
      </c>
      <c r="H24" s="13" t="str">
        <f>VLOOKUP(A24,'CODE NOTE'!D:F,3,0)</f>
        <v>xuất hđ đổi thành bắp chuối</v>
      </c>
      <c r="I24" s="106"/>
    </row>
    <row r="25" spans="1:12">
      <c r="A25" s="2" t="s">
        <v>4086</v>
      </c>
      <c r="B25" s="1" t="str">
        <f>VLOOKUP(A25,'CODE NOTE'!A:B,2,0)</f>
        <v>I100008</v>
      </c>
      <c r="C25" s="1"/>
      <c r="D25" s="1" t="str">
        <f>VLOOKUP(A25,'CODE NOTE'!A:C,3,0)</f>
        <v>Bắp mỹ trái (Loại 1)</v>
      </c>
      <c r="E25" s="1" t="str">
        <f>VLOOKUP(A25,'CODE NOTE'!D:E,2,0)</f>
        <v>Trái</v>
      </c>
      <c r="F25" s="90">
        <v>7</v>
      </c>
      <c r="H25" s="13" t="str">
        <f>VLOOKUP(A25,'CODE NOTE'!D:F,3,0)</f>
        <v>3 trái/kg</v>
      </c>
      <c r="I25" s="106"/>
    </row>
    <row r="26" spans="1:12">
      <c r="B26" s="1"/>
      <c r="C26" s="1"/>
      <c r="D26" s="1"/>
      <c r="E26" s="1"/>
      <c r="H26" s="13" t="e">
        <f>VLOOKUP(A26,'CODE NOTE'!D:F,3,0)</f>
        <v>#N/A</v>
      </c>
      <c r="I26" s="106"/>
    </row>
    <row r="27" spans="1:12">
      <c r="B27" s="1"/>
      <c r="C27" s="1"/>
      <c r="D27" s="1"/>
      <c r="E27" s="1"/>
      <c r="H27" s="13" t="e">
        <f>VLOOKUP(A27,'CODE NOTE'!D:F,3,0)</f>
        <v>#N/A</v>
      </c>
      <c r="I27" s="106"/>
    </row>
    <row r="28" spans="1:12" ht="14.4" customHeight="1">
      <c r="B28" s="1"/>
      <c r="C28" s="1"/>
      <c r="D28" s="1"/>
      <c r="E28" s="1"/>
      <c r="H28" s="13" t="e">
        <f>VLOOKUP(A28,'CODE NOTE'!D:F,3,0)</f>
        <v>#N/A</v>
      </c>
      <c r="I28" s="106"/>
    </row>
    <row r="29" spans="1:12">
      <c r="B29" s="1"/>
      <c r="C29" s="1"/>
      <c r="D29" s="1"/>
      <c r="E29" s="1"/>
      <c r="H29" s="13" t="e">
        <f>VLOOKUP(A29,'CODE NOTE'!D:F,3,0)</f>
        <v>#N/A</v>
      </c>
      <c r="I29" s="106"/>
      <c r="J29" s="15" t="s">
        <v>3006</v>
      </c>
      <c r="K29" s="14" t="s">
        <v>3067</v>
      </c>
      <c r="L29" s="14" t="s">
        <v>1511</v>
      </c>
    </row>
    <row r="30" spans="1:12">
      <c r="B30" s="1"/>
      <c r="C30" s="1"/>
      <c r="D30" s="1"/>
      <c r="E30" s="1"/>
      <c r="H30" s="13" t="e">
        <f>VLOOKUP(A30,'CODE NOTE'!D:F,3,0)</f>
        <v>#N/A</v>
      </c>
      <c r="I30" s="106"/>
      <c r="J30" s="15" t="s">
        <v>2990</v>
      </c>
      <c r="K30" s="14" t="s">
        <v>2903</v>
      </c>
      <c r="L30" s="14" t="s">
        <v>568</v>
      </c>
    </row>
    <row r="31" spans="1:12">
      <c r="B31" s="1"/>
      <c r="C31" s="1"/>
      <c r="D31" s="1"/>
      <c r="E31" s="1"/>
      <c r="H31" s="13" t="e">
        <f>VLOOKUP(A31,'CODE NOTE'!D:F,3,0)</f>
        <v>#N/A</v>
      </c>
      <c r="I31" s="106"/>
      <c r="J31" s="15" t="s">
        <v>3008</v>
      </c>
      <c r="K31" s="14" t="s">
        <v>1438</v>
      </c>
      <c r="L31" s="14" t="s">
        <v>1436</v>
      </c>
    </row>
    <row r="32" spans="1:12" ht="14.4" customHeight="1">
      <c r="B32" s="1"/>
      <c r="C32" s="1"/>
      <c r="D32" s="1"/>
      <c r="E32" s="1"/>
      <c r="H32" s="13" t="e">
        <f>VLOOKUP(A32,'CODE NOTE'!D:F,3,0)</f>
        <v>#N/A</v>
      </c>
      <c r="I32" s="106"/>
      <c r="J32" s="15" t="s">
        <v>3013</v>
      </c>
      <c r="K32" s="14" t="s">
        <v>3069</v>
      </c>
      <c r="L32" s="14" t="s">
        <v>500</v>
      </c>
    </row>
    <row r="33" spans="2:12">
      <c r="B33" s="1"/>
      <c r="C33" s="1"/>
      <c r="D33" s="1"/>
      <c r="E33" s="1"/>
      <c r="H33" s="13" t="e">
        <f>VLOOKUP(A33,'CODE NOTE'!D:F,3,0)</f>
        <v>#N/A</v>
      </c>
      <c r="I33" s="106"/>
      <c r="J33" s="15" t="s">
        <v>3124</v>
      </c>
      <c r="K33" s="14" t="s">
        <v>3125</v>
      </c>
      <c r="L33" s="14" t="s">
        <v>396</v>
      </c>
    </row>
    <row r="34" spans="2:12" ht="14.4" customHeight="1">
      <c r="B34" s="1"/>
      <c r="C34" s="1"/>
      <c r="D34" s="1"/>
      <c r="E34" s="1"/>
      <c r="H34" s="13" t="e">
        <f>VLOOKUP(A34,'CODE NOTE'!D:F,3,0)</f>
        <v>#N/A</v>
      </c>
      <c r="I34" s="106"/>
      <c r="J34" s="15" t="s">
        <v>3005</v>
      </c>
      <c r="K34" s="14" t="s">
        <v>131</v>
      </c>
      <c r="L34" s="14" t="s">
        <v>614</v>
      </c>
    </row>
    <row r="35" spans="2:12">
      <c r="B35" s="1"/>
      <c r="C35" s="1"/>
      <c r="D35" s="1"/>
      <c r="E35" s="1"/>
      <c r="H35" s="13" t="e">
        <f>VLOOKUP(A35,'CODE NOTE'!D:F,3,0)</f>
        <v>#N/A</v>
      </c>
      <c r="I35" s="106"/>
      <c r="J35" s="15" t="s">
        <v>3004</v>
      </c>
      <c r="K35" s="14" t="s">
        <v>129</v>
      </c>
      <c r="L35" s="14" t="s">
        <v>613</v>
      </c>
    </row>
    <row r="36" spans="2:12" ht="14.4" customHeight="1">
      <c r="B36" s="1"/>
      <c r="C36" s="1"/>
      <c r="D36" s="1"/>
      <c r="E36" s="1"/>
      <c r="H36" s="13" t="e">
        <f>VLOOKUP(A36,'CODE NOTE'!D:F,3,0)</f>
        <v>#N/A</v>
      </c>
      <c r="I36" s="106"/>
      <c r="J36" s="15" t="s">
        <v>3087</v>
      </c>
      <c r="K36" s="14" t="s">
        <v>366</v>
      </c>
      <c r="L36" s="14" t="s">
        <v>364</v>
      </c>
    </row>
    <row r="37" spans="2:12">
      <c r="B37" s="1"/>
      <c r="C37" s="1"/>
      <c r="D37" s="1"/>
      <c r="E37" s="1"/>
      <c r="H37" s="13" t="e">
        <f>VLOOKUP(A37,'CODE NOTE'!D:F,3,0)</f>
        <v>#N/A</v>
      </c>
      <c r="I37" s="106"/>
      <c r="J37" s="15" t="s">
        <v>3011</v>
      </c>
      <c r="K37" s="14" t="s">
        <v>16</v>
      </c>
      <c r="L37" s="14" t="s">
        <v>300</v>
      </c>
    </row>
    <row r="38" spans="2:12">
      <c r="B38" s="1"/>
      <c r="C38" s="1"/>
      <c r="D38" s="1"/>
      <c r="E38" s="1"/>
      <c r="H38" s="13" t="e">
        <f>VLOOKUP(A38,'CODE NOTE'!D:F,3,0)</f>
        <v>#N/A</v>
      </c>
      <c r="I38" s="106"/>
      <c r="J38" s="15" t="s">
        <v>2994</v>
      </c>
      <c r="K38" s="14" t="s">
        <v>3063</v>
      </c>
      <c r="L38" s="14" t="s">
        <v>694</v>
      </c>
    </row>
    <row r="39" spans="2:12">
      <c r="B39" s="1"/>
      <c r="C39" s="1"/>
      <c r="D39" s="1"/>
      <c r="E39" s="1"/>
      <c r="H39" s="13" t="e">
        <f>VLOOKUP(A39,'CODE NOTE'!D:F,3,0)</f>
        <v>#N/A</v>
      </c>
      <c r="I39" s="106"/>
      <c r="J39" s="15" t="s">
        <v>1823</v>
      </c>
      <c r="K39" s="14"/>
      <c r="L39" s="14"/>
    </row>
    <row r="40" spans="2:12" ht="14.4" customHeight="1">
      <c r="B40" s="1"/>
      <c r="C40" s="1"/>
      <c r="D40" s="1"/>
      <c r="E40" s="1"/>
      <c r="H40" s="13" t="e">
        <f>VLOOKUP(A40,'CODE NOTE'!D:F,3,0)</f>
        <v>#N/A</v>
      </c>
      <c r="I40" s="106"/>
      <c r="J40" s="15" t="s">
        <v>3001</v>
      </c>
      <c r="K40" s="14" t="s">
        <v>3066</v>
      </c>
      <c r="L40" s="14" t="s">
        <v>610</v>
      </c>
    </row>
    <row r="41" spans="2:12">
      <c r="B41" s="1"/>
      <c r="C41" s="1"/>
      <c r="D41" s="1"/>
      <c r="E41" s="1"/>
      <c r="H41" s="13" t="e">
        <f>VLOOKUP(A41,'CODE NOTE'!D:F,3,0)</f>
        <v>#N/A</v>
      </c>
      <c r="I41" s="106"/>
      <c r="J41" s="15" t="s">
        <v>2998</v>
      </c>
      <c r="K41" s="14" t="s">
        <v>3065</v>
      </c>
      <c r="L41" s="14" t="s">
        <v>611</v>
      </c>
    </row>
    <row r="42" spans="2:12">
      <c r="B42" s="1"/>
      <c r="C42" s="1"/>
      <c r="D42" s="1"/>
      <c r="E42" s="1"/>
      <c r="H42" s="13" t="e">
        <f>VLOOKUP(A42,'CODE NOTE'!D:F,3,0)</f>
        <v>#N/A</v>
      </c>
      <c r="I42" s="106"/>
      <c r="J42" s="15" t="s">
        <v>341</v>
      </c>
      <c r="K42" s="14" t="s">
        <v>2896</v>
      </c>
      <c r="L42" s="14"/>
    </row>
    <row r="43" spans="2:12">
      <c r="B43" s="1"/>
      <c r="C43" s="1"/>
      <c r="D43" s="1"/>
      <c r="E43" s="1"/>
      <c r="H43" s="13" t="e">
        <f>VLOOKUP(A43,'CODE NOTE'!D:F,3,0)</f>
        <v>#N/A</v>
      </c>
      <c r="I43" s="106"/>
      <c r="J43" s="15" t="s">
        <v>3016</v>
      </c>
      <c r="K43" s="14" t="s">
        <v>20</v>
      </c>
      <c r="L43" s="14" t="s">
        <v>323</v>
      </c>
    </row>
    <row r="44" spans="2:12" ht="14.4" customHeight="1">
      <c r="B44" s="1"/>
      <c r="C44" s="1"/>
      <c r="D44" s="1"/>
      <c r="E44" s="1"/>
      <c r="H44" s="13" t="e">
        <f>VLOOKUP(A44,'CODE NOTE'!D:F,3,0)</f>
        <v>#N/A</v>
      </c>
      <c r="J44" s="15" t="s">
        <v>3010</v>
      </c>
      <c r="K44" s="14" t="s">
        <v>116</v>
      </c>
      <c r="L44" s="14" t="s">
        <v>594</v>
      </c>
    </row>
    <row r="45" spans="2:12">
      <c r="B45" s="1"/>
      <c r="C45" s="1"/>
      <c r="D45" s="1"/>
      <c r="E45" s="1"/>
      <c r="H45" s="13" t="e">
        <f>VLOOKUP(A45,'CODE NOTE'!D:F,3,0)</f>
        <v>#N/A</v>
      </c>
      <c r="J45" s="15" t="s">
        <v>2996</v>
      </c>
      <c r="K45" s="14" t="s">
        <v>3064</v>
      </c>
      <c r="L45" s="14" t="s">
        <v>258</v>
      </c>
    </row>
    <row r="46" spans="2:12">
      <c r="B46" s="1"/>
      <c r="C46" s="1"/>
      <c r="D46" s="1"/>
      <c r="E46" s="1"/>
      <c r="H46" s="13" t="e">
        <f>VLOOKUP(A46,'CODE NOTE'!D:F,3,0)</f>
        <v>#N/A</v>
      </c>
      <c r="J46" s="15" t="s">
        <v>2988</v>
      </c>
      <c r="K46" s="14" t="s">
        <v>64</v>
      </c>
      <c r="L46" s="14" t="s">
        <v>445</v>
      </c>
    </row>
    <row r="47" spans="2:12">
      <c r="B47" s="1"/>
      <c r="C47" s="1"/>
      <c r="D47" s="1"/>
      <c r="E47" s="1"/>
      <c r="H47" s="13" t="e">
        <f>VLOOKUP(A47,'CODE NOTE'!D:F,3,0)</f>
        <v>#N/A</v>
      </c>
      <c r="J47" s="15" t="s">
        <v>2989</v>
      </c>
      <c r="K47" s="14" t="s">
        <v>3061</v>
      </c>
      <c r="L47" s="14" t="s">
        <v>1080</v>
      </c>
    </row>
    <row r="48" spans="2: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9"/>
    <cfRule type="duplicateValues" dxfId="725" priority="598"/>
  </conditionalFormatting>
  <conditionalFormatting sqref="A8:A19">
    <cfRule type="duplicateValues" dxfId="724" priority="1380"/>
    <cfRule type="duplicateValues" dxfId="723" priority="1379"/>
  </conditionalFormatting>
  <conditionalFormatting sqref="A9">
    <cfRule type="duplicateValues" dxfId="722" priority="336"/>
    <cfRule type="duplicateValues" dxfId="721" priority="337"/>
    <cfRule type="duplicateValues" dxfId="720" priority="578"/>
    <cfRule type="duplicateValues" dxfId="719" priority="426"/>
    <cfRule type="duplicateValues" dxfId="718" priority="340"/>
    <cfRule type="duplicateValues" dxfId="717" priority="597"/>
    <cfRule type="duplicateValues" dxfId="716" priority="341"/>
    <cfRule type="duplicateValues" dxfId="715" priority="342"/>
    <cfRule type="duplicateValues" dxfId="714" priority="343"/>
    <cfRule type="duplicateValues" dxfId="713" priority="346"/>
    <cfRule type="duplicateValues" dxfId="712" priority="347"/>
    <cfRule type="duplicateValues" dxfId="711" priority="348"/>
    <cfRule type="duplicateValues" dxfId="710" priority="349"/>
    <cfRule type="duplicateValues" dxfId="709" priority="350"/>
    <cfRule type="duplicateValues" dxfId="708" priority="351"/>
    <cfRule type="duplicateValues" dxfId="707" priority="330"/>
    <cfRule type="duplicateValues" dxfId="706" priority="331"/>
    <cfRule type="duplicateValues" dxfId="705" priority="488"/>
    <cfRule type="duplicateValues" dxfId="704" priority="492"/>
    <cfRule type="duplicateValues" dxfId="703" priority="356"/>
    <cfRule type="duplicateValues" dxfId="702" priority="357"/>
    <cfRule type="duplicateValues" dxfId="701" priority="358"/>
    <cfRule type="duplicateValues" dxfId="700" priority="359"/>
    <cfRule type="duplicateValues" dxfId="699" priority="489"/>
    <cfRule type="duplicateValues" dxfId="698" priority="457"/>
    <cfRule type="duplicateValues" dxfId="697" priority="427"/>
    <cfRule type="duplicateValues" dxfId="696" priority="363"/>
    <cfRule type="duplicateValues" dxfId="695" priority="746"/>
    <cfRule type="duplicateValues" dxfId="694" priority="745"/>
    <cfRule type="duplicateValues" dxfId="693" priority="589"/>
    <cfRule type="duplicateValues" dxfId="692" priority="588"/>
    <cfRule type="duplicateValues" dxfId="691" priority="362"/>
    <cfRule type="duplicateValues" dxfId="690" priority="579"/>
    <cfRule type="duplicateValues" dxfId="689" priority="596"/>
    <cfRule type="duplicateValues" dxfId="688" priority="595"/>
    <cfRule type="duplicateValues" dxfId="687" priority="594"/>
    <cfRule type="duplicateValues" dxfId="686" priority="456"/>
    <cfRule type="duplicateValues" dxfId="685" priority="493"/>
  </conditionalFormatting>
  <conditionalFormatting sqref="A10">
    <cfRule type="duplicateValues" dxfId="684" priority="379"/>
    <cfRule type="duplicateValues" dxfId="683" priority="382"/>
    <cfRule type="duplicateValues" dxfId="682" priority="383"/>
    <cfRule type="duplicateValues" dxfId="681" priority="384"/>
    <cfRule type="duplicateValues" dxfId="680" priority="385"/>
    <cfRule type="duplicateValues" dxfId="679" priority="329"/>
    <cfRule type="duplicateValues" dxfId="678" priority="420"/>
    <cfRule type="duplicateValues" dxfId="677" priority="421"/>
    <cfRule type="duplicateValues" dxfId="676" priority="422"/>
    <cfRule type="duplicateValues" dxfId="675" priority="423"/>
    <cfRule type="duplicateValues" dxfId="674" priority="424"/>
    <cfRule type="duplicateValues" dxfId="673" priority="425"/>
    <cfRule type="duplicateValues" dxfId="672" priority="448"/>
    <cfRule type="duplicateValues" dxfId="671" priority="449"/>
    <cfRule type="duplicateValues" dxfId="670" priority="452"/>
    <cfRule type="duplicateValues" dxfId="669" priority="453"/>
    <cfRule type="duplicateValues" dxfId="668" priority="484"/>
    <cfRule type="duplicateValues" dxfId="667" priority="485"/>
    <cfRule type="duplicateValues" dxfId="666" priority="556"/>
    <cfRule type="duplicateValues" dxfId="665" priority="557"/>
    <cfRule type="duplicateValues" dxfId="664" priority="562"/>
    <cfRule type="duplicateValues" dxfId="663" priority="563"/>
    <cfRule type="duplicateValues" dxfId="662" priority="566"/>
    <cfRule type="duplicateValues" dxfId="661" priority="567"/>
    <cfRule type="duplicateValues" dxfId="660" priority="568"/>
    <cfRule type="duplicateValues" dxfId="659" priority="569"/>
    <cfRule type="duplicateValues" dxfId="658" priority="572"/>
    <cfRule type="duplicateValues" dxfId="657" priority="573"/>
    <cfRule type="duplicateValues" dxfId="656" priority="574"/>
    <cfRule type="duplicateValues" dxfId="655" priority="575"/>
    <cfRule type="duplicateValues" dxfId="654" priority="576"/>
    <cfRule type="duplicateValues" dxfId="653" priority="577"/>
    <cfRule type="duplicateValues" dxfId="652" priority="584"/>
    <cfRule type="duplicateValues" dxfId="651" priority="585"/>
    <cfRule type="duplicateValues" dxfId="650" priority="586"/>
    <cfRule type="duplicateValues" dxfId="649" priority="587"/>
    <cfRule type="duplicateValues" dxfId="648" priority="592"/>
    <cfRule type="duplicateValues" dxfId="647" priority="593"/>
    <cfRule type="duplicateValues" dxfId="646" priority="663"/>
    <cfRule type="duplicateValues" dxfId="645" priority="664"/>
    <cfRule type="duplicateValues" dxfId="644" priority="703"/>
    <cfRule type="duplicateValues" dxfId="643" priority="704"/>
    <cfRule type="duplicateValues" dxfId="642" priority="737"/>
    <cfRule type="duplicateValues" dxfId="641" priority="738"/>
    <cfRule type="duplicateValues" dxfId="640" priority="741"/>
    <cfRule type="duplicateValues" dxfId="639" priority="742"/>
    <cfRule type="duplicateValues" dxfId="638" priority="324"/>
    <cfRule type="duplicateValues" dxfId="637" priority="325"/>
    <cfRule type="duplicateValues" dxfId="636" priority="326"/>
    <cfRule type="duplicateValues" dxfId="635" priority="327"/>
    <cfRule type="duplicateValues" dxfId="634" priority="328"/>
    <cfRule type="duplicateValues" dxfId="633" priority="332"/>
    <cfRule type="duplicateValues" dxfId="632" priority="333"/>
    <cfRule type="duplicateValues" dxfId="631" priority="334"/>
    <cfRule type="duplicateValues" dxfId="630" priority="335"/>
    <cfRule type="duplicateValues" dxfId="629" priority="338"/>
    <cfRule type="duplicateValues" dxfId="628" priority="339"/>
    <cfRule type="duplicateValues" dxfId="627" priority="354"/>
    <cfRule type="duplicateValues" dxfId="626" priority="355"/>
    <cfRule type="duplicateValues" dxfId="625" priority="360"/>
    <cfRule type="duplicateValues" dxfId="624" priority="361"/>
    <cfRule type="duplicateValues" dxfId="623" priority="372"/>
    <cfRule type="duplicateValues" dxfId="622" priority="373"/>
    <cfRule type="duplicateValues" dxfId="621" priority="378"/>
  </conditionalFormatting>
  <conditionalFormatting sqref="A11">
    <cfRule type="duplicateValues" dxfId="620" priority="474"/>
    <cfRule type="duplicateValues" dxfId="619" priority="475"/>
    <cfRule type="duplicateValues" dxfId="618" priority="565"/>
    <cfRule type="duplicateValues" dxfId="617" priority="610"/>
    <cfRule type="duplicateValues" dxfId="616" priority="558"/>
    <cfRule type="duplicateValues" dxfId="615" priority="559"/>
    <cfRule type="duplicateValues" dxfId="614" priority="616"/>
    <cfRule type="duplicateValues" dxfId="613" priority="619"/>
    <cfRule type="duplicateValues" dxfId="612" priority="560"/>
    <cfRule type="duplicateValues" dxfId="611" priority="561"/>
    <cfRule type="duplicateValues" dxfId="610" priority="620"/>
    <cfRule type="duplicateValues" dxfId="609" priority="621"/>
    <cfRule type="duplicateValues" dxfId="608" priority="381"/>
    <cfRule type="duplicateValues" dxfId="607" priority="615"/>
    <cfRule type="duplicateValues" dxfId="606" priority="622"/>
    <cfRule type="duplicateValues" dxfId="605" priority="380"/>
    <cfRule type="duplicateValues" dxfId="604" priority="564"/>
    <cfRule type="duplicateValues" dxfId="603" priority="377"/>
    <cfRule type="duplicateValues" dxfId="602" priority="369"/>
    <cfRule type="duplicateValues" dxfId="601" priority="657"/>
    <cfRule type="duplicateValues" dxfId="600" priority="658"/>
    <cfRule type="duplicateValues" dxfId="599" priority="659"/>
    <cfRule type="duplicateValues" dxfId="598" priority="660"/>
    <cfRule type="duplicateValues" dxfId="597" priority="550"/>
    <cfRule type="duplicateValues" dxfId="596" priority="661"/>
    <cfRule type="duplicateValues" dxfId="595" priority="662"/>
    <cfRule type="duplicateValues" dxfId="594" priority="695"/>
    <cfRule type="duplicateValues" dxfId="593" priority="551"/>
    <cfRule type="duplicateValues" dxfId="592" priority="552"/>
    <cfRule type="duplicateValues" dxfId="591" priority="553"/>
    <cfRule type="duplicateValues" dxfId="590" priority="554"/>
    <cfRule type="duplicateValues" dxfId="589" priority="555"/>
    <cfRule type="duplicateValues" dxfId="588" priority="444"/>
    <cfRule type="duplicateValues" dxfId="587" priority="445"/>
    <cfRule type="duplicateValues" dxfId="586" priority="696"/>
    <cfRule type="duplicateValues" dxfId="585" priority="699"/>
    <cfRule type="duplicateValues" dxfId="584" priority="376"/>
    <cfRule type="duplicateValues" dxfId="583" priority="733"/>
    <cfRule type="duplicateValues" dxfId="582" priority="734"/>
    <cfRule type="duplicateValues" dxfId="581" priority="582"/>
    <cfRule type="duplicateValues" dxfId="580" priority="583"/>
    <cfRule type="duplicateValues" dxfId="579" priority="375"/>
    <cfRule type="duplicateValues" dxfId="578" priority="374"/>
    <cfRule type="duplicateValues" dxfId="577" priority="590"/>
    <cfRule type="duplicateValues" dxfId="576" priority="591"/>
    <cfRule type="duplicateValues" dxfId="575" priority="371"/>
    <cfRule type="duplicateValues" dxfId="574" priority="370"/>
    <cfRule type="duplicateValues" dxfId="573" priority="353"/>
    <cfRule type="duplicateValues" dxfId="572" priority="368"/>
    <cfRule type="duplicateValues" dxfId="571" priority="367"/>
    <cfRule type="duplicateValues" dxfId="570" priority="366"/>
    <cfRule type="duplicateValues" dxfId="569" priority="352"/>
    <cfRule type="duplicateValues" dxfId="568" priority="700"/>
    <cfRule type="duplicateValues" dxfId="567" priority="609"/>
  </conditionalFormatting>
  <conditionalFormatting sqref="A12">
    <cfRule type="duplicateValues" dxfId="566" priority="437"/>
    <cfRule type="duplicateValues" dxfId="565" priority="612"/>
    <cfRule type="duplicateValues" dxfId="564" priority="344"/>
    <cfRule type="duplicateValues" dxfId="563" priority="614"/>
    <cfRule type="duplicateValues" dxfId="562" priority="436"/>
    <cfRule type="duplicateValues" dxfId="561" priority="692"/>
    <cfRule type="duplicateValues" dxfId="560" priority="691"/>
    <cfRule type="duplicateValues" dxfId="559" priority="605"/>
    <cfRule type="duplicateValues" dxfId="558" priority="617"/>
    <cfRule type="duplicateValues" dxfId="557" priority="618"/>
    <cfRule type="duplicateValues" dxfId="556" priority="364"/>
    <cfRule type="duplicateValues" dxfId="555" priority="723"/>
    <cfRule type="duplicateValues" dxfId="554" priority="724"/>
    <cfRule type="duplicateValues" dxfId="553" priority="606"/>
    <cfRule type="duplicateValues" dxfId="552" priority="607"/>
    <cfRule type="duplicateValues" dxfId="551" priority="580"/>
    <cfRule type="duplicateValues" dxfId="550" priority="581"/>
    <cfRule type="duplicateValues" dxfId="549" priority="365"/>
    <cfRule type="duplicateValues" dxfId="548" priority="608"/>
    <cfRule type="duplicateValues" dxfId="547" priority="613"/>
    <cfRule type="duplicateValues" dxfId="546" priority="603"/>
    <cfRule type="duplicateValues" dxfId="545" priority="345"/>
    <cfRule type="duplicateValues" dxfId="544" priority="604"/>
    <cfRule type="duplicateValues" dxfId="543" priority="611"/>
  </conditionalFormatting>
  <conditionalFormatting sqref="A13">
    <cfRule type="duplicateValues" dxfId="542" priority="570"/>
    <cfRule type="duplicateValues" dxfId="541" priority="496"/>
    <cfRule type="duplicateValues" dxfId="540" priority="497"/>
    <cfRule type="duplicateValues" dxfId="539" priority="571"/>
    <cfRule type="duplicateValues" dxfId="538" priority="600"/>
    <cfRule type="duplicateValues" dxfId="537" priority="681"/>
    <cfRule type="duplicateValues" dxfId="536" priority="682"/>
    <cfRule type="duplicateValues" dxfId="535" priority="388"/>
    <cfRule type="duplicateValues" dxfId="534" priority="601"/>
    <cfRule type="duplicateValues" dxfId="533" priority="389"/>
  </conditionalFormatting>
  <conditionalFormatting sqref="A14">
    <cfRule type="duplicateValues" dxfId="532" priority="482"/>
    <cfRule type="duplicateValues" dxfId="531" priority="483"/>
    <cfRule type="duplicateValues" dxfId="530" priority="491"/>
    <cfRule type="duplicateValues" dxfId="529" priority="472"/>
    <cfRule type="duplicateValues" dxfId="528" priority="473"/>
    <cfRule type="duplicateValues" dxfId="527" priority="490"/>
    <cfRule type="duplicateValues" dxfId="526" priority="418"/>
    <cfRule type="duplicateValues" dxfId="525" priority="419"/>
    <cfRule type="duplicateValues" dxfId="524" priority="494"/>
    <cfRule type="duplicateValues" dxfId="523" priority="626"/>
    <cfRule type="duplicateValues" dxfId="522" priority="458"/>
    <cfRule type="duplicateValues" dxfId="521" priority="495"/>
    <cfRule type="duplicateValues" dxfId="520" priority="747"/>
    <cfRule type="duplicateValues" dxfId="519" priority="748"/>
    <cfRule type="duplicateValues" dxfId="518" priority="625"/>
    <cfRule type="duplicateValues" dxfId="517" priority="459"/>
  </conditionalFormatting>
  <conditionalFormatting sqref="A15">
    <cfRule type="duplicateValues" dxfId="516" priority="272"/>
    <cfRule type="duplicateValues" dxfId="515" priority="273"/>
    <cfRule type="duplicateValues" dxfId="514" priority="274"/>
    <cfRule type="duplicateValues" dxfId="513" priority="275"/>
    <cfRule type="duplicateValues" dxfId="512" priority="283"/>
    <cfRule type="duplicateValues" dxfId="511" priority="276"/>
    <cfRule type="duplicateValues" dxfId="510" priority="277"/>
    <cfRule type="duplicateValues" dxfId="509" priority="278"/>
    <cfRule type="duplicateValues" dxfId="508" priority="279"/>
    <cfRule type="duplicateValues" dxfId="507" priority="280"/>
    <cfRule type="duplicateValues" dxfId="506" priority="450"/>
    <cfRule type="duplicateValues" dxfId="505" priority="451"/>
    <cfRule type="duplicateValues" dxfId="504" priority="410"/>
    <cfRule type="duplicateValues" dxfId="503" priority="411"/>
    <cfRule type="duplicateValues" dxfId="502" priority="281"/>
    <cfRule type="duplicateValues" dxfId="501" priority="282"/>
    <cfRule type="duplicateValues" dxfId="500" priority="284"/>
    <cfRule type="duplicateValues" dxfId="499" priority="285"/>
    <cfRule type="duplicateValues" dxfId="498" priority="454"/>
    <cfRule type="duplicateValues" dxfId="497" priority="455"/>
    <cfRule type="duplicateValues" dxfId="496" priority="286"/>
    <cfRule type="duplicateValues" dxfId="495" priority="287"/>
    <cfRule type="duplicateValues" dxfId="494" priority="288"/>
    <cfRule type="duplicateValues" dxfId="493" priority="289"/>
    <cfRule type="duplicateValues" dxfId="492" priority="290"/>
    <cfRule type="duplicateValues" dxfId="491" priority="291"/>
    <cfRule type="duplicateValues" dxfId="490" priority="292"/>
    <cfRule type="duplicateValues" dxfId="489" priority="293"/>
    <cfRule type="duplicateValues" dxfId="488" priority="298"/>
    <cfRule type="duplicateValues" dxfId="487" priority="299"/>
    <cfRule type="duplicateValues" dxfId="486" priority="303"/>
    <cfRule type="duplicateValues" dxfId="485" priority="304"/>
    <cfRule type="duplicateValues" dxfId="484" priority="305"/>
    <cfRule type="duplicateValues" dxfId="483" priority="190"/>
    <cfRule type="duplicateValues" dxfId="482" priority="86"/>
    <cfRule type="duplicateValues" dxfId="481" priority="87"/>
    <cfRule type="duplicateValues" dxfId="480" priority="191"/>
    <cfRule type="duplicateValues" dxfId="479" priority="308"/>
    <cfRule type="duplicateValues" dxfId="478" priority="309"/>
    <cfRule type="duplicateValues" dxfId="477" priority="310"/>
    <cfRule type="duplicateValues" dxfId="476" priority="311"/>
    <cfRule type="duplicateValues" dxfId="475" priority="312"/>
    <cfRule type="duplicateValues" dxfId="474" priority="313"/>
    <cfRule type="duplicateValues" dxfId="473" priority="316"/>
    <cfRule type="duplicateValues" dxfId="472" priority="317"/>
    <cfRule type="duplicateValues" dxfId="471" priority="318"/>
    <cfRule type="duplicateValues" dxfId="470" priority="319"/>
    <cfRule type="duplicateValues" dxfId="469" priority="320"/>
    <cfRule type="duplicateValues" dxfId="468" priority="108"/>
    <cfRule type="duplicateValues" dxfId="467" priority="109"/>
    <cfRule type="duplicateValues" dxfId="466" priority="321"/>
    <cfRule type="duplicateValues" dxfId="465" priority="655"/>
    <cfRule type="duplicateValues" dxfId="464" priority="656"/>
    <cfRule type="duplicateValues" dxfId="463" priority="322"/>
    <cfRule type="duplicateValues" dxfId="462" priority="470"/>
    <cfRule type="duplicateValues" dxfId="461" priority="471"/>
    <cfRule type="duplicateValues" dxfId="460" priority="122"/>
    <cfRule type="duplicateValues" dxfId="459" priority="123"/>
    <cfRule type="duplicateValues" dxfId="458" priority="130"/>
    <cfRule type="duplicateValues" dxfId="457" priority="396"/>
    <cfRule type="duplicateValues" dxfId="456" priority="134"/>
    <cfRule type="duplicateValues" dxfId="455" priority="131"/>
    <cfRule type="duplicateValues" dxfId="454" priority="135"/>
    <cfRule type="duplicateValues" dxfId="453" priority="136"/>
    <cfRule type="duplicateValues" dxfId="452" priority="137"/>
    <cfRule type="duplicateValues" dxfId="451" priority="478"/>
    <cfRule type="duplicateValues" dxfId="450" priority="479"/>
    <cfRule type="duplicateValues" dxfId="449" priority="480"/>
    <cfRule type="duplicateValues" dxfId="448" priority="481"/>
    <cfRule type="duplicateValues" dxfId="447" priority="414"/>
    <cfRule type="duplicateValues" dxfId="446" priority="415"/>
    <cfRule type="duplicateValues" dxfId="445" priority="705"/>
    <cfRule type="duplicateValues" dxfId="444" priority="706"/>
    <cfRule type="duplicateValues" dxfId="443" priority="721"/>
    <cfRule type="duplicateValues" dxfId="442" priority="722"/>
    <cfRule type="duplicateValues" dxfId="441" priority="486"/>
    <cfRule type="duplicateValues" dxfId="440" priority="487"/>
    <cfRule type="duplicateValues" dxfId="439" priority="731"/>
    <cfRule type="duplicateValues" dxfId="438" priority="732"/>
    <cfRule type="duplicateValues" dxfId="437" priority="405"/>
    <cfRule type="duplicateValues" dxfId="436" priority="416"/>
    <cfRule type="duplicateValues" dxfId="435" priority="464"/>
    <cfRule type="duplicateValues" dxfId="434" priority="465"/>
    <cfRule type="duplicateValues" dxfId="433" priority="739"/>
    <cfRule type="duplicateValues" dxfId="432" priority="740"/>
    <cfRule type="duplicateValues" dxfId="431" priority="468"/>
    <cfRule type="duplicateValues" dxfId="430" priority="469"/>
    <cfRule type="duplicateValues" dxfId="429" priority="743"/>
    <cfRule type="duplicateValues" dxfId="428" priority="744"/>
    <cfRule type="duplicateValues" dxfId="427" priority="417"/>
    <cfRule type="duplicateValues" dxfId="426" priority="404"/>
    <cfRule type="duplicateValues" dxfId="425" priority="397"/>
    <cfRule type="duplicateValues" dxfId="424" priority="434"/>
    <cfRule type="duplicateValues" dxfId="423" priority="435"/>
    <cfRule type="duplicateValues" dxfId="422" priority="302"/>
    <cfRule type="duplicateValues" dxfId="421" priority="442"/>
    <cfRule type="duplicateValues" dxfId="420" priority="443"/>
    <cfRule type="duplicateValues" dxfId="419" priority="323"/>
  </conditionalFormatting>
  <conditionalFormatting sqref="A16">
    <cfRule type="duplicateValues" dxfId="418" priority="522"/>
    <cfRule type="duplicateValues" dxfId="417" priority="523"/>
    <cfRule type="duplicateValues" dxfId="416" priority="526"/>
    <cfRule type="duplicateValues" dxfId="415" priority="527"/>
    <cfRule type="duplicateValues" dxfId="414" priority="532"/>
    <cfRule type="duplicateValues" dxfId="413" priority="533"/>
    <cfRule type="duplicateValues" dxfId="412" priority="540"/>
    <cfRule type="duplicateValues" dxfId="411" priority="541"/>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2"/>
    <cfRule type="duplicateValues" dxfId="374" priority="113"/>
    <cfRule type="duplicateValues" dxfId="373" priority="116"/>
    <cfRule type="duplicateValues" dxfId="372" priority="117"/>
    <cfRule type="duplicateValues" dxfId="371" priority="124"/>
    <cfRule type="duplicateValues" dxfId="370" priority="125"/>
    <cfRule type="duplicateValues" dxfId="369" priority="138"/>
    <cfRule type="duplicateValues" dxfId="368" priority="139"/>
    <cfRule type="duplicateValues" dxfId="367" priority="140"/>
    <cfRule type="duplicateValues" dxfId="366" priority="141"/>
    <cfRule type="duplicateValues" dxfId="365" priority="142"/>
    <cfRule type="duplicateValues" dxfId="364" priority="143"/>
    <cfRule type="duplicateValues" dxfId="363" priority="144"/>
    <cfRule type="duplicateValues" dxfId="362" priority="145"/>
    <cfRule type="duplicateValues" dxfId="361" priority="146"/>
    <cfRule type="duplicateValues" dxfId="360" priority="147"/>
    <cfRule type="duplicateValues" dxfId="359" priority="148"/>
    <cfRule type="duplicateValues" dxfId="358" priority="149"/>
    <cfRule type="duplicateValues" dxfId="357" priority="150"/>
    <cfRule type="duplicateValues" dxfId="356" priority="151"/>
    <cfRule type="duplicateValues" dxfId="355" priority="152"/>
    <cfRule type="duplicateValues" dxfId="354" priority="153"/>
    <cfRule type="duplicateValues" dxfId="353" priority="154"/>
    <cfRule type="duplicateValues" dxfId="352" priority="155"/>
    <cfRule type="duplicateValues" dxfId="351" priority="156"/>
    <cfRule type="duplicateValues" dxfId="350" priority="157"/>
    <cfRule type="duplicateValues" dxfId="349" priority="162"/>
    <cfRule type="duplicateValues" dxfId="348" priority="163"/>
    <cfRule type="duplicateValues" dxfId="347" priority="166"/>
    <cfRule type="duplicateValues" dxfId="346" priority="167"/>
    <cfRule type="duplicateValues" dxfId="345" priority="168"/>
    <cfRule type="duplicateValues" dxfId="344" priority="169"/>
    <cfRule type="duplicateValues" dxfId="343" priority="172"/>
    <cfRule type="duplicateValues" dxfId="342" priority="173"/>
    <cfRule type="duplicateValues" dxfId="341" priority="174"/>
    <cfRule type="duplicateValues" dxfId="340" priority="175"/>
    <cfRule type="duplicateValues" dxfId="339" priority="176"/>
    <cfRule type="duplicateValues" dxfId="338" priority="623"/>
    <cfRule type="duplicateValues" dxfId="337" priority="624"/>
    <cfRule type="duplicateValues" dxfId="336" priority="177"/>
    <cfRule type="duplicateValues" dxfId="335" priority="180"/>
    <cfRule type="duplicateValues" dxfId="334" priority="627"/>
    <cfRule type="duplicateValues" dxfId="333" priority="181"/>
    <cfRule type="duplicateValues" dxfId="332" priority="629"/>
    <cfRule type="duplicateValues" dxfId="331" priority="630"/>
    <cfRule type="duplicateValues" dxfId="330" priority="631"/>
    <cfRule type="duplicateValues" dxfId="329" priority="632"/>
    <cfRule type="duplicateValues" dxfId="328" priority="635"/>
    <cfRule type="duplicateValues" dxfId="327" priority="636"/>
    <cfRule type="duplicateValues" dxfId="326" priority="637"/>
    <cfRule type="duplicateValues" dxfId="325" priority="638"/>
    <cfRule type="duplicateValues" dxfId="324" priority="639"/>
    <cfRule type="duplicateValues" dxfId="323" priority="640"/>
    <cfRule type="duplicateValues" dxfId="322" priority="643"/>
    <cfRule type="duplicateValues" dxfId="321" priority="644"/>
    <cfRule type="duplicateValues" dxfId="320" priority="645"/>
    <cfRule type="duplicateValues" dxfId="319" priority="646"/>
    <cfRule type="duplicateValues" dxfId="318" priority="649"/>
    <cfRule type="duplicateValues" dxfId="317" priority="650"/>
    <cfRule type="duplicateValues" dxfId="316" priority="182"/>
    <cfRule type="duplicateValues" dxfId="315" priority="183"/>
    <cfRule type="duplicateValues" dxfId="314" priority="184"/>
    <cfRule type="duplicateValues" dxfId="313" priority="185"/>
    <cfRule type="duplicateValues" dxfId="312" priority="186"/>
    <cfRule type="duplicateValues" dxfId="311" priority="187"/>
    <cfRule type="duplicateValues" dxfId="310" priority="198"/>
    <cfRule type="duplicateValues" dxfId="309" priority="199"/>
    <cfRule type="duplicateValues" dxfId="308" priority="206"/>
    <cfRule type="duplicateValues" dxfId="307" priority="207"/>
    <cfRule type="duplicateValues" dxfId="306" priority="671"/>
    <cfRule type="duplicateValues" dxfId="305" priority="672"/>
    <cfRule type="duplicateValues" dxfId="304" priority="675"/>
    <cfRule type="duplicateValues" dxfId="303" priority="676"/>
    <cfRule type="duplicateValues" dxfId="302" priority="677"/>
    <cfRule type="duplicateValues" dxfId="301" priority="212"/>
    <cfRule type="duplicateValues" dxfId="300" priority="213"/>
    <cfRule type="duplicateValues" dxfId="299" priority="216"/>
    <cfRule type="duplicateValues" dxfId="298" priority="685"/>
    <cfRule type="duplicateValues" dxfId="297" priority="686"/>
    <cfRule type="duplicateValues" dxfId="296" priority="687"/>
    <cfRule type="duplicateValues" dxfId="295" priority="688"/>
    <cfRule type="duplicateValues" dxfId="294" priority="217"/>
    <cfRule type="duplicateValues" dxfId="293" priority="218"/>
    <cfRule type="duplicateValues" dxfId="292" priority="693"/>
    <cfRule type="duplicateValues" dxfId="291" priority="694"/>
    <cfRule type="duplicateValues" dxfId="290" priority="219"/>
    <cfRule type="duplicateValues" dxfId="289" priority="228"/>
    <cfRule type="duplicateValues" dxfId="288" priority="229"/>
    <cfRule type="duplicateValues" dxfId="287" priority="234"/>
    <cfRule type="duplicateValues" dxfId="286" priority="628"/>
    <cfRule type="duplicateValues" dxfId="285" priority="235"/>
    <cfRule type="duplicateValues" dxfId="284" priority="238"/>
    <cfRule type="duplicateValues" dxfId="283" priority="239"/>
    <cfRule type="duplicateValues" dxfId="282" priority="709"/>
    <cfRule type="duplicateValues" dxfId="281" priority="710"/>
    <cfRule type="duplicateValues" dxfId="280" priority="711"/>
    <cfRule type="duplicateValues" dxfId="279" priority="712"/>
    <cfRule type="duplicateValues" dxfId="278" priority="715"/>
    <cfRule type="duplicateValues" dxfId="277" priority="716"/>
    <cfRule type="duplicateValues" dxfId="276" priority="240"/>
    <cfRule type="duplicateValues" dxfId="275" priority="241"/>
    <cfRule type="duplicateValues" dxfId="274" priority="248"/>
    <cfRule type="duplicateValues" dxfId="273" priority="249"/>
    <cfRule type="duplicateValues" dxfId="272" priority="725"/>
    <cfRule type="duplicateValues" dxfId="271" priority="726"/>
    <cfRule type="duplicateValues" dxfId="270" priority="252"/>
    <cfRule type="duplicateValues" dxfId="269" priority="253"/>
    <cfRule type="duplicateValues" dxfId="268" priority="254"/>
    <cfRule type="duplicateValues" dxfId="267" priority="255"/>
    <cfRule type="duplicateValues" dxfId="266" priority="260"/>
    <cfRule type="duplicateValues" dxfId="265" priority="261"/>
    <cfRule type="duplicateValues" dxfId="264" priority="262"/>
    <cfRule type="duplicateValues" dxfId="263" priority="263"/>
    <cfRule type="duplicateValues" dxfId="262" priority="266"/>
    <cfRule type="duplicateValues" dxfId="261" priority="267"/>
    <cfRule type="duplicateValues" dxfId="260" priority="111"/>
    <cfRule type="duplicateValues" dxfId="259" priority="26"/>
    <cfRule type="duplicateValues" dxfId="258" priority="27"/>
    <cfRule type="duplicateValues" dxfId="257" priority="28"/>
    <cfRule type="duplicateValues" dxfId="256" priority="29"/>
    <cfRule type="duplicateValues" dxfId="255" priority="32"/>
    <cfRule type="duplicateValues" dxfId="254" priority="33"/>
    <cfRule type="duplicateValues" dxfId="253" priority="38"/>
    <cfRule type="duplicateValues" dxfId="252" priority="39"/>
    <cfRule type="duplicateValues" dxfId="251" priority="520"/>
    <cfRule type="duplicateValues" dxfId="250" priority="521"/>
    <cfRule type="duplicateValues" dxfId="249" priority="678"/>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2025-04-11T15:51:04Z</dcterms:modified>
</cp:coreProperties>
</file>