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C409753C-F6B7-473F-8129-AF4B87C3556F}" xr6:coauthVersionLast="47" xr6:coauthVersionMax="47" xr10:uidLastSave="{00000000-0000-0000-0000-000000000000}"/>
  <bookViews>
    <workbookView xWindow="11700" yWindow="0" windowWidth="11436"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D4" i="1"/>
  <c r="E4" i="1"/>
  <c r="B5" i="1"/>
  <c r="D5" i="1"/>
  <c r="E5"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<sst xmlns="http://schemas.openxmlformats.org/spreadsheetml/2006/main" count="7085" uniqueCount="4088">
  <si>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</si>
  <si>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</si>
  <si>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</si>
  <si>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</si>
  <si>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</si>
  <si>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</si>
  <si>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</si>
  <si>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</si>
  <si>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</si>
  <si>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</si>
  <si>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</si>
  <si>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</si>
  <si>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</si>
  <si>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</si>
  <si>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</si>
  <si>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</si>
  <si>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</si>
  <si>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</si>
  <si>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</si>
  <si>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</si>
  <si>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</si>
  <si>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</si>
  <si>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</si>
  <si>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</si>
  <si>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</si>
  <si>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</si>
  <si>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</si>
  <si>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</si>
  <si>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</si>
  <si>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</si>
  <si>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</si>
  <si>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</si>
  <si>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</si>
  <si>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</si>
  <si>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</si>
  <si>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</si>
  <si>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</si>
  <si>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</si>
  <si>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</si>
  <si>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</si>
  <si>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</si>
  <si>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</si>
  <si>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</si>
  <si>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</si>
  <si>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</si>
  <si>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</si>
  <si>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</si>
  <si>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</si>
  <si>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</si>
  <si>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</si>
  <si>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</si>
  <si>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</si>
  <si>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</si>
  <si>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</si>
  <si>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</si>
  <si>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</si>
  <si>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</si>
  <si>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</si>
  <si>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</si>
  <si>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</si>
  <si>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</si>
  <si>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</si>
  <si>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</si>
  <si>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</si>
  <si>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</si>
  <si>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</si>
  <si>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</si>
  <si>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</si>
  <si>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</si>
  <si>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</si>
  <si>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</si>
  <si>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</si>
  <si>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</si>
  <si>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</si>
  <si>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</si>
  <si>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</si>
  <si>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</si>
  <si>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</si>
  <si>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</si>
  <si>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</si>
  <si>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</si>
  <si>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</si>
  <si>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</si>
  <si>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</si>
  <si>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</si>
  <si>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</si>
  <si>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</si>
  <si>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</si>
  <si>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</si>
  <si>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</si>
  <si>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</si>
  <si>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</si>
  <si>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</si>
  <si>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</si>
  <si>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</si>
  <si>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</si>
  <si>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</si>
  <si>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</si>
  <si>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</si>
  <si>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</si>
  <si>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</si>
  <si>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</si>
  <si>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</si>
  <si>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</si>
  <si>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</si>
  <si>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</si>
  <si>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</si>
  <si>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</si>
  <si>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</si>
  <si>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</si>
  <si>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</si>
  <si>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</si>
  <si>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</si>
  <si>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</si>
  <si>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</si>
  <si>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</si>
  <si>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</si>
  <si>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</si>
  <si>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</si>
  <si>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</si>
  <si>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</si>
  <si>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</si>
  <si>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</si>
  <si>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</si>
  <si>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</si>
  <si>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</si>
  <si>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</si>
  <si>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</si>
  <si>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</si>
  <si>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</si>
  <si>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</si>
  <si>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</si>
  <si>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</si>
  <si>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</si>
  <si>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</si>
  <si>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</si>
  <si>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</si>
  <si>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</si>
  <si>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</si>
  <si>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</si>
  <si>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</si>
  <si>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</si>
  <si>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</si>
  <si>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</si>
  <si>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</si>
  <si>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</si>
  <si>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</si>
  <si>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</si>
  <si>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</si>
  <si>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</si>
  <si>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</si>
  <si>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</si>
  <si>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</si>
  <si>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</si>
  <si>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</si>
  <si>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</si>
  <si>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</si>
  <si>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</si>
  <si>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</si>
  <si>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</si>
  <si>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</si>
  <si>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</si>
  <si>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</si>
  <si>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</si>
  <si>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</si>
  <si>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</si>
  <si>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</si>
  <si>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</si>
  <si>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</si>
  <si>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</si>
  <si>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</si>
  <si>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</si>
  <si>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</si>
  <si>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</si>
  <si>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</si>
  <si>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</si>
  <si>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</si>
  <si>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</si>
  <si>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</si>
  <si>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</si>
  <si>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</si>
  <si>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</si>
  <si>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</si>
  <si>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</si>
  <si>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</si>
  <si>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</si>
  <si>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</si>
  <si>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</si>
  <si>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</si>
  <si>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</si>
  <si>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</si>
  <si>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</si>
  <si>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</si>
  <si>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</si>
  <si>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</si>
  <si>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</si>
  <si>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</si>
  <si>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</si>
  <si>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</si>
  <si>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</si>
  <si>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</si>
  <si>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</si>
  <si>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</si>
  <si>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</si>
  <si>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</si>
  <si>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</si>
  <si>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</si>
  <si>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</si>
  <si>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</si>
  <si>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</si>
  <si>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</si>
  <si>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</si>
  <si>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</si>
  <si>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</si>
  <si>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</si>
  <si>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</si>
  <si>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</si>
  <si>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</si>
  <si>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</si>
  <si>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</si>
  <si>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</si>
  <si>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</si>
  <si>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</si>
  <si>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</si>
  <si>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</si>
  <si>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</si>
  <si>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</si>
  <si>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</si>
  <si>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</si>
  <si>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</si>
  <si>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</si>
  <si>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</si>
  <si>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</si>
  <si>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</si>
  <si>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</si>
  <si>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</si>
  <si>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</si>
  <si>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</si>
  <si>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</si>
  <si>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</si>
  <si>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</si>
  <si>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</si>
  <si>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</si>
  <si>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</si>
  <si>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</si>
  <si>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</si>
  <si>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</si>
  <si>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</si>
  <si>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</si>
  <si>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</si>
  <si>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</si>
  <si>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</si>
  <si>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</si>
  <si>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</si>
  <si>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</si>
  <si>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</si>
  <si>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</si>
  <si>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</si>
  <si>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</si>
  <si>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</si>
  <si>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</si>
  <si>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</si>
  <si>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</si>
  <si>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</si>
  <si>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</si>
  <si>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</si>
  <si>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</si>
  <si>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</si>
  <si>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</si>
  <si>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</si>
  <si>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</si>
  <si>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</si>
  <si>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</si>
  <si>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</si>
  <si>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</si>
  <si>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</si>
  <si>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</si>
  <si>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</si>
  <si>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</si>
  <si>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</si>
  <si>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</si>
  <si>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</si>
  <si>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</si>
  <si>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</si>
  <si>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</si>
  <si>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</si>
  <si>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</si>
  <si>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</si>
  <si>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</si>
  <si>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</si>
  <si>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</si>
  <si>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</si>
  <si>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</si>
  <si>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</si>
  <si>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</si>
  <si>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</si>
  <si>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</si>
  <si>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</si>
  <si>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</si>
  <si>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</si>
  <si>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</si>
  <si>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</si>
  <si>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</si>
  <si>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</si>
  <si>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</si>
  <si>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</si>
  <si>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</si>
  <si>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</si>
  <si>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</si>
  <si>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</si>
  <si>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</si>
  <si>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</si>
  <si>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</si>
  <si>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</si>
  <si>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</si>
  <si>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</si>
  <si>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</si>
  <si>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</si>
  <si>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</si>
  <si>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</si>
  <si>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</si>
  <si>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</si>
  <si>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</si>
  <si>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</si>
  <si>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</si>
  <si>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</si>
  <si>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</si>
  <si>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</si>
  <si>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</si>
  <si>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</si>
  <si>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</si>
  <si>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</si>
  <si>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</si>
  <si>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</si>
  <si>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</si>
  <si>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</si>
  <si>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</si>
  <si>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</si>
  <si>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</si>
  <si>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</si>
  <si>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</si>
  <si>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</si>
  <si>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</si>
  <si>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</si>
  <si>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</si>
  <si>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</si>
  <si>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</si>
  <si>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</si>
  <si>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</si>
  <si>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</si>
  <si>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</si>
  <si>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</si>
  <si>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</si>
  <si>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</si>
  <si>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</si>
  <si>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</si>
  <si>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</si>
  <si>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</si>
  <si>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</si>
  <si>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</si>
  <si>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</si>
  <si>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</si>
  <si>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</si>
  <si>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</si>
  <si>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</si>
  <si>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</si>
  <si>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</si>
  <si>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</si>
  <si>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</si>
  <si>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</si>
  <si>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</si>
  <si>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</si>
  <si>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</si>
  <si>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</si>
  <si>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</si>
  <si>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</si>
  <si>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</si>
  <si>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</si>
  <si>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</si>
  <si>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</si>
  <si>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</si>
  <si>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</si>
  <si>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</si>
  <si>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</si>
  <si>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</si>
  <si>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</si>
  <si>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</si>
  <si>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</si>
  <si>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</si>
  <si>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</si>
  <si>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</si>
  <si>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</si>
  <si>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</si>
  <si>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</si>
  <si>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</si>
  <si>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</si>
  <si>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</si>
  <si>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</si>
  <si>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</si>
  <si>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</si>
  <si>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</si>
  <si>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</si>
  <si>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</si>
  <si>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</si>
  <si>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</si>
  <si>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</si>
  <si>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</si>
  <si>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</si>
  <si>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</si>
  <si>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</si>
  <si>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</si>
  <si>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</si>
  <si>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</si>
  <si>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</si>
  <si>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</si>
  <si>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</si>
  <si>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</si>
  <si>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</si>
  <si>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</si>
  <si>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</si>
  <si>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</si>
  <si>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</si>
  <si>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</si>
  <si>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</si>
  <si>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</si>
  <si>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</si>
  <si>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</si>
  <si>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</si>
  <si>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</si>
  <si>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</si>
  <si>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</si>
  <si>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</si>
  <si>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</si>
  <si>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</si>
  <si>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</si>
  <si>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</si>
  <si>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</si>
  <si>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</si>
  <si>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</si>
  <si>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</si>
  <si>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</si>
  <si>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</si>
  <si>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</si>
  <si>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</si>
  <si>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</si>
  <si>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</si>
  <si>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</si>
  <si>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</si>
  <si>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</si>
  <si>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</si>
  <si>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</si>
  <si>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</si>
  <si>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</si>
  <si>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</si>
  <si>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</si>
  <si>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</si>
  <si>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</si>
  <si>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</si>
  <si>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</si>
  <si>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</si>
  <si>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</si>
  <si>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</si>
  <si>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</si>
  <si>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</si>
  <si>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</si>
  <si>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</si>
  <si>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</si>
  <si>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</si>
  <si>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</si>
  <si>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</si>
  <si>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</si>
  <si>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</si>
  <si>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</si>
  <si>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</si>
  <si>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</si>
  <si>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</si>
  <si>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</si>
  <si>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</si>
  <si>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</si>
  <si>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</si>
  <si>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</si>
  <si>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</si>
  <si>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</si>
  <si>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</si>
  <si>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</si>
  <si>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</si>
  <si>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</si>
  <si>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</si>
  <si>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</si>
  <si>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</si>
  <si>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</si>
  <si>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</si>
  <si>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</si>
  <si>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</si>
  <si>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</si>
  <si>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</si>
  <si>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</si>
  <si>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</si>
  <si>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</si>
  <si>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</si>
  <si>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</si>
  <si>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</si>
  <si>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</si>
  <si>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</si>
  <si>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</si>
  <si>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</si>
  <si>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</si>
  <si>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</si>
  <si>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</si>
  <si>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</si>
  <si>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</si>
  <si>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</si>
  <si>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</si>
  <si>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</si>
  <si>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</si>
  <si>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</si>
  <si>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</si>
  <si>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</si>
  <si>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</si>
  <si>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</si>
  <si>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</si>
  <si>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</si>
  <si>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</si>
  <si>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</si>
  <si>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</si>
  <si>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</si>
  <si>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</si>
  <si>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</si>
  <si>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</si>
  <si>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</si>
  <si>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</si>
  <si>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</si>
  <si>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</si>
  <si>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</si>
  <si>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</si>
  <si>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</si>
  <si>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</si>
  <si>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</si>
  <si>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</si>
  <si>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</si>
  <si>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</si>
  <si>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</si>
  <si>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</si>
  <si>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</si>
  <si>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</si>
  <si>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</si>
  <si>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</si>
  <si>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</si>
  <si>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</si>
  <si>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</si>
  <si>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</si>
  <si>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</si>
  <si>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</si>
  <si>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</si>
  <si>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</si>
  <si>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</si>
  <si>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</si>
  <si>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</si>
  <si>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</si>
  <si>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</si>
  <si>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</si>
  <si>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</si>
  <si>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</si>
  <si>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</si>
  <si>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</si>
  <si>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</si>
  <si>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</si>
  <si>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</si>
  <si>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</si>
  <si>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</si>
  <si>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</si>
  <si>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</si>
  <si>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</si>
  <si>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</si>
  <si>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</si>
  <si>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</si>
  <si>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</si>
  <si>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</si>
  <si>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</si>
  <si>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</si>
  <si>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</si>
  <si>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</si>
  <si>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</si>
  <si>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</si>
  <si>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</si>
  <si>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</si>
  <si>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</si>
  <si>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</si>
  <si>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</si>
  <si>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</si>
  <si>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</si>
  <si>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</si>
  <si>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</si>
  <si>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</si>
  <si>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</si>
  <si>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</si>
  <si>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</si>
  <si>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</si>
  <si>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</si>
  <si>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</si>
  <si>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</si>
  <si>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</si>
  <si>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</si>
  <si>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</si>
  <si>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</si>
  <si>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</si>
  <si>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</si>
  <si>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</si>
  <si>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</si>
  <si>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</si>
  <si>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</si>
  <si>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</si>
  <si>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</si>
  <si>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</si>
  <si>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</si>
  <si>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</si>
  <si>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</si>
  <si>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</si>
  <si>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</si>
  <si>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</si>
  <si>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</si>
  <si>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</si>
  <si>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</si>
  <si>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</si>
  <si>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</si>
  <si>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</si>
  <si>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</si>
  <si>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</si>
  <si>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</si>
  <si>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</si>
  <si>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</si>
  <si>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</si>
  <si>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</si>
  <si>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</si>
  <si>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</si>
  <si>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</si>
  <si>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</si>
  <si>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</si>
  <si>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</si>
  <si>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</si>
  <si>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</si>
  <si>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</si>
  <si>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</si>
  <si>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</si>
  <si>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</si>
  <si>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</si>
  <si>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</si>
  <si>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</si>
  <si>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</si>
  <si>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</si>
  <si>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</si>
  <si>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</si>
  <si>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</si>
  <si>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</si>
  <si>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</si>
  <si>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</si>
  <si>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</si>
  <si>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</si>
  <si>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</si>
  <si>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</si>
  <si>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</si>
  <si>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</si>
  <si>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</si>
  <si>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</si>
  <si>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</si>
  <si>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</si>
  <si>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</si>
  <si>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</si>
  <si>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</si>
  <si>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</si>
  <si>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</si>
  <si>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</si>
  <si>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</si>
  <si>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</si>
  <si>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</si>
  <si>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</si>
  <si>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</si>
  <si>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</si>
  <si>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</si>
  <si>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</si>
  <si>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</si>
  <si>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</si>
  <si>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</si>
  <si>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</si>
  <si>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</si>
  <si>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</si>
  <si>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</si>
  <si>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</si>
  <si>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</si>
  <si>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</si>
  <si>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</si>
  <si>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</si>
  <si>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</si>
  <si>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</si>
  <si>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</si>
  <si>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</si>
  <si>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</si>
  <si>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</si>
  <si>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</si>
  <si>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</si>
  <si>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</si>
  <si>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</si>
  <si>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</si>
  <si>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</si>
  <si>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</si>
  <si>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</si>
  <si>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</si>
  <si>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</si>
  <si>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</si>
  <si>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</si>
  <si>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</si>
  <si>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</si>
  <si>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</si>
  <si>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</si>
  <si>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</si>
  <si>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</si>
  <si>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</si>
  <si>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</si>
  <si>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</si>
  <si>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</si>
  <si>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</si>
  <si>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</si>
  <si>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</si>
  <si>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</si>
  <si>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</si>
  <si>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</si>
  <si>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</si>
  <si>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</si>
  <si>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</si>
  <si>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</si>
  <si>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</si>
  <si>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</si>
  <si>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</si>
  <si>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</si>
  <si>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</si>
  <si>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</si>
  <si>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</si>
  <si>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</si>
  <si>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</si>
  <si>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</si>
  <si>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</si>
  <si>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</si>
  <si>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</si>
  <si>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</si>
  <si>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</si>
  <si>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</si>
  <si>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</si>
  <si>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</si>
  <si>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</si>
  <si>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</si>
  <si>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</si>
  <si>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</si>
  <si>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</si>
  <si>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</si>
  <si>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</si>
  <si>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</si>
  <si>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</si>
  <si>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</si>
  <si>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</si>
  <si>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</si>
  <si>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</si>
  <si>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</si>
  <si>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</si>
  <si>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</si>
  <si>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</si>
  <si>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</si>
  <si>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</si>
  <si>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</si>
  <si>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</si>
  <si>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</si>
  <si>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</si>
  <si>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</si>
  <si>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</si>
  <si>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</si>
  <si>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</si>
  <si>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</si>
  <si>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</si>
  <si>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</si>
  <si>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</si>
  <si>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</si>
  <si>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</si>
  <si>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</si>
  <si>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</si>
  <si>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</si>
  <si>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</si>
  <si>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</si>
  <si>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</si>
  <si>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</si>
  <si>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</si>
  <si>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</si>
  <si>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</si>
  <si>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</si>
  <si>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</si>
  <si>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</si>
  <si>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</si>
  <si>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</si>
  <si>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</si>
  <si>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</si>
  <si>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</si>
  <si>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</si>
  <si>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</si>
  <si>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</si>
  <si>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</si>
  <si>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</si>
  <si>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</si>
  <si>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</si>
  <si>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</si>
  <si>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</si>
  <si>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</si>
  <si>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</si>
  <si>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</si>
  <si>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</si>
  <si>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</si>
  <si>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</si>
  <si>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</si>
  <si>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</si>
  <si>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</si>
  <si>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</si>
  <si>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</si>
  <si>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</si>
  <si>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</si>
  <si>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</si>
  <si>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</si>
  <si>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</si>
  <si>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</si>
  <si>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</si>
  <si>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</si>
  <si>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</si>
  <si>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</si>
  <si>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</si>
  <si>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</si>
  <si>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</si>
  <si>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</si>
  <si>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</si>
  <si>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</si>
  <si>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</si>
  <si>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</si>
  <si>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</si>
  <si>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</si>
  <si>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</si>
  <si>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</si>
  <si>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</si>
  <si>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</si>
  <si>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</si>
  <si>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</si>
  <si>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</si>
  <si>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</si>
  <si>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</si>
  <si>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</si>
  <si>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</si>
  <si>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</si>
  <si>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</si>
  <si>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</si>
  <si>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</si>
  <si>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</si>
  <si>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</si>
  <si>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</si>
  <si>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</si>
  <si>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</si>
  <si>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</si>
  <si>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</si>
  <si>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</si>
  <si>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</si>
  <si>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</si>
  <si>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</si>
  <si>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</si>
  <si>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</si>
  <si>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</si>
  <si>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</si>
  <si>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</si>
  <si>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</si>
  <si>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</si>
  <si>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</si>
  <si>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</si>
  <si>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</si>
  <si>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</si>
  <si>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</si>
  <si>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</si>
  <si>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</si>
  <si>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</si>
  <si>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</si>
  <si>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</si>
  <si>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</si>
  <si>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</si>
  <si>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</si>
  <si>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</si>
  <si>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</si>
  <si>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</si>
  <si>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</si>
  <si>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</si>
  <si>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</si>
  <si>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</si>
  <si>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</si>
  <si>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</si>
  <si>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</si>
  <si>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</si>
  <si>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</si>
  <si>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</si>
  <si>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</si>
  <si>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</si>
  <si>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</si>
  <si>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</si>
  <si>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</si>
  <si>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</si>
  <si>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</si>
  <si>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</si>
  <si>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</si>
  <si>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</si>
  <si>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</si>
  <si>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</si>
  <si>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</si>
  <si>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</si>
  <si>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</si>
  <si>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</si>
  <si>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</si>
  <si>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</si>
  <si>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</si>
  <si>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</si>
  <si>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</si>
  <si>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</si>
  <si>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</si>
  <si>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</si>
  <si>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</si>
  <si>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</si>
  <si>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</si>
  <si>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</si>
  <si>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</si>
  <si>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</si>
  <si>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</si>
  <si>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</si>
  <si>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</si>
  <si>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</si>
  <si>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</si>
  <si>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</si>
  <si>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</si>
  <si>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</si>
  <si>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</si>
  <si>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</si>
  <si>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</si>
  <si>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</si>
  <si>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</si>
  <si>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</si>
  <si>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</si>
  <si>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</si>
  <si>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</si>
  <si>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</si>
  <si>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</si>
  <si>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</si>
  <si>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</si>
  <si>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</si>
  <si>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</si>
  <si>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</si>
  <si>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</si>
  <si>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</si>
  <si>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</si>
  <si>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</si>
  <si>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</si>
  <si>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</si>
  <si>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</si>
  <si>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</si>
  <si>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</si>
  <si>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</si>
  <si>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</si>
  <si>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</si>
  <si>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</si>
  <si>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</si>
  <si>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</si>
  <si>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</si>
  <si>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</si>
  <si>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</si>
  <si>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</si>
  <si>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</si>
  <si>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</si>
  <si>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</si>
  <si>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</si>
  <si>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</si>
  <si>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</si>
  <si>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</si>
  <si>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</si>
  <si>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</si>
  <si>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</si>
  <si>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</si>
  <si>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</si>
  <si>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</si>
  <si>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</si>
  <si>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</si>
  <si>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</si>
  <si>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</si>
  <si>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</si>
  <si>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</si>
  <si>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</si>
  <si>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</si>
  <si>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</si>
  <si>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</si>
  <si>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</si>
  <si>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</si>
  <si>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</si>
  <si>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</si>
  <si>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</si>
  <si>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</si>
  <si>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</si>
  <si>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</si>
  <si>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</si>
  <si>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</si>
  <si>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</si>
  <si>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</si>
  <si>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</si>
  <si>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</si>
  <si>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</si>
  <si>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</si>
  <si>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</si>
  <si>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</si>
  <si>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</si>
  <si>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</si>
  <si>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</si>
  <si>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</si>
  <si>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</si>
  <si>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</si>
  <si>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</si>
  <si>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</si>
  <si>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</si>
  <si>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</si>
  <si>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</si>
  <si>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</si>
  <si>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</si>
  <si>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</si>
  <si>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</si>
  <si>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</si>
  <si>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</si>
  <si>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</si>
  <si>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</si>
  <si>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</si>
  <si>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</si>
  <si>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</si>
  <si>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</si>
  <si>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</si>
  <si>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</si>
  <si>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</si>
  <si>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</si>
  <si>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</si>
  <si>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</si>
  <si>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</si>
  <si>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</si>
  <si>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</si>
  <si>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</si>
  <si>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</si>
  <si>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</si>
  <si>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</si>
  <si>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</si>
  <si>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</si>
  <si>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</si>
  <si>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</si>
  <si>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</si>
  <si>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</si>
  <si>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</si>
  <si>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</si>
  <si>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</si>
  <si>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</si>
  <si>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</si>
  <si>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</si>
  <si>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</si>
  <si>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</si>
  <si>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</si>
  <si>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</si>
  <si>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</si>
  <si>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</si>
  <si>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</si>
  <si>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</si>
  <si>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</si>
  <si>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</si>
  <si>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</si>
  <si>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</si>
  <si>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</si>
  <si>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</si>
  <si>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</si>
  <si>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</si>
  <si>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</si>
  <si>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</si>
  <si>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</si>
  <si>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</si>
  <si>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</si>
  <si>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</si>
  <si>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</si>
  <si>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</si>
  <si>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</si>
  <si>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</si>
  <si>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</si>
  <si>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</si>
  <si>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</si>
  <si>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</si>
  <si>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</si>
  <si>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</si>
  <si>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</si>
  <si>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</si>
  <si>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</si>
  <si>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</si>
  <si>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</si>
  <si>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</si>
  <si>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</si>
  <si>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</si>
  <si>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</si>
  <si>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</si>
  <si>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</si>
  <si>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</si>
  <si>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</si>
  <si>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</si>
  <si>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</si>
  <si>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</si>
  <si>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</si>
  <si>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</si>
  <si>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</si>
  <si>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</si>
  <si>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</si>
  <si>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</si>
  <si>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</si>
  <si>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</si>
  <si>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</si>
  <si>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</si>
  <si>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</si>
  <si>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</si>
  <si>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</si>
  <si>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</si>
  <si>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</si>
  <si>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</si>
  <si>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</si>
  <si>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</si>
  <si>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</si>
  <si>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</si>
  <si>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</si>
  <si>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</si>
  <si>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</si>
  <si>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</si>
  <si>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</si>
  <si>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</si>
  <si>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</si>
  <si>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</si>
  <si>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</si>
  <si>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</si>
  <si>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</si>
  <si>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</si>
  <si>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</si>
  <si>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</si>
  <si>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</si>
  <si>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</si>
  <si>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</si>
  <si>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</si>
  <si>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</si>
  <si>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</si>
  <si>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</si>
  <si>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</si>
  <si>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</si>
  <si>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</si>
  <si>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</si>
  <si>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</si>
  <si>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</si>
  <si>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</si>
  <si>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</si>
  <si>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</si>
  <si>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</si>
  <si>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</si>
  <si>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</si>
  <si>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</si>
  <si>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</si>
  <si>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</si>
  <si>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</si>
  <si>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</si>
  <si>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</si>
  <si>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</si>
  <si>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</si>
  <si>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</si>
  <si>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</si>
  <si>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</si>
  <si>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</si>
  <si>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</si>
  <si>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</si>
  <si>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</si>
  <si>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</si>
  <si>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</si>
  <si>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</si>
  <si>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</si>
  <si>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</si>
  <si>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</si>
  <si>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</si>
  <si>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</si>
  <si>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</si>
  <si>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</si>
  <si>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</si>
  <si>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</si>
  <si>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</si>
  <si>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</si>
  <si>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</si>
  <si>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</si>
  <si>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</si>
  <si>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</si>
  <si>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</si>
  <si>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</si>
  <si>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</si>
  <si>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</si>
  <si>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</si>
  <si>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</si>
  <si>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</si>
  <si>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</si>
  <si>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</si>
  <si>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</si>
  <si>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</si>
  <si>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</si>
  <si>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</si>
  <si>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</si>
  <si>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</si>
  <si>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</si>
  <si>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</si>
  <si>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</si>
  <si>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</si>
  <si>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</si>
  <si>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</si>
  <si>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</si>
  <si>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</si>
  <si>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</si>
  <si>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</si>
  <si>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</si>
  <si>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</si>
  <si>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</si>
  <si>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</si>
  <si>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</si>
  <si>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</si>
  <si>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</si>
  <si>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</si>
  <si>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</si>
  <si>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</si>
  <si>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</si>
  <si>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</si>
  <si>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</si>
  <si>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</si>
  <si>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</si>
  <si>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</si>
  <si>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</si>
  <si>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</si>
  <si>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</si>
  <si>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</si>
  <si>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</si>
  <si>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</si>
  <si>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</si>
  <si>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</si>
  <si>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</si>
  <si>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</si>
  <si>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</si>
  <si>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</si>
  <si>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</si>
  <si>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</si>
  <si>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</si>
  <si>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</si>
  <si>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</si>
  <si>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</si>
  <si>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</si>
  <si>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</si>
  <si>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</si>
  <si>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</si>
  <si>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</si>
  <si>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</si>
  <si>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</si>
  <si>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</si>
  <si>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</si>
  <si>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</si>
  <si>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</si>
  <si>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</si>
  <si>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</si>
  <si>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</si>
  <si>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</si>
  <si>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</si>
  <si>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</si>
  <si>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</si>
  <si>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</si>
  <si>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</si>
  <si>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</si>
  <si>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</si>
  <si>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</si>
  <si>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</si>
  <si>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</si>
  <si>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</si>
  <si>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</si>
  <si>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</si>
  <si>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</si>
  <si>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</si>
  <si>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</si>
  <si>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</si>
  <si>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</si>
  <si>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</si>
  <si>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</si>
  <si>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</si>
  <si>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</si>
  <si>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</si>
  <si>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</si>
  <si>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</si>
  <si>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</si>
  <si>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</si>
  <si>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</si>
  <si>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</si>
  <si>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</si>
  <si>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</si>
  <si>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</si>
  <si>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</si>
  <si>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</si>
  <si>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</si>
  <si>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</si>
  <si>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</si>
  <si>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</si>
  <si>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</si>
  <si>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</si>
  <si>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</si>
  <si>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</si>
  <si>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</si>
  <si>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</si>
  <si>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</si>
  <si>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</si>
  <si>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</si>
  <si>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</si>
  <si>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</si>
  <si>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</si>
  <si>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</si>
  <si>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</si>
  <si>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</si>
  <si>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</si>
  <si>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</si>
  <si>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</si>
  <si>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</si>
  <si>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</si>
  <si>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</si>
  <si>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</si>
  <si>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</si>
  <si>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</si>
  <si>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</si>
  <si>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</si>
  <si>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</si>
  <si>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</si>
  <si>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</si>
  <si>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</si>
  <si>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</si>
  <si>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</si>
  <si>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</si>
  <si>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</si>
  <si>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</si>
  <si>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</si>
  <si>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</si>
  <si>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</si>
  <si>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</si>
  <si>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</si>
  <si>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</si>
  <si>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</si>
  <si>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</si>
  <si>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</si>
  <si>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</si>
  <si>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</si>
  <si>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</si>
  <si>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</si>
  <si>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</si>
  <si>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</si>
  <si>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</si>
  <si>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</si>
  <si>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</si>
  <si>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</si>
  <si>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</si>
  <si>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</si>
  <si>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</si>
  <si>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</si>
  <si>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</si>
  <si>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</si>
  <si>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</si>
  <si>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</si>
  <si>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</si>
  <si>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</si>
  <si>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</si>
  <si>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</si>
  <si>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</si>
  <si>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</si>
  <si>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</si>
  <si>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</si>
  <si>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</si>
  <si>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</si>
  <si>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</si>
  <si>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</si>
  <si>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</si>
  <si>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</si>
  <si>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</si>
  <si>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</si>
  <si>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</si>
  <si>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</si>
  <si>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</si>
  <si>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</si>
  <si>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</si>
  <si>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</si>
  <si>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</si>
  <si>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</si>
  <si>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</si>
  <si>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</si>
  <si>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</si>
  <si>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</si>
  <si>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</si>
  <si>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</si>
  <si>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</si>
  <si>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</si>
  <si>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</si>
  <si>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</si>
  <si>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</si>
  <si>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</si>
  <si>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</si>
  <si>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</si>
  <si>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</si>
  <si>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</si>
  <si>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</si>
  <si>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</si>
  <si>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</si>
  <si>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</si>
  <si>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</si>
  <si>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</si>
  <si>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</si>
  <si>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</si>
  <si>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</si>
  <si>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</si>
  <si>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</si>
  <si>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</si>
  <si>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</si>
  <si>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</si>
  <si>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</si>
  <si>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</si>
  <si>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</si>
  <si>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</si>
  <si>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</si>
  <si>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</si>
  <si>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</si>
  <si>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</si>
  <si>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</si>
  <si>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</si>
  <si>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</si>
  <si>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</si>
  <si>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</si>
  <si>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</si>
  <si>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</si>
  <si>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</si>
  <si>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</si>
  <si>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</si>
  <si>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</si>
  <si>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</si>
  <si>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</si>
  <si>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</si>
  <si>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</si>
  <si>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</si>
  <si>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</si>
  <si>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</si>
  <si>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</si>
  <si>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</si>
  <si>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</si>
  <si>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</si>
  <si>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</si>
  <si>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</si>
  <si>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</si>
  <si>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</si>
  <si>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</si>
  <si>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</si>
  <si>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</si>
  <si>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</si>
  <si>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</si>
  <si>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</si>
  <si>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</si>
  <si>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</si>
  <si>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</si>
  <si>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</si>
  <si>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</si>
  <si>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</si>
  <si>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</si>
  <si>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</si>
  <si>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</si>
  <si>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</si>
  <si>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</si>
  <si>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</si>
  <si>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</si>
  <si>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</si>
  <si>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</si>
  <si>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</si>
  <si>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</si>
  <si>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</si>
  <si>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</si>
  <si>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</si>
  <si>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</si>
  <si>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</si>
  <si>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</si>
  <si>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</si>
  <si>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</si>
  <si>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</si>
  <si>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</si>
  <si>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</si>
  <si>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</si>
  <si>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</si>
  <si>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</si>
  <si>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</si>
  <si>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</si>
  <si>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</si>
  <si>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</si>
  <si>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</si>
  <si>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</si>
  <si>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</si>
  <si>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</si>
  <si>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</si>
  <si>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</si>
  <si>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</si>
  <si>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</si>
  <si>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</si>
  <si>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</si>
  <si>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</si>
  <si>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</si>
  <si>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</si>
  <si>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</si>
  <si>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</si>
  <si>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</si>
  <si>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</si>
  <si>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</si>
  <si>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</si>
  <si>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</si>
  <si>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</si>
  <si>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</si>
  <si>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</si>
  <si>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</si>
  <si>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</si>
  <si>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</si>
  <si>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</si>
  <si>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</si>
  <si>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</si>
  <si>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</si>
  <si>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</si>
  <si>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</si>
  <si>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</si>
  <si>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</si>
  <si>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</si>
  <si>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</si>
  <si>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</si>
  <si>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</si>
  <si>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</si>
  <si>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</si>
  <si>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</si>
  <si>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</si>
  <si>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</si>
  <si>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</si>
  <si>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</si>
  <si>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</si>
  <si>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</si>
  <si>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</si>
  <si>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</si>
  <si>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</si>
  <si>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</si>
  <si>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</si>
  <si>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</si>
  <si>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</si>
  <si>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</si>
  <si>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</si>
  <si>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</si>
  <si>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</si>
  <si>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</si>
  <si>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</si>
  <si>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</si>
  <si>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</si>
  <si>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</si>
  <si>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</si>
  <si>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</si>
  <si>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</si>
  <si>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</si>
  <si>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</si>
  <si>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</si>
  <si>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</si>
  <si>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</si>
  <si>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</si>
  <si>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</si>
  <si>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</si>
  <si>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</si>
  <si>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</si>
  <si>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</si>
  <si>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</si>
  <si>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</si>
  <si>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</si>
  <si>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</si>
  <si>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</si>
  <si>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</si>
  <si>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</si>
  <si>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</si>
  <si>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</si>
  <si>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</si>
  <si>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</si>
  <si>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</si>
  <si>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</si>
  <si>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</si>
  <si>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</si>
  <si>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</si>
  <si>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</si>
  <si>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</si>
  <si>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</si>
  <si>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</si>
  <si>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</si>
  <si>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</si>
  <si>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</si>
  <si>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</si>
  <si>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</si>
  <si>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</si>
  <si>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</si>
  <si>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</si>
  <si>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</si>
  <si>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</si>
  <si>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</si>
  <si>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</si>
  <si>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</si>
  <si>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</si>
  <si>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</si>
  <si>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</si>
  <si>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</si>
  <si>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</si>
  <si>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</si>
  <si>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</si>
  <si>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</si>
  <si>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</si>
  <si>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</si>
  <si>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</si>
  <si>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</si>
  <si>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</si>
  <si>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</si>
  <si>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</si>
  <si>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</si>
  <si>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</si>
  <si>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</si>
  <si>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</si>
  <si>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</si>
  <si>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</si>
  <si>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</si>
  <si>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</si>
  <si>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</si>
  <si>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</si>
  <si>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</si>
  <si>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</si>
  <si>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</si>
  <si>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</si>
  <si>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</si>
  <si>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</si>
  <si>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</si>
  <si>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</si>
  <si>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</si>
  <si>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</si>
  <si>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</si>
  <si>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</si>
  <si>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</si>
  <si>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</si>
  <si>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</si>
  <si>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</si>
  <si>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</si>
  <si>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</si>
  <si>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</si>
  <si>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</si>
  <si>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</si>
  <si>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</si>
  <si>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</si>
  <si>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</si>
  <si>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</si>
  <si>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</si>
  <si>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</si>
  <si>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</si>
  <si>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</si>
  <si>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</si>
  <si>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</si>
  <si>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</si>
  <si>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</si>
  <si>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</si>
  <si>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</si>
  <si>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</si>
  <si>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</si>
  <si>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</si>
  <si>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</si>
  <si>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</si>
  <si>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</si>
  <si>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</si>
  <si>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</si>
  <si>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</si>
  <si>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</si>
  <si>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</si>
  <si>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</si>
  <si>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</si>
  <si>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</si>
  <si>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</si>
  <si>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</si>
  <si>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</si>
  <si>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</si>
  <si>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</si>
  <si>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</si>
  <si>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</si>
  <si>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</si>
  <si>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</si>
  <si>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</si>
  <si>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</si>
  <si>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</si>
  <si>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</si>
  <si>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</si>
  <si>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</si>
  <si>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</si>
  <si>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</si>
  <si>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</si>
  <si>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</si>
  <si>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</si>
  <si>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</si>
  <si>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</si>
  <si>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</si>
  <si>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</si>
  <si>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</si>
  <si>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</si>
  <si>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</si>
  <si>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</si>
  <si>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</si>
  <si>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</si>
  <si>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</si>
  <si>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</si>
  <si>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</si>
  <si>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</si>
  <si>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</si>
  <si>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</si>
  <si>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</si>
  <si>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</si>
  <si>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</si>
  <si>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</si>
  <si>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</si>
  <si>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</si>
  <si>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</si>
  <si>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</si>
  <si>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</si>
  <si>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</si>
  <si>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</si>
  <si>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</si>
  <si>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</si>
  <si>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</si>
  <si>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</si>
  <si>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</si>
  <si>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</si>
  <si>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</si>
  <si>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</si>
  <si>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</si>
  <si>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</si>
  <si>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</si>
  <si>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</si>
  <si>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</si>
  <si>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</si>
  <si>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</si>
  <si>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</si>
  <si>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</si>
  <si>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</si>
  <si>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</si>
  <si>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</si>
  <si>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</si>
  <si>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</si>
  <si>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</si>
  <si>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</si>
  <si>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</si>
  <si>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</si>
  <si>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</si>
  <si>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</si>
  <si>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</si>
  <si>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</si>
  <si>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</si>
  <si>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</si>
  <si>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</si>
  <si>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</si>
  <si>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</si>
  <si>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</si>
  <si>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</si>
  <si>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</si>
  <si>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</si>
  <si>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</si>
  <si>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</si>
  <si>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</si>
  <si>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</si>
  <si>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</si>
  <si>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</si>
  <si>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</si>
  <si>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</si>
  <si>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</si>
  <si>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</si>
  <si>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</si>
  <si>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</si>
  <si>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</si>
  <si>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</si>
  <si>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</si>
  <si>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</si>
  <si>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</si>
  <si>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</si>
  <si>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</si>
  <si>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</si>
  <si>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</si>
  <si>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</si>
  <si>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</si>
  <si>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</si>
  <si>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</si>
  <si>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</si>
  <si>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</si>
  <si>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</si>
  <si>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</si>
  <si>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</si>
  <si>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</si>
  <si>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</si>
  <si>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</si>
  <si>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</si>
  <si>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</si>
  <si>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</si>
  <si>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</si>
  <si>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</si>
  <si>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</si>
  <si>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</si>
  <si>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</si>
  <si>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</si>
  <si>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</si>
  <si>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</si>
  <si>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</si>
  <si>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</si>
  <si>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</si>
  <si>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</si>
  <si>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</si>
  <si>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</si>
  <si>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</si>
  <si>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</si>
  <si>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</si>
  <si>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</si>
  <si>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</si>
  <si>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</si>
  <si>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</si>
  <si>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</si>
  <si>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</si>
  <si>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</si>
  <si>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</si>
  <si>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</si>
  <si>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</si>
  <si>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</si>
  <si>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</si>
  <si>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</si>
  <si>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</si>
  <si>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</si>
  <si>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</si>
  <si>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</si>
  <si>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</si>
  <si>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</si>
  <si>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</si>
  <si>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</si>
  <si>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</si>
  <si>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</si>
  <si>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</si>
  <si>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</si>
  <si>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</si>
  <si>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</si>
  <si>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</si>
  <si>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</si>
  <si>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</si>
  <si>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</si>
  <si>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</si>
  <si>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</si>
  <si>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</si>
  <si>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</si>
  <si>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</si>
  <si>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</si>
  <si>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</si>
  <si>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</si>
  <si>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</si>
  <si>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</si>
  <si>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</si>
  <si>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</si>
  <si>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</si>
  <si>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</si>
  <si>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</si>
  <si>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</si>
  <si>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</si>
  <si>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</si>
  <si>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</si>
  <si>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</si>
  <si>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</si>
  <si>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</si>
  <si>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</si>
  <si>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</si>
  <si>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</si>
  <si>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</si>
  <si>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</si>
  <si>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</si>
  <si>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</si>
  <si>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</si>
  <si>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</si>
  <si>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</si>
  <si>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</si>
  <si>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</si>
  <si>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</si>
  <si>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</si>
  <si>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</si>
  <si>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</si>
  <si>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</si>
  <si>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</si>
  <si>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</si>
  <si>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</si>
  <si>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</si>
  <si>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</si>
  <si>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</si>
  <si>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</si>
  <si>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</si>
  <si>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</si>
  <si>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</si>
  <si>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</si>
  <si>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</si>
  <si>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</si>
  <si>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</si>
  <si>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</si>
  <si>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</si>
  <si>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</si>
  <si>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</si>
  <si>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</si>
  <si>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</si>
  <si>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</si>
  <si>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</si>
  <si>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</si>
  <si>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</si>
  <si>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</si>
  <si>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</si>
  <si>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</si>
  <si>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</si>
  <si>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</si>
  <si>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</si>
  <si>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</si>
  <si>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</si>
  <si>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</si>
  <si>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</si>
  <si>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</si>
  <si>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</si>
  <si>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</si>
  <si>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</si>
  <si>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</si>
  <si>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</si>
  <si>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</si>
  <si>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</si>
  <si>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</si>
  <si>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</si>
  <si>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</si>
  <si>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</si>
  <si>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</si>
  <si>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</si>
  <si>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</si>
  <si>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</si>
  <si>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</si>
  <si>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</si>
  <si>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</si>
  <si>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</si>
  <si>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</si>
  <si>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</si>
  <si>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</si>
  <si>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</si>
  <si>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</si>
  <si>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</si>
  <si>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</si>
  <si>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</si>
  <si>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</si>
  <si>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</si>
  <si>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</si>
  <si>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</si>
  <si>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</si>
  <si>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</si>
  <si>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</si>
  <si>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</si>
  <si>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</si>
  <si>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</si>
  <si>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</si>
  <si>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</si>
  <si>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</si>
  <si>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</si>
  <si>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</si>
  <si>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</si>
  <si>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</si>
  <si>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</si>
  <si>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</si>
  <si>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</si>
  <si>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</si>
  <si>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</si>
  <si>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</si>
  <si>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</si>
  <si>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</si>
  <si>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</si>
  <si>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</si>
  <si>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</si>
  <si>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</si>
  <si>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</si>
  <si>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</si>
  <si>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</si>
  <si>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</si>
  <si>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</si>
  <si>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</si>
  <si>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</si>
  <si>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</si>
  <si>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</si>
  <si>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</si>
  <si>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</si>
  <si>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</si>
  <si>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</si>
  <si>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</si>
  <si>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</si>
  <si>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</si>
  <si>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</si>
  <si>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</si>
  <si>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</si>
  <si>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</si>
  <si>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</si>
  <si>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</si>
  <si>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</si>
  <si>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</si>
  <si>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</si>
  <si>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</si>
  <si>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</si>
  <si>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</si>
  <si>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</si>
  <si>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</si>
  <si>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</si>
  <si>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</si>
  <si>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</si>
  <si>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</si>
  <si>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</si>
  <si>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</si>
  <si>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</si>
  <si>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</si>
  <si>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</si>
  <si>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</si>
  <si>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</si>
  <si>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</si>
  <si>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</si>
  <si>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</si>
  <si>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</si>
  <si>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</si>
  <si>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</si>
  <si>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</si>
  <si>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</si>
  <si>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</si>
  <si>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</si>
  <si>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</si>
  <si>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</si>
  <si>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</si>
  <si>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</si>
  <si>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</si>
  <si>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</si>
  <si>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</si>
  <si>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</si>
  <si>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</si>
  <si>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</si>
  <si>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</si>
  <si>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</si>
  <si>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</si>
  <si>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</si>
  <si>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</si>
  <si>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</si>
  <si>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</si>
  <si>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</si>
  <si>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</si>
  <si>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</si>
  <si>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</si>
  <si>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</si>
  <si>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</si>
  <si>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</si>
  <si>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</si>
  <si>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</si>
  <si>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</si>
  <si>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</si>
  <si>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</si>
  <si>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</si>
  <si>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</si>
  <si>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</si>
  <si>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</si>
  <si>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</si>
  <si>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</si>
  <si>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</si>
  <si>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</si>
  <si>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</si>
  <si>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</si>
  <si>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</si>
  <si>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</si>
  <si>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</si>
  <si>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</si>
  <si>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</si>
  <si>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</si>
  <si>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</si>
  <si>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</si>
  <si>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</si>
  <si>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</si>
  <si>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</si>
  <si>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</si>
  <si>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</si>
  <si>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</si>
  <si>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</si>
  <si>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</si>
  <si>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</si>
  <si>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</si>
  <si>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</si>
  <si>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</si>
  <si>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</si>
  <si>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</si>
  <si>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</si>
  <si>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</si>
  <si>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</si>
  <si>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</si>
  <si>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</si>
  <si>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</si>
  <si>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</si>
  <si>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</si>
  <si>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</si>
  <si>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</si>
  <si>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</si>
  <si>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</si>
  <si>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</si>
  <si>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</si>
  <si>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</si>
  <si>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</si>
  <si>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</si>
  <si>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</si>
  <si>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</si>
  <si>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</si>
  <si>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</si>
  <si>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</si>
  <si>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</si>
  <si>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</si>
  <si>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</si>
  <si>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</si>
  <si>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</si>
  <si>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</si>
  <si>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</si>
  <si>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</si>
  <si>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</si>
  <si>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</si>
  <si>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</si>
  <si>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</si>
  <si>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</si>
  <si>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</si>
  <si>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</si>
  <si>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</si>
  <si>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</si>
  <si>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</si>
  <si>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</si>
  <si>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</si>
  <si>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</si>
  <si>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</si>
  <si>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</si>
  <si>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</si>
  <si>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</si>
  <si>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</si>
  <si>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</si>
  <si>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</si>
  <si>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</si>
  <si>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</si>
  <si>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</si>
  <si>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</si>
  <si>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</si>
  <si>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</si>
  <si>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</si>
  <si>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</si>
  <si>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</si>
  <si>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</si>
  <si>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</si>
  <si>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</si>
  <si>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</si>
  <si>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</si>
  <si>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</si>
  <si>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</si>
  <si>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</si>
  <si>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</si>
  <si>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</si>
  <si>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</si>
  <si>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</si>
  <si>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</si>
  <si>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</si>
  <si>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</si>
  <si>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</si>
  <si>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</si>
  <si>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</si>
  <si>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</si>
  <si>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</si>
  <si>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</si>
  <si>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</si>
  <si>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</si>
  <si>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</si>
  <si>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</si>
  <si>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</si>
  <si>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</si>
  <si>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</si>
  <si>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</si>
  <si>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</si>
  <si>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</si>
  <si>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</si>
  <si>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</si>
  <si>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</si>
  <si>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</si>
  <si>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</si>
  <si>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</si>
  <si>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</si>
  <si>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</si>
  <si>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</si>
  <si>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</si>
  <si>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</si>
  <si>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</si>
  <si>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</si>
  <si>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</si>
  <si>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</si>
  <si>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</si>
  <si>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</si>
  <si>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</si>
  <si>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</si>
  <si>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</si>
  <si>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</si>
  <si>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</si>
  <si>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</si>
  <si>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</si>
  <si>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</si>
  <si>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</si>
  <si>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</si>
  <si>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</si>
  <si>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</si>
  <si>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</si>
  <si>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</si>
  <si>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</si>
  <si>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</si>
  <si>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</si>
  <si>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</si>
  <si>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</si>
  <si>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</si>
  <si>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</si>
  <si>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</si>
  <si>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</si>
  <si>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</si>
  <si>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</si>
  <si>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</si>
  <si>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</si>
  <si>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</si>
  <si>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</si>
  <si>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</si>
  <si>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</si>
  <si>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</si>
  <si>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</si>
  <si>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</si>
  <si>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</si>
  <si>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</si>
  <si>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</si>
  <si>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</si>
  <si>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</si>
  <si>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</si>
  <si>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</si>
  <si>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</si>
  <si>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</si>
  <si>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</si>
  <si>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</si>
  <si>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</si>
  <si>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</si>
  <si>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</si>
  <si>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</si>
  <si>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</si>
  <si>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</si>
  <si>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</si>
  <si>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</si>
  <si>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</si>
  <si>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</si>
  <si>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</si>
  <si>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</si>
  <si>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</si>
  <si>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</si>
  <si>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</si>
  <si>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</si>
  <si>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</si>
  <si>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</si>
  <si>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</si>
  <si>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</si>
  <si>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</si>
  <si>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</si>
  <si>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</si>
  <si>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</si>
  <si>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</si>
  <si>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</si>
  <si>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</si>
  <si>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</si>
  <si>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</si>
  <si>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</si>
  <si>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</si>
  <si>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</si>
  <si>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</si>
  <si>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</si>
  <si>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</si>
  <si>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</si>
  <si>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</si>
  <si>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</si>
  <si>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</si>
  <si>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</si>
  <si>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</si>
  <si>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</si>
  <si>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</si>
  <si>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</si>
  <si>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</si>
  <si>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</si>
  <si>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</si>
  <si>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</si>
  <si>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</si>
  <si>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</si>
  <si>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</si>
  <si>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</si>
  <si>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</si>
  <si>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</si>
  <si>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</si>
  <si>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</si>
  <si>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</si>
  <si>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</si>
  <si>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</si>
  <si>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</si>
  <si>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</si>
  <si>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</si>
  <si>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</si>
  <si>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</si>
  <si>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</si>
  <si>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</si>
  <si>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</si>
  <si>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</si>
  <si>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</si>
  <si>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</si>
  <si>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</si>
  <si>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</si>
  <si>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</si>
  <si>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</si>
  <si>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</si>
  <si>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</si>
  <si>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</si>
  <si>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</si>
  <si>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</si>
  <si>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</si>
  <si>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</si>
  <si>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</si>
  <si>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</si>
  <si>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</si>
  <si>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</si>
  <si>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</si>
  <si>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</si>
  <si>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</si>
  <si>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</si>
  <si>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</si>
  <si>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</si>
  <si>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</si>
  <si>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</si>
  <si>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</si>
  <si>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</si>
  <si>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</si>
  <si>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</si>
  <si>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</si>
  <si>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</si>
  <si>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</si>
  <si>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</si>
  <si>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</si>
  <si>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</si>
  <si>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</si>
  <si>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</si>
  <si>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</si>
  <si>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</si>
  <si>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</si>
  <si>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</si>
  <si>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</si>
  <si>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</si>
  <si>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</si>
  <si>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</si>
  <si>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</si>
  <si>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</si>
  <si>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</si>
  <si>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</si>
  <si>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</si>
  <si>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</si>
  <si>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</si>
  <si>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</si>
  <si>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</si>
  <si>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</si>
  <si>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</si>
  <si>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</si>
  <si>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</si>
  <si>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</si>
  <si>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</si>
  <si>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</si>
  <si>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</si>
  <si>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</si>
  <si>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</si>
  <si>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</si>
  <si>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</si>
  <si>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</si>
  <si>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</si>
  <si>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</si>
  <si>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</si>
  <si>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</si>
  <si>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</si>
  <si>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</si>
  <si>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</si>
  <si>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</si>
  <si>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</si>
  <si>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</si>
  <si>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</si>
  <si>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</si>
  <si>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</si>
  <si>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</si>
  <si>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</si>
  <si>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</si>
  <si>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</si>
  <si>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</si>
  <si>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</si>
  <si>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</si>
  <si>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</si>
  <si>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</si>
  <si>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</si>
  <si>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</si>
  <si>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</si>
  <si>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</si>
  <si>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</si>
  <si>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</si>
  <si>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</si>
  <si>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</si>
  <si>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</si>
  <si>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</si>
  <si>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</si>
  <si>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</si>
  <si>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</si>
  <si>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</si>
  <si>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</si>
  <si>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</si>
  <si>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</si>
  <si>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</si>
  <si>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</si>
  <si>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</si>
  <si>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</si>
  <si>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</si>
  <si>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</si>
  <si>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</si>
  <si>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</si>
  <si>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</si>
  <si>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</si>
  <si>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</si>
  <si>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</si>
  <si>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</si>
  <si>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</si>
  <si>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</si>
  <si>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</si>
  <si>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</si>
  <si>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</si>
  <si>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</si>
  <si>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</si>
  <si>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</si>
  <si>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</si>
  <si>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</si>
  <si>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</si>
  <si>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</si>
  <si>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</si>
  <si>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</si>
  <si>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</si>
  <si>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</si>
  <si>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</si>
  <si>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</si>
  <si>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</si>
  <si>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</si>
  <si>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</si>
  <si>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</si>
  <si>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</si>
  <si>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</si>
  <si>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</si>
  <si>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</si>
  <si>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</si>
  <si>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</si>
  <si>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</si>
  <si>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</si>
  <si>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</si>
  <si>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</si>
  <si>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</si>
  <si>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</si>
  <si>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</si>
  <si>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</si>
  <si>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</si>
  <si>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</si>
  <si>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</si>
  <si>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</si>
  <si>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</si>
  <si>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</si>
  <si>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</si>
  <si>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</si>
  <si>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</si>
  <si>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</si>
  <si>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</si>
  <si>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</si>
  <si>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</si>
  <si>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</si>
  <si>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</si>
  <si>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</si>
  <si>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</si>
  <si>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</si>
  <si>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</si>
  <si>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</si>
  <si>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</si>
  <si>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</si>
  <si>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</si>
  <si>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</si>
  <si>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</si>
  <si>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</si>
  <si>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</si>
  <si>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</si>
  <si>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</si>
  <si>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</si>
  <si>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</si>
  <si>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</si>
  <si>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</si>
  <si>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</si>
  <si>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</si>
  <si>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</si>
  <si>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</si>
  <si>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</si>
  <si>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</si>
  <si>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</si>
  <si>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</si>
  <si>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</si>
  <si>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</si>
  <si>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</si>
  <si>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</si>
  <si>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</si>
  <si>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</si>
  <si>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</si>
  <si>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</si>
  <si>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</si>
  <si>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</si>
  <si>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</si>
  <si>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</si>
  <si>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</si>
  <si>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</si>
  <si>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</si>
  <si>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</si>
  <si>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</si>
  <si>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</si>
  <si>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</si>
  <si>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</si>
  <si>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</si>
  <si>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</si>
  <si>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</si>
  <si>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</si>
  <si>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</si>
  <si>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</si>
  <si>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</si>
  <si>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</si>
  <si>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</si>
  <si>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</si>
  <si>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</si>
  <si>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</si>
  <si>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</si>
  <si>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</si>
  <si>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</si>
  <si>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</si>
  <si>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</si>
  <si>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</si>
  <si>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</si>
  <si>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</si>
  <si>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</si>
  <si>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</si>
  <si>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</si>
  <si>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</si>
  <si>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</si>
  <si>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</si>
  <si>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</si>
  <si>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</si>
  <si>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</si>
  <si>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</si>
  <si>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</si>
  <si>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</si>
  <si>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</si>
  <si>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</si>
  <si>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</si>
  <si>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</si>
  <si>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</si>
  <si>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</si>
  <si>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</si>
  <si>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</si>
  <si>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</si>
  <si>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</si>
  <si>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</si>
  <si>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</si>
  <si>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</si>
  <si>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</si>
  <si>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</si>
  <si>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</si>
  <si>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</si>
  <si>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</si>
  <si>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</si>
  <si>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</si>
  <si>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</si>
  <si>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</si>
  <si>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</si>
  <si>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</si>
  <si>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</si>
  <si>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</si>
  <si>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</si>
  <si>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</si>
  <si>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</si>
  <si>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</si>
  <si>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</si>
  <si>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</si>
  <si>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</si>
  <si>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</si>
  <si>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</si>
  <si>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</si>
  <si>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</si>
  <si>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</si>
  <si>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</si>
  <si>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</si>
  <si>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</si>
  <si>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</si>
  <si>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</si>
  <si>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</si>
  <si>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</si>
  <si>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</si>
  <si>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</si>
  <si>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</si>
  <si>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</si>
  <si>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</si>
  <si>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</si>
  <si>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</si>
  <si>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</si>
  <si>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</si>
  <si>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</si>
  <si>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</si>
  <si>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</si>
  <si>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</si>
  <si>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</si>
  <si>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</si>
  <si>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</si>
  <si>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</si>
  <si>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</si>
  <si>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</si>
  <si>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</si>
  <si>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</si>
  <si>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</si>
  <si>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</si>
  <si>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</si>
  <si>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</si>
  <si>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</si>
  <si>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</si>
  <si>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</si>
  <si>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</si>
  <si>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</si>
  <si>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</si>
  <si>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</si>
  <si>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</si>
  <si>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</si>
  <si>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</si>
  <si>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</si>
  <si>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</si>
  <si>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</si>
  <si>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</si>
  <si>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</si>
  <si>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</si>
  <si>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</si>
  <si>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</si>
  <si>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</si>
  <si>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</si>
  <si>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</si>
  <si>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</si>
  <si>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</si>
  <si>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</si>
  <si>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</si>
  <si>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</si>
  <si>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</si>
  <si>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</si>
  <si>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</si>
  <si>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</si>
  <si>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</si>
  <si>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</si>
  <si>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</si>
  <si>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</si>
  <si>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</si>
  <si>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</si>
  <si>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</si>
  <si>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</si>
  <si>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</si>
  <si>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</si>
  <si>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</si>
  <si>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</si>
  <si>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</si>
  <si>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</si>
  <si>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</si>
  <si>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</si>
  <si>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</si>
  <si>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</si>
  <si>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</si>
  <si>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</si>
  <si>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</si>
  <si>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</si>
  <si>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</si>
  <si>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</si>
  <si>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</si>
  <si>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</si>
  <si>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</si>
  <si>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</si>
  <si>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</si>
  <si>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</si>
  <si>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</si>
  <si>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</si>
  <si>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</si>
  <si>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</si>
  <si>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</si>
  <si>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</si>
  <si>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</si>
  <si>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</si>
  <si>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</si>
  <si>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</si>
  <si>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</si>
  <si>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</si>
  <si>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</si>
  <si>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</si>
  <si>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</si>
  <si>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</si>
  <si>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</si>
  <si>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</si>
  <si>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</si>
  <si>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</si>
  <si>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</si>
  <si>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</si>
  <si>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</si>
  <si>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</si>
  <si>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</si>
  <si>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</si>
  <si>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</si>
  <si>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</si>
  <si>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</si>
  <si>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</si>
  <si>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</si>
  <si>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</si>
  <si>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</si>
  <si>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</si>
  <si>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</si>
  <si>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</si>
  <si>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</si>
  <si>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</si>
  <si>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</si>
  <si>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</si>
  <si>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</si>
  <si>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</si>
  <si>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</si>
  <si>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</si>
  <si>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</si>
  <si>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</si>
  <si>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</si>
  <si>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</si>
  <si>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</si>
  <si>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</si>
  <si>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</si>
  <si>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</si>
  <si>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</si>
  <si>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</si>
  <si>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</si>
  <si>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</si>
  <si>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</si>
  <si>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</si>
  <si>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</si>
  <si>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</si>
  <si>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</si>
  <si>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</si>
  <si>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</si>
  <si>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</si>
  <si>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</si>
  <si>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</si>
  <si>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</si>
  <si>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</si>
  <si>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</si>
  <si>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</si>
  <si>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</si>
  <si>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</si>
  <si>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</si>
  <si>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</si>
  <si>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</si>
  <si>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</si>
  <si>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</si>
  <si>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</si>
  <si>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</si>
  <si>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</si>
  <si>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</si>
  <si>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</si>
  <si>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</si>
  <si>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</si>
  <si>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</si>
  <si>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</si>
  <si>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</si>
  <si>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</si>
  <si>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</si>
  <si>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</si>
  <si>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</si>
  <si>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</si>
  <si>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</si>
  <si>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</si>
  <si>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</si>
  <si>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</si>
  <si>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</si>
  <si>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</si>
  <si>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</si>
  <si>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</si>
  <si>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</si>
  <si>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</si>
  <si>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</si>
  <si>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</si>
  <si>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</si>
  <si>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</si>
  <si>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</si>
  <si>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</si>
  <si>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</si>
  <si>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</si>
  <si>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</si>
  <si>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</si>
  <si>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</si>
  <si>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</si>
  <si>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</si>
  <si>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</si>
  <si>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</si>
  <si>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</si>
  <si>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</si>
  <si>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</si>
  <si>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</si>
  <si>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</si>
  <si>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</si>
  <si>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</si>
  <si>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</si>
  <si>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</si>
  <si>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</si>
  <si>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</si>
  <si>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</si>
  <si>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</si>
  <si>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</si>
  <si>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</si>
  <si>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</si>
  <si>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</si>
  <si>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</si>
  <si>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</si>
  <si>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</si>
  <si>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</si>
  <si>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</si>
  <si>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</si>
  <si>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</si>
  <si>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</si>
  <si>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</si>
  <si>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</si>
  <si>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</si>
  <si>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</si>
  <si>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</si>
  <si>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</si>
  <si>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</si>
  <si>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</si>
  <si>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</si>
  <si>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</si>
  <si>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</si>
  <si>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</si>
  <si>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</si>
  <si>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</si>
  <si>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</si>
  <si>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</si>
  <si>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</si>
  <si>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</si>
  <si>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</si>
  <si>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</si>
  <si>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</si>
  <si>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</si>
  <si>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</si>
  <si>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</si>
  <si>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</si>
  <si>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</si>
  <si>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</si>
  <si>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</si>
  <si>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</si>
  <si>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</si>
  <si>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</si>
  <si>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</si>
  <si>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</si>
  <si>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</si>
  <si>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</si>
  <si>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</si>
  <si>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</si>
  <si>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</si>
  <si>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</si>
  <si>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</si>
  <si>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</si>
  <si>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</si>
  <si>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</si>
  <si>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</si>
  <si>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</si>
  <si>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</si>
  <si>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</si>
  <si>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</si>
  <si>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</si>
  <si>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</si>
  <si>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</si>
  <si>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</si>
  <si>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</si>
  <si>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</si>
  <si>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</si>
  <si>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</si>
  <si>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</si>
  <si>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</si>
  <si>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</si>
  <si>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</si>
  <si>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</si>
  <si>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</si>
  <si>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</si>
  <si>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</si>
  <si>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</si>
  <si>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</si>
  <si>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</si>
  <si>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</si>
  <si>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</si>
  <si>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</si>
  <si>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</si>
  <si>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</si>
  <si>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</si>
  <si>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</si>
  <si>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</si>
  <si>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</si>
  <si>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</si>
  <si>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</si>
  <si>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</si>
  <si>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</si>
  <si>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</si>
  <si>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</si>
  <si>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</si>
  <si>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</si>
  <si>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</si>
  <si>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</si>
  <si>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</si>
  <si>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</si>
  <si>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</si>
  <si>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</si>
  <si>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</si>
  <si>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</si>
  <si>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</si>
  <si>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</si>
  <si>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</si>
  <si>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</si>
  <si>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</si>
  <si>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</si>
  <si>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</si>
  <si>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</si>
  <si>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</si>
  <si>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</si>
  <si>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</si>
  <si>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</si>
  <si>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</si>
  <si>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</si>
  <si>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</si>
  <si>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</si>
  <si>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</si>
  <si>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</si>
  <si>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</si>
  <si>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</si>
  <si>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</si>
  <si>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</si>
  <si>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</si>
  <si>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</si>
  <si>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</si>
  <si>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</si>
  <si>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</si>
  <si>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</si>
  <si>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</si>
  <si>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</si>
  <si>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</si>
  <si>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</si>
  <si>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</si>
  <si>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</si>
  <si>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</si>
  <si>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</si>
  <si>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</si>
  <si>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</si>
  <si>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</si>
  <si>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</si>
  <si>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</si>
  <si>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</si>
  <si>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</si>
  <si>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</si>
  <si>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</si>
  <si>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</si>
  <si>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</si>
  <si>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</si>
  <si>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</si>
  <si>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</si>
  <si>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</si>
  <si>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</si>
  <si>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</si>
  <si>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</si>
  <si>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</si>
  <si>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</si>
  <si>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</si>
  <si>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</si>
  <si>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</si>
  <si>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</si>
  <si>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</si>
  <si>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</si>
  <si>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</si>
  <si>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</si>
  <si>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</si>
  <si>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</si>
  <si>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</si>
  <si>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</si>
  <si>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</si>
  <si>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</si>
  <si>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</si>
  <si>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</si>
  <si>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</si>
  <si>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</si>
  <si>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</si>
  <si>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</si>
  <si>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</si>
  <si>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</si>
  <si>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</si>
  <si>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</si>
  <si>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</si>
  <si>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</si>
  <si>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</si>
  <si>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</si>
  <si>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</si>
  <si>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</si>
  <si>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</si>
  <si>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</si>
  <si>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</si>
  <si>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</si>
  <si>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</si>
  <si>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</si>
  <si>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</si>
  <si>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</si>
  <si>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</si>
  <si>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</si>
  <si>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</si>
  <si>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</si>
  <si>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</si>
  <si>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</si>
  <si>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</si>
  <si>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</si>
  <si>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</si>
  <si>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</si>
  <si>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</si>
  <si>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</si>
  <si>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</si>
  <si>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</si>
  <si>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</si>
  <si>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</si>
  <si>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</si>
  <si>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</si>
  <si>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</si>
  <si>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</si>
  <si>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</si>
  <si>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</si>
  <si>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</si>
  <si>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</si>
  <si>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</si>
  <si>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</si>
  <si>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</si>
  <si>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</si>
  <si>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</si>
  <si>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</si>
  <si>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</si>
  <si>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</si>
  <si>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</si>
  <si>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</si>
  <si>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</si>
  <si>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</si>
  <si>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</si>
  <si>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</si>
  <si>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</si>
  <si>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</si>
  <si>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</si>
  <si>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</si>
  <si>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</si>
  <si>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</si>
  <si>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</si>
  <si>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</si>
  <si>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</si>
  <si>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</si>
  <si>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</si>
  <si>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</si>
  <si>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</si>
  <si>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</si>
  <si>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</si>
  <si>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</si>
  <si>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</si>
  <si>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</si>
  <si>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</si>
  <si>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</si>
  <si>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</si>
  <si>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</si>
  <si>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</si>
  <si>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</si>
  <si>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</si>
  <si>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</si>
  <si>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</si>
  <si>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</si>
  <si>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</si>
  <si>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</si>
  <si>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</si>
  <si>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</si>
  <si>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</si>
  <si>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</si>
  <si>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</si>
  <si>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</si>
  <si>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</si>
  <si>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</si>
  <si>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</si>
  <si>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</si>
  <si>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</si>
  <si>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</si>
  <si>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</si>
  <si>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</si>
  <si>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</si>
  <si>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</si>
  <si>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</si>
  <si>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</si>
  <si>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</si>
  <si>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</si>
  <si>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</si>
  <si>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</si>
  <si>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</si>
  <si>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</si>
  <si>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</si>
  <si>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</si>
  <si>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</si>
  <si>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</si>
  <si>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</si>
  <si>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</si>
  <si>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</si>
  <si>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</si>
  <si>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</si>
  <si>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</si>
  <si>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</si>
  <si>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</si>
  <si>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</si>
  <si>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</si>
  <si>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</si>
  <si>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</si>
  <si>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</si>
  <si>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</si>
  <si>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</si>
  <si>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</si>
  <si>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</si>
  <si>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</si>
  <si>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</si>
  <si>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</si>
  <si>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</si>
  <si>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</si>
  <si>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</si>
  <si>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</si>
  <si>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</si>
  <si>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</si>
  <si>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</si>
  <si>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</si>
  <si>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</si>
  <si>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</si>
  <si>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</si>
  <si>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</si>
  <si>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</si>
  <si>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</si>
  <si>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</si>
  <si>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</si>
  <si>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</si>
  <si>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</si>
  <si>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</si>
  <si>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</si>
  <si>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</si>
  <si>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</si>
  <si>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</si>
  <si>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</si>
  <si>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</si>
  <si>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</si>
  <si>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</si>
  <si>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</si>
  <si>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</si>
  <si>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</si>
  <si>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</si>
  <si>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</si>
  <si>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</si>
  <si>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</si>
  <si>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</si>
  <si>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</si>
  <si>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</si>
  <si>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</si>
  <si>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</si>
  <si>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</si>
  <si>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</si>
  <si>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</si>
  <si>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</si>
  <si>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</si>
  <si>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</si>
  <si>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</si>
  <si>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</si>
  <si>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</si>
  <si>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</si>
  <si>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</si>
  <si>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</si>
  <si>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</si>
  <si>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</si>
  <si>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</si>
  <si>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</si>
  <si>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</si>
  <si>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</si>
  <si>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</si>
  <si>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</si>
  <si>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</si>
  <si>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</si>
  <si>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</si>
  <si>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</si>
  <si>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</si>
  <si>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</si>
  <si>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</si>
  <si>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</si>
  <si>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</si>
  <si>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</si>
  <si>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</si>
  <si>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</si>
  <si>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</si>
  <si>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</si>
  <si>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</si>
  <si>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</si>
  <si>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</si>
  <si>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</si>
  <si>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</si>
  <si>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</si>
  <si>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</si>
  <si>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</si>
  <si>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</si>
  <si>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</si>
  <si>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</si>
  <si>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</si>
  <si>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</si>
  <si>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</si>
  <si>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</si>
  <si>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</si>
  <si>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</si>
  <si>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</si>
  <si>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</si>
  <si>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</si>
  <si>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</si>
  <si>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</si>
  <si>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</si>
  <si>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</si>
  <si>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</si>
  <si>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</si>
  <si>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</si>
  <si>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</si>
  <si>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</si>
  <si>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</si>
  <si>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</si>
  <si>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</si>
  <si>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</si>
  <si>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</si>
  <si>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</si>
  <si>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</si>
  <si>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</si>
  <si>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</si>
  <si>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</si>
  <si>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</si>
  <si>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</si>
  <si>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</si>
  <si>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</si>
  <si>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</si>
  <si>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</si>
  <si>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</si>
  <si>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</si>
  <si>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</si>
  <si>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</si>
  <si>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</si>
  <si>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</si>
  <si>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</si>
  <si>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</si>
  <si>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</si>
  <si>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</si>
  <si>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</si>
  <si>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</si>
  <si>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</si>
  <si>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</si>
  <si>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</si>
  <si>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</si>
  <si>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</si>
  <si>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</si>
  <si>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</si>
  <si>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</si>
  <si>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</si>
  <si>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</si>
  <si>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</si>
  <si>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</si>
  <si>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</si>
  <si>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</si>
  <si>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</si>
  <si>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</si>
  <si>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</si>
  <si>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</si>
  <si>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</si>
  <si>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</si>
  <si>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</si>
  <si>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</si>
  <si>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</si>
  <si>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</si>
  <si>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</si>
  <si>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</si>
  <si>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</si>
  <si>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</si>
  <si>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</si>
  <si>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</si>
  <si>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</si>
  <si>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</si>
  <si>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</si>
  <si>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</si>
  <si>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</si>
  <si>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</si>
  <si>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</si>
  <si>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</si>
  <si>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</si>
  <si>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</si>
  <si>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</si>
  <si>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</si>
  <si>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</si>
  <si>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</si>
  <si>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</si>
  <si>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</si>
  <si>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</si>
  <si>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</si>
  <si>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</si>
  <si>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</si>
  <si>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</si>
  <si>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</si>
  <si>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</si>
  <si>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</si>
  <si>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</si>
  <si>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</si>
  <si>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</si>
  <si>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</si>
  <si>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</si>
  <si>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</si>
  <si>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</si>
  <si>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</si>
  <si>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</si>
  <si>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</si>
  <si>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</si>
  <si>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</si>
  <si>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</si>
  <si>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</si>
  <si>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</si>
  <si>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</si>
  <si>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</si>
  <si>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</si>
  <si>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</si>
  <si>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</si>
  <si>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</si>
  <si>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</si>
  <si>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</si>
  <si>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</si>
  <si>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</si>
  <si>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</si>
  <si>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</si>
  <si>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</si>
  <si>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</si>
  <si>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</si>
  <si>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</si>
  <si>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</si>
  <si>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</si>
  <si>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</si>
  <si>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</si>
  <si>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</si>
  <si>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</si>
  <si>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</si>
  <si>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</si>
  <si>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</si>
  <si>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</si>
  <si>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</si>
  <si>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</si>
  <si>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</si>
  <si>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</si>
  <si>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</si>
  <si>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</si>
  <si>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</si>
  <si>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</si>
  <si>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</si>
  <si>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</si>
  <si>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</si>
  <si>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</si>
  <si>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</si>
  <si>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</si>
  <si>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</si>
  <si>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</si>
  <si>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</si>
  <si>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</si>
  <si>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</si>
  <si>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</si>
  <si>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</si>
  <si>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</si>
  <si>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</si>
  <si>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</si>
  <si>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</si>
  <si>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</si>
  <si>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</si>
  <si>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</si>
  <si>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</si>
  <si>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</si>
  <si>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</si>
  <si>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</si>
  <si>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</si>
  <si>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</si>
  <si>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</si>
  <si>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</si>
  <si>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</si>
  <si>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</si>
  <si>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</si>
  <si>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</si>
  <si>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</si>
  <si>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</si>
  <si>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</si>
  <si>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</si>
  <si>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</si>
  <si>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</si>
  <si>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</si>
  <si>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</si>
  <si>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</si>
  <si>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</si>
  <si>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</si>
  <si>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</si>
  <si>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</si>
  <si>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</si>
  <si>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</si>
  <si>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</si>
  <si>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</si>
  <si>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</si>
  <si>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</si>
  <si>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</si>
  <si>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</si>
  <si>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</si>
  <si>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</si>
  <si>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</si>
  <si>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</si>
  <si>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</si>
  <si>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</si>
  <si>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</si>
  <si>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</si>
  <si>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</si>
  <si>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</si>
  <si>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</si>
  <si>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</si>
  <si>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</si>
  <si>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</si>
  <si>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</si>
  <si>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</si>
  <si>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</si>
  <si>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</si>
  <si>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</si>
  <si>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</si>
  <si>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</si>
  <si>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</si>
  <si>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</si>
  <si>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</si>
  <si>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</si>
  <si>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</si>
  <si>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</si>
  <si>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</si>
  <si>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</si>
  <si>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</si>
  <si>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</si>
  <si>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</si>
  <si>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</si>
  <si>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</si>
  <si>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</si>
  <si>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</si>
  <si>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</si>
  <si>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</si>
  <si>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</si>
  <si>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</si>
  <si>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</si>
  <si>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</si>
  <si>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</si>
  <si>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</si>
  <si>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</si>
  <si>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</si>
  <si>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</si>
  <si>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</si>
  <si>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</si>
  <si>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</si>
  <si>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</si>
  <si>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</si>
  <si>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</si>
  <si>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</si>
  <si>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</si>
  <si>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</si>
  <si>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</si>
  <si>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</si>
  <si>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</si>
  <si>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</si>
  <si>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</si>
  <si>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</si>
  <si>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</si>
  <si>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</si>
  <si>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</si>
  <si>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</si>
  <si>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</si>
  <si>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</si>
  <si>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</si>
  <si>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</si>
  <si>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</si>
  <si>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</si>
  <si>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</si>
  <si>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</si>
  <si>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</si>
  <si>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</si>
  <si>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</si>
  <si>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</si>
  <si>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</si>
  <si>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</si>
  <si>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</si>
  <si>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</si>
  <si>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</si>
  <si>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</si>
  <si>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</si>
  <si>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</si>
  <si>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</si>
  <si>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</si>
  <si>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</si>
  <si>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</si>
  <si>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</si>
  <si>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</si>
  <si>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</si>
  <si>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</si>
  <si>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</si>
  <si>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</si>
  <si>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</si>
  <si>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</si>
  <si>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</si>
  <si>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</si>
  <si>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</si>
  <si>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</si>
  <si>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</si>
  <si>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</si>
  <si>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</si>
  <si>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</si>
  <si>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</si>
  <si>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</si>
  <si>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</si>
  <si>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</si>
  <si>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</si>
  <si>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</si>
  <si>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</si>
  <si>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</si>
  <si>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</si>
  <si>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</si>
  <si>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</si>
  <si>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</si>
  <si>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</si>
  <si>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</si>
  <si>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</si>
  <si>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</si>
  <si>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</si>
  <si>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</si>
  <si>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</si>
  <si>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</si>
  <si>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</si>
  <si>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</si>
  <si>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</si>
  <si>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</si>
  <si>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</si>
  <si>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</si>
  <si>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</si>
  <si>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</si>
  <si>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</si>
  <si>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</si>
  <si>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</si>
  <si>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</si>
  <si>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</si>
  <si>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</si>
  <si>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</si>
  <si>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</si>
  <si>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</si>
  <si>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</si>
  <si>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</si>
  <si>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</si>
  <si>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</si>
  <si>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</si>
  <si>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</si>
  <si>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</si>
  <si>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</si>
  <si>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</si>
  <si>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</si>
  <si>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</si>
  <si>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</si>
  <si>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</si>
  <si>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</si>
  <si>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</si>
  <si>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</si>
  <si>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</si>
  <si>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</si>
  <si>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</si>
  <si>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</si>
  <si>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</si>
  <si>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</si>
  <si>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</si>
  <si>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</si>
  <si>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</si>
  <si>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</si>
  <si>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</si>
  <si>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</si>
  <si>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</si>
  <si>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</si>
  <si>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</si>
  <si>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</si>
  <si>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</si>
  <si>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</si>
  <si>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</si>
  <si>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</si>
  <si>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</si>
  <si>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</si>
  <si>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</si>
  <si>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</si>
  <si>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</si>
  <si>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</si>
  <si>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</si>
  <si>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</si>
  <si>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</si>
  <si>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</si>
  <si>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</si>
  <si>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</si>
  <si>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</si>
  <si>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</si>
  <si>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</si>
  <si>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</si>
  <si>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</si>
  <si>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</si>
  <si>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</si>
  <si>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</si>
  <si>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</si>
  <si>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</si>
  <si>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</si>
  <si>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</si>
  <si>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</si>
  <si>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</si>
  <si>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</si>
  <si>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</si>
  <si>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</si>
  <si>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</si>
  <si>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</si>
  <si>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</si>
  <si>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</si>
  <si>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</si>
  <si>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</si>
  <si>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</si>
  <si>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</si>
  <si>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</si>
  <si>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</si>
  <si>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</si>
  <si>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</si>
  <si>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</si>
  <si>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</si>
  <si>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</si>
  <si>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</si>
  <si>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</si>
  <si>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</si>
  <si>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</si>
  <si>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</si>
  <si>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</si>
  <si>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</si>
  <si>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</si>
  <si>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</si>
  <si>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</si>
  <si>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</si>
  <si>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</si>
  <si>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</si>
  <si>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</si>
  <si>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</si>
  <si>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</si>
  <si>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</si>
  <si>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</si>
  <si>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</si>
  <si>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</si>
  <si>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</si>
  <si>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</si>
  <si>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</si>
  <si>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</si>
  <si>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</si>
  <si>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</si>
  <si>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</si>
  <si>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</si>
  <si>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</si>
  <si>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</si>
  <si>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</si>
  <si>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</si>
  <si>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</si>
  <si>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</si>
  <si>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</si>
  <si>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</si>
  <si>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</si>
  <si>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</si>
  <si>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</si>
  <si>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</si>
  <si>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</si>
  <si>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</si>
  <si>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</si>
  <si>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</si>
  <si>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</si>
  <si>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</si>
  <si>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</si>
  <si>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</si>
  <si>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</si>
  <si>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</si>
  <si>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</si>
  <si>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</si>
  <si>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</si>
  <si>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</si>
  <si>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</si>
  <si>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</si>
  <si>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</si>
  <si>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</si>
  <si>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</si>
  <si>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</si>
  <si>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</si>
  <si>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</si>
  <si>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</si>
  <si>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</si>
  <si>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</si>
  <si>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</si>
  <si>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</si>
  <si>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</si>
  <si>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</si>
  <si>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</si>
  <si>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</si>
  <si>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</si>
  <si>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</si>
  <si>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</si>
  <si>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</si>
  <si>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</si>
  <si>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</si>
  <si>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</si>
  <si>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</si>
  <si>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</si>
  <si>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</si>
  <si>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</si>
  <si>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</si>
  <si>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</si>
  <si>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</si>
  <si>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</si>
  <si>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</si>
  <si>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</si>
  <si>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</si>
  <si>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</si>
  <si>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</si>
  <si>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</si>
  <si>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</si>
  <si>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</si>
  <si>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</si>
  <si>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</si>
  <si>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</si>
  <si>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</si>
  <si>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</si>
  <si>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</si>
  <si>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</si>
  <si>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</si>
  <si>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</si>
  <si>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</si>
  <si>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</si>
  <si>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</si>
  <si>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</si>
  <si>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</si>
  <si>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</si>
  <si>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</si>
  <si>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</si>
  <si>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</si>
  <si>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</si>
  <si>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</si>
  <si>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</si>
  <si>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</si>
  <si>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</si>
  <si>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</si>
  <si>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</si>
  <si>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</si>
  <si>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</si>
  <si>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</si>
  <si>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</si>
  <si>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</si>
  <si>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</si>
  <si>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</si>
  <si>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</si>
  <si>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</si>
  <si>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</si>
  <si>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</si>
  <si>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</si>
  <si>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</si>
  <si>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</si>
  <si>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</si>
  <si>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</si>
  <si>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</si>
  <si>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</si>
  <si>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</si>
  <si>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</si>
  <si>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</si>
  <si>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</si>
  <si>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</si>
  <si>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</si>
  <si>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</si>
  <si>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</si>
  <si>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</si>
  <si>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</si>
  <si>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</si>
  <si>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</si>
  <si>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</si>
  <si>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</si>
  <si>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</si>
  <si>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</si>
  <si>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</si>
  <si>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</si>
  <si>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</si>
  <si>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</si>
  <si>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</si>
  <si>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</si>
  <si>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</si>
  <si>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</si>
  <si>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</si>
  <si>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</si>
  <si>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</si>
  <si>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</si>
  <si>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</si>
  <si>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</si>
  <si>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</si>
  <si>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</si>
  <si>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</si>
  <si>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</si>
  <si>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</si>
  <si>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</si>
  <si>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</si>
  <si>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</si>
  <si>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</si>
  <si>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</si>
  <si>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</si>
  <si>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</si>
  <si>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</si>
  <si>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</si>
  <si>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</si>
  <si>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</si>
  <si>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</si>
  <si>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</si>
  <si>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</si>
  <si>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</si>
  <si>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</si>
  <si>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</si>
  <si>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</si>
  <si>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</si>
  <si>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</si>
  <si>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</si>
  <si>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</si>
  <si>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</si>
  <si>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</si>
  <si>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</si>
  <si>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</si>
  <si>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</si>
  <si>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</si>
  <si>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</si>
  <si>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</si>
  <si>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</si>
  <si>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</si>
  <si>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</si>
  <si>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</si>
  <si>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</si>
  <si>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</si>
  <si>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</si>
  <si>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</si>
  <si>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</si>
  <si>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</si>
  <si>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</si>
  <si>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</si>
  <si>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</si>
  <si>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</si>
  <si>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</si>
  <si>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</si>
  <si>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</si>
  <si>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</si>
  <si>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</si>
  <si>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</si>
  <si>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</si>
  <si>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</si>
  <si>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</si>
  <si>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</si>
  <si>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</si>
  <si>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</si>
  <si>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</si>
  <si>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</si>
  <si>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</si>
  <si>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</si>
  <si>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</si>
  <si>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</si>
  <si>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</si>
  <si>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</si>
  <si>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</si>
  <si>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</si>
  <si>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</si>
  <si>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</si>
  <si>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</si>
  <si>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</si>
  <si>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</si>
  <si>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</si>
  <si>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</si>
  <si>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</si>
  <si>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</si>
  <si>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</si>
  <si>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</si>
  <si>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</si>
  <si>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</si>
  <si>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</si>
  <si>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</si>
  <si>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</si>
  <si>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</si>
  <si>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</si>
  <si>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</si>
  <si>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</si>
  <si>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</si>
  <si>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</si>
  <si>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</si>
  <si>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</si>
  <si>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</si>
  <si>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</si>
  <si>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</si>
  <si>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</si>
  <si>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</si>
  <si>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</si>
  <si>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</si>
  <si>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</si>
  <si>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</si>
  <si>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</si>
  <si>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</si>
  <si>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</si>
  <si>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</si>
  <si>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</si>
  <si>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</si>
  <si>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</si>
  <si>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</si>
  <si>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</si>
  <si>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</si>
  <si>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</si>
  <si>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</si>
  <si>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</si>
  <si>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</si>
  <si>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</si>
  <si>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</si>
  <si>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</si>
  <si>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</si>
  <si>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</si>
  <si>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</si>
  <si>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</si>
  <si>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</si>
  <si>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</si>
  <si>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</si>
  <si>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</si>
  <si>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</si>
  <si>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</si>
  <si>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</si>
  <si>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</si>
  <si>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</si>
  <si>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</si>
  <si>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</si>
  <si>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</si>
  <si>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</si>
  <si>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</si>
  <si>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</si>
  <si>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</si>
  <si>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</si>
  <si>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</si>
  <si>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</si>
  <si>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</si>
  <si>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</si>
  <si>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</si>
  <si>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</si>
  <si>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</si>
  <si>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</si>
  <si>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</si>
  <si>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</si>
  <si>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</si>
  <si>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</si>
  <si>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</si>
  <si>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</si>
  <si>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</si>
  <si>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</si>
  <si>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</si>
  <si>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</si>
  <si>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</si>
  <si>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</si>
  <si>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</si>
  <si>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</si>
  <si>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</si>
  <si>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</si>
  <si>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</si>
  <si>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</si>
  <si>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</si>
  <si>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</si>
  <si>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</si>
  <si>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</si>
  <si>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</si>
  <si>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</si>
  <si>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</si>
  <si>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</si>
  <si>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</si>
  <si>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</si>
  <si>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</si>
  <si>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</si>
  <si>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</si>
  <si>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</si>
  <si>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</si>
  <si>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</si>
  <si>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</si>
  <si>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</si>
  <si>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</si>
  <si>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</si>
  <si>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</si>
  <si>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</si>
  <si>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</si>
  <si>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</si>
  <si>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</si>
  <si>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</si>
  <si>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</si>
  <si>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</si>
  <si>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</si>
  <si>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</si>
  <si>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</si>
  <si>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</si>
  <si>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</si>
  <si>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</si>
  <si>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</si>
  <si>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</si>
  <si>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</si>
  <si>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</si>
  <si>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</si>
  <si>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</si>
  <si>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</si>
  <si>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</si>
  <si>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</si>
  <si>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</si>
  <si>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</si>
  <si>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</si>
  <si>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</si>
  <si>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</si>
  <si>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</si>
  <si>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</si>
  <si>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</si>
  <si>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</si>
  <si>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</si>
  <si>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</si>
  <si>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</si>
  <si>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</si>
  <si>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</si>
  <si>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</si>
  <si>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</si>
  <si>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</si>
  <si>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</si>
  <si>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</si>
  <si>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</si>
  <si>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</si>
  <si>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</si>
  <si>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</si>
  <si>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</si>
  <si>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</si>
  <si>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</si>
  <si>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</si>
  <si>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</si>
  <si>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</si>
  <si>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</si>
  <si>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</si>
  <si>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</si>
  <si>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</si>
  <si>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</si>
  <si>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</si>
  <si>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</si>
  <si>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</si>
  <si>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</si>
  <si>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</si>
  <si>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</si>
  <si>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</si>
  <si>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</si>
  <si>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</si>
  <si>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</si>
  <si>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</si>
  <si>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</si>
  <si>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</si>
  <si>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</si>
  <si>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</si>
  <si>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</si>
  <si>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</si>
  <si>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</si>
  <si>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</si>
  <si>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</si>
  <si>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</si>
  <si>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</si>
  <si>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</si>
  <si>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</si>
  <si>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</si>
  <si>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</si>
  <si>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</si>
  <si>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</si>
  <si>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tactrai</t>
  </si>
  <si>
    <t>chanhkhonghat</t>
  </si>
  <si>
    <t>pon</t>
  </si>
  <si>
    <t>chanhday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</si>
</sst>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6" sqref="F6"/>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4086</v>
      </c>
    </row>
    <row r="2" spans="1:11" ht="14.4" customHeight="1">
      <c r="A2" s="2" t="s">
        <v>4084</v>
      </c>
      <c r="B2" s="1" t="str">
        <f>VLOOKUP(A2,'CODE NOTE'!A:B,2,0)</f>
        <v>I100216</v>
      </c>
      <c r="C2" s="1"/>
      <c r="D2" s="1" t="str">
        <f>VLOOKUP(A2,'CODE NOTE'!A:C,3,0)</f>
        <v>Tắc trái</v>
      </c>
      <c r="E2" s="1" t="str">
        <f>VLOOKUP(A2,'CODE NOTE'!D:E,2,0)</f>
        <v>Kg</v>
      </c>
      <c r="F2" s="90">
        <v>1</v>
      </c>
      <c r="G2" s="90"/>
      <c r="H2" s="13">
        <f>VLOOKUP(A2,'CODE NOTE'!D:F,3,0)</f>
        <v>0</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4087</v>
      </c>
      <c r="B3" s="1" t="str">
        <f>VLOOKUP(A3,'CODE NOTE'!A:B,2,0)</f>
        <v>I100474</v>
      </c>
      <c r="C3" s="1"/>
      <c r="D3" s="1" t="str">
        <f>VLOOKUP(A3,'CODE NOTE'!A:C,3,0)</f>
        <v>Chanh Dây</v>
      </c>
      <c r="E3" s="1" t="str">
        <f>VLOOKUP(A3,'CODE NOTE'!D:E,2,0)</f>
        <v>Kg</v>
      </c>
      <c r="F3" s="90">
        <v>2</v>
      </c>
      <c r="G3" s="90"/>
      <c r="H3" s="13" t="str">
        <f>VLOOKUP(A3,'CODE NOTE'!D:F,3,0)</f>
        <v>1 trái = 0.1kg</v>
      </c>
      <c r="I3" s="106"/>
      <c r="J3" s="93" t="s">
        <v>1865</v>
      </c>
      <c r="K3" t="s">
        <v>3796</v>
      </c>
    </row>
    <row r="4" spans="1:11">
      <c r="A4" s="2" t="s">
        <v>4085</v>
      </c>
      <c r="B4" s="1" t="str">
        <f>VLOOKUP(A4,'CODE NOTE'!A:B,2,0)</f>
        <v>I100060</v>
      </c>
      <c r="C4" s="1"/>
      <c r="D4" s="1" t="str">
        <f>VLOOKUP(A4,'CODE NOTE'!A:C,3,0)</f>
        <v>Chanh ko hạt</v>
      </c>
      <c r="E4" s="1" t="str">
        <f>VLOOKUP(A4,'CODE NOTE'!D:E,2,0)</f>
        <v>Kg</v>
      </c>
      <c r="F4" s="90">
        <v>1</v>
      </c>
      <c r="G4" s="90"/>
      <c r="H4" s="13" t="str">
        <f>VLOOKUP(A4,'CODE NOTE'!D:F,3,0)</f>
        <v>0.06-0.1kg/quả</v>
      </c>
      <c r="I4" s="106"/>
      <c r="J4" s="93" t="s">
        <v>519</v>
      </c>
      <c r="K4" t="s">
        <v>3797</v>
      </c>
    </row>
    <row r="5" spans="1:11">
      <c r="A5" s="2" t="s">
        <v>3638</v>
      </c>
      <c r="B5" s="1" t="str">
        <f>VLOOKUP(A5,'CODE NOTE'!A:B,2,0)</f>
        <v>I100167</v>
      </c>
      <c r="C5" s="1"/>
      <c r="D5" s="1" t="str">
        <f>VLOOKUP(A5,'CODE NOTE'!A:C,3,0)</f>
        <v>Ớt hiểm đỏ</v>
      </c>
      <c r="E5" s="1" t="str">
        <f>VLOOKUP(A5,'CODE NOTE'!D:E,2,0)</f>
        <v>Kg</v>
      </c>
      <c r="F5" s="90">
        <v>1</v>
      </c>
      <c r="G5" s="90"/>
      <c r="H5" s="13" t="str">
        <f>VLOOKUP(A5,'CODE NOTE'!D:F,3,0)</f>
        <v>50g/gói</v>
      </c>
      <c r="I5" s="106"/>
      <c r="J5" s="93" t="s">
        <v>1660</v>
      </c>
      <c r="K5" t="s">
        <v>3798</v>
      </c>
    </row>
    <row r="6" spans="1:11">
      <c r="B6" s="1"/>
      <c r="C6" s="1"/>
      <c r="D6" s="1"/>
      <c r="E6" s="1"/>
      <c r="F6" s="90"/>
      <c r="G6" s="90"/>
      <c r="H6" s="13" t="e">
        <f>VLOOKUP(A6,'CODE NOTE'!D:F,3,0)</f>
        <v>#N/A</v>
      </c>
      <c r="I6" s="106"/>
      <c r="J6" s="93" t="s">
        <v>3799</v>
      </c>
      <c r="K6" t="s">
        <v>3800</v>
      </c>
    </row>
    <row r="7" spans="1:11">
      <c r="B7" s="1"/>
      <c r="C7" s="1"/>
      <c r="D7" s="1"/>
      <c r="E7" s="1"/>
      <c r="F7" s="90"/>
      <c r="G7" s="90"/>
      <c r="H7" s="13" t="e">
        <f>VLOOKUP(A7,'CODE NOTE'!D:F,3,0)</f>
        <v>#N/A</v>
      </c>
      <c r="I7" s="106"/>
      <c r="J7" s="93" t="s">
        <v>258</v>
      </c>
      <c r="K7" t="s">
        <v>3795</v>
      </c>
    </row>
    <row r="8" spans="1:11">
      <c r="B8" s="1"/>
      <c r="C8" s="1"/>
      <c r="D8" s="1"/>
      <c r="E8" s="1"/>
      <c r="F8" s="90"/>
      <c r="G8" s="90"/>
      <c r="H8" s="13" t="e">
        <f>VLOOKUP(A8,'CODE NOTE'!D:F,3,0)</f>
        <v>#N/A</v>
      </c>
      <c r="I8" s="106"/>
      <c r="J8" s="93" t="s">
        <v>3814</v>
      </c>
    </row>
    <row r="9" spans="1:11">
      <c r="B9" s="1"/>
      <c r="C9" s="1"/>
      <c r="D9" s="1"/>
      <c r="E9" s="1"/>
      <c r="F9" s="90"/>
      <c r="G9" s="90"/>
      <c r="H9" s="13" t="e">
        <f>VLOOKUP(A9,'CODE NOTE'!D:F,3,0)</f>
        <v>#N/A</v>
      </c>
      <c r="I9" s="106"/>
      <c r="J9" s="93" t="s">
        <v>350</v>
      </c>
      <c r="K9" t="s">
        <v>3825</v>
      </c>
    </row>
    <row r="10" spans="1:11" ht="15.6" customHeight="1">
      <c r="B10" s="1"/>
      <c r="C10" s="1"/>
      <c r="D10" s="1"/>
      <c r="E10" s="1"/>
      <c r="F10" s="90"/>
      <c r="G10" s="90"/>
      <c r="H10" s="13" t="e">
        <f>VLOOKUP(A10,'CODE NOTE'!D:F,3,0)</f>
        <v>#N/A</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F16" s="90"/>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c r="J19" s="98" t="s">
        <v>3829</v>
      </c>
      <c r="K19" s="99"/>
    </row>
    <row r="20" spans="2:12">
      <c r="B20" s="1"/>
      <c r="C20" s="1"/>
      <c r="D20" s="1"/>
      <c r="E20" s="1"/>
      <c r="F20" s="90"/>
      <c r="G20" s="90"/>
      <c r="H20" s="13" t="e">
        <f>VLOOKUP(A20,'CODE NOTE'!D:F,3,0)</f>
        <v>#N/A</v>
      </c>
      <c r="I20" s="106"/>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H23" s="13" t="e">
        <f>VLOOKUP(A23,'CODE NOTE'!D:F,3,0)</f>
        <v>#N/A</v>
      </c>
      <c r="I23" s="106"/>
    </row>
    <row r="24" spans="2:12">
      <c r="B24" s="1"/>
      <c r="C24" s="1"/>
      <c r="D24" s="1"/>
      <c r="E24" s="1"/>
      <c r="F24" s="90"/>
      <c r="H24" s="13" t="e">
        <f>VLOOKUP(A24,'CODE NOTE'!D:F,3,0)</f>
        <v>#N/A</v>
      </c>
      <c r="I24" s="106"/>
    </row>
    <row r="25" spans="2:12">
      <c r="B25" s="1"/>
      <c r="C25" s="1"/>
      <c r="D25" s="1"/>
      <c r="E25" s="1"/>
      <c r="H25" s="13" t="e">
        <f>VLOOKUP(A25,'CODE NOTE'!D:F,3,0)</f>
        <v>#N/A</v>
      </c>
      <c r="I25" s="106"/>
    </row>
    <row r="26" spans="2:12">
      <c r="B26" s="1"/>
      <c r="C26" s="1"/>
      <c r="D26" s="1"/>
      <c r="E26" s="1"/>
      <c r="H26" s="13" t="e">
        <f>VLOOKUP(A26,'CODE NOTE'!D:F,3,0)</f>
        <v>#N/A</v>
      </c>
      <c r="I26" s="106"/>
    </row>
    <row r="27" spans="2:12" ht="14.4" customHeight="1">
      <c r="B27" s="1"/>
      <c r="C27" s="1"/>
      <c r="D27" s="1"/>
      <c r="E27" s="1"/>
      <c r="H27" s="13" t="e">
        <f>VLOOKUP(A27,'CODE NOTE'!D:F,3,0)</f>
        <v>#N/A</v>
      </c>
      <c r="I27" s="106"/>
    </row>
    <row r="28" spans="2:12">
      <c r="B28" s="1"/>
      <c r="C28" s="1"/>
      <c r="D28" s="1"/>
      <c r="E28" s="1"/>
      <c r="H28" s="13" t="e">
        <f>VLOOKUP(A28,'CODE NOTE'!D:F,3,0)</f>
        <v>#N/A</v>
      </c>
      <c r="I28" s="106"/>
      <c r="J28" s="15" t="s">
        <v>3006</v>
      </c>
      <c r="K28" s="14" t="s">
        <v>3067</v>
      </c>
      <c r="L28" s="14" t="s">
        <v>1511</v>
      </c>
    </row>
    <row r="29" spans="2:12">
      <c r="B29" s="1"/>
      <c r="C29" s="1"/>
      <c r="D29" s="1"/>
      <c r="E29" s="1"/>
      <c r="H29" s="13" t="e">
        <f>VLOOKUP(A29,'CODE NOTE'!D:F,3,0)</f>
        <v>#N/A</v>
      </c>
      <c r="I29" s="106"/>
      <c r="J29" s="15" t="s">
        <v>2990</v>
      </c>
      <c r="K29" s="14" t="s">
        <v>2903</v>
      </c>
      <c r="L29" s="14" t="s">
        <v>568</v>
      </c>
    </row>
    <row r="30" spans="2:12">
      <c r="B30" s="1"/>
      <c r="C30" s="1"/>
      <c r="D30" s="1"/>
      <c r="E30" s="1"/>
      <c r="H30" s="13" t="e">
        <f>VLOOKUP(A30,'CODE NOTE'!D:F,3,0)</f>
        <v>#N/A</v>
      </c>
      <c r="I30" s="106"/>
      <c r="J30" s="15" t="s">
        <v>3008</v>
      </c>
      <c r="K30" s="14" t="s">
        <v>1438</v>
      </c>
      <c r="L30" s="14" t="s">
        <v>1436</v>
      </c>
    </row>
    <row r="31" spans="2:12" ht="14.4" customHeight="1">
      <c r="B31" s="1"/>
      <c r="C31" s="1"/>
      <c r="D31" s="1"/>
      <c r="E31" s="1"/>
      <c r="H31" s="13" t="e">
        <f>VLOOKUP(A31,'CODE NOTE'!D:F,3,0)</f>
        <v>#N/A</v>
      </c>
      <c r="I31" s="106"/>
      <c r="J31" s="15" t="s">
        <v>3013</v>
      </c>
      <c r="K31" s="14" t="s">
        <v>3069</v>
      </c>
      <c r="L31" s="14" t="s">
        <v>500</v>
      </c>
    </row>
    <row r="32" spans="2: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2025-04-11T16:21:00Z</dcterms:modified>
</cp:coreProperties>
</file>