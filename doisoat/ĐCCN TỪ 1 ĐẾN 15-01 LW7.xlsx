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Như Thủy\3. KHO\3. CN NCC\TRẦN GIA\THÁNG 01\"/>
    </mc:Choice>
  </mc:AlternateContent>
  <bookViews>
    <workbookView xWindow="0" yWindow="0" windowWidth="28800" windowHeight="12330"/>
  </bookViews>
  <sheets>
    <sheet name="LW13" sheetId="1" r:id="rId1"/>
    <sheet name="FAST" sheetId="5" r:id="rId2"/>
    <sheet name="Sheet1" sheetId="3" r:id="rId3"/>
    <sheet name="titan" sheetId="6" state="hidden" r:id="rId4"/>
    <sheet name="Sheet4" sheetId="7" state="hidden" r:id="rId5"/>
  </sheets>
  <externalReferences>
    <externalReference r:id="rId6"/>
  </externalReferences>
  <definedNames>
    <definedName name="_xlnm._FilterDatabase" localSheetId="1" hidden="1">FAST!$A$6:$W$6</definedName>
    <definedName name="_xlnm._FilterDatabase" localSheetId="0" hidden="1">'LW13'!$A$14:$AD$482</definedName>
    <definedName name="_xlnm._FilterDatabase" localSheetId="2" hidden="1">Sheet1!$A$1:$F$144</definedName>
    <definedName name="_xlnm._FilterDatabase" localSheetId="4" hidden="1">Sheet4!$A$6:$W$6</definedName>
    <definedName name="_xlnm._FilterDatabase" localSheetId="3" hidden="1">titan!$B$14:$AE$118</definedName>
  </definedNames>
  <calcPr calcId="162913"/>
</workbook>
</file>

<file path=xl/calcChain.xml><?xml version="1.0" encoding="utf-8"?>
<calcChain xmlns="http://schemas.openxmlformats.org/spreadsheetml/2006/main">
  <c r="A206" i="5" l="1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U216" i="1"/>
  <c r="V216" i="1" s="1"/>
  <c r="U217" i="1"/>
  <c r="U218" i="1"/>
  <c r="V218" i="1" s="1"/>
  <c r="U219" i="1"/>
  <c r="V219" i="1" s="1"/>
  <c r="W219" i="1"/>
  <c r="U220" i="1"/>
  <c r="W220" i="1" s="1"/>
  <c r="U221" i="1"/>
  <c r="U222" i="1"/>
  <c r="V222" i="1" s="1"/>
  <c r="U223" i="1"/>
  <c r="V223" i="1" s="1"/>
  <c r="U224" i="1"/>
  <c r="V224" i="1" s="1"/>
  <c r="U225" i="1"/>
  <c r="V225" i="1" s="1"/>
  <c r="U226" i="1"/>
  <c r="W226" i="1" s="1"/>
  <c r="U227" i="1"/>
  <c r="W227" i="1" s="1"/>
  <c r="U228" i="1"/>
  <c r="U229" i="1"/>
  <c r="V229" i="1" s="1"/>
  <c r="U230" i="1"/>
  <c r="V230" i="1" s="1"/>
  <c r="U231" i="1"/>
  <c r="V231" i="1" s="1"/>
  <c r="U232" i="1"/>
  <c r="W232" i="1" s="1"/>
  <c r="U233" i="1"/>
  <c r="W233" i="1" s="1"/>
  <c r="U234" i="1"/>
  <c r="U235" i="1"/>
  <c r="U236" i="1"/>
  <c r="V236" i="1" s="1"/>
  <c r="U237" i="1"/>
  <c r="U238" i="1"/>
  <c r="V238" i="1" s="1"/>
  <c r="U239" i="1"/>
  <c r="U240" i="1"/>
  <c r="U241" i="1"/>
  <c r="V241" i="1" s="1"/>
  <c r="U242" i="1"/>
  <c r="V242" i="1" s="1"/>
  <c r="U243" i="1"/>
  <c r="V243" i="1" s="1"/>
  <c r="U244" i="1"/>
  <c r="W244" i="1" s="1"/>
  <c r="U245" i="1"/>
  <c r="W245" i="1" s="1"/>
  <c r="U246" i="1"/>
  <c r="W246" i="1" s="1"/>
  <c r="U247" i="1"/>
  <c r="U248" i="1"/>
  <c r="V248" i="1" s="1"/>
  <c r="U249" i="1"/>
  <c r="V249" i="1" s="1"/>
  <c r="U250" i="1"/>
  <c r="U251" i="1"/>
  <c r="V251" i="1" s="1"/>
  <c r="U252" i="1"/>
  <c r="U253" i="1"/>
  <c r="V253" i="1" s="1"/>
  <c r="U254" i="1"/>
  <c r="V254" i="1" s="1"/>
  <c r="U255" i="1"/>
  <c r="V255" i="1" s="1"/>
  <c r="U256" i="1"/>
  <c r="W256" i="1" s="1"/>
  <c r="U257" i="1"/>
  <c r="W257" i="1" s="1"/>
  <c r="U258" i="1"/>
  <c r="W258" i="1" s="1"/>
  <c r="U259" i="1"/>
  <c r="V259" i="1" s="1"/>
  <c r="U260" i="1"/>
  <c r="U261" i="1"/>
  <c r="V261" i="1" s="1"/>
  <c r="U262" i="1"/>
  <c r="U263" i="1"/>
  <c r="U264" i="1"/>
  <c r="V264" i="1" s="1"/>
  <c r="U265" i="1"/>
  <c r="U266" i="1"/>
  <c r="W266" i="1" s="1"/>
  <c r="U267" i="1"/>
  <c r="U268" i="1"/>
  <c r="W268" i="1" s="1"/>
  <c r="U269" i="1"/>
  <c r="U270" i="1"/>
  <c r="V270" i="1" s="1"/>
  <c r="U271" i="1"/>
  <c r="U272" i="1"/>
  <c r="V272" i="1" s="1"/>
  <c r="U273" i="1"/>
  <c r="U274" i="1"/>
  <c r="W274" i="1" s="1"/>
  <c r="U275" i="1"/>
  <c r="W275" i="1" s="1"/>
  <c r="U276" i="1"/>
  <c r="U277" i="1"/>
  <c r="V277" i="1" s="1"/>
  <c r="U278" i="1"/>
  <c r="U279" i="1"/>
  <c r="U280" i="1"/>
  <c r="V280" i="1" s="1"/>
  <c r="U281" i="1"/>
  <c r="W281" i="1" s="1"/>
  <c r="U282" i="1"/>
  <c r="U283" i="1"/>
  <c r="V283" i="1" s="1"/>
  <c r="U284" i="1"/>
  <c r="U285" i="1"/>
  <c r="V285" i="1" s="1"/>
  <c r="U286" i="1"/>
  <c r="V286" i="1" s="1"/>
  <c r="U287" i="1"/>
  <c r="V287" i="1" s="1"/>
  <c r="U288" i="1"/>
  <c r="V288" i="1" s="1"/>
  <c r="U289" i="1"/>
  <c r="V289" i="1" s="1"/>
  <c r="U290" i="1"/>
  <c r="V290" i="1" s="1"/>
  <c r="U291" i="1"/>
  <c r="U292" i="1"/>
  <c r="V292" i="1" s="1"/>
  <c r="U293" i="1"/>
  <c r="V293" i="1" s="1"/>
  <c r="U294" i="1"/>
  <c r="W294" i="1" s="1"/>
  <c r="U295" i="1"/>
  <c r="V295" i="1" s="1"/>
  <c r="U296" i="1"/>
  <c r="W296" i="1" s="1"/>
  <c r="U297" i="1"/>
  <c r="V297" i="1" s="1"/>
  <c r="U298" i="1"/>
  <c r="V298" i="1" s="1"/>
  <c r="U299" i="1"/>
  <c r="V299" i="1" s="1"/>
  <c r="U300" i="1"/>
  <c r="V300" i="1" s="1"/>
  <c r="U301" i="1"/>
  <c r="U302" i="1"/>
  <c r="V302" i="1" s="1"/>
  <c r="U303" i="1"/>
  <c r="V303" i="1" s="1"/>
  <c r="U304" i="1"/>
  <c r="U305" i="1"/>
  <c r="V305" i="1" s="1"/>
  <c r="U306" i="1"/>
  <c r="V306" i="1" s="1"/>
  <c r="U307" i="1"/>
  <c r="W307" i="1" s="1"/>
  <c r="U308" i="1"/>
  <c r="U309" i="1"/>
  <c r="V309" i="1" s="1"/>
  <c r="U310" i="1"/>
  <c r="V310" i="1" s="1"/>
  <c r="U311" i="1"/>
  <c r="W311" i="1" s="1"/>
  <c r="U312" i="1"/>
  <c r="U313" i="1"/>
  <c r="U314" i="1"/>
  <c r="W314" i="1" s="1"/>
  <c r="U315" i="1"/>
  <c r="V315" i="1" s="1"/>
  <c r="U316" i="1"/>
  <c r="V316" i="1" s="1"/>
  <c r="U317" i="1"/>
  <c r="V317" i="1" s="1"/>
  <c r="U318" i="1"/>
  <c r="W318" i="1" s="1"/>
  <c r="U319" i="1"/>
  <c r="V319" i="1" s="1"/>
  <c r="U320" i="1"/>
  <c r="U321" i="1"/>
  <c r="V321" i="1" s="1"/>
  <c r="U322" i="1"/>
  <c r="U323" i="1"/>
  <c r="V323" i="1" s="1"/>
  <c r="U324" i="1"/>
  <c r="W324" i="1" s="1"/>
  <c r="U325" i="1"/>
  <c r="U326" i="1"/>
  <c r="U327" i="1"/>
  <c r="W327" i="1" s="1"/>
  <c r="U328" i="1"/>
  <c r="W328" i="1" s="1"/>
  <c r="U329" i="1"/>
  <c r="V329" i="1" s="1"/>
  <c r="U330" i="1"/>
  <c r="U331" i="1"/>
  <c r="V331" i="1" s="1"/>
  <c r="U332" i="1"/>
  <c r="W332" i="1" s="1"/>
  <c r="U333" i="1"/>
  <c r="W333" i="1" s="1"/>
  <c r="U334" i="1"/>
  <c r="W334" i="1" s="1"/>
  <c r="U335" i="1"/>
  <c r="V335" i="1" s="1"/>
  <c r="U336" i="1"/>
  <c r="U337" i="1"/>
  <c r="U338" i="1"/>
  <c r="U339" i="1"/>
  <c r="W339" i="1" s="1"/>
  <c r="U340" i="1"/>
  <c r="W340" i="1" s="1"/>
  <c r="U341" i="1"/>
  <c r="V341" i="1" s="1"/>
  <c r="U342" i="1"/>
  <c r="U343" i="1"/>
  <c r="U344" i="1"/>
  <c r="U345" i="1"/>
  <c r="W345" i="1" s="1"/>
  <c r="U346" i="1"/>
  <c r="V346" i="1" s="1"/>
  <c r="U347" i="1"/>
  <c r="V347" i="1" s="1"/>
  <c r="U348" i="1"/>
  <c r="U349" i="1"/>
  <c r="V349" i="1" s="1"/>
  <c r="U350" i="1"/>
  <c r="W350" i="1" s="1"/>
  <c r="U351" i="1"/>
  <c r="W351" i="1" s="1"/>
  <c r="U352" i="1"/>
  <c r="V352" i="1" s="1"/>
  <c r="U353" i="1"/>
  <c r="W353" i="1" s="1"/>
  <c r="U354" i="1"/>
  <c r="U355" i="1"/>
  <c r="U356" i="1"/>
  <c r="W356" i="1" s="1"/>
  <c r="U357" i="1"/>
  <c r="U358" i="1"/>
  <c r="U359" i="1"/>
  <c r="V359" i="1" s="1"/>
  <c r="U360" i="1"/>
  <c r="V360" i="1" s="1"/>
  <c r="U361" i="1"/>
  <c r="V361" i="1" s="1"/>
  <c r="U362" i="1"/>
  <c r="U363" i="1"/>
  <c r="V363" i="1" s="1"/>
  <c r="U364" i="1"/>
  <c r="V364" i="1" s="1"/>
  <c r="U365" i="1"/>
  <c r="V365" i="1" s="1"/>
  <c r="U366" i="1"/>
  <c r="W366" i="1" s="1"/>
  <c r="U367" i="1"/>
  <c r="V367" i="1" s="1"/>
  <c r="U368" i="1"/>
  <c r="W368" i="1" s="1"/>
  <c r="U369" i="1"/>
  <c r="W369" i="1" s="1"/>
  <c r="U370" i="1"/>
  <c r="V370" i="1" s="1"/>
  <c r="U371" i="1"/>
  <c r="W371" i="1" s="1"/>
  <c r="U372" i="1"/>
  <c r="W372" i="1" s="1"/>
  <c r="U373" i="1"/>
  <c r="U374" i="1"/>
  <c r="V374" i="1" s="1"/>
  <c r="U375" i="1"/>
  <c r="V375" i="1" s="1"/>
  <c r="U376" i="1"/>
  <c r="V376" i="1" s="1"/>
  <c r="U377" i="1"/>
  <c r="V377" i="1" s="1"/>
  <c r="U378" i="1"/>
  <c r="V378" i="1" s="1"/>
  <c r="U379" i="1"/>
  <c r="W379" i="1" s="1"/>
  <c r="U380" i="1"/>
  <c r="W380" i="1" s="1"/>
  <c r="U381" i="1"/>
  <c r="V381" i="1" s="1"/>
  <c r="U382" i="1"/>
  <c r="V382" i="1" s="1"/>
  <c r="U383" i="1"/>
  <c r="V383" i="1" s="1"/>
  <c r="U384" i="1"/>
  <c r="U385" i="1"/>
  <c r="V385" i="1" s="1"/>
  <c r="U386" i="1"/>
  <c r="V386" i="1" s="1"/>
  <c r="U387" i="1"/>
  <c r="V387" i="1" s="1"/>
  <c r="U388" i="1"/>
  <c r="V388" i="1" s="1"/>
  <c r="U389" i="1"/>
  <c r="W389" i="1" s="1"/>
  <c r="U390" i="1"/>
  <c r="U391" i="1"/>
  <c r="W391" i="1" s="1"/>
  <c r="U392" i="1"/>
  <c r="W392" i="1" s="1"/>
  <c r="U393" i="1"/>
  <c r="V393" i="1" s="1"/>
  <c r="U394" i="1"/>
  <c r="U395" i="1"/>
  <c r="V395" i="1" s="1"/>
  <c r="U396" i="1"/>
  <c r="V396" i="1" s="1"/>
  <c r="U397" i="1"/>
  <c r="W397" i="1" s="1"/>
  <c r="U398" i="1"/>
  <c r="V398" i="1" s="1"/>
  <c r="U399" i="1"/>
  <c r="V399" i="1" s="1"/>
  <c r="U400" i="1"/>
  <c r="U401" i="1"/>
  <c r="V401" i="1" s="1"/>
  <c r="U402" i="1"/>
  <c r="W402" i="1" s="1"/>
  <c r="U403" i="1"/>
  <c r="W403" i="1" s="1"/>
  <c r="U404" i="1"/>
  <c r="V404" i="1" s="1"/>
  <c r="U405" i="1"/>
  <c r="W405" i="1" s="1"/>
  <c r="U406" i="1"/>
  <c r="V406" i="1" s="1"/>
  <c r="U407" i="1"/>
  <c r="W407" i="1" s="1"/>
  <c r="U408" i="1"/>
  <c r="V408" i="1" s="1"/>
  <c r="U409" i="1"/>
  <c r="W409" i="1" s="1"/>
  <c r="U410" i="1"/>
  <c r="W410" i="1" s="1"/>
  <c r="U411" i="1"/>
  <c r="W411" i="1" s="1"/>
  <c r="U412" i="1"/>
  <c r="V412" i="1" s="1"/>
  <c r="U413" i="1"/>
  <c r="W413" i="1" s="1"/>
  <c r="U414" i="1"/>
  <c r="W414" i="1" s="1"/>
  <c r="U415" i="1"/>
  <c r="V415" i="1" s="1"/>
  <c r="U416" i="1"/>
  <c r="W416" i="1" s="1"/>
  <c r="U417" i="1"/>
  <c r="U418" i="1"/>
  <c r="V418" i="1" s="1"/>
  <c r="U419" i="1"/>
  <c r="V419" i="1" s="1"/>
  <c r="U420" i="1"/>
  <c r="V420" i="1" s="1"/>
  <c r="U421" i="1"/>
  <c r="V421" i="1" s="1"/>
  <c r="U422" i="1"/>
  <c r="W422" i="1" s="1"/>
  <c r="U423" i="1"/>
  <c r="W423" i="1" s="1"/>
  <c r="U424" i="1"/>
  <c r="V424" i="1" s="1"/>
  <c r="U425" i="1"/>
  <c r="V425" i="1" s="1"/>
  <c r="U426" i="1"/>
  <c r="W426" i="1" s="1"/>
  <c r="U427" i="1"/>
  <c r="V427" i="1" s="1"/>
  <c r="U428" i="1"/>
  <c r="W428" i="1" s="1"/>
  <c r="U429" i="1"/>
  <c r="V429" i="1" s="1"/>
  <c r="U430" i="1"/>
  <c r="V430" i="1" s="1"/>
  <c r="U431" i="1"/>
  <c r="V431" i="1" s="1"/>
  <c r="U432" i="1"/>
  <c r="W432" i="1" s="1"/>
  <c r="U433" i="1"/>
  <c r="U434" i="1"/>
  <c r="W434" i="1" s="1"/>
  <c r="U435" i="1"/>
  <c r="W435" i="1" s="1"/>
  <c r="U436" i="1"/>
  <c r="V436" i="1" s="1"/>
  <c r="U437" i="1"/>
  <c r="V437" i="1" s="1"/>
  <c r="U438" i="1"/>
  <c r="V438" i="1" s="1"/>
  <c r="U439" i="1"/>
  <c r="V439" i="1" s="1"/>
  <c r="U440" i="1"/>
  <c r="U441" i="1"/>
  <c r="V441" i="1" s="1"/>
  <c r="U442" i="1"/>
  <c r="V442" i="1" s="1"/>
  <c r="U443" i="1"/>
  <c r="W443" i="1" s="1"/>
  <c r="U444" i="1"/>
  <c r="V444" i="1" s="1"/>
  <c r="U445" i="1"/>
  <c r="U446" i="1"/>
  <c r="V446" i="1" s="1"/>
  <c r="U447" i="1"/>
  <c r="W447" i="1" s="1"/>
  <c r="U448" i="1"/>
  <c r="V448" i="1" s="1"/>
  <c r="U449" i="1"/>
  <c r="V449" i="1" s="1"/>
  <c r="U450" i="1"/>
  <c r="U451" i="1"/>
  <c r="V451" i="1" s="1"/>
  <c r="U452" i="1"/>
  <c r="U453" i="1"/>
  <c r="V453" i="1" s="1"/>
  <c r="U454" i="1"/>
  <c r="V454" i="1" s="1"/>
  <c r="U455" i="1"/>
  <c r="V455" i="1" s="1"/>
  <c r="U456" i="1"/>
  <c r="V456" i="1" s="1"/>
  <c r="U457" i="1"/>
  <c r="V457" i="1" s="1"/>
  <c r="U458" i="1"/>
  <c r="W458" i="1" s="1"/>
  <c r="U459" i="1"/>
  <c r="W459" i="1" s="1"/>
  <c r="U460" i="1"/>
  <c r="V460" i="1" s="1"/>
  <c r="W393" i="1" l="1"/>
  <c r="W408" i="1"/>
  <c r="W218" i="1"/>
  <c r="W341" i="1"/>
  <c r="V256" i="1"/>
  <c r="W429" i="1"/>
  <c r="V389" i="1"/>
  <c r="W231" i="1"/>
  <c r="V428" i="1"/>
  <c r="V328" i="1"/>
  <c r="W223" i="1"/>
  <c r="W222" i="1"/>
  <c r="V458" i="1"/>
  <c r="V356" i="1"/>
  <c r="W398" i="1"/>
  <c r="W460" i="1"/>
  <c r="W321" i="1"/>
  <c r="W299" i="1"/>
  <c r="V459" i="1"/>
  <c r="W437" i="1"/>
  <c r="W406" i="1"/>
  <c r="V351" i="1"/>
  <c r="V274" i="1"/>
  <c r="W241" i="1"/>
  <c r="W412" i="1"/>
  <c r="V294" i="1"/>
  <c r="W272" i="1"/>
  <c r="V391" i="1"/>
  <c r="W300" i="1"/>
  <c r="W216" i="1"/>
  <c r="W449" i="1"/>
  <c r="W382" i="1"/>
  <c r="W374" i="1"/>
  <c r="V334" i="1"/>
  <c r="W315" i="1"/>
  <c r="W254" i="1"/>
  <c r="W243" i="1"/>
  <c r="V332" i="1"/>
  <c r="W455" i="1"/>
  <c r="V311" i="1"/>
  <c r="V434" i="1"/>
  <c r="W377" i="1"/>
  <c r="V350" i="1"/>
  <c r="W290" i="1"/>
  <c r="V368" i="1"/>
  <c r="W319" i="1"/>
  <c r="W375" i="1"/>
  <c r="W431" i="1"/>
  <c r="V392" i="1"/>
  <c r="V366" i="1"/>
  <c r="V275" i="1"/>
  <c r="W457" i="1"/>
  <c r="W444" i="1"/>
  <c r="W451" i="1"/>
  <c r="V411" i="1"/>
  <c r="V405" i="1"/>
  <c r="W381" i="1"/>
  <c r="V333" i="1"/>
  <c r="V318" i="1"/>
  <c r="V220" i="1"/>
  <c r="W419" i="1"/>
  <c r="W283" i="1"/>
  <c r="V245" i="1"/>
  <c r="V410" i="1"/>
  <c r="W404" i="1"/>
  <c r="V380" i="1"/>
  <c r="W365" i="1"/>
  <c r="V340" i="1"/>
  <c r="W323" i="1"/>
  <c r="W316" i="1"/>
  <c r="V244" i="1"/>
  <c r="V226" i="1"/>
  <c r="V403" i="1"/>
  <c r="V379" i="1"/>
  <c r="V372" i="1"/>
  <c r="W289" i="1"/>
  <c r="V281" i="1"/>
  <c r="W448" i="1"/>
  <c r="W424" i="1"/>
  <c r="V402" i="1"/>
  <c r="V353" i="1"/>
  <c r="W346" i="1"/>
  <c r="W329" i="1"/>
  <c r="V296" i="1"/>
  <c r="V233" i="1"/>
  <c r="W287" i="1"/>
  <c r="W242" i="1"/>
  <c r="W453" i="1"/>
  <c r="W438" i="1"/>
  <c r="V423" i="1"/>
  <c r="V407" i="1"/>
  <c r="W383" i="1"/>
  <c r="W352" i="1"/>
  <c r="V345" i="1"/>
  <c r="W302" i="1"/>
  <c r="W270" i="1"/>
  <c r="W439" i="1"/>
  <c r="W427" i="1"/>
  <c r="V422" i="1"/>
  <c r="V416" i="1"/>
  <c r="V397" i="1"/>
  <c r="W376" i="1"/>
  <c r="V371" i="1"/>
  <c r="V324" i="1"/>
  <c r="V314" i="1"/>
  <c r="W293" i="1"/>
  <c r="W280" i="1"/>
  <c r="V266" i="1"/>
  <c r="V258" i="1"/>
  <c r="W253" i="1"/>
  <c r="V246" i="1"/>
  <c r="W292" i="1"/>
  <c r="V257" i="1"/>
  <c r="W425" i="1"/>
  <c r="W420" i="1"/>
  <c r="W349" i="1"/>
  <c r="W335" i="1"/>
  <c r="W317" i="1"/>
  <c r="W264" i="1"/>
  <c r="W251" i="1"/>
  <c r="W238" i="1"/>
  <c r="V232" i="1"/>
  <c r="V413" i="1"/>
  <c r="W387" i="1"/>
  <c r="W364" i="1"/>
  <c r="W303" i="1"/>
  <c r="W297" i="1"/>
  <c r="W285" i="1"/>
  <c r="W277" i="1"/>
  <c r="W225" i="1"/>
  <c r="W441" i="1"/>
  <c r="W399" i="1"/>
  <c r="W385" i="1"/>
  <c r="W367" i="1"/>
  <c r="W347" i="1"/>
  <c r="W310" i="1"/>
  <c r="W255" i="1"/>
  <c r="W236" i="1"/>
  <c r="W230" i="1"/>
  <c r="W454" i="1"/>
  <c r="V327" i="1"/>
  <c r="W295" i="1"/>
  <c r="V268" i="1"/>
  <c r="W261" i="1"/>
  <c r="W248" i="1"/>
  <c r="W229" i="1"/>
  <c r="V447" i="1"/>
  <c r="V450" i="1"/>
  <c r="W450" i="1"/>
  <c r="V440" i="1"/>
  <c r="W440" i="1"/>
  <c r="W417" i="1"/>
  <c r="V417" i="1"/>
  <c r="V384" i="1"/>
  <c r="W384" i="1"/>
  <c r="V452" i="1"/>
  <c r="W452" i="1"/>
  <c r="W442" i="1"/>
  <c r="V362" i="1"/>
  <c r="W362" i="1"/>
  <c r="V433" i="1"/>
  <c r="W433" i="1"/>
  <c r="V445" i="1"/>
  <c r="W445" i="1"/>
  <c r="V426" i="1"/>
  <c r="V432" i="1"/>
  <c r="V409" i="1"/>
  <c r="V435" i="1"/>
  <c r="W446" i="1"/>
  <c r="W415" i="1"/>
  <c r="W395" i="1"/>
  <c r="V443" i="1"/>
  <c r="W436" i="1"/>
  <c r="W430" i="1"/>
  <c r="W421" i="1"/>
  <c r="W418" i="1"/>
  <c r="W388" i="1"/>
  <c r="W386" i="1"/>
  <c r="W370" i="1"/>
  <c r="W360" i="1"/>
  <c r="V358" i="1"/>
  <c r="W358" i="1"/>
  <c r="W355" i="1"/>
  <c r="V355" i="1"/>
  <c r="V348" i="1"/>
  <c r="W348" i="1"/>
  <c r="V326" i="1"/>
  <c r="W326" i="1"/>
  <c r="W338" i="1"/>
  <c r="V338" i="1"/>
  <c r="W308" i="1"/>
  <c r="V308" i="1"/>
  <c r="W320" i="1"/>
  <c r="V320" i="1"/>
  <c r="V357" i="1"/>
  <c r="W357" i="1"/>
  <c r="W378" i="1"/>
  <c r="W373" i="1"/>
  <c r="V373" i="1"/>
  <c r="V330" i="1"/>
  <c r="W330" i="1"/>
  <c r="W456" i="1"/>
  <c r="W401" i="1"/>
  <c r="W396" i="1"/>
  <c r="V414" i="1"/>
  <c r="V369" i="1"/>
  <c r="W354" i="1"/>
  <c r="V354" i="1"/>
  <c r="W342" i="1"/>
  <c r="V342" i="1"/>
  <c r="W322" i="1"/>
  <c r="V322" i="1"/>
  <c r="W305" i="1"/>
  <c r="W344" i="1"/>
  <c r="V344" i="1"/>
  <c r="W390" i="1"/>
  <c r="V390" i="1"/>
  <c r="V336" i="1"/>
  <c r="W336" i="1"/>
  <c r="V282" i="1"/>
  <c r="W282" i="1"/>
  <c r="V269" i="1"/>
  <c r="W269" i="1"/>
  <c r="V394" i="1"/>
  <c r="W394" i="1"/>
  <c r="W363" i="1"/>
  <c r="W361" i="1"/>
  <c r="W359" i="1"/>
  <c r="V343" i="1"/>
  <c r="W343" i="1"/>
  <c r="V339" i="1"/>
  <c r="V337" i="1"/>
  <c r="W337" i="1"/>
  <c r="W331" i="1"/>
  <c r="V307" i="1"/>
  <c r="W298" i="1"/>
  <c r="V273" i="1"/>
  <c r="W273" i="1"/>
  <c r="V301" i="1"/>
  <c r="W301" i="1"/>
  <c r="W262" i="1"/>
  <c r="V262" i="1"/>
  <c r="V400" i="1"/>
  <c r="W400" i="1"/>
  <c r="W306" i="1"/>
  <c r="V291" i="1"/>
  <c r="W291" i="1"/>
  <c r="V312" i="1"/>
  <c r="W312" i="1"/>
  <c r="W260" i="1"/>
  <c r="V260" i="1"/>
  <c r="V271" i="1"/>
  <c r="W271" i="1"/>
  <c r="V279" i="1"/>
  <c r="W279" i="1"/>
  <c r="W309" i="1"/>
  <c r="W304" i="1"/>
  <c r="V304" i="1"/>
  <c r="V278" i="1"/>
  <c r="W278" i="1"/>
  <c r="V267" i="1"/>
  <c r="W267" i="1"/>
  <c r="V313" i="1"/>
  <c r="W313" i="1"/>
  <c r="W234" i="1"/>
  <c r="V234" i="1"/>
  <c r="V276" i="1"/>
  <c r="W276" i="1"/>
  <c r="V247" i="1"/>
  <c r="W247" i="1"/>
  <c r="W239" i="1"/>
  <c r="V239" i="1"/>
  <c r="V235" i="1"/>
  <c r="W235" i="1"/>
  <c r="W252" i="1"/>
  <c r="V252" i="1"/>
  <c r="W288" i="1"/>
  <c r="W286" i="1"/>
  <c r="V284" i="1"/>
  <c r="W284" i="1"/>
  <c r="W263" i="1"/>
  <c r="V263" i="1"/>
  <c r="W249" i="1"/>
  <c r="V237" i="1"/>
  <c r="W237" i="1"/>
  <c r="V325" i="1"/>
  <c r="W325" i="1"/>
  <c r="V265" i="1"/>
  <c r="W265" i="1"/>
  <c r="V228" i="1"/>
  <c r="W228" i="1"/>
  <c r="W259" i="1"/>
  <c r="W240" i="1"/>
  <c r="V240" i="1"/>
  <c r="W250" i="1"/>
  <c r="V250" i="1"/>
  <c r="V227" i="1"/>
  <c r="W221" i="1"/>
  <c r="V221" i="1"/>
  <c r="W224" i="1"/>
  <c r="W217" i="1"/>
  <c r="V217" i="1"/>
  <c r="U148" i="1" l="1"/>
  <c r="O5" i="5" l="1"/>
  <c r="P5" i="5"/>
  <c r="M5" i="5"/>
  <c r="L13" i="1"/>
  <c r="U16" i="1" l="1"/>
  <c r="U17" i="1"/>
  <c r="W17" i="1" s="1"/>
  <c r="U18" i="1"/>
  <c r="U19" i="1"/>
  <c r="U20" i="1"/>
  <c r="U21" i="1"/>
  <c r="W21" i="1" s="1"/>
  <c r="U22" i="1"/>
  <c r="U23" i="1"/>
  <c r="U24" i="1"/>
  <c r="U25" i="1"/>
  <c r="W25" i="1" s="1"/>
  <c r="U26" i="1"/>
  <c r="U27" i="1"/>
  <c r="U28" i="1"/>
  <c r="U29" i="1"/>
  <c r="W29" i="1" s="1"/>
  <c r="U30" i="1"/>
  <c r="W30" i="1" s="1"/>
  <c r="U31" i="1"/>
  <c r="U32" i="1"/>
  <c r="W32" i="1" s="1"/>
  <c r="U33" i="1"/>
  <c r="W33" i="1" s="1"/>
  <c r="U34" i="1"/>
  <c r="W34" i="1" s="1"/>
  <c r="U35" i="1"/>
  <c r="W35" i="1" s="1"/>
  <c r="U36" i="1"/>
  <c r="W36" i="1" s="1"/>
  <c r="U37" i="1"/>
  <c r="W37" i="1" s="1"/>
  <c r="U38" i="1"/>
  <c r="W38" i="1" s="1"/>
  <c r="U39" i="1"/>
  <c r="W39" i="1" s="1"/>
  <c r="U40" i="1"/>
  <c r="W40" i="1" s="1"/>
  <c r="U41" i="1"/>
  <c r="W41" i="1" s="1"/>
  <c r="U42" i="1"/>
  <c r="W42" i="1" s="1"/>
  <c r="U43" i="1"/>
  <c r="W43" i="1" s="1"/>
  <c r="U44" i="1"/>
  <c r="W44" i="1" s="1"/>
  <c r="U45" i="1"/>
  <c r="W45" i="1" s="1"/>
  <c r="U46" i="1"/>
  <c r="W46" i="1" s="1"/>
  <c r="U47" i="1"/>
  <c r="W47" i="1" s="1"/>
  <c r="U48" i="1"/>
  <c r="W48" i="1" s="1"/>
  <c r="U49" i="1"/>
  <c r="W49" i="1" s="1"/>
  <c r="U50" i="1"/>
  <c r="W50" i="1" s="1"/>
  <c r="U51" i="1"/>
  <c r="W51" i="1" s="1"/>
  <c r="U52" i="1"/>
  <c r="W52" i="1" s="1"/>
  <c r="U53" i="1"/>
  <c r="W53" i="1" s="1"/>
  <c r="U54" i="1"/>
  <c r="W54" i="1" s="1"/>
  <c r="U55" i="1"/>
  <c r="W55" i="1" s="1"/>
  <c r="U56" i="1"/>
  <c r="W56" i="1" s="1"/>
  <c r="U57" i="1"/>
  <c r="W57" i="1" s="1"/>
  <c r="U58" i="1"/>
  <c r="W58" i="1" s="1"/>
  <c r="U59" i="1"/>
  <c r="W59" i="1" s="1"/>
  <c r="U60" i="1"/>
  <c r="W60" i="1" s="1"/>
  <c r="U61" i="1"/>
  <c r="W61" i="1" s="1"/>
  <c r="U62" i="1"/>
  <c r="W62" i="1" s="1"/>
  <c r="U63" i="1"/>
  <c r="W63" i="1" s="1"/>
  <c r="U64" i="1"/>
  <c r="W64" i="1" s="1"/>
  <c r="U65" i="1"/>
  <c r="W65" i="1" s="1"/>
  <c r="U66" i="1"/>
  <c r="W66" i="1" s="1"/>
  <c r="U67" i="1"/>
  <c r="W67" i="1" s="1"/>
  <c r="U68" i="1"/>
  <c r="W68" i="1" s="1"/>
  <c r="U69" i="1"/>
  <c r="W69" i="1" s="1"/>
  <c r="U70" i="1"/>
  <c r="W70" i="1" s="1"/>
  <c r="U71" i="1"/>
  <c r="W71" i="1" s="1"/>
  <c r="U72" i="1"/>
  <c r="W72" i="1" s="1"/>
  <c r="U73" i="1"/>
  <c r="W73" i="1" s="1"/>
  <c r="U74" i="1"/>
  <c r="W74" i="1" s="1"/>
  <c r="U75" i="1"/>
  <c r="W75" i="1" s="1"/>
  <c r="U76" i="1"/>
  <c r="W76" i="1" s="1"/>
  <c r="U77" i="1"/>
  <c r="W77" i="1" s="1"/>
  <c r="U78" i="1"/>
  <c r="W78" i="1" s="1"/>
  <c r="U79" i="1"/>
  <c r="W79" i="1" s="1"/>
  <c r="U80" i="1"/>
  <c r="W80" i="1" s="1"/>
  <c r="U81" i="1"/>
  <c r="W81" i="1" s="1"/>
  <c r="U82" i="1"/>
  <c r="W82" i="1" s="1"/>
  <c r="U83" i="1"/>
  <c r="W83" i="1" s="1"/>
  <c r="U84" i="1"/>
  <c r="W84" i="1" s="1"/>
  <c r="U85" i="1"/>
  <c r="W85" i="1" s="1"/>
  <c r="U86" i="1"/>
  <c r="W86" i="1" s="1"/>
  <c r="U87" i="1"/>
  <c r="W87" i="1" s="1"/>
  <c r="U88" i="1"/>
  <c r="W88" i="1" s="1"/>
  <c r="U89" i="1"/>
  <c r="W89" i="1" s="1"/>
  <c r="U90" i="1"/>
  <c r="W90" i="1" s="1"/>
  <c r="U91" i="1"/>
  <c r="W91" i="1" s="1"/>
  <c r="U92" i="1"/>
  <c r="W92" i="1" s="1"/>
  <c r="U93" i="1"/>
  <c r="W93" i="1" s="1"/>
  <c r="U94" i="1"/>
  <c r="W94" i="1" s="1"/>
  <c r="U95" i="1"/>
  <c r="W95" i="1" s="1"/>
  <c r="U96" i="1"/>
  <c r="W96" i="1" s="1"/>
  <c r="U97" i="1"/>
  <c r="W97" i="1" s="1"/>
  <c r="U98" i="1"/>
  <c r="W98" i="1" s="1"/>
  <c r="U99" i="1"/>
  <c r="W99" i="1" s="1"/>
  <c r="U100" i="1"/>
  <c r="W100" i="1" s="1"/>
  <c r="U101" i="1"/>
  <c r="W101" i="1" s="1"/>
  <c r="U102" i="1"/>
  <c r="W102" i="1" s="1"/>
  <c r="U103" i="1"/>
  <c r="W103" i="1" s="1"/>
  <c r="U104" i="1"/>
  <c r="W104" i="1" s="1"/>
  <c r="U105" i="1"/>
  <c r="W105" i="1" s="1"/>
  <c r="U106" i="1"/>
  <c r="W106" i="1" s="1"/>
  <c r="U107" i="1"/>
  <c r="W107" i="1" s="1"/>
  <c r="U108" i="1"/>
  <c r="W108" i="1" s="1"/>
  <c r="U109" i="1"/>
  <c r="W109" i="1" s="1"/>
  <c r="U110" i="1"/>
  <c r="W110" i="1" s="1"/>
  <c r="U111" i="1"/>
  <c r="W111" i="1" s="1"/>
  <c r="U112" i="1"/>
  <c r="W112" i="1" s="1"/>
  <c r="U113" i="1"/>
  <c r="W113" i="1" s="1"/>
  <c r="U114" i="1"/>
  <c r="W114" i="1" s="1"/>
  <c r="U115" i="1"/>
  <c r="W115" i="1" s="1"/>
  <c r="U116" i="1"/>
  <c r="W116" i="1" s="1"/>
  <c r="U117" i="1"/>
  <c r="W117" i="1" s="1"/>
  <c r="U118" i="1"/>
  <c r="W118" i="1" s="1"/>
  <c r="U119" i="1"/>
  <c r="W119" i="1" s="1"/>
  <c r="U120" i="1"/>
  <c r="W120" i="1" s="1"/>
  <c r="U121" i="1"/>
  <c r="W121" i="1" s="1"/>
  <c r="U122" i="1"/>
  <c r="W122" i="1" s="1"/>
  <c r="U123" i="1"/>
  <c r="W123" i="1" s="1"/>
  <c r="U124" i="1"/>
  <c r="W124" i="1" s="1"/>
  <c r="U125" i="1"/>
  <c r="W125" i="1" s="1"/>
  <c r="U126" i="1"/>
  <c r="W126" i="1" s="1"/>
  <c r="U127" i="1"/>
  <c r="W127" i="1" s="1"/>
  <c r="U128" i="1"/>
  <c r="U129" i="1"/>
  <c r="W129" i="1" s="1"/>
  <c r="U130" i="1"/>
  <c r="W130" i="1" s="1"/>
  <c r="U131" i="1"/>
  <c r="W131" i="1" s="1"/>
  <c r="U132" i="1"/>
  <c r="W132" i="1" s="1"/>
  <c r="U133" i="1"/>
  <c r="U134" i="1"/>
  <c r="W134" i="1" s="1"/>
  <c r="U135" i="1"/>
  <c r="W135" i="1" s="1"/>
  <c r="U136" i="1"/>
  <c r="W136" i="1" s="1"/>
  <c r="U137" i="1"/>
  <c r="W137" i="1" s="1"/>
  <c r="U138" i="1"/>
  <c r="W138" i="1" s="1"/>
  <c r="U139" i="1"/>
  <c r="W139" i="1" s="1"/>
  <c r="U140" i="1"/>
  <c r="U141" i="1"/>
  <c r="U142" i="1"/>
  <c r="W142" i="1" s="1"/>
  <c r="U143" i="1"/>
  <c r="W143" i="1" s="1"/>
  <c r="U144" i="1"/>
  <c r="U145" i="1"/>
  <c r="U146" i="1"/>
  <c r="W146" i="1" s="1"/>
  <c r="U147" i="1"/>
  <c r="W147" i="1" s="1"/>
  <c r="U149" i="1"/>
  <c r="U150" i="1"/>
  <c r="W150" i="1" s="1"/>
  <c r="U151" i="1"/>
  <c r="W151" i="1" s="1"/>
  <c r="U152" i="1"/>
  <c r="W152" i="1" s="1"/>
  <c r="U153" i="1"/>
  <c r="U154" i="1"/>
  <c r="U155" i="1"/>
  <c r="W155" i="1" s="1"/>
  <c r="U156" i="1"/>
  <c r="U157" i="1"/>
  <c r="W157" i="1" s="1"/>
  <c r="U158" i="1"/>
  <c r="W158" i="1" s="1"/>
  <c r="U159" i="1"/>
  <c r="W159" i="1" s="1"/>
  <c r="U160" i="1"/>
  <c r="W160" i="1" s="1"/>
  <c r="U161" i="1"/>
  <c r="W161" i="1" s="1"/>
  <c r="U162" i="1"/>
  <c r="W162" i="1" s="1"/>
  <c r="U163" i="1"/>
  <c r="W163" i="1" s="1"/>
  <c r="U164" i="1"/>
  <c r="U165" i="1"/>
  <c r="U166" i="1"/>
  <c r="W166" i="1" s="1"/>
  <c r="U167" i="1"/>
  <c r="W167" i="1" s="1"/>
  <c r="U168" i="1"/>
  <c r="W168" i="1" s="1"/>
  <c r="U169" i="1"/>
  <c r="U170" i="1"/>
  <c r="U171" i="1"/>
  <c r="W171" i="1" s="1"/>
  <c r="U172" i="1"/>
  <c r="W172" i="1" s="1"/>
  <c r="U173" i="1"/>
  <c r="U174" i="1"/>
  <c r="W174" i="1" s="1"/>
  <c r="U175" i="1"/>
  <c r="W175" i="1" s="1"/>
  <c r="U176" i="1"/>
  <c r="W176" i="1" s="1"/>
  <c r="U177" i="1"/>
  <c r="W177" i="1" s="1"/>
  <c r="U178" i="1"/>
  <c r="W178" i="1" s="1"/>
  <c r="U179" i="1"/>
  <c r="W179" i="1" s="1"/>
  <c r="U180" i="1"/>
  <c r="U181" i="1"/>
  <c r="U182" i="1"/>
  <c r="W182" i="1" s="1"/>
  <c r="U183" i="1"/>
  <c r="W183" i="1" s="1"/>
  <c r="U184" i="1"/>
  <c r="U185" i="1"/>
  <c r="W185" i="1" s="1"/>
  <c r="U186" i="1"/>
  <c r="W186" i="1" s="1"/>
  <c r="U187" i="1"/>
  <c r="W187" i="1" s="1"/>
  <c r="U188" i="1"/>
  <c r="U189" i="1"/>
  <c r="U190" i="1"/>
  <c r="W190" i="1" s="1"/>
  <c r="U191" i="1"/>
  <c r="W191" i="1" s="1"/>
  <c r="U192" i="1"/>
  <c r="W192" i="1" s="1"/>
  <c r="U193" i="1"/>
  <c r="U194" i="1"/>
  <c r="W194" i="1" s="1"/>
  <c r="U195" i="1"/>
  <c r="W195" i="1" s="1"/>
  <c r="U196" i="1"/>
  <c r="W196" i="1" s="1"/>
  <c r="U197" i="1"/>
  <c r="U198" i="1"/>
  <c r="W198" i="1" s="1"/>
  <c r="U199" i="1"/>
  <c r="W199" i="1" s="1"/>
  <c r="U200" i="1"/>
  <c r="W200" i="1" s="1"/>
  <c r="U201" i="1"/>
  <c r="U202" i="1"/>
  <c r="W202" i="1" s="1"/>
  <c r="U203" i="1"/>
  <c r="W203" i="1" s="1"/>
  <c r="U204" i="1"/>
  <c r="U205" i="1"/>
  <c r="W205" i="1" s="1"/>
  <c r="U206" i="1"/>
  <c r="W206" i="1" s="1"/>
  <c r="U207" i="1"/>
  <c r="W207" i="1" s="1"/>
  <c r="U208" i="1"/>
  <c r="U209" i="1"/>
  <c r="W209" i="1" s="1"/>
  <c r="U210" i="1"/>
  <c r="U211" i="1"/>
  <c r="U212" i="1"/>
  <c r="U213" i="1"/>
  <c r="U214" i="1"/>
  <c r="W214" i="1" s="1"/>
  <c r="U215" i="1"/>
  <c r="W215" i="1" s="1"/>
  <c r="W170" i="1" l="1"/>
  <c r="W26" i="1"/>
  <c r="W193" i="1"/>
  <c r="W181" i="1"/>
  <c r="W169" i="1"/>
  <c r="W145" i="1"/>
  <c r="W133" i="1"/>
  <c r="W204" i="1"/>
  <c r="W180" i="1"/>
  <c r="W156" i="1"/>
  <c r="W144" i="1"/>
  <c r="W24" i="1"/>
  <c r="W208" i="1"/>
  <c r="W148" i="1"/>
  <c r="W23" i="1"/>
  <c r="W16" i="1"/>
  <c r="W154" i="1"/>
  <c r="W22" i="1"/>
  <c r="W28" i="1"/>
  <c r="W213" i="1"/>
  <c r="W201" i="1"/>
  <c r="W189" i="1"/>
  <c r="W165" i="1"/>
  <c r="W153" i="1"/>
  <c r="W141" i="1"/>
  <c r="W184" i="1"/>
  <c r="W27" i="1"/>
  <c r="W212" i="1"/>
  <c r="W188" i="1"/>
  <c r="W164" i="1"/>
  <c r="W140" i="1"/>
  <c r="W128" i="1"/>
  <c r="W20" i="1"/>
  <c r="W211" i="1"/>
  <c r="W31" i="1"/>
  <c r="W19" i="1"/>
  <c r="W18" i="1"/>
  <c r="W210" i="1"/>
  <c r="W197" i="1"/>
  <c r="W173" i="1"/>
  <c r="W149" i="1"/>
  <c r="AA8" i="1"/>
  <c r="N13" i="1" l="1"/>
  <c r="C101" i="6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81" i="6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55" i="6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37" i="6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16" i="6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V64" i="6" s="1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V107" i="6" s="1"/>
  <c r="U108" i="6"/>
  <c r="U109" i="6"/>
  <c r="U110" i="6"/>
  <c r="U111" i="6"/>
  <c r="U112" i="6"/>
  <c r="U113" i="6"/>
  <c r="U114" i="6"/>
  <c r="U115" i="6"/>
  <c r="U116" i="6"/>
  <c r="U117" i="6"/>
  <c r="U118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W93" i="6" l="1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7" i="7"/>
  <c r="B7" i="7" s="1"/>
  <c r="L13" i="6"/>
  <c r="E111" i="6"/>
  <c r="E112" i="6" s="1"/>
  <c r="E113" i="6" s="1"/>
  <c r="E114" i="6" s="1"/>
  <c r="E115" i="6" s="1"/>
  <c r="E116" i="6" s="1"/>
  <c r="E117" i="6" s="1"/>
  <c r="E118" i="6" s="1"/>
  <c r="D111" i="6"/>
  <c r="D112" i="6" s="1"/>
  <c r="D113" i="6" s="1"/>
  <c r="D114" i="6" s="1"/>
  <c r="D115" i="6" s="1"/>
  <c r="D116" i="6" s="1"/>
  <c r="D117" i="6" s="1"/>
  <c r="D118" i="6" s="1"/>
  <c r="E102" i="6"/>
  <c r="E103" i="6" s="1"/>
  <c r="E104" i="6" s="1"/>
  <c r="E105" i="6" s="1"/>
  <c r="E106" i="6" s="1"/>
  <c r="E107" i="6" s="1"/>
  <c r="E108" i="6" s="1"/>
  <c r="E109" i="6" s="1"/>
  <c r="D102" i="6"/>
  <c r="D103" i="6" s="1"/>
  <c r="D104" i="6" s="1"/>
  <c r="D105" i="6" s="1"/>
  <c r="D106" i="6" s="1"/>
  <c r="D107" i="6" s="1"/>
  <c r="D108" i="6" s="1"/>
  <c r="D109" i="6" s="1"/>
  <c r="E93" i="6"/>
  <c r="E94" i="6" s="1"/>
  <c r="E95" i="6" s="1"/>
  <c r="E96" i="6" s="1"/>
  <c r="E97" i="6" s="1"/>
  <c r="E98" i="6" s="1"/>
  <c r="E99" i="6" s="1"/>
  <c r="E100" i="6" s="1"/>
  <c r="D93" i="6"/>
  <c r="D94" i="6" s="1"/>
  <c r="D95" i="6" s="1"/>
  <c r="D96" i="6" s="1"/>
  <c r="D97" i="6" s="1"/>
  <c r="D98" i="6" s="1"/>
  <c r="D99" i="6" s="1"/>
  <c r="D100" i="6" s="1"/>
  <c r="E70" i="6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D70" i="6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E46" i="6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D46" i="6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E16" i="6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D16" i="6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W45" i="6"/>
  <c r="W69" i="6"/>
  <c r="W102" i="6"/>
  <c r="B8" i="7" l="1"/>
  <c r="B108" i="7"/>
  <c r="N13" i="6"/>
  <c r="B60" i="7"/>
  <c r="B18" i="7"/>
  <c r="B17" i="7"/>
  <c r="B65" i="7"/>
  <c r="B12" i="7"/>
  <c r="B96" i="7"/>
  <c r="B84" i="7"/>
  <c r="B72" i="7"/>
  <c r="B48" i="7"/>
  <c r="B36" i="7"/>
  <c r="B24" i="7"/>
  <c r="B42" i="7"/>
  <c r="B102" i="7"/>
  <c r="B54" i="7"/>
  <c r="B101" i="7"/>
  <c r="B53" i="7"/>
  <c r="B19" i="7"/>
  <c r="B90" i="7"/>
  <c r="B89" i="7"/>
  <c r="B41" i="7"/>
  <c r="B78" i="7"/>
  <c r="B30" i="7"/>
  <c r="B77" i="7"/>
  <c r="B29" i="7"/>
  <c r="B66" i="7"/>
  <c r="B100" i="7"/>
  <c r="B88" i="7"/>
  <c r="B76" i="7"/>
  <c r="B64" i="7"/>
  <c r="B52" i="7"/>
  <c r="B40" i="7"/>
  <c r="B28" i="7"/>
  <c r="B16" i="7"/>
  <c r="B99" i="7"/>
  <c r="B87" i="7"/>
  <c r="B75" i="7"/>
  <c r="B63" i="7"/>
  <c r="B51" i="7"/>
  <c r="B39" i="7"/>
  <c r="B27" i="7"/>
  <c r="B15" i="7"/>
  <c r="B110" i="7"/>
  <c r="B98" i="7"/>
  <c r="B86" i="7"/>
  <c r="B74" i="7"/>
  <c r="B62" i="7"/>
  <c r="B50" i="7"/>
  <c r="B38" i="7"/>
  <c r="B26" i="7"/>
  <c r="B14" i="7"/>
  <c r="B109" i="7"/>
  <c r="B97" i="7"/>
  <c r="B85" i="7"/>
  <c r="B73" i="7"/>
  <c r="B61" i="7"/>
  <c r="B49" i="7"/>
  <c r="B37" i="7"/>
  <c r="B25" i="7"/>
  <c r="B13" i="7"/>
  <c r="B107" i="7"/>
  <c r="B95" i="7"/>
  <c r="B83" i="7"/>
  <c r="B71" i="7"/>
  <c r="B59" i="7"/>
  <c r="B47" i="7"/>
  <c r="B35" i="7"/>
  <c r="B23" i="7"/>
  <c r="B11" i="7"/>
  <c r="B106" i="7"/>
  <c r="B94" i="7"/>
  <c r="B82" i="7"/>
  <c r="B70" i="7"/>
  <c r="B58" i="7"/>
  <c r="B46" i="7"/>
  <c r="B34" i="7"/>
  <c r="B22" i="7"/>
  <c r="B10" i="7"/>
  <c r="B105" i="7"/>
  <c r="B93" i="7"/>
  <c r="B81" i="7"/>
  <c r="B69" i="7"/>
  <c r="B57" i="7"/>
  <c r="B45" i="7"/>
  <c r="B33" i="7"/>
  <c r="B21" i="7"/>
  <c r="B9" i="7"/>
  <c r="B104" i="7"/>
  <c r="B92" i="7"/>
  <c r="B80" i="7"/>
  <c r="B68" i="7"/>
  <c r="B56" i="7"/>
  <c r="B44" i="7"/>
  <c r="B32" i="7"/>
  <c r="B20" i="7"/>
  <c r="B103" i="7"/>
  <c r="B91" i="7"/>
  <c r="B79" i="7"/>
  <c r="B67" i="7"/>
  <c r="B55" i="7"/>
  <c r="B43" i="7"/>
  <c r="B31" i="7"/>
  <c r="W66" i="6"/>
  <c r="W108" i="6"/>
  <c r="W96" i="6"/>
  <c r="W84" i="6"/>
  <c r="W72" i="6"/>
  <c r="W60" i="6"/>
  <c r="W48" i="6"/>
  <c r="W36" i="6"/>
  <c r="W24" i="6"/>
  <c r="W21" i="6"/>
  <c r="W33" i="6"/>
  <c r="W81" i="6"/>
  <c r="W57" i="6"/>
  <c r="W18" i="6"/>
  <c r="W90" i="6"/>
  <c r="W78" i="6"/>
  <c r="W54" i="6"/>
  <c r="W42" i="6"/>
  <c r="W30" i="6"/>
  <c r="W114" i="6"/>
  <c r="W99" i="6"/>
  <c r="W87" i="6"/>
  <c r="W75" i="6"/>
  <c r="W63" i="6"/>
  <c r="W51" i="6"/>
  <c r="W39" i="6"/>
  <c r="W27" i="6"/>
  <c r="W40" i="6"/>
  <c r="W31" i="6"/>
  <c r="W100" i="6"/>
  <c r="W82" i="6"/>
  <c r="W91" i="6"/>
  <c r="W55" i="6"/>
  <c r="W49" i="6"/>
  <c r="W58" i="6"/>
  <c r="W109" i="6"/>
  <c r="W46" i="6"/>
  <c r="W37" i="6"/>
  <c r="W28" i="6"/>
  <c r="W19" i="6"/>
  <c r="W118" i="6"/>
  <c r="W64" i="6"/>
  <c r="W73" i="6"/>
  <c r="W43" i="6"/>
  <c r="W34" i="6"/>
  <c r="W25" i="6"/>
  <c r="W115" i="6"/>
  <c r="W106" i="6"/>
  <c r="W97" i="6"/>
  <c r="W88" i="6"/>
  <c r="W79" i="6"/>
  <c r="W70" i="6"/>
  <c r="W61" i="6"/>
  <c r="W52" i="6"/>
  <c r="W16" i="6"/>
  <c r="W112" i="6"/>
  <c r="W103" i="6"/>
  <c r="W94" i="6"/>
  <c r="W85" i="6"/>
  <c r="W76" i="6"/>
  <c r="W67" i="6"/>
  <c r="W22" i="6"/>
  <c r="W111" i="6"/>
  <c r="W117" i="6"/>
  <c r="W105" i="6"/>
  <c r="W116" i="6"/>
  <c r="W110" i="6"/>
  <c r="W104" i="6"/>
  <c r="W98" i="6"/>
  <c r="W92" i="6"/>
  <c r="W86" i="6"/>
  <c r="W80" i="6"/>
  <c r="W74" i="6"/>
  <c r="W68" i="6"/>
  <c r="W62" i="6"/>
  <c r="W56" i="6"/>
  <c r="W50" i="6"/>
  <c r="W44" i="6"/>
  <c r="W38" i="6"/>
  <c r="W32" i="6"/>
  <c r="W113" i="6"/>
  <c r="W107" i="6"/>
  <c r="W101" i="6"/>
  <c r="W95" i="6"/>
  <c r="W89" i="6"/>
  <c r="W83" i="6"/>
  <c r="W77" i="6"/>
  <c r="W71" i="6"/>
  <c r="W65" i="6"/>
  <c r="W59" i="6"/>
  <c r="W53" i="6"/>
  <c r="W47" i="6"/>
  <c r="W41" i="6"/>
  <c r="W35" i="6"/>
  <c r="W29" i="6"/>
  <c r="W26" i="6"/>
  <c r="W23" i="6"/>
  <c r="W20" i="6"/>
  <c r="W17" i="6"/>
  <c r="F141" i="3"/>
  <c r="E141" i="3"/>
  <c r="P5" i="7"/>
  <c r="F139" i="3" l="1"/>
  <c r="E139" i="3"/>
  <c r="M5" i="7"/>
  <c r="U15" i="1"/>
  <c r="U15" i="6"/>
  <c r="F81" i="3"/>
  <c r="E81" i="3"/>
  <c r="V56" i="1" l="1"/>
  <c r="V125" i="1"/>
  <c r="V17" i="1"/>
  <c r="V54" i="6"/>
  <c r="V80" i="6"/>
  <c r="W15" i="1"/>
  <c r="V15" i="6"/>
  <c r="F73" i="3"/>
  <c r="E73" i="3"/>
  <c r="Y8" i="1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158" i="5"/>
  <c r="A159" i="5"/>
  <c r="A160" i="5"/>
  <c r="A161" i="5"/>
  <c r="A162" i="5"/>
  <c r="A163" i="5"/>
  <c r="A164" i="5"/>
  <c r="A165" i="5"/>
  <c r="V45" i="6" l="1"/>
  <c r="AA8" i="6"/>
  <c r="Y8" i="6"/>
  <c r="W15" i="6"/>
  <c r="A155" i="5"/>
  <c r="A156" i="5"/>
  <c r="A157" i="5"/>
  <c r="A144" i="5"/>
  <c r="A145" i="5"/>
  <c r="A146" i="5"/>
  <c r="A147" i="5"/>
  <c r="A148" i="5"/>
  <c r="A149" i="5"/>
  <c r="A150" i="5"/>
  <c r="A151" i="5"/>
  <c r="A152" i="5"/>
  <c r="A153" i="5"/>
  <c r="A154" i="5"/>
  <c r="A131" i="5"/>
  <c r="A99" i="5"/>
  <c r="A114" i="5"/>
  <c r="A115" i="5"/>
  <c r="A18" i="5"/>
  <c r="A37" i="5"/>
  <c r="A46" i="5"/>
  <c r="A83" i="5"/>
  <c r="A98" i="5"/>
  <c r="A134" i="5"/>
  <c r="A19" i="5"/>
  <c r="A29" i="5"/>
  <c r="A47" i="5"/>
  <c r="A59" i="5"/>
  <c r="A7" i="5"/>
  <c r="A20" i="5"/>
  <c r="A30" i="5"/>
  <c r="A38" i="5"/>
  <c r="A48" i="5"/>
  <c r="A51" i="5"/>
  <c r="A116" i="5"/>
  <c r="A77" i="5"/>
  <c r="A84" i="5"/>
  <c r="A90" i="5"/>
  <c r="A123" i="5"/>
  <c r="A135" i="5"/>
  <c r="A141" i="5"/>
  <c r="A63" i="5"/>
  <c r="A103" i="5"/>
  <c r="A8" i="5"/>
  <c r="A21" i="5"/>
  <c r="A31" i="5"/>
  <c r="A39" i="5"/>
  <c r="A49" i="5"/>
  <c r="A52" i="5"/>
  <c r="A117" i="5"/>
  <c r="A78" i="5"/>
  <c r="A85" i="5"/>
  <c r="A91" i="5"/>
  <c r="A124" i="5"/>
  <c r="A132" i="5"/>
  <c r="A136" i="5"/>
  <c r="A142" i="5"/>
  <c r="A9" i="5"/>
  <c r="A22" i="5"/>
  <c r="A32" i="5"/>
  <c r="A53" i="5"/>
  <c r="A118" i="5"/>
  <c r="A79" i="5"/>
  <c r="A86" i="5"/>
  <c r="A92" i="5"/>
  <c r="A125" i="5"/>
  <c r="A60" i="5"/>
  <c r="A71" i="5"/>
  <c r="A64" i="5"/>
  <c r="A74" i="5"/>
  <c r="A104" i="5"/>
  <c r="A138" i="5"/>
  <c r="A33" i="5"/>
  <c r="A105" i="5"/>
  <c r="A65" i="5"/>
  <c r="A106" i="5"/>
  <c r="A10" i="5"/>
  <c r="A11" i="5"/>
  <c r="A23" i="5"/>
  <c r="A54" i="5"/>
  <c r="A133" i="5"/>
  <c r="A107" i="5"/>
  <c r="A12" i="5"/>
  <c r="A24" i="5"/>
  <c r="A40" i="5"/>
  <c r="A119" i="5"/>
  <c r="A93" i="5"/>
  <c r="A126" i="5"/>
  <c r="A66" i="5"/>
  <c r="A108" i="5"/>
  <c r="A13" i="5"/>
  <c r="A25" i="5"/>
  <c r="A94" i="5"/>
  <c r="A67" i="5"/>
  <c r="A109" i="5"/>
  <c r="A14" i="5"/>
  <c r="A26" i="5"/>
  <c r="A34" i="5"/>
  <c r="A41" i="5"/>
  <c r="A80" i="5"/>
  <c r="A100" i="5"/>
  <c r="A127" i="5"/>
  <c r="A61" i="5"/>
  <c r="A72" i="5"/>
  <c r="A68" i="5"/>
  <c r="A75" i="5"/>
  <c r="A110" i="5"/>
  <c r="A139" i="5"/>
  <c r="A15" i="5"/>
  <c r="A35" i="5"/>
  <c r="A42" i="5"/>
  <c r="A50" i="5"/>
  <c r="A55" i="5"/>
  <c r="A120" i="5"/>
  <c r="A81" i="5"/>
  <c r="A87" i="5"/>
  <c r="A95" i="5"/>
  <c r="A101" i="5"/>
  <c r="A128" i="5"/>
  <c r="A137" i="5"/>
  <c r="A143" i="5"/>
  <c r="A69" i="5"/>
  <c r="A111" i="5"/>
  <c r="A16" i="5"/>
  <c r="A27" i="5"/>
  <c r="A43" i="5"/>
  <c r="A56" i="5"/>
  <c r="A88" i="5"/>
  <c r="A96" i="5"/>
  <c r="A129" i="5"/>
  <c r="A70" i="5"/>
  <c r="A112" i="5"/>
  <c r="A62" i="5"/>
  <c r="A73" i="5"/>
  <c r="A76" i="5"/>
  <c r="A113" i="5"/>
  <c r="A140" i="5"/>
  <c r="A28" i="5"/>
  <c r="A36" i="5"/>
  <c r="A44" i="5"/>
  <c r="A57" i="5"/>
  <c r="A121" i="5"/>
  <c r="A82" i="5"/>
  <c r="A97" i="5"/>
  <c r="A102" i="5"/>
  <c r="A122" i="5"/>
  <c r="A17" i="5"/>
  <c r="A45" i="5"/>
  <c r="A58" i="5"/>
  <c r="A89" i="5"/>
  <c r="A130" i="5"/>
  <c r="F144" i="3"/>
  <c r="E144" i="3"/>
  <c r="F143" i="3"/>
  <c r="E143" i="3"/>
  <c r="F51" i="3"/>
  <c r="E51" i="3"/>
  <c r="F104" i="3"/>
  <c r="E104" i="3"/>
  <c r="F124" i="3"/>
  <c r="E124" i="3"/>
  <c r="F135" i="3"/>
  <c r="E135" i="3"/>
  <c r="F110" i="3"/>
  <c r="E110" i="3"/>
  <c r="V150" i="1" s="1"/>
  <c r="B110" i="3"/>
  <c r="F97" i="3"/>
  <c r="E97" i="3"/>
  <c r="B97" i="3"/>
  <c r="F108" i="3"/>
  <c r="E108" i="3"/>
  <c r="F111" i="3"/>
  <c r="E111" i="3"/>
  <c r="F109" i="3"/>
  <c r="E109" i="3"/>
  <c r="F3" i="3"/>
  <c r="E3" i="3"/>
  <c r="B3" i="3"/>
  <c r="F2" i="3"/>
  <c r="E2" i="3"/>
  <c r="F106" i="3"/>
  <c r="E106" i="3"/>
  <c r="F105" i="3"/>
  <c r="E105" i="3"/>
  <c r="B105" i="3"/>
  <c r="F107" i="3"/>
  <c r="E107" i="3"/>
  <c r="F103" i="3"/>
  <c r="E103" i="3"/>
  <c r="F134" i="3"/>
  <c r="E134" i="3"/>
  <c r="F40" i="3"/>
  <c r="E40" i="3"/>
  <c r="F133" i="3"/>
  <c r="E133" i="3"/>
  <c r="F132" i="3"/>
  <c r="E132" i="3"/>
  <c r="F101" i="3"/>
  <c r="E101" i="3"/>
  <c r="B101" i="3"/>
  <c r="F136" i="3"/>
  <c r="E136" i="3"/>
  <c r="F131" i="3"/>
  <c r="E131" i="3"/>
  <c r="F20" i="3"/>
  <c r="E20" i="3"/>
  <c r="F88" i="3"/>
  <c r="E88" i="3"/>
  <c r="B88" i="3"/>
  <c r="F100" i="3"/>
  <c r="E100" i="3"/>
  <c r="F118" i="3"/>
  <c r="E118" i="3"/>
  <c r="F98" i="3"/>
  <c r="E98" i="3"/>
  <c r="B98" i="3"/>
  <c r="F55" i="3"/>
  <c r="E55" i="3"/>
  <c r="F54" i="3"/>
  <c r="E54" i="3"/>
  <c r="F102" i="3"/>
  <c r="E102" i="3"/>
  <c r="F91" i="3"/>
  <c r="E91" i="3"/>
  <c r="B91" i="3"/>
  <c r="F68" i="3"/>
  <c r="E68" i="3"/>
  <c r="F94" i="3"/>
  <c r="E94" i="3"/>
  <c r="B94" i="3"/>
  <c r="F93" i="3"/>
  <c r="E93" i="3"/>
  <c r="F58" i="3"/>
  <c r="E58" i="3"/>
  <c r="F92" i="3"/>
  <c r="E92" i="3"/>
  <c r="F90" i="3"/>
  <c r="E90" i="3"/>
  <c r="F89" i="3"/>
  <c r="E89" i="3"/>
  <c r="F87" i="3"/>
  <c r="E87" i="3"/>
  <c r="F86" i="3"/>
  <c r="E86" i="3"/>
  <c r="B86" i="3"/>
  <c r="F83" i="3"/>
  <c r="E83" i="3"/>
  <c r="B83" i="3"/>
  <c r="F85" i="3"/>
  <c r="E85" i="3"/>
  <c r="B85" i="3"/>
  <c r="F113" i="3"/>
  <c r="E113" i="3"/>
  <c r="F112" i="3"/>
  <c r="E112" i="3"/>
  <c r="F84" i="3"/>
  <c r="E84" i="3"/>
  <c r="F130" i="3"/>
  <c r="E130" i="3"/>
  <c r="F129" i="3"/>
  <c r="E129" i="3"/>
  <c r="F95" i="3"/>
  <c r="E95" i="3"/>
  <c r="B95" i="3"/>
  <c r="F66" i="3"/>
  <c r="E66" i="3"/>
  <c r="B66" i="3"/>
  <c r="F96" i="3"/>
  <c r="E96" i="3"/>
  <c r="F67" i="3"/>
  <c r="E67" i="3"/>
  <c r="F78" i="3"/>
  <c r="E78" i="3"/>
  <c r="V76" i="1" s="1"/>
  <c r="B78" i="3"/>
  <c r="F117" i="3"/>
  <c r="E117" i="3"/>
  <c r="F116" i="3"/>
  <c r="E116" i="3"/>
  <c r="B116" i="3"/>
  <c r="F7" i="3"/>
  <c r="E7" i="3"/>
  <c r="F77" i="3"/>
  <c r="E77" i="3"/>
  <c r="B77" i="3"/>
  <c r="F76" i="3"/>
  <c r="E76" i="3"/>
  <c r="B76" i="3"/>
  <c r="F75" i="3"/>
  <c r="E75" i="3"/>
  <c r="B75" i="3"/>
  <c r="F74" i="3"/>
  <c r="E74" i="3"/>
  <c r="B74" i="3"/>
  <c r="F72" i="3"/>
  <c r="E72" i="3"/>
  <c r="V199" i="1" s="1"/>
  <c r="B72" i="3"/>
  <c r="F71" i="3"/>
  <c r="E71" i="3"/>
  <c r="B71" i="3"/>
  <c r="F70" i="3"/>
  <c r="E70" i="3"/>
  <c r="B70" i="3"/>
  <c r="F79" i="3"/>
  <c r="E79" i="3"/>
  <c r="F80" i="3"/>
  <c r="E80" i="3"/>
  <c r="B80" i="3"/>
  <c r="F69" i="3"/>
  <c r="E69" i="3"/>
  <c r="B69" i="3"/>
  <c r="F65" i="3"/>
  <c r="E65" i="3"/>
  <c r="F9" i="3"/>
  <c r="E9" i="3"/>
  <c r="F6" i="3"/>
  <c r="E6" i="3"/>
  <c r="F39" i="3"/>
  <c r="E39" i="3"/>
  <c r="F62" i="3"/>
  <c r="E62" i="3"/>
  <c r="F120" i="3"/>
  <c r="E120" i="3"/>
  <c r="F122" i="3"/>
  <c r="E122" i="3"/>
  <c r="V39" i="1" s="1"/>
  <c r="B122" i="3"/>
  <c r="F38" i="3"/>
  <c r="E38" i="3"/>
  <c r="F60" i="3"/>
  <c r="E60" i="3"/>
  <c r="F59" i="3"/>
  <c r="E59" i="3"/>
  <c r="B59" i="3"/>
  <c r="F64" i="3"/>
  <c r="E64" i="3"/>
  <c r="F63" i="3"/>
  <c r="E63" i="3"/>
  <c r="F125" i="3"/>
  <c r="E125" i="3"/>
  <c r="F57" i="3"/>
  <c r="E57" i="3"/>
  <c r="B57" i="3"/>
  <c r="F56" i="3"/>
  <c r="E56" i="3"/>
  <c r="F52" i="3"/>
  <c r="E52" i="3"/>
  <c r="B52" i="3"/>
  <c r="F53" i="3"/>
  <c r="E53" i="3"/>
  <c r="F61" i="3"/>
  <c r="E61" i="3"/>
  <c r="F47" i="3"/>
  <c r="E47" i="3"/>
  <c r="F46" i="3"/>
  <c r="E46" i="3"/>
  <c r="F45" i="3"/>
  <c r="E45" i="3"/>
  <c r="F44" i="3"/>
  <c r="E44" i="3"/>
  <c r="B44" i="3"/>
  <c r="F49" i="3"/>
  <c r="E49" i="3"/>
  <c r="B49" i="3"/>
  <c r="F5" i="3"/>
  <c r="E5" i="3"/>
  <c r="F50" i="3"/>
  <c r="E50" i="3"/>
  <c r="B50" i="3"/>
  <c r="F48" i="3"/>
  <c r="E48" i="3"/>
  <c r="B48" i="3"/>
  <c r="F41" i="3"/>
  <c r="E41" i="3"/>
  <c r="F128" i="3"/>
  <c r="E128" i="3"/>
  <c r="B128" i="3"/>
  <c r="F42" i="3"/>
  <c r="E42" i="3"/>
  <c r="F37" i="3"/>
  <c r="E37" i="3"/>
  <c r="B37" i="3"/>
  <c r="F36" i="3"/>
  <c r="E36" i="3"/>
  <c r="F35" i="3"/>
  <c r="E35" i="3"/>
  <c r="F33" i="3"/>
  <c r="E33" i="3"/>
  <c r="F8" i="3"/>
  <c r="E8" i="3"/>
  <c r="F115" i="3"/>
  <c r="E115" i="3"/>
  <c r="F34" i="3"/>
  <c r="E34" i="3"/>
  <c r="B34" i="3"/>
  <c r="F32" i="3"/>
  <c r="E32" i="3"/>
  <c r="B32" i="3"/>
  <c r="F127" i="3"/>
  <c r="E127" i="3"/>
  <c r="F31" i="3"/>
  <c r="E31" i="3"/>
  <c r="B31" i="3"/>
  <c r="F43" i="3"/>
  <c r="E43" i="3"/>
  <c r="B43" i="3"/>
  <c r="F29" i="3"/>
  <c r="E29" i="3"/>
  <c r="F30" i="3"/>
  <c r="E30" i="3"/>
  <c r="F138" i="3"/>
  <c r="E138" i="3"/>
  <c r="B138" i="3"/>
  <c r="F27" i="3"/>
  <c r="E27" i="3"/>
  <c r="F26" i="3"/>
  <c r="E26" i="3"/>
  <c r="B26" i="3"/>
  <c r="F28" i="3"/>
  <c r="E28" i="3"/>
  <c r="B28" i="3"/>
  <c r="F4" i="3"/>
  <c r="E4" i="3"/>
  <c r="F23" i="3"/>
  <c r="E23" i="3"/>
  <c r="V160" i="1" s="1"/>
  <c r="B23" i="3"/>
  <c r="F119" i="3"/>
  <c r="E119" i="3"/>
  <c r="B119" i="3"/>
  <c r="F137" i="3"/>
  <c r="E137" i="3"/>
  <c r="B137" i="3"/>
  <c r="F126" i="3"/>
  <c r="E126" i="3"/>
  <c r="F22" i="3"/>
  <c r="E22" i="3"/>
  <c r="F21" i="3"/>
  <c r="E21" i="3"/>
  <c r="B21" i="3"/>
  <c r="F114" i="3"/>
  <c r="E114" i="3"/>
  <c r="F25" i="3"/>
  <c r="E25" i="3"/>
  <c r="B25" i="3"/>
  <c r="F24" i="3"/>
  <c r="E24" i="3"/>
  <c r="F18" i="3"/>
  <c r="E18" i="3"/>
  <c r="F17" i="3"/>
  <c r="E17" i="3"/>
  <c r="F16" i="3"/>
  <c r="E16" i="3"/>
  <c r="F19" i="3"/>
  <c r="E19" i="3"/>
  <c r="F99" i="3"/>
  <c r="E99" i="3"/>
  <c r="B99" i="3"/>
  <c r="F15" i="3"/>
  <c r="E15" i="3"/>
  <c r="F14" i="3"/>
  <c r="E14" i="3"/>
  <c r="B14" i="3"/>
  <c r="F13" i="3"/>
  <c r="E13" i="3"/>
  <c r="V92" i="1" s="1"/>
  <c r="B13" i="3"/>
  <c r="F121" i="3"/>
  <c r="E121" i="3"/>
  <c r="F82" i="3"/>
  <c r="E82" i="3"/>
  <c r="B82" i="3"/>
  <c r="F12" i="3"/>
  <c r="E12" i="3"/>
  <c r="B12" i="3"/>
  <c r="F123" i="3"/>
  <c r="E123" i="3"/>
  <c r="B123" i="3"/>
  <c r="F10" i="3"/>
  <c r="E10" i="3"/>
  <c r="F11" i="3"/>
  <c r="E11" i="3"/>
  <c r="B222" i="5" l="1"/>
  <c r="B246" i="5"/>
  <c r="B270" i="5"/>
  <c r="B294" i="5"/>
  <c r="B318" i="5"/>
  <c r="B366" i="5"/>
  <c r="B414" i="5"/>
  <c r="B360" i="5"/>
  <c r="B408" i="5"/>
  <c r="B216" i="5"/>
  <c r="B240" i="5"/>
  <c r="B264" i="5"/>
  <c r="B288" i="5"/>
  <c r="B312" i="5"/>
  <c r="B336" i="5"/>
  <c r="B384" i="5"/>
  <c r="B432" i="5"/>
  <c r="B282" i="5"/>
  <c r="B306" i="5"/>
  <c r="B354" i="5"/>
  <c r="B378" i="5"/>
  <c r="B426" i="5"/>
  <c r="B234" i="5"/>
  <c r="B258" i="5"/>
  <c r="B330" i="5"/>
  <c r="B402" i="5"/>
  <c r="B276" i="5"/>
  <c r="B300" i="5"/>
  <c r="B348" i="5"/>
  <c r="B372" i="5"/>
  <c r="B420" i="5"/>
  <c r="B444" i="5"/>
  <c r="B228" i="5"/>
  <c r="B252" i="5"/>
  <c r="B324" i="5"/>
  <c r="B396" i="5"/>
  <c r="B342" i="5"/>
  <c r="B390" i="5"/>
  <c r="B438" i="5"/>
  <c r="B409" i="5"/>
  <c r="B289" i="5"/>
  <c r="B361" i="5"/>
  <c r="B379" i="5"/>
  <c r="B283" i="5"/>
  <c r="B259" i="5"/>
  <c r="B207" i="5"/>
  <c r="B406" i="5"/>
  <c r="B308" i="5"/>
  <c r="B404" i="5"/>
  <c r="B323" i="5"/>
  <c r="B290" i="5"/>
  <c r="B362" i="5"/>
  <c r="B209" i="5"/>
  <c r="B208" i="5"/>
  <c r="B407" i="5"/>
  <c r="B350" i="5"/>
  <c r="B415" i="5"/>
  <c r="B272" i="5"/>
  <c r="B364" i="5"/>
  <c r="B337" i="5"/>
  <c r="B373" i="5"/>
  <c r="B405" i="5"/>
  <c r="B331" i="5"/>
  <c r="B210" i="5"/>
  <c r="B423" i="5"/>
  <c r="B435" i="5"/>
  <c r="B374" i="5"/>
  <c r="B292" i="5"/>
  <c r="B388" i="5"/>
  <c r="B299" i="5"/>
  <c r="B274" i="5"/>
  <c r="B338" i="5"/>
  <c r="B416" i="5"/>
  <c r="B425" i="5"/>
  <c r="B383" i="5"/>
  <c r="B334" i="5"/>
  <c r="B380" i="5"/>
  <c r="B385" i="5"/>
  <c r="B257" i="5"/>
  <c r="B313" i="5"/>
  <c r="B393" i="5"/>
  <c r="B381" i="5"/>
  <c r="B295" i="5"/>
  <c r="B349" i="5"/>
  <c r="B399" i="5"/>
  <c r="B411" i="5"/>
  <c r="B358" i="5"/>
  <c r="B284" i="5"/>
  <c r="B356" i="5"/>
  <c r="B275" i="5"/>
  <c r="B266" i="5"/>
  <c r="B322" i="5"/>
  <c r="B400" i="5"/>
  <c r="B440" i="5"/>
  <c r="B359" i="5"/>
  <c r="B302" i="5"/>
  <c r="B311" i="5"/>
  <c r="B255" i="5"/>
  <c r="B248" i="5"/>
  <c r="B221" i="5"/>
  <c r="B301" i="5"/>
  <c r="B369" i="5"/>
  <c r="B357" i="5"/>
  <c r="B271" i="5"/>
  <c r="B439" i="5"/>
  <c r="B375" i="5"/>
  <c r="B387" i="5"/>
  <c r="B326" i="5"/>
  <c r="B268" i="5"/>
  <c r="B332" i="5"/>
  <c r="B251" i="5"/>
  <c r="B250" i="5"/>
  <c r="B341" i="5"/>
  <c r="B368" i="5"/>
  <c r="B424" i="5"/>
  <c r="B335" i="5"/>
  <c r="B278" i="5"/>
  <c r="B254" i="5"/>
  <c r="B437" i="5"/>
  <c r="B429" i="5"/>
  <c r="B314" i="5"/>
  <c r="B277" i="5"/>
  <c r="B345" i="5"/>
  <c r="B333" i="5"/>
  <c r="B235" i="5"/>
  <c r="B391" i="5"/>
  <c r="B351" i="5"/>
  <c r="B363" i="5"/>
  <c r="B310" i="5"/>
  <c r="B260" i="5"/>
  <c r="B316" i="5"/>
  <c r="B227" i="5"/>
  <c r="B242" i="5"/>
  <c r="B401" i="5"/>
  <c r="B352" i="5"/>
  <c r="B392" i="5"/>
  <c r="B389" i="5"/>
  <c r="B367" i="5"/>
  <c r="B293" i="5"/>
  <c r="B265" i="5"/>
  <c r="B321" i="5"/>
  <c r="B309" i="5"/>
  <c r="B223" i="5"/>
  <c r="B343" i="5"/>
  <c r="B327" i="5"/>
  <c r="B339" i="5"/>
  <c r="B286" i="5"/>
  <c r="B244" i="5"/>
  <c r="B365" i="5"/>
  <c r="B434" i="5"/>
  <c r="B226" i="5"/>
  <c r="B377" i="5"/>
  <c r="B320" i="5"/>
  <c r="B376" i="5"/>
  <c r="B287" i="5"/>
  <c r="B238" i="5"/>
  <c r="B403" i="5"/>
  <c r="B430" i="5"/>
  <c r="B371" i="5"/>
  <c r="B253" i="5"/>
  <c r="B285" i="5"/>
  <c r="B297" i="5"/>
  <c r="B211" i="5"/>
  <c r="B247" i="5"/>
  <c r="B303" i="5"/>
  <c r="B315" i="5"/>
  <c r="B262" i="5"/>
  <c r="B236" i="5"/>
  <c r="B245" i="5"/>
  <c r="B418" i="5"/>
  <c r="B218" i="5"/>
  <c r="B353" i="5"/>
  <c r="B296" i="5"/>
  <c r="B344" i="5"/>
  <c r="B263" i="5"/>
  <c r="B230" i="5"/>
  <c r="B328" i="5"/>
  <c r="B214" i="5"/>
  <c r="B217" i="5"/>
  <c r="B346" i="5"/>
  <c r="B355" i="5"/>
  <c r="B398" i="5"/>
  <c r="B241" i="5"/>
  <c r="B261" i="5"/>
  <c r="B273" i="5"/>
  <c r="B397" i="5"/>
  <c r="B433" i="5"/>
  <c r="B279" i="5"/>
  <c r="B291" i="5"/>
  <c r="B428" i="5"/>
  <c r="B220" i="5"/>
  <c r="B443" i="5"/>
  <c r="B386" i="5"/>
  <c r="B413" i="5"/>
  <c r="B329" i="5"/>
  <c r="B280" i="5"/>
  <c r="B239" i="5"/>
  <c r="B225" i="5"/>
  <c r="B442" i="5"/>
  <c r="B269" i="5"/>
  <c r="B229" i="5"/>
  <c r="B249" i="5"/>
  <c r="B237" i="5"/>
  <c r="B441" i="5"/>
  <c r="B417" i="5"/>
  <c r="B267" i="5"/>
  <c r="B243" i="5"/>
  <c r="B412" i="5"/>
  <c r="B212" i="5"/>
  <c r="B419" i="5"/>
  <c r="B370" i="5"/>
  <c r="B317" i="5"/>
  <c r="B305" i="5"/>
  <c r="B256" i="5"/>
  <c r="B304" i="5"/>
  <c r="B215" i="5"/>
  <c r="B206" i="5"/>
  <c r="B421" i="5"/>
  <c r="B281" i="5"/>
  <c r="B231" i="5"/>
  <c r="B232" i="5"/>
  <c r="B325" i="5"/>
  <c r="B427" i="5"/>
  <c r="B319" i="5"/>
  <c r="B307" i="5"/>
  <c r="B219" i="5"/>
  <c r="B422" i="5"/>
  <c r="B340" i="5"/>
  <c r="B436" i="5"/>
  <c r="B347" i="5"/>
  <c r="B298" i="5"/>
  <c r="B394" i="5"/>
  <c r="B233" i="5"/>
  <c r="B224" i="5"/>
  <c r="B431" i="5"/>
  <c r="B382" i="5"/>
  <c r="B395" i="5"/>
  <c r="B213" i="5"/>
  <c r="B410" i="5"/>
  <c r="V63" i="1"/>
  <c r="V147" i="1"/>
  <c r="V121" i="1"/>
  <c r="V183" i="1"/>
  <c r="V117" i="1"/>
  <c r="V155" i="1"/>
  <c r="V70" i="1"/>
  <c r="V144" i="1"/>
  <c r="V62" i="1"/>
  <c r="V105" i="1"/>
  <c r="V88" i="1"/>
  <c r="V149" i="1"/>
  <c r="V109" i="1"/>
  <c r="V37" i="1"/>
  <c r="V177" i="1"/>
  <c r="V41" i="1"/>
  <c r="V67" i="1"/>
  <c r="V180" i="1"/>
  <c r="V184" i="1"/>
  <c r="V45" i="1"/>
  <c r="V113" i="1"/>
  <c r="V86" i="1"/>
  <c r="V107" i="1"/>
  <c r="V64" i="1"/>
  <c r="V148" i="1"/>
  <c r="V215" i="1"/>
  <c r="V35" i="1"/>
  <c r="V175" i="1"/>
  <c r="V43" i="1"/>
  <c r="V189" i="1"/>
  <c r="V120" i="1"/>
  <c r="V191" i="1"/>
  <c r="V52" i="1"/>
  <c r="V73" i="1"/>
  <c r="V158" i="1"/>
  <c r="V53" i="1"/>
  <c r="V74" i="1"/>
  <c r="V122" i="1"/>
  <c r="V192" i="1"/>
  <c r="V169" i="1"/>
  <c r="V102" i="1"/>
  <c r="V60" i="1"/>
  <c r="V28" i="1"/>
  <c r="V139" i="1"/>
  <c r="V208" i="1"/>
  <c r="V154" i="1"/>
  <c r="V48" i="1"/>
  <c r="V116" i="1"/>
  <c r="V187" i="1"/>
  <c r="V146" i="1"/>
  <c r="V34" i="1"/>
  <c r="V38" i="1"/>
  <c r="V65" i="1"/>
  <c r="V110" i="1"/>
  <c r="V178" i="1"/>
  <c r="V42" i="1"/>
  <c r="V46" i="1"/>
  <c r="V197" i="1"/>
  <c r="V50" i="1"/>
  <c r="V156" i="1"/>
  <c r="V201" i="1"/>
  <c r="V19" i="1"/>
  <c r="V58" i="1"/>
  <c r="V161" i="1"/>
  <c r="V78" i="1"/>
  <c r="V127" i="1"/>
  <c r="V94" i="1"/>
  <c r="V23" i="1"/>
  <c r="V164" i="1"/>
  <c r="V205" i="1"/>
  <c r="V98" i="1"/>
  <c r="V80" i="1"/>
  <c r="V132" i="1"/>
  <c r="V159" i="1"/>
  <c r="V16" i="1"/>
  <c r="V91" i="1"/>
  <c r="V124" i="1"/>
  <c r="V55" i="1"/>
  <c r="V25" i="1"/>
  <c r="V135" i="1"/>
  <c r="V32" i="1"/>
  <c r="V143" i="1"/>
  <c r="V85" i="1"/>
  <c r="V212" i="1"/>
  <c r="V209" i="1"/>
  <c r="V83" i="1"/>
  <c r="V170" i="1"/>
  <c r="V138" i="1"/>
  <c r="V101" i="1"/>
  <c r="V27" i="1"/>
  <c r="V168" i="1"/>
  <c r="V207" i="1"/>
  <c r="V162" i="1"/>
  <c r="V128" i="1"/>
  <c r="V202" i="1"/>
  <c r="V20" i="1"/>
  <c r="V95" i="1"/>
  <c r="V195" i="1"/>
  <c r="V24" i="1"/>
  <c r="V133" i="1"/>
  <c r="V79" i="1"/>
  <c r="V129" i="1"/>
  <c r="V96" i="1"/>
  <c r="V203" i="1"/>
  <c r="V22" i="1"/>
  <c r="V131" i="1"/>
  <c r="V104" i="1"/>
  <c r="V30" i="1"/>
  <c r="V172" i="1"/>
  <c r="V141" i="1"/>
  <c r="V211" i="1"/>
  <c r="V134" i="1"/>
  <c r="V81" i="1"/>
  <c r="V165" i="1"/>
  <c r="V166" i="1"/>
  <c r="V136" i="1"/>
  <c r="V99" i="1"/>
  <c r="V206" i="1"/>
  <c r="V194" i="1"/>
  <c r="V93" i="1"/>
  <c r="V126" i="1"/>
  <c r="V200" i="1"/>
  <c r="V77" i="1"/>
  <c r="V18" i="1"/>
  <c r="V57" i="1"/>
  <c r="V31" i="1"/>
  <c r="V173" i="1"/>
  <c r="V142" i="1"/>
  <c r="V123" i="1"/>
  <c r="V54" i="1"/>
  <c r="V75" i="1"/>
  <c r="V198" i="1"/>
  <c r="V193" i="1"/>
  <c r="V90" i="1"/>
  <c r="V97" i="1"/>
  <c r="V21" i="1"/>
  <c r="V163" i="1"/>
  <c r="V59" i="1"/>
  <c r="V130" i="1"/>
  <c r="V204" i="1"/>
  <c r="V137" i="1"/>
  <c r="V100" i="1"/>
  <c r="V82" i="1"/>
  <c r="V26" i="1"/>
  <c r="V167" i="1"/>
  <c r="V214" i="1"/>
  <c r="V145" i="1"/>
  <c r="V196" i="1"/>
  <c r="V33" i="1"/>
  <c r="V174" i="1"/>
  <c r="V47" i="1"/>
  <c r="V114" i="1"/>
  <c r="V68" i="1"/>
  <c r="V185" i="1"/>
  <c r="V153" i="1"/>
  <c r="V115" i="1"/>
  <c r="V69" i="1"/>
  <c r="V186" i="1"/>
  <c r="V188" i="1"/>
  <c r="V49" i="1"/>
  <c r="V118" i="1"/>
  <c r="V71" i="1"/>
  <c r="V51" i="1"/>
  <c r="V72" i="1"/>
  <c r="V119" i="1"/>
  <c r="V157" i="1"/>
  <c r="V190" i="1"/>
  <c r="V29" i="1"/>
  <c r="V171" i="1"/>
  <c r="V140" i="1"/>
  <c r="V61" i="1"/>
  <c r="V103" i="1"/>
  <c r="V210" i="1"/>
  <c r="V84" i="1"/>
  <c r="V181" i="1"/>
  <c r="V44" i="1"/>
  <c r="V112" i="1"/>
  <c r="V182" i="1"/>
  <c r="V152" i="1"/>
  <c r="V36" i="1"/>
  <c r="V87" i="1"/>
  <c r="V108" i="1"/>
  <c r="V176" i="1"/>
  <c r="V179" i="1"/>
  <c r="V40" i="1"/>
  <c r="V89" i="1"/>
  <c r="V151" i="1"/>
  <c r="V66" i="1"/>
  <c r="V111" i="1"/>
  <c r="V213" i="1"/>
  <c r="V106" i="1"/>
  <c r="V48" i="6"/>
  <c r="V95" i="6"/>
  <c r="V29" i="6"/>
  <c r="V115" i="6"/>
  <c r="V84" i="6"/>
  <c r="V21" i="6"/>
  <c r="V104" i="6"/>
  <c r="V61" i="6"/>
  <c r="V111" i="6"/>
  <c r="V70" i="6"/>
  <c r="V35" i="6"/>
  <c r="V92" i="6"/>
  <c r="V72" i="6"/>
  <c r="V75" i="6"/>
  <c r="V49" i="6"/>
  <c r="V96" i="6"/>
  <c r="V30" i="6"/>
  <c r="V118" i="6"/>
  <c r="V53" i="6"/>
  <c r="V34" i="6"/>
  <c r="V99" i="6"/>
  <c r="V79" i="6"/>
  <c r="V113" i="6"/>
  <c r="V47" i="6"/>
  <c r="V27" i="6"/>
  <c r="V93" i="6"/>
  <c r="V73" i="6"/>
  <c r="V67" i="6"/>
  <c r="V42" i="6"/>
  <c r="V100" i="6"/>
  <c r="V56" i="6"/>
  <c r="V81" i="6"/>
  <c r="V16" i="6"/>
  <c r="V31" i="6"/>
  <c r="V50" i="6"/>
  <c r="V116" i="6"/>
  <c r="V76" i="6"/>
  <c r="V33" i="6"/>
  <c r="V78" i="6"/>
  <c r="V98" i="6"/>
  <c r="V52" i="6"/>
  <c r="V66" i="6"/>
  <c r="V89" i="6"/>
  <c r="V74" i="6"/>
  <c r="V94" i="6"/>
  <c r="V28" i="6"/>
  <c r="V114" i="6"/>
  <c r="V51" i="6"/>
  <c r="V77" i="6"/>
  <c r="V117" i="6"/>
  <c r="V97" i="6"/>
  <c r="V32" i="6"/>
  <c r="V68" i="6"/>
  <c r="V43" i="6"/>
  <c r="V109" i="6"/>
  <c r="V24" i="6"/>
  <c r="V90" i="6"/>
  <c r="V62" i="6"/>
  <c r="V105" i="6"/>
  <c r="V85" i="6"/>
  <c r="V22" i="6"/>
  <c r="V59" i="6"/>
  <c r="V19" i="6"/>
  <c r="V58" i="6"/>
  <c r="V102" i="6"/>
  <c r="V23" i="6"/>
  <c r="V65" i="6"/>
  <c r="V40" i="6"/>
  <c r="V108" i="6"/>
  <c r="V87" i="6"/>
  <c r="V60" i="6"/>
  <c r="V38" i="6"/>
  <c r="V20" i="6"/>
  <c r="V103" i="6"/>
  <c r="V55" i="6"/>
  <c r="V15" i="1"/>
  <c r="V82" i="6"/>
  <c r="V36" i="6"/>
  <c r="V17" i="6"/>
  <c r="X18" i="6" s="1"/>
  <c r="Y18" i="6" s="1"/>
  <c r="AB18" i="6" s="1"/>
  <c r="V101" i="6"/>
  <c r="V83" i="6"/>
  <c r="V18" i="6"/>
  <c r="V57" i="6"/>
  <c r="V37" i="6"/>
  <c r="V63" i="6"/>
  <c r="V86" i="6"/>
  <c r="V39" i="6"/>
  <c r="V106" i="6"/>
  <c r="V110" i="6"/>
  <c r="V69" i="6"/>
  <c r="V44" i="6"/>
  <c r="V91" i="6"/>
  <c r="V25" i="6"/>
  <c r="V112" i="6"/>
  <c r="V26" i="6"/>
  <c r="V46" i="6"/>
  <c r="V71" i="6"/>
  <c r="V88" i="6"/>
  <c r="V41" i="6"/>
  <c r="B8" i="5"/>
  <c r="B10" i="5"/>
  <c r="B9" i="5"/>
  <c r="B16" i="5"/>
  <c r="B17" i="5"/>
  <c r="B65" i="5"/>
  <c r="B59" i="5"/>
  <c r="B69" i="5"/>
  <c r="B15" i="5"/>
  <c r="B14" i="5"/>
  <c r="B73" i="5"/>
  <c r="B35" i="5"/>
  <c r="B12" i="5"/>
  <c r="B34" i="5"/>
  <c r="B122" i="5"/>
  <c r="B28" i="5"/>
  <c r="B13" i="5"/>
  <c r="B11" i="5"/>
  <c r="B176" i="5"/>
  <c r="B102" i="5"/>
  <c r="B62" i="5"/>
  <c r="B143" i="5"/>
  <c r="B26" i="5"/>
  <c r="B119" i="5"/>
  <c r="B105" i="5"/>
  <c r="B118" i="5"/>
  <c r="B78" i="5"/>
  <c r="B123" i="5"/>
  <c r="B47" i="5"/>
  <c r="B150" i="5"/>
  <c r="B165" i="5"/>
  <c r="B173" i="5"/>
  <c r="B158" i="5"/>
  <c r="B188" i="5"/>
  <c r="B190" i="5"/>
  <c r="B93" i="5"/>
  <c r="B97" i="5"/>
  <c r="B112" i="5"/>
  <c r="B137" i="5"/>
  <c r="B139" i="5"/>
  <c r="B40" i="5"/>
  <c r="B33" i="5"/>
  <c r="B53" i="5"/>
  <c r="B117" i="5"/>
  <c r="B90" i="5"/>
  <c r="B29" i="5"/>
  <c r="B99" i="5"/>
  <c r="B149" i="5"/>
  <c r="B161" i="5"/>
  <c r="B172" i="5"/>
  <c r="B185" i="5"/>
  <c r="B167" i="5"/>
  <c r="B203" i="5"/>
  <c r="B200" i="5"/>
  <c r="B202" i="5"/>
  <c r="B135" i="5"/>
  <c r="B82" i="5"/>
  <c r="B70" i="5"/>
  <c r="B128" i="5"/>
  <c r="B110" i="5"/>
  <c r="B109" i="5"/>
  <c r="B24" i="5"/>
  <c r="B138" i="5"/>
  <c r="B52" i="5"/>
  <c r="B84" i="5"/>
  <c r="B19" i="5"/>
  <c r="B131" i="5"/>
  <c r="B148" i="5"/>
  <c r="B157" i="5"/>
  <c r="B163" i="5"/>
  <c r="B184" i="5"/>
  <c r="B197" i="5"/>
  <c r="B175" i="5"/>
  <c r="B178" i="5"/>
  <c r="B121" i="5"/>
  <c r="B129" i="5"/>
  <c r="B101" i="5"/>
  <c r="B75" i="5"/>
  <c r="B67" i="5"/>
  <c r="B104" i="5"/>
  <c r="B32" i="5"/>
  <c r="B49" i="5"/>
  <c r="B77" i="5"/>
  <c r="B134" i="5"/>
  <c r="B147" i="5"/>
  <c r="B196" i="5"/>
  <c r="B187" i="5"/>
  <c r="B79" i="5"/>
  <c r="B57" i="5"/>
  <c r="B96" i="5"/>
  <c r="B95" i="5"/>
  <c r="B68" i="5"/>
  <c r="B94" i="5"/>
  <c r="B107" i="5"/>
  <c r="B74" i="5"/>
  <c r="B22" i="5"/>
  <c r="B39" i="5"/>
  <c r="B116" i="5"/>
  <c r="B98" i="5"/>
  <c r="B146" i="5"/>
  <c r="B156" i="5"/>
  <c r="B199" i="5"/>
  <c r="B159" i="5"/>
  <c r="B160" i="5"/>
  <c r="B130" i="5"/>
  <c r="B44" i="5"/>
  <c r="B88" i="5"/>
  <c r="B87" i="5"/>
  <c r="B72" i="5"/>
  <c r="B133" i="5"/>
  <c r="B64" i="5"/>
  <c r="B31" i="5"/>
  <c r="B51" i="5"/>
  <c r="B83" i="5"/>
  <c r="B145" i="5"/>
  <c r="B155" i="5"/>
  <c r="B180" i="5"/>
  <c r="B169" i="5"/>
  <c r="B89" i="5"/>
  <c r="B36" i="5"/>
  <c r="B56" i="5"/>
  <c r="B81" i="5"/>
  <c r="B61" i="5"/>
  <c r="B25" i="5"/>
  <c r="B54" i="5"/>
  <c r="B71" i="5"/>
  <c r="B142" i="5"/>
  <c r="B21" i="5"/>
  <c r="B48" i="5"/>
  <c r="B46" i="5"/>
  <c r="B144" i="5"/>
  <c r="B192" i="5"/>
  <c r="B177" i="5"/>
  <c r="B151" i="5"/>
  <c r="B205" i="5"/>
  <c r="B43" i="5"/>
  <c r="B120" i="5"/>
  <c r="B127" i="5"/>
  <c r="B23" i="5"/>
  <c r="B60" i="5"/>
  <c r="B136" i="5"/>
  <c r="B38" i="5"/>
  <c r="B37" i="5"/>
  <c r="B204" i="5"/>
  <c r="B171" i="5"/>
  <c r="B189" i="5"/>
  <c r="B85" i="5"/>
  <c r="B58" i="5"/>
  <c r="B140" i="5"/>
  <c r="B27" i="5"/>
  <c r="B55" i="5"/>
  <c r="B100" i="5"/>
  <c r="B108" i="5"/>
  <c r="B125" i="5"/>
  <c r="B132" i="5"/>
  <c r="B103" i="5"/>
  <c r="B30" i="5"/>
  <c r="B18" i="5"/>
  <c r="B154" i="5"/>
  <c r="B179" i="5"/>
  <c r="B183" i="5"/>
  <c r="B201" i="5"/>
  <c r="B45" i="5"/>
  <c r="B113" i="5"/>
  <c r="B50" i="5"/>
  <c r="B80" i="5"/>
  <c r="B66" i="5"/>
  <c r="B92" i="5"/>
  <c r="B124" i="5"/>
  <c r="B63" i="5"/>
  <c r="B20" i="5"/>
  <c r="B115" i="5"/>
  <c r="B153" i="5"/>
  <c r="B181" i="5"/>
  <c r="B182" i="5"/>
  <c r="B195" i="5"/>
  <c r="B76" i="5"/>
  <c r="B111" i="5"/>
  <c r="B42" i="5"/>
  <c r="B41" i="5"/>
  <c r="B126" i="5"/>
  <c r="B106" i="5"/>
  <c r="B86" i="5"/>
  <c r="B91" i="5"/>
  <c r="B141" i="5"/>
  <c r="B198" i="5"/>
  <c r="B164" i="5"/>
  <c r="B174" i="5"/>
  <c r="B186" i="5"/>
  <c r="B166" i="5"/>
  <c r="B114" i="5"/>
  <c r="B152" i="5"/>
  <c r="B162" i="5"/>
  <c r="B193" i="5"/>
  <c r="B191" i="5"/>
  <c r="B194" i="5"/>
  <c r="B168" i="5"/>
  <c r="B170" i="5"/>
  <c r="B7" i="5"/>
  <c r="X216" i="1" l="1"/>
  <c r="Z216" i="1" s="1"/>
  <c r="AC216" i="1" s="1"/>
  <c r="X262" i="1"/>
  <c r="Z262" i="1" s="1"/>
  <c r="AC262" i="1" s="1"/>
  <c r="X279" i="1"/>
  <c r="X333" i="1"/>
  <c r="X386" i="1"/>
  <c r="X378" i="1"/>
  <c r="X340" i="1"/>
  <c r="X297" i="1"/>
  <c r="X444" i="1"/>
  <c r="X417" i="1"/>
  <c r="Z417" i="1" s="1"/>
  <c r="AC417" i="1" s="1"/>
  <c r="X285" i="1"/>
  <c r="Y285" i="1" s="1"/>
  <c r="X436" i="1"/>
  <c r="Z436" i="1" s="1"/>
  <c r="AC436" i="1" s="1"/>
  <c r="X388" i="1"/>
  <c r="Z388" i="1" s="1"/>
  <c r="AC388" i="1" s="1"/>
  <c r="X355" i="1"/>
  <c r="Z355" i="1" s="1"/>
  <c r="AC355" i="1" s="1"/>
  <c r="X364" i="1"/>
  <c r="X420" i="1"/>
  <c r="X392" i="1"/>
  <c r="X237" i="1"/>
  <c r="X286" i="1"/>
  <c r="X261" i="1"/>
  <c r="X278" i="1"/>
  <c r="X391" i="1"/>
  <c r="Z391" i="1" s="1"/>
  <c r="AC391" i="1" s="1"/>
  <c r="X227" i="1"/>
  <c r="Z227" i="1" s="1"/>
  <c r="AC227" i="1" s="1"/>
  <c r="X241" i="1"/>
  <c r="Z241" i="1" s="1"/>
  <c r="AC241" i="1" s="1"/>
  <c r="X457" i="1"/>
  <c r="Y457" i="1" s="1"/>
  <c r="X219" i="1"/>
  <c r="Z219" i="1" s="1"/>
  <c r="AC219" i="1" s="1"/>
  <c r="X258" i="1"/>
  <c r="X318" i="1"/>
  <c r="X427" i="1"/>
  <c r="X397" i="1"/>
  <c r="X253" i="1"/>
  <c r="X442" i="1"/>
  <c r="X321" i="1"/>
  <c r="X352" i="1"/>
  <c r="Y352" i="1" s="1"/>
  <c r="X443" i="1"/>
  <c r="Y443" i="1" s="1"/>
  <c r="X220" i="1"/>
  <c r="Y220" i="1" s="1"/>
  <c r="X349" i="1"/>
  <c r="Y349" i="1" s="1"/>
  <c r="X243" i="1"/>
  <c r="Z243" i="1" s="1"/>
  <c r="X445" i="1"/>
  <c r="X222" i="1"/>
  <c r="X314" i="1"/>
  <c r="X337" i="1"/>
  <c r="X450" i="1"/>
  <c r="X379" i="1"/>
  <c r="X289" i="1"/>
  <c r="X451" i="1"/>
  <c r="Z451" i="1" s="1"/>
  <c r="AC451" i="1" s="1"/>
  <c r="X239" i="1"/>
  <c r="Z239" i="1" s="1"/>
  <c r="AC239" i="1" s="1"/>
  <c r="X317" i="1"/>
  <c r="Y317" i="1" s="1"/>
  <c r="X312" i="1"/>
  <c r="Y312" i="1" s="1"/>
  <c r="X423" i="1"/>
  <c r="Y423" i="1" s="1"/>
  <c r="X402" i="1"/>
  <c r="X311" i="1"/>
  <c r="X229" i="1"/>
  <c r="X341" i="1"/>
  <c r="X280" i="1"/>
  <c r="X403" i="1"/>
  <c r="X441" i="1"/>
  <c r="X339" i="1"/>
  <c r="Z339" i="1" s="1"/>
  <c r="AC339" i="1" s="1"/>
  <c r="X224" i="1"/>
  <c r="Z224" i="1" s="1"/>
  <c r="AC224" i="1" s="1"/>
  <c r="X335" i="1"/>
  <c r="Y335" i="1" s="1"/>
  <c r="X247" i="1"/>
  <c r="Z247" i="1" s="1"/>
  <c r="AC247" i="1" s="1"/>
  <c r="X246" i="1"/>
  <c r="Y246" i="1" s="1"/>
  <c r="X225" i="1"/>
  <c r="X329" i="1"/>
  <c r="X366" i="1"/>
  <c r="X275" i="1"/>
  <c r="X298" i="1"/>
  <c r="X411" i="1"/>
  <c r="X448" i="1"/>
  <c r="X303" i="1"/>
  <c r="Z303" i="1" s="1"/>
  <c r="AC303" i="1" s="1"/>
  <c r="X365" i="1"/>
  <c r="Z365" i="1" s="1"/>
  <c r="AC365" i="1" s="1"/>
  <c r="X277" i="1"/>
  <c r="Z277" i="1" s="1"/>
  <c r="AC277" i="1" s="1"/>
  <c r="X276" i="1"/>
  <c r="Y276" i="1" s="1"/>
  <c r="X387" i="1"/>
  <c r="Y387" i="1" s="1"/>
  <c r="X421" i="1"/>
  <c r="X304" i="1"/>
  <c r="X235" i="1"/>
  <c r="X380" i="1"/>
  <c r="X435" i="1"/>
  <c r="X455" i="1"/>
  <c r="X345" i="1"/>
  <c r="X336" i="1"/>
  <c r="Y336" i="1" s="1"/>
  <c r="X398" i="1"/>
  <c r="Z398" i="1" s="1"/>
  <c r="AC398" i="1" s="1"/>
  <c r="X218" i="1"/>
  <c r="Z218" i="1" s="1"/>
  <c r="X307" i="1"/>
  <c r="Z307" i="1" s="1"/>
  <c r="AC307" i="1" s="1"/>
  <c r="X256" i="1"/>
  <c r="Z256" i="1" s="1"/>
  <c r="AC256" i="1" s="1"/>
  <c r="X434" i="1"/>
  <c r="X432" i="1"/>
  <c r="X324" i="1"/>
  <c r="X373" i="1"/>
  <c r="X381" i="1"/>
  <c r="X254" i="1"/>
  <c r="X327" i="1"/>
  <c r="Z327" i="1" s="1"/>
  <c r="AC327" i="1" s="1"/>
  <c r="X231" i="1"/>
  <c r="Y231" i="1" s="1"/>
  <c r="X422" i="1"/>
  <c r="Y422" i="1" s="1"/>
  <c r="X447" i="1"/>
  <c r="Y447" i="1" s="1"/>
  <c r="X406" i="1"/>
  <c r="Y406" i="1" s="1"/>
  <c r="X363" i="1"/>
  <c r="Z363" i="1" s="1"/>
  <c r="AC363" i="1" s="1"/>
  <c r="X438" i="1"/>
  <c r="X405" i="1"/>
  <c r="X412" i="1"/>
  <c r="X374" i="1"/>
  <c r="X232" i="1"/>
  <c r="X265" i="1"/>
  <c r="X325" i="1"/>
  <c r="Z325" i="1" s="1"/>
  <c r="AC325" i="1" s="1"/>
  <c r="X245" i="1"/>
  <c r="Y245" i="1" s="1"/>
  <c r="X393" i="1"/>
  <c r="Z393" i="1" s="1"/>
  <c r="AC393" i="1" s="1"/>
  <c r="X343" i="1"/>
  <c r="Z343" i="1" s="1"/>
  <c r="AC343" i="1" s="1"/>
  <c r="X296" i="1"/>
  <c r="Y296" i="1" s="1"/>
  <c r="X416" i="1"/>
  <c r="Z416" i="1" s="1"/>
  <c r="AC416" i="1" s="1"/>
  <c r="X344" i="1"/>
  <c r="X301" i="1"/>
  <c r="X382" i="1"/>
  <c r="X346" i="1"/>
  <c r="X309" i="1"/>
  <c r="X292" i="1"/>
  <c r="X418" i="1"/>
  <c r="X328" i="1"/>
  <c r="Z328" i="1" s="1"/>
  <c r="AC328" i="1" s="1"/>
  <c r="X353" i="1"/>
  <c r="Y353" i="1" s="1"/>
  <c r="X453" i="1"/>
  <c r="Z453" i="1" s="1"/>
  <c r="AC453" i="1" s="1"/>
  <c r="X295" i="1"/>
  <c r="Y295" i="1" s="1"/>
  <c r="X428" i="1"/>
  <c r="Z428" i="1" s="1"/>
  <c r="AC428" i="1" s="1"/>
  <c r="X284" i="1"/>
  <c r="X249" i="1"/>
  <c r="X460" i="1"/>
  <c r="X315" i="1"/>
  <c r="X376" i="1"/>
  <c r="X217" i="1"/>
  <c r="X452" i="1"/>
  <c r="Y452" i="1" s="1"/>
  <c r="X404" i="1"/>
  <c r="Z404" i="1" s="1"/>
  <c r="AC404" i="1" s="1"/>
  <c r="X384" i="1"/>
  <c r="Z384" i="1" s="1"/>
  <c r="AC384" i="1" s="1"/>
  <c r="X362" i="1"/>
  <c r="Z362" i="1" s="1"/>
  <c r="AC362" i="1" s="1"/>
  <c r="X334" i="1"/>
  <c r="Z334" i="1" s="1"/>
  <c r="AC334" i="1" s="1"/>
  <c r="X293" i="1"/>
  <c r="Y293" i="1" s="1"/>
  <c r="X260" i="1"/>
  <c r="X268" i="1"/>
  <c r="X401" i="1"/>
  <c r="X439" i="1"/>
  <c r="X359" i="1"/>
  <c r="X331" i="1"/>
  <c r="X338" i="1"/>
  <c r="Y338" i="1" s="1"/>
  <c r="X433" i="1"/>
  <c r="Z433" i="1" s="1"/>
  <c r="AC433" i="1" s="1"/>
  <c r="X399" i="1"/>
  <c r="Y399" i="1" s="1"/>
  <c r="X354" i="1"/>
  <c r="Z354" i="1" s="1"/>
  <c r="AC354" i="1" s="1"/>
  <c r="X396" i="1"/>
  <c r="Y396" i="1" s="1"/>
  <c r="X414" i="1"/>
  <c r="Y414" i="1" s="1"/>
  <c r="X250" i="1"/>
  <c r="X221" i="1"/>
  <c r="X358" i="1"/>
  <c r="X248" i="1"/>
  <c r="X252" i="1"/>
  <c r="X230" i="1"/>
  <c r="X272" i="1"/>
  <c r="Z272" i="1" s="1"/>
  <c r="AC272" i="1" s="1"/>
  <c r="X369" i="1"/>
  <c r="Y369" i="1" s="1"/>
  <c r="X459" i="1"/>
  <c r="Y459" i="1" s="1"/>
  <c r="X426" i="1"/>
  <c r="Y426" i="1" s="1"/>
  <c r="X370" i="1"/>
  <c r="Z370" i="1" s="1"/>
  <c r="AC370" i="1" s="1"/>
  <c r="X430" i="1"/>
  <c r="Y430" i="1" s="1"/>
  <c r="X400" i="1"/>
  <c r="X288" i="1"/>
  <c r="X383" i="1"/>
  <c r="X437" i="1"/>
  <c r="X255" i="1"/>
  <c r="X313" i="1"/>
  <c r="X425" i="1"/>
  <c r="Z425" i="1" s="1"/>
  <c r="AC425" i="1" s="1"/>
  <c r="X274" i="1"/>
  <c r="Z274" i="1" s="1"/>
  <c r="AC274" i="1" s="1"/>
  <c r="X330" i="1"/>
  <c r="Y330" i="1" s="1"/>
  <c r="X238" i="1"/>
  <c r="Z238" i="1" s="1"/>
  <c r="AC238" i="1" s="1"/>
  <c r="X368" i="1"/>
  <c r="Z368" i="1" s="1"/>
  <c r="AC368" i="1" s="1"/>
  <c r="X236" i="1"/>
  <c r="Z236" i="1" s="1"/>
  <c r="AC236" i="1" s="1"/>
  <c r="X446" i="1"/>
  <c r="X356" i="1"/>
  <c r="X226" i="1"/>
  <c r="X320" i="1"/>
  <c r="X347" i="1"/>
  <c r="X266" i="1"/>
  <c r="X263" i="1"/>
  <c r="Z263" i="1" s="1"/>
  <c r="AC263" i="1" s="1"/>
  <c r="X431" i="1"/>
  <c r="Z431" i="1" s="1"/>
  <c r="AC431" i="1" s="1"/>
  <c r="X360" i="1"/>
  <c r="Y360" i="1" s="1"/>
  <c r="X251" i="1"/>
  <c r="Z251" i="1" s="1"/>
  <c r="AC251" i="1" s="1"/>
  <c r="X395" i="1"/>
  <c r="Z395" i="1" s="1"/>
  <c r="AC395" i="1" s="1"/>
  <c r="X281" i="1"/>
  <c r="Z281" i="1" s="1"/>
  <c r="AC281" i="1" s="1"/>
  <c r="X264" i="1"/>
  <c r="X342" i="1"/>
  <c r="X454" i="1"/>
  <c r="X271" i="1"/>
  <c r="Y271" i="1" s="1"/>
  <c r="X287" i="1"/>
  <c r="X348" i="1"/>
  <c r="X367" i="1"/>
  <c r="Y367" i="1" s="1"/>
  <c r="X410" i="1"/>
  <c r="Y410" i="1" s="1"/>
  <c r="X361" i="1"/>
  <c r="Z361" i="1" s="1"/>
  <c r="AC361" i="1" s="1"/>
  <c r="X372" i="1"/>
  <c r="Y372" i="1" s="1"/>
  <c r="X371" i="1"/>
  <c r="Y371" i="1" s="1"/>
  <c r="X351" i="1"/>
  <c r="Y351" i="1" s="1"/>
  <c r="X419" i="1"/>
  <c r="X228" i="1"/>
  <c r="X302" i="1"/>
  <c r="X407" i="1"/>
  <c r="Y407" i="1" s="1"/>
  <c r="X350" i="1"/>
  <c r="X316" i="1"/>
  <c r="X394" i="1"/>
  <c r="Y394" i="1" s="1"/>
  <c r="X259" i="1"/>
  <c r="Z259" i="1" s="1"/>
  <c r="AC259" i="1" s="1"/>
  <c r="X300" i="1"/>
  <c r="Y300" i="1" s="1"/>
  <c r="X429" i="1"/>
  <c r="Z429" i="1" s="1"/>
  <c r="AC429" i="1" s="1"/>
  <c r="X409" i="1"/>
  <c r="Y409" i="1" s="1"/>
  <c r="X233" i="1"/>
  <c r="Y233" i="1" s="1"/>
  <c r="X299" i="1"/>
  <c r="Y299" i="1" s="1"/>
  <c r="X440" i="1"/>
  <c r="X375" i="1"/>
  <c r="X306" i="1"/>
  <c r="Z306" i="1" s="1"/>
  <c r="AC306" i="1" s="1"/>
  <c r="X273" i="1"/>
  <c r="X332" i="1"/>
  <c r="X305" i="1"/>
  <c r="Y305" i="1" s="1"/>
  <c r="X294" i="1"/>
  <c r="Y294" i="1" s="1"/>
  <c r="X257" i="1"/>
  <c r="Z257" i="1" s="1"/>
  <c r="AC257" i="1" s="1"/>
  <c r="X223" i="1"/>
  <c r="Z223" i="1" s="1"/>
  <c r="AC223" i="1" s="1"/>
  <c r="X357" i="1"/>
  <c r="Z357" i="1" s="1"/>
  <c r="AC357" i="1" s="1"/>
  <c r="X449" i="1"/>
  <c r="Z449" i="1" s="1"/>
  <c r="AC449" i="1" s="1"/>
  <c r="X244" i="1"/>
  <c r="Z244" i="1" s="1"/>
  <c r="AC244" i="1" s="1"/>
  <c r="X377" i="1"/>
  <c r="X389" i="1"/>
  <c r="X310" i="1"/>
  <c r="Z310" i="1" s="1"/>
  <c r="AC310" i="1" s="1"/>
  <c r="X291" i="1"/>
  <c r="X408" i="1"/>
  <c r="X413" i="1"/>
  <c r="Z413" i="1" s="1"/>
  <c r="AC413" i="1" s="1"/>
  <c r="X323" i="1"/>
  <c r="Y323" i="1" s="1"/>
  <c r="X456" i="1"/>
  <c r="Z456" i="1" s="1"/>
  <c r="AC456" i="1" s="1"/>
  <c r="X290" i="1"/>
  <c r="Z290" i="1" s="1"/>
  <c r="AC290" i="1" s="1"/>
  <c r="X242" i="1"/>
  <c r="Z242" i="1" s="1"/>
  <c r="AC242" i="1" s="1"/>
  <c r="X458" i="1"/>
  <c r="Z458" i="1" s="1"/>
  <c r="AC458" i="1" s="1"/>
  <c r="X385" i="1"/>
  <c r="Z385" i="1" s="1"/>
  <c r="AC385" i="1" s="1"/>
  <c r="X283" i="1"/>
  <c r="Y283" i="1" s="1"/>
  <c r="X234" i="1"/>
  <c r="Y234" i="1" s="1"/>
  <c r="X319" i="1"/>
  <c r="Z319" i="1" s="1"/>
  <c r="AC319" i="1" s="1"/>
  <c r="X240" i="1"/>
  <c r="Y240" i="1" s="1"/>
  <c r="X282" i="1"/>
  <c r="Z282" i="1" s="1"/>
  <c r="AC282" i="1" s="1"/>
  <c r="X270" i="1"/>
  <c r="Z270" i="1" s="1"/>
  <c r="AC270" i="1" s="1"/>
  <c r="X308" i="1"/>
  <c r="Z308" i="1" s="1"/>
  <c r="AC308" i="1" s="1"/>
  <c r="X322" i="1"/>
  <c r="Z322" i="1" s="1"/>
  <c r="AC322" i="1" s="1"/>
  <c r="X390" i="1"/>
  <c r="Z390" i="1" s="1"/>
  <c r="AC390" i="1" s="1"/>
  <c r="X267" i="1"/>
  <c r="Y267" i="1" s="1"/>
  <c r="X415" i="1"/>
  <c r="Y415" i="1" s="1"/>
  <c r="X269" i="1"/>
  <c r="Y269" i="1" s="1"/>
  <c r="X326" i="1"/>
  <c r="Y326" i="1" s="1"/>
  <c r="X424" i="1"/>
  <c r="Y424" i="1" s="1"/>
  <c r="Y225" i="1"/>
  <c r="Y248" i="1"/>
  <c r="Z252" i="1"/>
  <c r="AC252" i="1" s="1"/>
  <c r="Y304" i="1"/>
  <c r="Y311" i="1"/>
  <c r="Y315" i="1"/>
  <c r="Y318" i="1"/>
  <c r="Y333" i="1"/>
  <c r="Z348" i="1"/>
  <c r="AC348" i="1" s="1"/>
  <c r="Y366" i="1"/>
  <c r="Y378" i="1"/>
  <c r="Z225" i="1"/>
  <c r="AC225" i="1" s="1"/>
  <c r="Y230" i="1"/>
  <c r="Y237" i="1"/>
  <c r="Z248" i="1"/>
  <c r="AC248" i="1" s="1"/>
  <c r="Y278" i="1"/>
  <c r="Z296" i="1"/>
  <c r="AC296" i="1" s="1"/>
  <c r="Z304" i="1"/>
  <c r="AC304" i="1" s="1"/>
  <c r="Z311" i="1"/>
  <c r="AC311" i="1" s="1"/>
  <c r="Z315" i="1"/>
  <c r="AC315" i="1" s="1"/>
  <c r="Z318" i="1"/>
  <c r="AC318" i="1" s="1"/>
  <c r="Z333" i="1"/>
  <c r="AC333" i="1" s="1"/>
  <c r="Y356" i="1"/>
  <c r="Z366" i="1"/>
  <c r="AC366" i="1" s="1"/>
  <c r="Z378" i="1"/>
  <c r="AC378" i="1" s="1"/>
  <c r="Z222" i="1"/>
  <c r="AC222" i="1" s="1"/>
  <c r="Z226" i="1"/>
  <c r="AC226" i="1" s="1"/>
  <c r="Z253" i="1"/>
  <c r="AC253" i="1" s="1"/>
  <c r="Z260" i="1"/>
  <c r="AC260" i="1" s="1"/>
  <c r="Y264" i="1"/>
  <c r="Z268" i="1"/>
  <c r="AC268" i="1" s="1"/>
  <c r="Z271" i="1"/>
  <c r="AC271" i="1" s="1"/>
  <c r="Z275" i="1"/>
  <c r="AC275" i="1" s="1"/>
  <c r="Z279" i="1"/>
  <c r="AC279" i="1" s="1"/>
  <c r="Z316" i="1"/>
  <c r="AC316" i="1" s="1"/>
  <c r="Z350" i="1"/>
  <c r="AC350" i="1" s="1"/>
  <c r="Y374" i="1"/>
  <c r="Y380" i="1"/>
  <c r="Z250" i="1"/>
  <c r="AC250" i="1" s="1"/>
  <c r="Z261" i="1"/>
  <c r="AC261" i="1" s="1"/>
  <c r="Y280" i="1"/>
  <c r="Y287" i="1"/>
  <c r="Y291" i="1"/>
  <c r="Z298" i="1"/>
  <c r="AC298" i="1" s="1"/>
  <c r="Z301" i="1"/>
  <c r="AC301" i="1" s="1"/>
  <c r="Z309" i="1"/>
  <c r="AC309" i="1" s="1"/>
  <c r="Y320" i="1"/>
  <c r="Y331" i="1"/>
  <c r="Y342" i="1"/>
  <c r="Z345" i="1"/>
  <c r="AC345" i="1" s="1"/>
  <c r="Y358" i="1"/>
  <c r="Y375" i="1"/>
  <c r="Y381" i="1"/>
  <c r="Y254" i="1"/>
  <c r="Z280" i="1"/>
  <c r="AC280" i="1" s="1"/>
  <c r="Z287" i="1"/>
  <c r="AC287" i="1" s="1"/>
  <c r="Z291" i="1"/>
  <c r="AC291" i="1" s="1"/>
  <c r="Y302" i="1"/>
  <c r="Z320" i="1"/>
  <c r="AC320" i="1" s="1"/>
  <c r="Y324" i="1"/>
  <c r="Z331" i="1"/>
  <c r="AC331" i="1" s="1"/>
  <c r="Z342" i="1"/>
  <c r="AC342" i="1" s="1"/>
  <c r="Y346" i="1"/>
  <c r="Z358" i="1"/>
  <c r="AC358" i="1" s="1"/>
  <c r="Y364" i="1"/>
  <c r="Z375" i="1"/>
  <c r="AC375" i="1" s="1"/>
  <c r="Z381" i="1"/>
  <c r="AC381" i="1" s="1"/>
  <c r="Z232" i="1"/>
  <c r="AC232" i="1" s="1"/>
  <c r="Y289" i="1"/>
  <c r="Z302" i="1"/>
  <c r="AC302" i="1" s="1"/>
  <c r="Z314" i="1"/>
  <c r="AC314" i="1" s="1"/>
  <c r="Z346" i="1"/>
  <c r="AC346" i="1" s="1"/>
  <c r="Z380" i="1"/>
  <c r="AC380" i="1" s="1"/>
  <c r="Z400" i="1"/>
  <c r="AC400" i="1" s="1"/>
  <c r="Y252" i="1"/>
  <c r="Z264" i="1"/>
  <c r="AC264" i="1" s="1"/>
  <c r="Z289" i="1"/>
  <c r="AC289" i="1" s="1"/>
  <c r="Y309" i="1"/>
  <c r="Y226" i="1"/>
  <c r="Z258" i="1"/>
  <c r="AC258" i="1" s="1"/>
  <c r="Y265" i="1"/>
  <c r="Y284" i="1"/>
  <c r="Y297" i="1"/>
  <c r="Y316" i="1"/>
  <c r="Y341" i="1"/>
  <c r="Z347" i="1"/>
  <c r="AC347" i="1" s="1"/>
  <c r="Z382" i="1"/>
  <c r="AC382" i="1" s="1"/>
  <c r="Z389" i="1"/>
  <c r="AC389" i="1" s="1"/>
  <c r="Z401" i="1"/>
  <c r="AC401" i="1" s="1"/>
  <c r="Y418" i="1"/>
  <c r="Y434" i="1"/>
  <c r="Y438" i="1"/>
  <c r="Y442" i="1"/>
  <c r="Y446" i="1"/>
  <c r="Y450" i="1"/>
  <c r="Y454" i="1"/>
  <c r="Y253" i="1"/>
  <c r="Z265" i="1"/>
  <c r="AC265" i="1" s="1"/>
  <c r="Z278" i="1"/>
  <c r="AC278" i="1" s="1"/>
  <c r="Z284" i="1"/>
  <c r="AC284" i="1" s="1"/>
  <c r="Z297" i="1"/>
  <c r="AC297" i="1" s="1"/>
  <c r="Y329" i="1"/>
  <c r="Z341" i="1"/>
  <c r="AC341" i="1" s="1"/>
  <c r="Y348" i="1"/>
  <c r="Y373" i="1"/>
  <c r="Y383" i="1"/>
  <c r="Y402" i="1"/>
  <c r="Z418" i="1"/>
  <c r="AC418" i="1" s="1"/>
  <c r="Z434" i="1"/>
  <c r="AC434" i="1" s="1"/>
  <c r="Z438" i="1"/>
  <c r="AC438" i="1" s="1"/>
  <c r="Z442" i="1"/>
  <c r="AC442" i="1" s="1"/>
  <c r="Z446" i="1"/>
  <c r="AC446" i="1" s="1"/>
  <c r="Z450" i="1"/>
  <c r="AC450" i="1" s="1"/>
  <c r="Z454" i="1"/>
  <c r="AC454" i="1" s="1"/>
  <c r="Z235" i="1"/>
  <c r="AC235" i="1" s="1"/>
  <c r="Y268" i="1"/>
  <c r="Y432" i="1"/>
  <c r="Y444" i="1"/>
  <c r="Y460" i="1"/>
  <c r="Z452" i="1"/>
  <c r="AC452" i="1" s="1"/>
  <c r="Y221" i="1"/>
  <c r="Y228" i="1"/>
  <c r="Z240" i="1"/>
  <c r="AC240" i="1" s="1"/>
  <c r="Y266" i="1"/>
  <c r="Y273" i="1"/>
  <c r="Y279" i="1"/>
  <c r="Y292" i="1"/>
  <c r="Y298" i="1"/>
  <c r="Z329" i="1"/>
  <c r="AC329" i="1" s="1"/>
  <c r="Z349" i="1"/>
  <c r="AC349" i="1" s="1"/>
  <c r="Z364" i="1"/>
  <c r="AC364" i="1" s="1"/>
  <c r="Z373" i="1"/>
  <c r="AC373" i="1" s="1"/>
  <c r="Z383" i="1"/>
  <c r="AC383" i="1" s="1"/>
  <c r="Z402" i="1"/>
  <c r="AC402" i="1" s="1"/>
  <c r="Y222" i="1"/>
  <c r="Z255" i="1"/>
  <c r="AC255" i="1" s="1"/>
  <c r="Y448" i="1"/>
  <c r="Z221" i="1"/>
  <c r="AC221" i="1" s="1"/>
  <c r="Z228" i="1"/>
  <c r="AC228" i="1" s="1"/>
  <c r="Z254" i="1"/>
  <c r="AC254" i="1" s="1"/>
  <c r="Y260" i="1"/>
  <c r="Z266" i="1"/>
  <c r="AC266" i="1" s="1"/>
  <c r="Z273" i="1"/>
  <c r="AC273" i="1" s="1"/>
  <c r="Y286" i="1"/>
  <c r="Z292" i="1"/>
  <c r="AC292" i="1" s="1"/>
  <c r="Y337" i="1"/>
  <c r="Y350" i="1"/>
  <c r="Z374" i="1"/>
  <c r="AC374" i="1" s="1"/>
  <c r="Y397" i="1"/>
  <c r="Y403" i="1"/>
  <c r="Y411" i="1"/>
  <c r="Y419" i="1"/>
  <c r="Y427" i="1"/>
  <c r="Y435" i="1"/>
  <c r="Y439" i="1"/>
  <c r="Y455" i="1"/>
  <c r="Z229" i="1"/>
  <c r="AC229" i="1" s="1"/>
  <c r="Y249" i="1"/>
  <c r="Y392" i="1"/>
  <c r="Y412" i="1"/>
  <c r="Y420" i="1"/>
  <c r="Y436" i="1"/>
  <c r="Z326" i="1"/>
  <c r="AC326" i="1" s="1"/>
  <c r="Y229" i="1"/>
  <c r="Y235" i="1"/>
  <c r="Y255" i="1"/>
  <c r="Y261" i="1"/>
  <c r="Z286" i="1"/>
  <c r="AC286" i="1" s="1"/>
  <c r="Z324" i="1"/>
  <c r="AC324" i="1" s="1"/>
  <c r="Z337" i="1"/>
  <c r="AC337" i="1" s="1"/>
  <c r="Z356" i="1"/>
  <c r="AC356" i="1" s="1"/>
  <c r="Y376" i="1"/>
  <c r="Z397" i="1"/>
  <c r="AC397" i="1" s="1"/>
  <c r="Z403" i="1"/>
  <c r="AC403" i="1" s="1"/>
  <c r="Z411" i="1"/>
  <c r="AC411" i="1" s="1"/>
  <c r="Z419" i="1"/>
  <c r="AC419" i="1" s="1"/>
  <c r="Z427" i="1"/>
  <c r="AC427" i="1" s="1"/>
  <c r="Z435" i="1"/>
  <c r="AC435" i="1" s="1"/>
  <c r="Z439" i="1"/>
  <c r="AC439" i="1" s="1"/>
  <c r="Z455" i="1"/>
  <c r="AC455" i="1" s="1"/>
  <c r="Z376" i="1"/>
  <c r="AC376" i="1" s="1"/>
  <c r="Y408" i="1"/>
  <c r="Y440" i="1"/>
  <c r="Z448" i="1"/>
  <c r="AC448" i="1" s="1"/>
  <c r="Y217" i="1"/>
  <c r="AB217" i="1" s="1"/>
  <c r="Z230" i="1"/>
  <c r="AC230" i="1" s="1"/>
  <c r="Z249" i="1"/>
  <c r="AC249" i="1" s="1"/>
  <c r="Y306" i="1"/>
  <c r="Y377" i="1"/>
  <c r="Y386" i="1"/>
  <c r="Z392" i="1"/>
  <c r="AC392" i="1" s="1"/>
  <c r="Z408" i="1"/>
  <c r="AC408" i="1" s="1"/>
  <c r="Z412" i="1"/>
  <c r="AC412" i="1" s="1"/>
  <c r="Z420" i="1"/>
  <c r="AC420" i="1" s="1"/>
  <c r="Z432" i="1"/>
  <c r="AC432" i="1" s="1"/>
  <c r="Z440" i="1"/>
  <c r="AC440" i="1" s="1"/>
  <c r="Z444" i="1"/>
  <c r="AC444" i="1" s="1"/>
  <c r="Z460" i="1"/>
  <c r="AC460" i="1" s="1"/>
  <c r="Z217" i="1"/>
  <c r="Y250" i="1"/>
  <c r="Y275" i="1"/>
  <c r="Y313" i="1"/>
  <c r="Y344" i="1"/>
  <c r="Y359" i="1"/>
  <c r="Z367" i="1"/>
  <c r="AC367" i="1" s="1"/>
  <c r="Z377" i="1"/>
  <c r="AC377" i="1" s="1"/>
  <c r="Z386" i="1"/>
  <c r="AC386" i="1" s="1"/>
  <c r="Z237" i="1"/>
  <c r="AC237" i="1" s="1"/>
  <c r="Y288" i="1"/>
  <c r="Y232" i="1"/>
  <c r="Y282" i="1"/>
  <c r="Z288" i="1"/>
  <c r="AC288" i="1" s="1"/>
  <c r="Y301" i="1"/>
  <c r="Y314" i="1"/>
  <c r="Y321" i="1"/>
  <c r="Y327" i="1"/>
  <c r="Z332" i="1"/>
  <c r="AC332" i="1" s="1"/>
  <c r="Y340" i="1"/>
  <c r="Y345" i="1"/>
  <c r="Z379" i="1"/>
  <c r="AC379" i="1" s="1"/>
  <c r="Y400" i="1"/>
  <c r="Z405" i="1"/>
  <c r="AC405" i="1" s="1"/>
  <c r="Z421" i="1"/>
  <c r="AC421" i="1" s="1"/>
  <c r="Z437" i="1"/>
  <c r="AC437" i="1" s="1"/>
  <c r="Z441" i="1"/>
  <c r="AC441" i="1" s="1"/>
  <c r="Z445" i="1"/>
  <c r="AC445" i="1" s="1"/>
  <c r="Z321" i="1"/>
  <c r="AC321" i="1" s="1"/>
  <c r="Z340" i="1"/>
  <c r="AC340" i="1" s="1"/>
  <c r="Y258" i="1"/>
  <c r="Z313" i="1"/>
  <c r="AC313" i="1" s="1"/>
  <c r="Y382" i="1"/>
  <c r="Y401" i="1"/>
  <c r="Y405" i="1"/>
  <c r="Y379" i="1"/>
  <c r="Y437" i="1"/>
  <c r="Y332" i="1"/>
  <c r="Y441" i="1"/>
  <c r="Y389" i="1"/>
  <c r="Y445" i="1"/>
  <c r="Y347" i="1"/>
  <c r="Z359" i="1"/>
  <c r="AC359" i="1" s="1"/>
  <c r="Y413" i="1"/>
  <c r="Z344" i="1"/>
  <c r="AC344" i="1" s="1"/>
  <c r="Y421" i="1"/>
  <c r="X17" i="6"/>
  <c r="Y17" i="6" s="1"/>
  <c r="AB17" i="6" s="1"/>
  <c r="X26" i="6"/>
  <c r="Y26" i="6" s="1"/>
  <c r="AB26" i="6" s="1"/>
  <c r="X50" i="1"/>
  <c r="Z50" i="1" s="1"/>
  <c r="AC50" i="1" s="1"/>
  <c r="X44" i="1"/>
  <c r="Z44" i="1" s="1"/>
  <c r="AC44" i="1" s="1"/>
  <c r="X121" i="1"/>
  <c r="Z121" i="1" s="1"/>
  <c r="AC121" i="1" s="1"/>
  <c r="X78" i="1"/>
  <c r="Z78" i="1" s="1"/>
  <c r="AC78" i="1" s="1"/>
  <c r="X21" i="1"/>
  <c r="Y21" i="1" s="1"/>
  <c r="X132" i="1"/>
  <c r="Z132" i="1" s="1"/>
  <c r="AC132" i="1" s="1"/>
  <c r="X158" i="1"/>
  <c r="Y158" i="1" s="1"/>
  <c r="X179" i="1"/>
  <c r="Z179" i="1" s="1"/>
  <c r="AC179" i="1" s="1"/>
  <c r="X85" i="1"/>
  <c r="Y85" i="1" s="1"/>
  <c r="X209" i="1"/>
  <c r="Y209" i="1" s="1"/>
  <c r="X155" i="1"/>
  <c r="Y155" i="1" s="1"/>
  <c r="X87" i="1"/>
  <c r="Z87" i="1" s="1"/>
  <c r="AC87" i="1" s="1"/>
  <c r="X75" i="1"/>
  <c r="Z75" i="1" s="1"/>
  <c r="AC75" i="1" s="1"/>
  <c r="X43" i="1"/>
  <c r="Z43" i="1" s="1"/>
  <c r="AC43" i="1" s="1"/>
  <c r="X84" i="1"/>
  <c r="Y84" i="1" s="1"/>
  <c r="X129" i="1"/>
  <c r="Y129" i="1" s="1"/>
  <c r="X210" i="1"/>
  <c r="Z210" i="1" s="1"/>
  <c r="AC210" i="1" s="1"/>
  <c r="X181" i="1"/>
  <c r="Z181" i="1" s="1"/>
  <c r="AC181" i="1" s="1"/>
  <c r="X188" i="1"/>
  <c r="Z188" i="1" s="1"/>
  <c r="AC188" i="1" s="1"/>
  <c r="X154" i="1"/>
  <c r="Y154" i="1" s="1"/>
  <c r="X173" i="1"/>
  <c r="Z173" i="1" s="1"/>
  <c r="AC173" i="1" s="1"/>
  <c r="X133" i="1"/>
  <c r="Z133" i="1" s="1"/>
  <c r="AC133" i="1" s="1"/>
  <c r="X17" i="1"/>
  <c r="Y17" i="1" s="1"/>
  <c r="X89" i="1"/>
  <c r="Z89" i="1" s="1"/>
  <c r="AC89" i="1" s="1"/>
  <c r="X150" i="1"/>
  <c r="Z150" i="1" s="1"/>
  <c r="AC150" i="1" s="1"/>
  <c r="X124" i="1"/>
  <c r="Y124" i="1" s="1"/>
  <c r="X40" i="1"/>
  <c r="Z40" i="1" s="1"/>
  <c r="AC40" i="1" s="1"/>
  <c r="X145" i="1"/>
  <c r="Y145" i="1" s="1"/>
  <c r="X38" i="1"/>
  <c r="Z38" i="1" s="1"/>
  <c r="AC38" i="1" s="1"/>
  <c r="X118" i="1"/>
  <c r="Y118" i="1" s="1"/>
  <c r="X91" i="1"/>
  <c r="Y91" i="1" s="1"/>
  <c r="X82" i="1"/>
  <c r="Y82" i="1" s="1"/>
  <c r="X203" i="1"/>
  <c r="Y203" i="1" s="1"/>
  <c r="X174" i="1"/>
  <c r="Z174" i="1" s="1"/>
  <c r="AC174" i="1" s="1"/>
  <c r="X65" i="1"/>
  <c r="Z65" i="1" s="1"/>
  <c r="AC65" i="1" s="1"/>
  <c r="X135" i="1"/>
  <c r="Z135" i="1" s="1"/>
  <c r="AC135" i="1" s="1"/>
  <c r="X168" i="1"/>
  <c r="Y168" i="1" s="1"/>
  <c r="X167" i="1"/>
  <c r="Y167" i="1" s="1"/>
  <c r="X114" i="1"/>
  <c r="Y114" i="1" s="1"/>
  <c r="X76" i="1"/>
  <c r="Z76" i="1" s="1"/>
  <c r="AC76" i="1" s="1"/>
  <c r="X195" i="1"/>
  <c r="Y195" i="1" s="1"/>
  <c r="X139" i="1"/>
  <c r="Y139" i="1" s="1"/>
  <c r="X189" i="1"/>
  <c r="Z189" i="1" s="1"/>
  <c r="AC189" i="1" s="1"/>
  <c r="X140" i="1"/>
  <c r="Y140" i="1" s="1"/>
  <c r="X58" i="1"/>
  <c r="Y58" i="1" s="1"/>
  <c r="X73" i="1"/>
  <c r="Y73" i="1" s="1"/>
  <c r="X176" i="1"/>
  <c r="Z176" i="1" s="1"/>
  <c r="AC176" i="1" s="1"/>
  <c r="X149" i="1"/>
  <c r="Y149" i="1" s="1"/>
  <c r="X29" i="1"/>
  <c r="Y29" i="1" s="1"/>
  <c r="X19" i="1"/>
  <c r="Y19" i="1" s="1"/>
  <c r="X63" i="1"/>
  <c r="Y63" i="1" s="1"/>
  <c r="X62" i="1"/>
  <c r="Y62" i="1" s="1"/>
  <c r="X66" i="1"/>
  <c r="Z66" i="1" s="1"/>
  <c r="AC66" i="1" s="1"/>
  <c r="X198" i="1"/>
  <c r="Y198" i="1" s="1"/>
  <c r="X157" i="1"/>
  <c r="Y157" i="1" s="1"/>
  <c r="X187" i="1"/>
  <c r="Y187" i="1" s="1"/>
  <c r="X30" i="1"/>
  <c r="Y30" i="1" s="1"/>
  <c r="X119" i="1"/>
  <c r="Z119" i="1" s="1"/>
  <c r="AC119" i="1" s="1"/>
  <c r="X115" i="1"/>
  <c r="Z115" i="1" s="1"/>
  <c r="AC115" i="1" s="1"/>
  <c r="X196" i="1"/>
  <c r="Y196" i="1" s="1"/>
  <c r="X185" i="1"/>
  <c r="Y185" i="1" s="1"/>
  <c r="X178" i="1"/>
  <c r="Y178" i="1" s="1"/>
  <c r="X86" i="1"/>
  <c r="Z86" i="1" s="1"/>
  <c r="AC86" i="1" s="1"/>
  <c r="X166" i="1"/>
  <c r="Z166" i="1" s="1"/>
  <c r="AC166" i="1" s="1"/>
  <c r="X74" i="1"/>
  <c r="Z74" i="1" s="1"/>
  <c r="AC74" i="1" s="1"/>
  <c r="X125" i="1"/>
  <c r="Y125" i="1" s="1"/>
  <c r="X93" i="1"/>
  <c r="Y93" i="1" s="1"/>
  <c r="X184" i="1"/>
  <c r="Y184" i="1" s="1"/>
  <c r="X204" i="1"/>
  <c r="Z204" i="1" s="1"/>
  <c r="AC204" i="1" s="1"/>
  <c r="X28" i="1"/>
  <c r="Y28" i="1" s="1"/>
  <c r="X47" i="1"/>
  <c r="Z47" i="1" s="1"/>
  <c r="AC47" i="1" s="1"/>
  <c r="X199" i="1"/>
  <c r="Z199" i="1" s="1"/>
  <c r="AC199" i="1" s="1"/>
  <c r="X200" i="1"/>
  <c r="Y200" i="1" s="1"/>
  <c r="X207" i="1"/>
  <c r="Y207" i="1" s="1"/>
  <c r="X31" i="1"/>
  <c r="Y31" i="1" s="1"/>
  <c r="X113" i="1"/>
  <c r="Y113" i="1" s="1"/>
  <c r="X202" i="1"/>
  <c r="Z202" i="1" s="1"/>
  <c r="AC202" i="1" s="1"/>
  <c r="X26" i="1"/>
  <c r="Z26" i="1" s="1"/>
  <c r="AC26" i="1" s="1"/>
  <c r="X32" i="1"/>
  <c r="Z32" i="1" s="1"/>
  <c r="AC32" i="1" s="1"/>
  <c r="X54" i="1"/>
  <c r="Z54" i="1" s="1"/>
  <c r="AC54" i="1" s="1"/>
  <c r="X33" i="1"/>
  <c r="Y33" i="1" s="1"/>
  <c r="X80" i="1"/>
  <c r="Y80" i="1" s="1"/>
  <c r="X172" i="1"/>
  <c r="Z172" i="1" s="1"/>
  <c r="AC172" i="1" s="1"/>
  <c r="X53" i="1"/>
  <c r="Y53" i="1" s="1"/>
  <c r="X191" i="1"/>
  <c r="Y191" i="1" s="1"/>
  <c r="X134" i="1"/>
  <c r="Z134" i="1" s="1"/>
  <c r="AC134" i="1" s="1"/>
  <c r="X177" i="1"/>
  <c r="Y177" i="1" s="1"/>
  <c r="X111" i="1"/>
  <c r="Z111" i="1" s="1"/>
  <c r="AC111" i="1" s="1"/>
  <c r="X48" i="1"/>
  <c r="Y48" i="1" s="1"/>
  <c r="X108" i="1"/>
  <c r="Z108" i="1" s="1"/>
  <c r="AC108" i="1" s="1"/>
  <c r="X101" i="1"/>
  <c r="Z101" i="1" s="1"/>
  <c r="AC101" i="1" s="1"/>
  <c r="X180" i="1"/>
  <c r="Y180" i="1" s="1"/>
  <c r="X211" i="1"/>
  <c r="Z211" i="1" s="1"/>
  <c r="AC211" i="1" s="1"/>
  <c r="X116" i="1"/>
  <c r="Z116" i="1" s="1"/>
  <c r="AC116" i="1" s="1"/>
  <c r="X37" i="1"/>
  <c r="Y37" i="1" s="1"/>
  <c r="X69" i="1"/>
  <c r="Y69" i="1" s="1"/>
  <c r="X100" i="1"/>
  <c r="Y100" i="1" s="1"/>
  <c r="X88" i="1"/>
  <c r="Y88" i="1" s="1"/>
  <c r="X57" i="1"/>
  <c r="Z57" i="1" s="1"/>
  <c r="AC57" i="1" s="1"/>
  <c r="X131" i="1"/>
  <c r="Y131" i="1" s="1"/>
  <c r="X147" i="1"/>
  <c r="Y147" i="1" s="1"/>
  <c r="X45" i="1"/>
  <c r="Z45" i="1" s="1"/>
  <c r="AC45" i="1" s="1"/>
  <c r="X97" i="1"/>
  <c r="Z97" i="1" s="1"/>
  <c r="AC97" i="1" s="1"/>
  <c r="X130" i="1"/>
  <c r="Y130" i="1" s="1"/>
  <c r="X99" i="1"/>
  <c r="Z99" i="1" s="1"/>
  <c r="AC99" i="1" s="1"/>
  <c r="X35" i="1"/>
  <c r="Z35" i="1" s="1"/>
  <c r="AC35" i="1" s="1"/>
  <c r="X183" i="1"/>
  <c r="Y183" i="1" s="1"/>
  <c r="AB183" i="1" s="1"/>
  <c r="X18" i="1"/>
  <c r="Y18" i="1" s="1"/>
  <c r="X16" i="1"/>
  <c r="Y16" i="1" s="1"/>
  <c r="X208" i="1"/>
  <c r="Z208" i="1" s="1"/>
  <c r="X24" i="1"/>
  <c r="Z24" i="1" s="1"/>
  <c r="AC24" i="1" s="1"/>
  <c r="X56" i="1"/>
  <c r="Y56" i="1" s="1"/>
  <c r="X151" i="1"/>
  <c r="Y151" i="1" s="1"/>
  <c r="X79" i="1"/>
  <c r="Y79" i="1" s="1"/>
  <c r="X171" i="1"/>
  <c r="Z171" i="1" s="1"/>
  <c r="X186" i="1"/>
  <c r="Z186" i="1" s="1"/>
  <c r="AC186" i="1" s="1"/>
  <c r="X41" i="1"/>
  <c r="Z41" i="1" s="1"/>
  <c r="AC41" i="1" s="1"/>
  <c r="X72" i="1"/>
  <c r="Z72" i="1" s="1"/>
  <c r="AC72" i="1" s="1"/>
  <c r="X34" i="1"/>
  <c r="Y34" i="1" s="1"/>
  <c r="X39" i="1"/>
  <c r="Y39" i="1" s="1"/>
  <c r="X112" i="1"/>
  <c r="Z112" i="1" s="1"/>
  <c r="AC112" i="1" s="1"/>
  <c r="X67" i="1"/>
  <c r="Z67" i="1" s="1"/>
  <c r="AC67" i="1" s="1"/>
  <c r="X55" i="1"/>
  <c r="Y55" i="1" s="1"/>
  <c r="X128" i="1"/>
  <c r="Y128" i="1" s="1"/>
  <c r="X193" i="1"/>
  <c r="Y193" i="1" s="1"/>
  <c r="X148" i="1"/>
  <c r="Z148" i="1" s="1"/>
  <c r="AC148" i="1" s="1"/>
  <c r="X156" i="1"/>
  <c r="Y156" i="1" s="1"/>
  <c r="X213" i="1"/>
  <c r="Y213" i="1" s="1"/>
  <c r="X170" i="1"/>
  <c r="Y170" i="1" s="1"/>
  <c r="X182" i="1"/>
  <c r="Z182" i="1" s="1"/>
  <c r="AC182" i="1" s="1"/>
  <c r="X70" i="1"/>
  <c r="Y70" i="1" s="1"/>
  <c r="X214" i="1"/>
  <c r="Y214" i="1" s="1"/>
  <c r="X123" i="1"/>
  <c r="Z123" i="1" s="1"/>
  <c r="AC123" i="1" s="1"/>
  <c r="X102" i="1"/>
  <c r="Y102" i="1" s="1"/>
  <c r="X90" i="1"/>
  <c r="Y90" i="1" s="1"/>
  <c r="X106" i="1"/>
  <c r="Y106" i="1" s="1"/>
  <c r="X212" i="1"/>
  <c r="Y212" i="1" s="1"/>
  <c r="X23" i="1"/>
  <c r="Z23" i="1" s="1"/>
  <c r="AC23" i="1" s="1"/>
  <c r="X59" i="1"/>
  <c r="Z59" i="1" s="1"/>
  <c r="AC59" i="1" s="1"/>
  <c r="X49" i="1"/>
  <c r="Z49" i="1" s="1"/>
  <c r="AC49" i="1" s="1"/>
  <c r="X94" i="1"/>
  <c r="Z94" i="1" s="1"/>
  <c r="AC94" i="1" s="1"/>
  <c r="X120" i="1"/>
  <c r="Z120" i="1" s="1"/>
  <c r="AC120" i="1" s="1"/>
  <c r="X109" i="1"/>
  <c r="Z109" i="1" s="1"/>
  <c r="AC109" i="1" s="1"/>
  <c r="X103" i="1"/>
  <c r="Z103" i="1" s="1"/>
  <c r="AC103" i="1" s="1"/>
  <c r="X61" i="1"/>
  <c r="Z61" i="1" s="1"/>
  <c r="AC61" i="1" s="1"/>
  <c r="X153" i="1"/>
  <c r="Z153" i="1" s="1"/>
  <c r="AC153" i="1" s="1"/>
  <c r="X27" i="1"/>
  <c r="Z27" i="1" s="1"/>
  <c r="AC27" i="1" s="1"/>
  <c r="X144" i="1"/>
  <c r="Y144" i="1" s="1"/>
  <c r="X146" i="1"/>
  <c r="Y146" i="1" s="1"/>
  <c r="X127" i="1"/>
  <c r="Y127" i="1" s="1"/>
  <c r="X110" i="1"/>
  <c r="Y110" i="1" s="1"/>
  <c r="X190" i="1"/>
  <c r="Z190" i="1" s="1"/>
  <c r="AC190" i="1" s="1"/>
  <c r="X98" i="1"/>
  <c r="Z98" i="1" s="1"/>
  <c r="AC98" i="1" s="1"/>
  <c r="X175" i="1"/>
  <c r="Z175" i="1" s="1"/>
  <c r="AC175" i="1" s="1"/>
  <c r="X160" i="1"/>
  <c r="Y160" i="1" s="1"/>
  <c r="X194" i="1"/>
  <c r="Z194" i="1" s="1"/>
  <c r="AC194" i="1" s="1"/>
  <c r="X197" i="1"/>
  <c r="Y197" i="1" s="1"/>
  <c r="X201" i="1"/>
  <c r="Y201" i="1" s="1"/>
  <c r="X138" i="1"/>
  <c r="Z138" i="1" s="1"/>
  <c r="AC138" i="1" s="1"/>
  <c r="X77" i="1"/>
  <c r="Y77" i="1" s="1"/>
  <c r="X83" i="1"/>
  <c r="Z83" i="1" s="1"/>
  <c r="AC83" i="1" s="1"/>
  <c r="X64" i="1"/>
  <c r="Y64" i="1" s="1"/>
  <c r="X42" i="1"/>
  <c r="Z42" i="1" s="1"/>
  <c r="AC42" i="1" s="1"/>
  <c r="X142" i="1"/>
  <c r="Z142" i="1" s="1"/>
  <c r="AC142" i="1" s="1"/>
  <c r="X192" i="1"/>
  <c r="Z192" i="1" s="1"/>
  <c r="AC192" i="1" s="1"/>
  <c r="X20" i="1"/>
  <c r="Y20" i="1" s="1"/>
  <c r="X36" i="1"/>
  <c r="Z36" i="1" s="1"/>
  <c r="AC36" i="1" s="1"/>
  <c r="X105" i="1"/>
  <c r="Z105" i="1" s="1"/>
  <c r="AC105" i="1" s="1"/>
  <c r="X162" i="1"/>
  <c r="Z162" i="1" s="1"/>
  <c r="AC162" i="1" s="1"/>
  <c r="X161" i="1"/>
  <c r="Y161" i="1" s="1"/>
  <c r="X137" i="1"/>
  <c r="Y137" i="1" s="1"/>
  <c r="X71" i="1"/>
  <c r="Y71" i="1" s="1"/>
  <c r="X141" i="1"/>
  <c r="Y141" i="1" s="1"/>
  <c r="X169" i="1"/>
  <c r="Z169" i="1" s="1"/>
  <c r="AC169" i="1" s="1"/>
  <c r="X163" i="1"/>
  <c r="Z163" i="1" s="1"/>
  <c r="AC163" i="1" s="1"/>
  <c r="X60" i="1"/>
  <c r="Z60" i="1" s="1"/>
  <c r="AC60" i="1" s="1"/>
  <c r="X46" i="1"/>
  <c r="Z46" i="1" s="1"/>
  <c r="AC46" i="1" s="1"/>
  <c r="X126" i="1"/>
  <c r="Y126" i="1" s="1"/>
  <c r="X52" i="1"/>
  <c r="Y52" i="1" s="1"/>
  <c r="X81" i="1"/>
  <c r="Z81" i="1" s="1"/>
  <c r="AC81" i="1" s="1"/>
  <c r="X25" i="1"/>
  <c r="Y25" i="1" s="1"/>
  <c r="X206" i="1"/>
  <c r="Z206" i="1" s="1"/>
  <c r="AC206" i="1" s="1"/>
  <c r="X205" i="1"/>
  <c r="Y205" i="1" s="1"/>
  <c r="X159" i="1"/>
  <c r="Y159" i="1" s="1"/>
  <c r="X68" i="1"/>
  <c r="Z68" i="1" s="1"/>
  <c r="AC68" i="1" s="1"/>
  <c r="X96" i="1"/>
  <c r="Y96" i="1" s="1"/>
  <c r="X95" i="1"/>
  <c r="Y95" i="1" s="1"/>
  <c r="X122" i="1"/>
  <c r="Z122" i="1" s="1"/>
  <c r="AC122" i="1" s="1"/>
  <c r="X117" i="1"/>
  <c r="Z117" i="1" s="1"/>
  <c r="AC117" i="1" s="1"/>
  <c r="X143" i="1"/>
  <c r="Z143" i="1" s="1"/>
  <c r="AC143" i="1" s="1"/>
  <c r="X215" i="1"/>
  <c r="Z215" i="1" s="1"/>
  <c r="AC215" i="1" s="1"/>
  <c r="X51" i="1"/>
  <c r="Y51" i="1" s="1"/>
  <c r="X107" i="1"/>
  <c r="Y107" i="1" s="1"/>
  <c r="X152" i="1"/>
  <c r="Y152" i="1" s="1"/>
  <c r="X104" i="1"/>
  <c r="Y104" i="1" s="1"/>
  <c r="X165" i="1"/>
  <c r="Z165" i="1" s="1"/>
  <c r="AC165" i="1" s="1"/>
  <c r="X22" i="1"/>
  <c r="Z22" i="1" s="1"/>
  <c r="AC22" i="1" s="1"/>
  <c r="X92" i="1"/>
  <c r="Y92" i="1" s="1"/>
  <c r="X136" i="1"/>
  <c r="Y136" i="1" s="1"/>
  <c r="X164" i="1"/>
  <c r="Y164" i="1" s="1"/>
  <c r="X84" i="6"/>
  <c r="Y84" i="6" s="1"/>
  <c r="AB84" i="6" s="1"/>
  <c r="X93" i="6"/>
  <c r="Y93" i="6" s="1"/>
  <c r="AB93" i="6" s="1"/>
  <c r="X105" i="6"/>
  <c r="Y105" i="6" s="1"/>
  <c r="AB105" i="6" s="1"/>
  <c r="X39" i="6"/>
  <c r="Y39" i="6" s="1"/>
  <c r="AB39" i="6" s="1"/>
  <c r="X41" i="6"/>
  <c r="Y41" i="6" s="1"/>
  <c r="AB41" i="6" s="1"/>
  <c r="X71" i="6"/>
  <c r="Y71" i="6" s="1"/>
  <c r="AB71" i="6" s="1"/>
  <c r="X28" i="6"/>
  <c r="Y28" i="6" s="1"/>
  <c r="AB28" i="6" s="1"/>
  <c r="X74" i="6"/>
  <c r="Y74" i="6" s="1"/>
  <c r="AB74" i="6" s="1"/>
  <c r="X117" i="6"/>
  <c r="Y117" i="6" s="1"/>
  <c r="AB117" i="6" s="1"/>
  <c r="X49" i="6"/>
  <c r="Y49" i="6" s="1"/>
  <c r="AB49" i="6" s="1"/>
  <c r="X94" i="6"/>
  <c r="Y94" i="6" s="1"/>
  <c r="AB94" i="6" s="1"/>
  <c r="X112" i="6"/>
  <c r="Y112" i="6" s="1"/>
  <c r="AB112" i="6" s="1"/>
  <c r="X22" i="6"/>
  <c r="Y22" i="6" s="1"/>
  <c r="AB22" i="6" s="1"/>
  <c r="X72" i="6"/>
  <c r="Y72" i="6" s="1"/>
  <c r="AB72" i="6" s="1"/>
  <c r="X89" i="6"/>
  <c r="Y89" i="6" s="1"/>
  <c r="AB89" i="6" s="1"/>
  <c r="X86" i="6"/>
  <c r="Y86" i="6" s="1"/>
  <c r="AB86" i="6" s="1"/>
  <c r="X102" i="6"/>
  <c r="Y102" i="6" s="1"/>
  <c r="AB102" i="6" s="1"/>
  <c r="X38" i="6"/>
  <c r="Y38" i="6" s="1"/>
  <c r="AB38" i="6" s="1"/>
  <c r="X34" i="6"/>
  <c r="Y34" i="6" s="1"/>
  <c r="AB34" i="6" s="1"/>
  <c r="X111" i="6"/>
  <c r="Y111" i="6" s="1"/>
  <c r="AB111" i="6" s="1"/>
  <c r="X63" i="6"/>
  <c r="Y63" i="6" s="1"/>
  <c r="AB63" i="6" s="1"/>
  <c r="X104" i="6"/>
  <c r="Y104" i="6" s="1"/>
  <c r="AB104" i="6" s="1"/>
  <c r="X23" i="6"/>
  <c r="Y23" i="6" s="1"/>
  <c r="AB23" i="6" s="1"/>
  <c r="X60" i="6"/>
  <c r="Y60" i="6" s="1"/>
  <c r="AB60" i="6" s="1"/>
  <c r="X91" i="6"/>
  <c r="Y91" i="6" s="1"/>
  <c r="AB91" i="6" s="1"/>
  <c r="X92" i="6"/>
  <c r="Y92" i="6" s="1"/>
  <c r="AB92" i="6" s="1"/>
  <c r="X68" i="6"/>
  <c r="Y68" i="6" s="1"/>
  <c r="AB68" i="6" s="1"/>
  <c r="X47" i="6"/>
  <c r="Y47" i="6" s="1"/>
  <c r="AB47" i="6" s="1"/>
  <c r="X21" i="6"/>
  <c r="Y21" i="6" s="1"/>
  <c r="AB21" i="6" s="1"/>
  <c r="X82" i="6"/>
  <c r="Y82" i="6" s="1"/>
  <c r="AB82" i="6" s="1"/>
  <c r="X100" i="6"/>
  <c r="Y100" i="6" s="1"/>
  <c r="AB100" i="6" s="1"/>
  <c r="X83" i="6"/>
  <c r="Y83" i="6" s="1"/>
  <c r="AB83" i="6" s="1"/>
  <c r="X35" i="6"/>
  <c r="Y35" i="6" s="1"/>
  <c r="AB35" i="6" s="1"/>
  <c r="X45" i="6"/>
  <c r="Y45" i="6" s="1"/>
  <c r="AB45" i="6" s="1"/>
  <c r="X78" i="6"/>
  <c r="Y78" i="6" s="1"/>
  <c r="AB78" i="6" s="1"/>
  <c r="X108" i="6"/>
  <c r="Y108" i="6" s="1"/>
  <c r="AB108" i="6" s="1"/>
  <c r="X115" i="6"/>
  <c r="Y115" i="6" s="1"/>
  <c r="AB115" i="6" s="1"/>
  <c r="X66" i="6"/>
  <c r="Y66" i="6" s="1"/>
  <c r="AB66" i="6" s="1"/>
  <c r="X57" i="6"/>
  <c r="Y57" i="6" s="1"/>
  <c r="AB57" i="6" s="1"/>
  <c r="X77" i="6"/>
  <c r="Y77" i="6" s="1"/>
  <c r="AB77" i="6" s="1"/>
  <c r="X101" i="6"/>
  <c r="Y101" i="6" s="1"/>
  <c r="AB101" i="6" s="1"/>
  <c r="X97" i="6"/>
  <c r="Y97" i="6" s="1"/>
  <c r="AB97" i="6" s="1"/>
  <c r="X32" i="6"/>
  <c r="Y32" i="6" s="1"/>
  <c r="AB32" i="6" s="1"/>
  <c r="X109" i="6"/>
  <c r="Y109" i="6" s="1"/>
  <c r="AB109" i="6" s="1"/>
  <c r="X88" i="6"/>
  <c r="Y88" i="6" s="1"/>
  <c r="AB88" i="6" s="1"/>
  <c r="X44" i="6"/>
  <c r="Y44" i="6" s="1"/>
  <c r="AB44" i="6" s="1"/>
  <c r="X114" i="6"/>
  <c r="Y114" i="6" s="1"/>
  <c r="AB114" i="6" s="1"/>
  <c r="X67" i="6"/>
  <c r="Y67" i="6" s="1"/>
  <c r="AB67" i="6" s="1"/>
  <c r="X29" i="6"/>
  <c r="Y29" i="6" s="1"/>
  <c r="AB29" i="6" s="1"/>
  <c r="X54" i="6"/>
  <c r="Y54" i="6" s="1"/>
  <c r="AB54" i="6" s="1"/>
  <c r="X59" i="6"/>
  <c r="Y59" i="6" s="1"/>
  <c r="AB59" i="6" s="1"/>
  <c r="X20" i="6"/>
  <c r="Y20" i="6" s="1"/>
  <c r="AB20" i="6" s="1"/>
  <c r="X106" i="6"/>
  <c r="Y106" i="6" s="1"/>
  <c r="AB106" i="6" s="1"/>
  <c r="X43" i="6"/>
  <c r="Y43" i="6" s="1"/>
  <c r="AB43" i="6" s="1"/>
  <c r="X103" i="6"/>
  <c r="Y103" i="6" s="1"/>
  <c r="AB103" i="6" s="1"/>
  <c r="X85" i="6"/>
  <c r="Y85" i="6" s="1"/>
  <c r="AB85" i="6" s="1"/>
  <c r="X64" i="6"/>
  <c r="Y64" i="6" s="1"/>
  <c r="AB64" i="6" s="1"/>
  <c r="X33" i="6"/>
  <c r="Y33" i="6" s="1"/>
  <c r="AB33" i="6" s="1"/>
  <c r="X80" i="6"/>
  <c r="Y80" i="6" s="1"/>
  <c r="AB80" i="6" s="1"/>
  <c r="X61" i="6"/>
  <c r="Y61" i="6" s="1"/>
  <c r="AB61" i="6" s="1"/>
  <c r="X30" i="6"/>
  <c r="Y30" i="6" s="1"/>
  <c r="AB30" i="6" s="1"/>
  <c r="X52" i="6"/>
  <c r="Y52" i="6" s="1"/>
  <c r="AB52" i="6" s="1"/>
  <c r="X40" i="6"/>
  <c r="Y40" i="6" s="1"/>
  <c r="AB40" i="6" s="1"/>
  <c r="X65" i="6"/>
  <c r="Y65" i="6" s="1"/>
  <c r="AB65" i="6" s="1"/>
  <c r="X76" i="6"/>
  <c r="Y76" i="6" s="1"/>
  <c r="AB76" i="6" s="1"/>
  <c r="X48" i="6"/>
  <c r="Y48" i="6" s="1"/>
  <c r="AB48" i="6" s="1"/>
  <c r="X62" i="6"/>
  <c r="Y62" i="6" s="1"/>
  <c r="AB62" i="6" s="1"/>
  <c r="X56" i="6"/>
  <c r="Y56" i="6" s="1"/>
  <c r="AB56" i="6" s="1"/>
  <c r="X87" i="6"/>
  <c r="Y87" i="6" s="1"/>
  <c r="AB87" i="6" s="1"/>
  <c r="X50" i="6"/>
  <c r="Y50" i="6" s="1"/>
  <c r="AB50" i="6" s="1"/>
  <c r="X27" i="6"/>
  <c r="Y27" i="6" s="1"/>
  <c r="AB27" i="6" s="1"/>
  <c r="X98" i="6"/>
  <c r="Y98" i="6" s="1"/>
  <c r="AB98" i="6" s="1"/>
  <c r="X42" i="6"/>
  <c r="Y42" i="6" s="1"/>
  <c r="AB42" i="6" s="1"/>
  <c r="X37" i="6"/>
  <c r="Y37" i="6" s="1"/>
  <c r="AB37" i="6" s="1"/>
  <c r="X55" i="6"/>
  <c r="Y55" i="6" s="1"/>
  <c r="AB55" i="6" s="1"/>
  <c r="X75" i="6"/>
  <c r="Y75" i="6" s="1"/>
  <c r="AB75" i="6" s="1"/>
  <c r="X118" i="6"/>
  <c r="Y118" i="6" s="1"/>
  <c r="AB118" i="6" s="1"/>
  <c r="X58" i="6"/>
  <c r="Y58" i="6" s="1"/>
  <c r="AB58" i="6" s="1"/>
  <c r="X69" i="6"/>
  <c r="Y69" i="6" s="1"/>
  <c r="AB69" i="6" s="1"/>
  <c r="X113" i="6"/>
  <c r="Y113" i="6" s="1"/>
  <c r="AB113" i="6" s="1"/>
  <c r="X95" i="6"/>
  <c r="Y95" i="6" s="1"/>
  <c r="AB95" i="6" s="1"/>
  <c r="X46" i="6"/>
  <c r="Y46" i="6" s="1"/>
  <c r="AB46" i="6" s="1"/>
  <c r="X36" i="6"/>
  <c r="Y36" i="6" s="1"/>
  <c r="AB36" i="6" s="1"/>
  <c r="X24" i="6"/>
  <c r="Y24" i="6" s="1"/>
  <c r="AB24" i="6" s="1"/>
  <c r="X53" i="6"/>
  <c r="Y53" i="6" s="1"/>
  <c r="AB53" i="6" s="1"/>
  <c r="X19" i="6"/>
  <c r="Y19" i="6" s="1"/>
  <c r="AB19" i="6" s="1"/>
  <c r="X116" i="6"/>
  <c r="Y116" i="6" s="1"/>
  <c r="AB116" i="6" s="1"/>
  <c r="X81" i="6"/>
  <c r="Y81" i="6" s="1"/>
  <c r="AB81" i="6" s="1"/>
  <c r="X73" i="6"/>
  <c r="Y73" i="6" s="1"/>
  <c r="AB73" i="6" s="1"/>
  <c r="X79" i="6"/>
  <c r="Y79" i="6" s="1"/>
  <c r="AB79" i="6" s="1"/>
  <c r="X51" i="6"/>
  <c r="Y51" i="6" s="1"/>
  <c r="AB51" i="6" s="1"/>
  <c r="X70" i="6"/>
  <c r="Y70" i="6" s="1"/>
  <c r="AB70" i="6" s="1"/>
  <c r="X16" i="6"/>
  <c r="Y16" i="6" s="1"/>
  <c r="AB16" i="6" s="1"/>
  <c r="X90" i="6"/>
  <c r="Y90" i="6" s="1"/>
  <c r="AB90" i="6" s="1"/>
  <c r="X31" i="6"/>
  <c r="Y31" i="6" s="1"/>
  <c r="AB31" i="6" s="1"/>
  <c r="X107" i="6"/>
  <c r="Y107" i="6" s="1"/>
  <c r="AB107" i="6" s="1"/>
  <c r="X25" i="6"/>
  <c r="Y25" i="6" s="1"/>
  <c r="AB25" i="6" s="1"/>
  <c r="X99" i="6"/>
  <c r="Y99" i="6" s="1"/>
  <c r="AB99" i="6" s="1"/>
  <c r="X110" i="6"/>
  <c r="Y110" i="6" s="1"/>
  <c r="AB110" i="6" s="1"/>
  <c r="X96" i="6"/>
  <c r="Y96" i="6" s="1"/>
  <c r="AB96" i="6" s="1"/>
  <c r="Z93" i="6"/>
  <c r="AC93" i="6" s="1"/>
  <c r="Z28" i="6"/>
  <c r="AC28" i="6" s="1"/>
  <c r="Z74" i="6"/>
  <c r="AC74" i="6" s="1"/>
  <c r="Z17" i="6"/>
  <c r="AC17" i="6" s="1"/>
  <c r="Z82" i="6"/>
  <c r="AC82" i="6" s="1"/>
  <c r="Z104" i="6"/>
  <c r="AC104" i="6" s="1"/>
  <c r="Z38" i="6"/>
  <c r="AC38" i="6" s="1"/>
  <c r="Z26" i="6"/>
  <c r="AC26" i="6" s="1"/>
  <c r="Z72" i="6"/>
  <c r="AC72" i="6" s="1"/>
  <c r="Z18" i="6"/>
  <c r="AC18" i="6" s="1"/>
  <c r="X15" i="1"/>
  <c r="X15" i="6"/>
  <c r="Y339" i="1" l="1"/>
  <c r="Y417" i="1"/>
  <c r="Z234" i="1"/>
  <c r="AC234" i="1" s="1"/>
  <c r="Y449" i="1"/>
  <c r="Y416" i="1"/>
  <c r="Z414" i="1"/>
  <c r="AC414" i="1" s="1"/>
  <c r="Y262" i="1"/>
  <c r="Y428" i="1"/>
  <c r="W408" i="5" s="1"/>
  <c r="Z351" i="1"/>
  <c r="AC351" i="1" s="1"/>
  <c r="Y281" i="1"/>
  <c r="Z293" i="1"/>
  <c r="AC293" i="1" s="1"/>
  <c r="Z246" i="1"/>
  <c r="AC246" i="1" s="1"/>
  <c r="Z233" i="1"/>
  <c r="AC233" i="1" s="1"/>
  <c r="Y256" i="1"/>
  <c r="Z387" i="1"/>
  <c r="AC387" i="1" s="1"/>
  <c r="Y363" i="1"/>
  <c r="Y243" i="1"/>
  <c r="AB243" i="1" s="1"/>
  <c r="Y355" i="1"/>
  <c r="Y219" i="1"/>
  <c r="Y236" i="1"/>
  <c r="W224" i="5" s="1"/>
  <c r="Z423" i="1"/>
  <c r="AC423" i="1" s="1"/>
  <c r="Y458" i="1"/>
  <c r="Z430" i="1"/>
  <c r="AC430" i="1" s="1"/>
  <c r="Y272" i="1"/>
  <c r="AA272" i="1" s="1"/>
  <c r="AD272" i="1" s="1"/>
  <c r="Y263" i="1"/>
  <c r="AA263" i="1" s="1"/>
  <c r="AD263" i="1" s="1"/>
  <c r="Y425" i="1"/>
  <c r="Y325" i="1"/>
  <c r="Z305" i="1"/>
  <c r="AC305" i="1" s="1"/>
  <c r="Z338" i="1"/>
  <c r="AC338" i="1" s="1"/>
  <c r="Z394" i="1"/>
  <c r="AC394" i="1" s="1"/>
  <c r="W282" i="5"/>
  <c r="W405" i="5"/>
  <c r="W364" i="5"/>
  <c r="W228" i="5"/>
  <c r="W211" i="5"/>
  <c r="W315" i="5"/>
  <c r="W346" i="5"/>
  <c r="W294" i="5"/>
  <c r="W360" i="5"/>
  <c r="W31" i="5"/>
  <c r="W132" i="5"/>
  <c r="W79" i="5"/>
  <c r="W144" i="5"/>
  <c r="W273" i="5"/>
  <c r="W142" i="5"/>
  <c r="W190" i="5"/>
  <c r="W32" i="5"/>
  <c r="W196" i="5"/>
  <c r="W38" i="5"/>
  <c r="W9" i="5"/>
  <c r="W48" i="5"/>
  <c r="W45" i="5"/>
  <c r="W182" i="5"/>
  <c r="W130" i="5"/>
  <c r="W425" i="5"/>
  <c r="Y303" i="1"/>
  <c r="W279" i="5" s="1"/>
  <c r="W271" i="5"/>
  <c r="W331" i="5"/>
  <c r="W432" i="5"/>
  <c r="Y274" i="1"/>
  <c r="W260" i="5" s="1"/>
  <c r="W333" i="5"/>
  <c r="W287" i="5"/>
  <c r="W357" i="5"/>
  <c r="Z231" i="1"/>
  <c r="AC231" i="1" s="1"/>
  <c r="W366" i="5"/>
  <c r="Y259" i="1"/>
  <c r="W240" i="5" s="1"/>
  <c r="W288" i="5"/>
  <c r="W341" i="5"/>
  <c r="W305" i="5"/>
  <c r="W385" i="5"/>
  <c r="W338" i="5"/>
  <c r="W414" i="5"/>
  <c r="W286" i="5"/>
  <c r="W36" i="5"/>
  <c r="W22" i="5"/>
  <c r="W438" i="5"/>
  <c r="W426" i="5"/>
  <c r="Z369" i="1"/>
  <c r="AC369" i="1" s="1"/>
  <c r="Z294" i="1"/>
  <c r="AC294" i="1" s="1"/>
  <c r="W281" i="5"/>
  <c r="W376" i="5"/>
  <c r="W327" i="5"/>
  <c r="W251" i="5"/>
  <c r="W74" i="5"/>
  <c r="W15" i="5"/>
  <c r="W80" i="5"/>
  <c r="W198" i="5"/>
  <c r="Y433" i="1"/>
  <c r="W422" i="5" s="1"/>
  <c r="W263" i="5"/>
  <c r="W343" i="5"/>
  <c r="W245" i="5"/>
  <c r="Y391" i="1"/>
  <c r="W375" i="5" s="1"/>
  <c r="W444" i="5"/>
  <c r="Z336" i="1"/>
  <c r="AC336" i="1" s="1"/>
  <c r="W423" i="5"/>
  <c r="W308" i="5"/>
  <c r="W237" i="5"/>
  <c r="W354" i="5"/>
  <c r="W295" i="5"/>
  <c r="W289" i="5"/>
  <c r="W293" i="5"/>
  <c r="Z352" i="1"/>
  <c r="AC352" i="1" s="1"/>
  <c r="W97" i="5"/>
  <c r="W24" i="5"/>
  <c r="W158" i="5"/>
  <c r="W41" i="5"/>
  <c r="W17" i="5"/>
  <c r="W50" i="5"/>
  <c r="W186" i="5"/>
  <c r="W62" i="5"/>
  <c r="W413" i="5"/>
  <c r="W307" i="5"/>
  <c r="W379" i="5"/>
  <c r="Y244" i="1"/>
  <c r="W232" i="5" s="1"/>
  <c r="W306" i="5"/>
  <c r="W275" i="5"/>
  <c r="Z299" i="1"/>
  <c r="AC299" i="1" s="1"/>
  <c r="W230" i="5"/>
  <c r="W433" i="5"/>
  <c r="W439" i="5"/>
  <c r="W420" i="5"/>
  <c r="W319" i="5"/>
  <c r="W339" i="5"/>
  <c r="W290" i="5"/>
  <c r="W257" i="5"/>
  <c r="W239" i="5"/>
  <c r="W365" i="5"/>
  <c r="W235" i="5"/>
  <c r="W140" i="5"/>
  <c r="W201" i="5"/>
  <c r="W104" i="5"/>
  <c r="W174" i="5"/>
  <c r="W173" i="5"/>
  <c r="W165" i="5"/>
  <c r="W127" i="5"/>
  <c r="W81" i="5"/>
  <c r="W421" i="5"/>
  <c r="W374" i="5"/>
  <c r="W218" i="5"/>
  <c r="W262" i="5"/>
  <c r="W242" i="5"/>
  <c r="W217" i="5"/>
  <c r="Y451" i="1"/>
  <c r="W442" i="5" s="1"/>
  <c r="W334" i="5"/>
  <c r="W269" i="5"/>
  <c r="W418" i="5"/>
  <c r="W424" i="5"/>
  <c r="W284" i="5"/>
  <c r="W359" i="5"/>
  <c r="Z283" i="1"/>
  <c r="AC283" i="1" s="1"/>
  <c r="W309" i="5"/>
  <c r="W212" i="5"/>
  <c r="W396" i="5"/>
  <c r="W125" i="5"/>
  <c r="W115" i="5"/>
  <c r="W93" i="5"/>
  <c r="W145" i="5"/>
  <c r="W70" i="5"/>
  <c r="W137" i="5"/>
  <c r="W68" i="5"/>
  <c r="W417" i="5"/>
  <c r="Y385" i="1"/>
  <c r="W378" i="5" s="1"/>
  <c r="W431" i="5"/>
  <c r="W310" i="5"/>
  <c r="Y404" i="1"/>
  <c r="W392" i="5" s="1"/>
  <c r="W296" i="5"/>
  <c r="W264" i="5"/>
  <c r="W342" i="5"/>
  <c r="W328" i="5"/>
  <c r="W265" i="5"/>
  <c r="W337" i="5"/>
  <c r="W214" i="5"/>
  <c r="W395" i="5"/>
  <c r="W101" i="5"/>
  <c r="W183" i="5"/>
  <c r="W148" i="5"/>
  <c r="W108" i="5"/>
  <c r="W435" i="5"/>
  <c r="W332" i="5"/>
  <c r="W266" i="5"/>
  <c r="W292" i="5"/>
  <c r="W350" i="5"/>
  <c r="W443" i="5"/>
  <c r="W272" i="5"/>
  <c r="Z410" i="1"/>
  <c r="AC410" i="1" s="1"/>
  <c r="W402" i="5"/>
  <c r="W258" i="5"/>
  <c r="W259" i="5"/>
  <c r="W314" i="5"/>
  <c r="W322" i="5"/>
  <c r="W419" i="5"/>
  <c r="W213" i="5"/>
  <c r="W56" i="5"/>
  <c r="W73" i="5"/>
  <c r="W128" i="5"/>
  <c r="W149" i="5"/>
  <c r="W204" i="5"/>
  <c r="W180" i="5"/>
  <c r="W138" i="5"/>
  <c r="W131" i="5"/>
  <c r="W29" i="5"/>
  <c r="W184" i="5"/>
  <c r="W11" i="5"/>
  <c r="W403" i="5"/>
  <c r="W393" i="5"/>
  <c r="W330" i="5"/>
  <c r="Z269" i="1"/>
  <c r="AC269" i="1" s="1"/>
  <c r="W430" i="5"/>
  <c r="Y431" i="1"/>
  <c r="W412" i="5" s="1"/>
  <c r="W267" i="5"/>
  <c r="W298" i="5"/>
  <c r="W246" i="5"/>
  <c r="W382" i="5"/>
  <c r="W399" i="5"/>
  <c r="W249" i="5"/>
  <c r="Y308" i="1"/>
  <c r="W277" i="5" s="1"/>
  <c r="W238" i="5"/>
  <c r="W312" i="5"/>
  <c r="W233" i="5"/>
  <c r="W301" i="5"/>
  <c r="W320" i="5"/>
  <c r="W21" i="5"/>
  <c r="W102" i="5"/>
  <c r="W76" i="5"/>
  <c r="W118" i="5"/>
  <c r="W134" i="5"/>
  <c r="W103" i="5"/>
  <c r="W358" i="5"/>
  <c r="W380" i="5"/>
  <c r="W243" i="5"/>
  <c r="W404" i="5"/>
  <c r="W219" i="5"/>
  <c r="W255" i="5"/>
  <c r="W244" i="5"/>
  <c r="W229" i="5"/>
  <c r="Y328" i="1"/>
  <c r="W318" i="5" s="1"/>
  <c r="W254" i="5"/>
  <c r="W280" i="5"/>
  <c r="W256" i="5"/>
  <c r="W303" i="5"/>
  <c r="W69" i="5"/>
  <c r="W99" i="5"/>
  <c r="W57" i="5"/>
  <c r="W72" i="5"/>
  <c r="W105" i="5"/>
  <c r="W52" i="5"/>
  <c r="W112" i="5"/>
  <c r="W208" i="5"/>
  <c r="W126" i="5"/>
  <c r="W67" i="5"/>
  <c r="W75" i="5"/>
  <c r="W154" i="5"/>
  <c r="W18" i="5"/>
  <c r="W82" i="5"/>
  <c r="W111" i="5"/>
  <c r="W60" i="5"/>
  <c r="W317" i="5"/>
  <c r="W407" i="5"/>
  <c r="W415" i="5"/>
  <c r="W363" i="5"/>
  <c r="Z245" i="1"/>
  <c r="AC245" i="1" s="1"/>
  <c r="W285" i="5"/>
  <c r="W323" i="5"/>
  <c r="W368" i="5"/>
  <c r="W210" i="5"/>
  <c r="W274" i="5"/>
  <c r="W401" i="5"/>
  <c r="W400" i="5"/>
  <c r="W316" i="5"/>
  <c r="W241" i="5"/>
  <c r="W139" i="5"/>
  <c r="W150" i="5"/>
  <c r="W89" i="5"/>
  <c r="W66" i="5"/>
  <c r="W202" i="5"/>
  <c r="W162" i="5"/>
  <c r="W10" i="5"/>
  <c r="W156" i="5"/>
  <c r="W95" i="5"/>
  <c r="W391" i="5"/>
  <c r="W377" i="5"/>
  <c r="W321" i="5"/>
  <c r="W416" i="5"/>
  <c r="W252" i="5"/>
  <c r="W223" i="5"/>
  <c r="W353" i="5"/>
  <c r="W231" i="5"/>
  <c r="W209" i="5"/>
  <c r="W325" i="5"/>
  <c r="W381" i="5"/>
  <c r="W349" i="5"/>
  <c r="W250" i="5"/>
  <c r="W397" i="5"/>
  <c r="W345" i="5"/>
  <c r="W390" i="5"/>
  <c r="W283" i="5"/>
  <c r="W297" i="5"/>
  <c r="W394" i="5"/>
  <c r="W270" i="5"/>
  <c r="W299" i="5"/>
  <c r="W344" i="5"/>
  <c r="W434" i="5"/>
  <c r="W86" i="5"/>
  <c r="W90" i="5"/>
  <c r="W16" i="5"/>
  <c r="W189" i="5"/>
  <c r="W8" i="5"/>
  <c r="W98" i="5"/>
  <c r="W178" i="5"/>
  <c r="W188" i="5"/>
  <c r="W166" i="5"/>
  <c r="W43" i="5"/>
  <c r="W157" i="5"/>
  <c r="W440" i="5"/>
  <c r="W300" i="5"/>
  <c r="W340" i="5"/>
  <c r="W398" i="5"/>
  <c r="W195" i="5"/>
  <c r="W336" i="5"/>
  <c r="W291" i="5"/>
  <c r="W369" i="5"/>
  <c r="W193" i="5"/>
  <c r="W348" i="5"/>
  <c r="W406" i="5"/>
  <c r="W429" i="5"/>
  <c r="W313" i="5"/>
  <c r="W302" i="5"/>
  <c r="W206" i="5"/>
  <c r="W191" i="5"/>
  <c r="W227" i="5"/>
  <c r="W172" i="5"/>
  <c r="Z295" i="1"/>
  <c r="AC295" i="1" s="1"/>
  <c r="Z457" i="1"/>
  <c r="AC457" i="1" s="1"/>
  <c r="Y357" i="1"/>
  <c r="W356" i="5" s="1"/>
  <c r="Z371" i="1"/>
  <c r="AC371" i="1" s="1"/>
  <c r="Y334" i="1"/>
  <c r="W326" i="5" s="1"/>
  <c r="Z409" i="1"/>
  <c r="AC409" i="1" s="1"/>
  <c r="Y395" i="1"/>
  <c r="W389" i="5" s="1"/>
  <c r="Y388" i="1"/>
  <c r="AA388" i="1" s="1"/>
  <c r="AD388" i="1" s="1"/>
  <c r="Y216" i="1"/>
  <c r="Z276" i="1"/>
  <c r="AC276" i="1" s="1"/>
  <c r="Z406" i="1"/>
  <c r="AC406" i="1" s="1"/>
  <c r="Y370" i="1"/>
  <c r="W362" i="5" s="1"/>
  <c r="Z312" i="1"/>
  <c r="AC312" i="1" s="1"/>
  <c r="Y368" i="1"/>
  <c r="W347" i="5" s="1"/>
  <c r="Y247" i="1"/>
  <c r="W234" i="5" s="1"/>
  <c r="Z396" i="1"/>
  <c r="AC396" i="1" s="1"/>
  <c r="Y242" i="1"/>
  <c r="W226" i="5" s="1"/>
  <c r="Y307" i="1"/>
  <c r="W276" i="5" s="1"/>
  <c r="Z415" i="1"/>
  <c r="AC415" i="1" s="1"/>
  <c r="Z424" i="1"/>
  <c r="AC424" i="1" s="1"/>
  <c r="Y179" i="1"/>
  <c r="W155" i="5" s="1"/>
  <c r="Z323" i="1"/>
  <c r="AC323" i="1" s="1"/>
  <c r="Y32" i="1"/>
  <c r="Y343" i="1"/>
  <c r="W329" i="5" s="1"/>
  <c r="Y251" i="1"/>
  <c r="W236" i="5" s="1"/>
  <c r="Z317" i="1"/>
  <c r="AC317" i="1" s="1"/>
  <c r="Z335" i="1"/>
  <c r="AC335" i="1" s="1"/>
  <c r="Z372" i="1"/>
  <c r="AC372" i="1" s="1"/>
  <c r="Y241" i="1"/>
  <c r="W222" i="5" s="1"/>
  <c r="Y218" i="1"/>
  <c r="Z426" i="1"/>
  <c r="AC426" i="1" s="1"/>
  <c r="Y277" i="1"/>
  <c r="W261" i="5" s="1"/>
  <c r="Y138" i="1"/>
  <c r="W147" i="5" s="1"/>
  <c r="Y453" i="1"/>
  <c r="W428" i="5" s="1"/>
  <c r="Y223" i="1"/>
  <c r="W220" i="5" s="1"/>
  <c r="Z267" i="1"/>
  <c r="AC267" i="1" s="1"/>
  <c r="Y354" i="1"/>
  <c r="W335" i="5" s="1"/>
  <c r="Z220" i="1"/>
  <c r="AC220" i="1" s="1"/>
  <c r="Y238" i="1"/>
  <c r="W215" i="5" s="1"/>
  <c r="Y109" i="1"/>
  <c r="W113" i="5" s="1"/>
  <c r="Y362" i="1"/>
  <c r="W352" i="5" s="1"/>
  <c r="Y290" i="1"/>
  <c r="W268" i="5" s="1"/>
  <c r="Y429" i="1"/>
  <c r="W410" i="5" s="1"/>
  <c r="Z203" i="1"/>
  <c r="AC203" i="1" s="1"/>
  <c r="Z447" i="1"/>
  <c r="AC447" i="1" s="1"/>
  <c r="Z214" i="1"/>
  <c r="AC214" i="1" s="1"/>
  <c r="Z167" i="1"/>
  <c r="AC167" i="1" s="1"/>
  <c r="Y134" i="1"/>
  <c r="W106" i="5" s="1"/>
  <c r="Y105" i="1"/>
  <c r="Z21" i="1"/>
  <c r="AC21" i="1" s="1"/>
  <c r="Y181" i="1"/>
  <c r="Y36" i="1"/>
  <c r="W35" i="5" s="1"/>
  <c r="Y173" i="1"/>
  <c r="Y97" i="1"/>
  <c r="Z399" i="1"/>
  <c r="AC399" i="1" s="1"/>
  <c r="Z90" i="1"/>
  <c r="AC90" i="1" s="1"/>
  <c r="Z30" i="1"/>
  <c r="AC30" i="1" s="1"/>
  <c r="Z196" i="1"/>
  <c r="AC196" i="1" s="1"/>
  <c r="Z407" i="1"/>
  <c r="AC407" i="1" s="1"/>
  <c r="Y239" i="1"/>
  <c r="W225" i="5" s="1"/>
  <c r="Z195" i="1"/>
  <c r="AC195" i="1" s="1"/>
  <c r="Z102" i="1"/>
  <c r="AC102" i="1" s="1"/>
  <c r="Y35" i="1"/>
  <c r="Z34" i="1"/>
  <c r="AC34" i="1" s="1"/>
  <c r="Y65" i="1"/>
  <c r="Y224" i="1"/>
  <c r="W221" i="5" s="1"/>
  <c r="Y319" i="1"/>
  <c r="W311" i="5" s="1"/>
  <c r="Y310" i="1"/>
  <c r="W278" i="5" s="1"/>
  <c r="Z164" i="1"/>
  <c r="AC164" i="1" s="1"/>
  <c r="Y89" i="1"/>
  <c r="W63" i="5" s="1"/>
  <c r="Z62" i="1"/>
  <c r="AC62" i="1" s="1"/>
  <c r="Y101" i="1"/>
  <c r="Z18" i="1"/>
  <c r="AC18" i="1" s="1"/>
  <c r="Z28" i="1"/>
  <c r="AC28" i="1" s="1"/>
  <c r="Y83" i="1"/>
  <c r="Y175" i="1"/>
  <c r="Y172" i="1"/>
  <c r="Z139" i="1"/>
  <c r="AC139" i="1" s="1"/>
  <c r="Y163" i="1"/>
  <c r="W152" i="5" s="1"/>
  <c r="Z92" i="1"/>
  <c r="AC92" i="1" s="1"/>
  <c r="Z353" i="1"/>
  <c r="AC353" i="1" s="1"/>
  <c r="Y57" i="1"/>
  <c r="W59" i="5" s="1"/>
  <c r="Y189" i="1"/>
  <c r="W167" i="5" s="1"/>
  <c r="Y365" i="1"/>
  <c r="W355" i="5" s="1"/>
  <c r="Z177" i="1"/>
  <c r="AC177" i="1" s="1"/>
  <c r="Z95" i="1"/>
  <c r="AC95" i="1" s="1"/>
  <c r="Z19" i="1"/>
  <c r="AC19" i="1" s="1"/>
  <c r="Z168" i="1"/>
  <c r="AC168" i="1" s="1"/>
  <c r="Z106" i="1"/>
  <c r="AC106" i="1" s="1"/>
  <c r="Z39" i="1"/>
  <c r="AC39" i="1" s="1"/>
  <c r="Y67" i="1"/>
  <c r="W55" i="5" s="1"/>
  <c r="Y94" i="1"/>
  <c r="W304" i="5" s="1"/>
  <c r="Y23" i="1"/>
  <c r="W27" i="5" s="1"/>
  <c r="Z88" i="1"/>
  <c r="AC88" i="1" s="1"/>
  <c r="Z110" i="1"/>
  <c r="AC110" i="1" s="1"/>
  <c r="Z37" i="1"/>
  <c r="AC37" i="1" s="1"/>
  <c r="Y202" i="1"/>
  <c r="W185" i="5" s="1"/>
  <c r="Y143" i="1"/>
  <c r="W133" i="5" s="1"/>
  <c r="Z70" i="1"/>
  <c r="AC70" i="1" s="1"/>
  <c r="Z178" i="1"/>
  <c r="AC178" i="1" s="1"/>
  <c r="Y98" i="1"/>
  <c r="W87" i="5" s="1"/>
  <c r="Y26" i="1"/>
  <c r="W13" i="5" s="1"/>
  <c r="Y115" i="1"/>
  <c r="W119" i="5" s="1"/>
  <c r="Y42" i="1"/>
  <c r="W40" i="5" s="1"/>
  <c r="Y103" i="1"/>
  <c r="W100" i="5" s="1"/>
  <c r="Y108" i="1"/>
  <c r="W91" i="5" s="1"/>
  <c r="Y41" i="1"/>
  <c r="W46" i="5" s="1"/>
  <c r="Z25" i="1"/>
  <c r="AC25" i="1" s="1"/>
  <c r="Z191" i="1"/>
  <c r="AC191" i="1" s="1"/>
  <c r="Y190" i="1"/>
  <c r="W177" i="5" s="1"/>
  <c r="Z161" i="1"/>
  <c r="AC161" i="1" s="1"/>
  <c r="Z200" i="1"/>
  <c r="AC200" i="1" s="1"/>
  <c r="Y322" i="1"/>
  <c r="W324" i="5" s="1"/>
  <c r="Y169" i="1"/>
  <c r="W163" i="5" s="1"/>
  <c r="Z79" i="1"/>
  <c r="AC79" i="1" s="1"/>
  <c r="Y227" i="1"/>
  <c r="W216" i="5" s="1"/>
  <c r="Z160" i="1"/>
  <c r="AC160" i="1" s="1"/>
  <c r="Y24" i="1"/>
  <c r="W42" i="5" s="1"/>
  <c r="Z128" i="1"/>
  <c r="AC128" i="1" s="1"/>
  <c r="Z55" i="1"/>
  <c r="AC55" i="1" s="1"/>
  <c r="Z159" i="1"/>
  <c r="AC159" i="1" s="1"/>
  <c r="Z77" i="1"/>
  <c r="AC77" i="1" s="1"/>
  <c r="Z158" i="1"/>
  <c r="AC158" i="1" s="1"/>
  <c r="Y99" i="1"/>
  <c r="W88" i="5" s="1"/>
  <c r="Y27" i="1"/>
  <c r="W14" i="5" s="1"/>
  <c r="Y132" i="1"/>
  <c r="W120" i="5" s="1"/>
  <c r="Y59" i="1"/>
  <c r="W51" i="5" s="1"/>
  <c r="Z285" i="1"/>
  <c r="AC285" i="1" s="1"/>
  <c r="Y171" i="1"/>
  <c r="AA171" i="1" s="1"/>
  <c r="AD171" i="1" s="1"/>
  <c r="Y87" i="1"/>
  <c r="W65" i="5" s="1"/>
  <c r="Z17" i="1"/>
  <c r="AC17" i="1" s="1"/>
  <c r="Z91" i="1"/>
  <c r="AC91" i="1" s="1"/>
  <c r="Z20" i="1"/>
  <c r="AC20" i="1" s="1"/>
  <c r="Z96" i="1"/>
  <c r="AC96" i="1" s="1"/>
  <c r="Z360" i="1"/>
  <c r="AC360" i="1" s="1"/>
  <c r="Y211" i="1"/>
  <c r="W200" i="5" s="1"/>
  <c r="Y74" i="1"/>
  <c r="W58" i="5" s="1"/>
  <c r="Z183" i="1"/>
  <c r="AA183" i="1" s="1"/>
  <c r="AD183" i="1" s="1"/>
  <c r="Y456" i="1"/>
  <c r="W437" i="5" s="1"/>
  <c r="Y119" i="1"/>
  <c r="W122" i="5" s="1"/>
  <c r="Y188" i="1"/>
  <c r="W168" i="5" s="1"/>
  <c r="Y390" i="1"/>
  <c r="Z207" i="1"/>
  <c r="AC207" i="1" s="1"/>
  <c r="Z144" i="1"/>
  <c r="AC144" i="1" s="1"/>
  <c r="Z73" i="1"/>
  <c r="AC73" i="1" s="1"/>
  <c r="Z156" i="1"/>
  <c r="AC156" i="1" s="1"/>
  <c r="Y123" i="1"/>
  <c r="W124" i="5" s="1"/>
  <c r="Y50" i="1"/>
  <c r="W30" i="5" s="1"/>
  <c r="Z155" i="1"/>
  <c r="AC155" i="1" s="1"/>
  <c r="Y78" i="1"/>
  <c r="W84" i="5" s="1"/>
  <c r="Z71" i="1"/>
  <c r="AC71" i="1" s="1"/>
  <c r="Z154" i="1"/>
  <c r="AC154" i="1" s="1"/>
  <c r="Z93" i="1"/>
  <c r="AC93" i="1" s="1"/>
  <c r="Y22" i="1"/>
  <c r="W12" i="5" s="1"/>
  <c r="Y121" i="1"/>
  <c r="W110" i="5" s="1"/>
  <c r="Y54" i="1"/>
  <c r="W33" i="5" s="1"/>
  <c r="Y162" i="1"/>
  <c r="W151" i="5" s="1"/>
  <c r="Y76" i="1"/>
  <c r="W71" i="5" s="1"/>
  <c r="Y86" i="1"/>
  <c r="W49" i="5" s="1"/>
  <c r="Z16" i="1"/>
  <c r="AC16" i="1" s="1"/>
  <c r="Z205" i="1"/>
  <c r="AC205" i="1" s="1"/>
  <c r="Z300" i="1"/>
  <c r="AC300" i="1" s="1"/>
  <c r="Y174" i="1"/>
  <c r="W161" i="5" s="1"/>
  <c r="Z443" i="1"/>
  <c r="AC443" i="1" s="1"/>
  <c r="Z51" i="1"/>
  <c r="AC51" i="1" s="1"/>
  <c r="Z187" i="1"/>
  <c r="AC187" i="1" s="1"/>
  <c r="Y398" i="1"/>
  <c r="W384" i="5" s="1"/>
  <c r="Y199" i="1"/>
  <c r="W187" i="5" s="1"/>
  <c r="Z212" i="1"/>
  <c r="AC212" i="1" s="1"/>
  <c r="Z140" i="1"/>
  <c r="AC140" i="1" s="1"/>
  <c r="Y68" i="1"/>
  <c r="W78" i="5" s="1"/>
  <c r="Z152" i="1"/>
  <c r="AC152" i="1" s="1"/>
  <c r="Z84" i="1"/>
  <c r="AC84" i="1" s="1"/>
  <c r="Z184" i="1"/>
  <c r="AC184" i="1" s="1"/>
  <c r="Y112" i="1"/>
  <c r="W117" i="5" s="1"/>
  <c r="Y45" i="1"/>
  <c r="W23" i="5" s="1"/>
  <c r="Z330" i="1"/>
  <c r="AC330" i="1" s="1"/>
  <c r="Y148" i="1"/>
  <c r="W135" i="5" s="1"/>
  <c r="Y72" i="1"/>
  <c r="W47" i="5" s="1"/>
  <c r="Z151" i="1"/>
  <c r="AC151" i="1" s="1"/>
  <c r="Y66" i="1"/>
  <c r="W54" i="5" s="1"/>
  <c r="Y116" i="1"/>
  <c r="W121" i="5" s="1"/>
  <c r="Z48" i="1"/>
  <c r="AC48" i="1" s="1"/>
  <c r="Y150" i="1"/>
  <c r="W136" i="5" s="1"/>
  <c r="Z157" i="1"/>
  <c r="AC157" i="1" s="1"/>
  <c r="Y81" i="1"/>
  <c r="W85" i="5" s="1"/>
  <c r="Z149" i="1"/>
  <c r="AC149" i="1" s="1"/>
  <c r="Z85" i="1"/>
  <c r="AC85" i="1" s="1"/>
  <c r="Y206" i="1"/>
  <c r="W197" i="5" s="1"/>
  <c r="Y192" i="1"/>
  <c r="W179" i="5" s="1"/>
  <c r="Y393" i="1"/>
  <c r="W373" i="5" s="1"/>
  <c r="Y165" i="1"/>
  <c r="Z124" i="1"/>
  <c r="AC124" i="1" s="1"/>
  <c r="Z459" i="1"/>
  <c r="AC459" i="1" s="1"/>
  <c r="Y194" i="1"/>
  <c r="W181" i="5" s="1"/>
  <c r="Z198" i="1"/>
  <c r="AC198" i="1" s="1"/>
  <c r="Y135" i="1"/>
  <c r="W146" i="5" s="1"/>
  <c r="Z180" i="1"/>
  <c r="AC180" i="1" s="1"/>
  <c r="Y215" i="1"/>
  <c r="W203" i="5" s="1"/>
  <c r="Y133" i="1"/>
  <c r="W114" i="5" s="1"/>
  <c r="Y60" i="1"/>
  <c r="W61" i="5" s="1"/>
  <c r="Z147" i="1"/>
  <c r="AC147" i="1" s="1"/>
  <c r="Z82" i="1"/>
  <c r="AC82" i="1" s="1"/>
  <c r="Y43" i="1"/>
  <c r="W20" i="5" s="1"/>
  <c r="Y270" i="1"/>
  <c r="W247" i="5" s="1"/>
  <c r="Z213" i="1"/>
  <c r="AC213" i="1" s="1"/>
  <c r="Z146" i="1"/>
  <c r="AC146" i="1" s="1"/>
  <c r="Z64" i="1"/>
  <c r="AC64" i="1" s="1"/>
  <c r="Z170" i="1"/>
  <c r="AC170" i="1" s="1"/>
  <c r="Y142" i="1"/>
  <c r="W129" i="5" s="1"/>
  <c r="Y75" i="1"/>
  <c r="W83" i="5" s="1"/>
  <c r="Z145" i="1"/>
  <c r="AC145" i="1" s="1"/>
  <c r="Z80" i="1"/>
  <c r="AC80" i="1" s="1"/>
  <c r="Z197" i="1"/>
  <c r="AC197" i="1" s="1"/>
  <c r="Y186" i="1"/>
  <c r="W169" i="5" s="1"/>
  <c r="Z185" i="1"/>
  <c r="AC185" i="1" s="1"/>
  <c r="Z113" i="1"/>
  <c r="AC113" i="1" s="1"/>
  <c r="Z129" i="1"/>
  <c r="AC129" i="1" s="1"/>
  <c r="Z56" i="1"/>
  <c r="AC56" i="1" s="1"/>
  <c r="Y208" i="1"/>
  <c r="Z100" i="1"/>
  <c r="AC100" i="1" s="1"/>
  <c r="Z33" i="1"/>
  <c r="AC33" i="1" s="1"/>
  <c r="Z127" i="1"/>
  <c r="AC127" i="1" s="1"/>
  <c r="Y49" i="1"/>
  <c r="W26" i="5" s="1"/>
  <c r="Y166" i="1"/>
  <c r="W153" i="5" s="1"/>
  <c r="Z104" i="1"/>
  <c r="AC104" i="1" s="1"/>
  <c r="Y210" i="1"/>
  <c r="Z137" i="1"/>
  <c r="AC137" i="1" s="1"/>
  <c r="Z58" i="1"/>
  <c r="AC58" i="1" s="1"/>
  <c r="Z136" i="1"/>
  <c r="AC136" i="1" s="1"/>
  <c r="Z69" i="1"/>
  <c r="AC69" i="1" s="1"/>
  <c r="Z141" i="1"/>
  <c r="AC141" i="1" s="1"/>
  <c r="Y61" i="1"/>
  <c r="W77" i="5" s="1"/>
  <c r="Y176" i="1"/>
  <c r="W176" i="5" s="1"/>
  <c r="Y46" i="1"/>
  <c r="W25" i="5" s="1"/>
  <c r="Y204" i="1"/>
  <c r="W207" i="5" s="1"/>
  <c r="Y122" i="1"/>
  <c r="W123" i="5" s="1"/>
  <c r="Y44" i="1"/>
  <c r="W28" i="5" s="1"/>
  <c r="Y361" i="1"/>
  <c r="W351" i="5" s="1"/>
  <c r="Z31" i="1"/>
  <c r="AC31" i="1" s="1"/>
  <c r="Z131" i="1"/>
  <c r="AC131" i="1" s="1"/>
  <c r="Z53" i="1"/>
  <c r="AC53" i="1" s="1"/>
  <c r="Z130" i="1"/>
  <c r="AC130" i="1" s="1"/>
  <c r="Z63" i="1"/>
  <c r="AC63" i="1" s="1"/>
  <c r="Y153" i="1"/>
  <c r="W143" i="5" s="1"/>
  <c r="Z107" i="1"/>
  <c r="AC107" i="1" s="1"/>
  <c r="Z422" i="1"/>
  <c r="AC422" i="1" s="1"/>
  <c r="Z118" i="1"/>
  <c r="AC118" i="1" s="1"/>
  <c r="Y40" i="1"/>
  <c r="W39" i="5" s="1"/>
  <c r="Y257" i="1"/>
  <c r="W253" i="5" s="1"/>
  <c r="Y117" i="1"/>
  <c r="W107" i="5" s="1"/>
  <c r="Y38" i="1"/>
  <c r="W37" i="5" s="1"/>
  <c r="Z201" i="1"/>
  <c r="AC201" i="1" s="1"/>
  <c r="Z126" i="1"/>
  <c r="AC126" i="1" s="1"/>
  <c r="Z125" i="1"/>
  <c r="AC125" i="1" s="1"/>
  <c r="Z52" i="1"/>
  <c r="AC52" i="1" s="1"/>
  <c r="Z209" i="1"/>
  <c r="AC209" i="1" s="1"/>
  <c r="Z193" i="1"/>
  <c r="AC193" i="1" s="1"/>
  <c r="Y111" i="1"/>
  <c r="W94" i="5" s="1"/>
  <c r="Y384" i="1"/>
  <c r="W371" i="5" s="1"/>
  <c r="Y120" i="1"/>
  <c r="W109" i="5" s="1"/>
  <c r="Y47" i="1"/>
  <c r="W44" i="5" s="1"/>
  <c r="Z29" i="1"/>
  <c r="AC29" i="1" s="1"/>
  <c r="Z114" i="1"/>
  <c r="AC114" i="1" s="1"/>
  <c r="Y182" i="1"/>
  <c r="W171" i="5" s="1"/>
  <c r="AB457" i="1"/>
  <c r="AB425" i="1"/>
  <c r="AA425" i="1"/>
  <c r="AD425" i="1" s="1"/>
  <c r="AB379" i="1"/>
  <c r="AA379" i="1"/>
  <c r="AD379" i="1" s="1"/>
  <c r="AB394" i="1"/>
  <c r="AA394" i="1"/>
  <c r="AD394" i="1" s="1"/>
  <c r="AB295" i="1"/>
  <c r="AA275" i="1"/>
  <c r="AD275" i="1" s="1"/>
  <c r="AB275" i="1"/>
  <c r="AB408" i="1"/>
  <c r="AA408" i="1"/>
  <c r="AD408" i="1" s="1"/>
  <c r="AB376" i="1"/>
  <c r="AA376" i="1"/>
  <c r="AD376" i="1" s="1"/>
  <c r="AB242" i="1"/>
  <c r="AA242" i="1"/>
  <c r="AD242" i="1" s="1"/>
  <c r="AB455" i="1"/>
  <c r="AA455" i="1"/>
  <c r="AD455" i="1" s="1"/>
  <c r="AB407" i="1"/>
  <c r="AB292" i="1"/>
  <c r="AA292" i="1"/>
  <c r="AD292" i="1" s="1"/>
  <c r="AB170" i="1"/>
  <c r="AA363" i="1"/>
  <c r="AD363" i="1" s="1"/>
  <c r="AB363" i="1"/>
  <c r="AB442" i="1"/>
  <c r="AA442" i="1"/>
  <c r="AD442" i="1" s="1"/>
  <c r="AB297" i="1"/>
  <c r="AA297" i="1"/>
  <c r="AD297" i="1" s="1"/>
  <c r="AB212" i="1"/>
  <c r="AA346" i="1"/>
  <c r="AD346" i="1" s="1"/>
  <c r="AB346" i="1"/>
  <c r="AB358" i="1"/>
  <c r="AA358" i="1"/>
  <c r="AD358" i="1" s="1"/>
  <c r="AB291" i="1"/>
  <c r="AA291" i="1"/>
  <c r="AD291" i="1" s="1"/>
  <c r="AB140" i="1"/>
  <c r="AB73" i="1"/>
  <c r="AB168" i="1"/>
  <c r="AA264" i="1"/>
  <c r="AD264" i="1" s="1"/>
  <c r="AB264" i="1"/>
  <c r="AB203" i="1"/>
  <c r="AB77" i="1"/>
  <c r="AB300" i="1"/>
  <c r="AB37" i="1"/>
  <c r="AB267" i="1"/>
  <c r="AB146" i="1"/>
  <c r="AB347" i="1"/>
  <c r="AA347" i="1"/>
  <c r="AD347" i="1" s="1"/>
  <c r="AA458" i="1"/>
  <c r="AD458" i="1" s="1"/>
  <c r="AB458" i="1"/>
  <c r="AB167" i="1"/>
  <c r="AA243" i="1"/>
  <c r="AD243" i="1" s="1"/>
  <c r="AC243" i="1"/>
  <c r="AB235" i="1"/>
  <c r="AA235" i="1"/>
  <c r="AD235" i="1" s="1"/>
  <c r="AB452" i="1"/>
  <c r="AA452" i="1"/>
  <c r="AD452" i="1" s="1"/>
  <c r="AA451" i="1"/>
  <c r="AD451" i="1" s="1"/>
  <c r="AB403" i="1"/>
  <c r="AA403" i="1"/>
  <c r="AD403" i="1" s="1"/>
  <c r="AA260" i="1"/>
  <c r="AD260" i="1" s="1"/>
  <c r="AB260" i="1"/>
  <c r="AB285" i="1"/>
  <c r="AB157" i="1"/>
  <c r="AB268" i="1"/>
  <c r="AA268" i="1"/>
  <c r="AD268" i="1" s="1"/>
  <c r="AA355" i="1"/>
  <c r="AD355" i="1" s="1"/>
  <c r="AB355" i="1"/>
  <c r="AB240" i="1"/>
  <c r="AA240" i="1"/>
  <c r="AD240" i="1" s="1"/>
  <c r="AB438" i="1"/>
  <c r="AA438" i="1"/>
  <c r="AD438" i="1" s="1"/>
  <c r="AB198" i="1"/>
  <c r="AC208" i="1"/>
  <c r="AB124" i="1"/>
  <c r="AB51" i="1"/>
  <c r="AA287" i="1"/>
  <c r="AD287" i="1" s="1"/>
  <c r="AB287" i="1"/>
  <c r="AB164" i="1"/>
  <c r="AB28" i="1"/>
  <c r="AB196" i="1"/>
  <c r="AB128" i="1"/>
  <c r="AB55" i="1"/>
  <c r="AB71" i="1"/>
  <c r="AB230" i="1"/>
  <c r="AA230" i="1"/>
  <c r="AD230" i="1" s="1"/>
  <c r="AB136" i="1"/>
  <c r="AB69" i="1"/>
  <c r="AB409" i="1"/>
  <c r="AB445" i="1"/>
  <c r="AA445" i="1"/>
  <c r="AD445" i="1" s="1"/>
  <c r="AB405" i="1"/>
  <c r="AA405" i="1"/>
  <c r="AD405" i="1" s="1"/>
  <c r="AA282" i="1"/>
  <c r="AD282" i="1" s="1"/>
  <c r="AB282" i="1"/>
  <c r="AB145" i="1"/>
  <c r="AB250" i="1"/>
  <c r="AA250" i="1"/>
  <c r="AD250" i="1" s="1"/>
  <c r="AB236" i="1"/>
  <c r="AA236" i="1"/>
  <c r="AD236" i="1" s="1"/>
  <c r="AB229" i="1"/>
  <c r="AA229" i="1"/>
  <c r="AD229" i="1" s="1"/>
  <c r="AB436" i="1"/>
  <c r="AA436" i="1"/>
  <c r="AD436" i="1" s="1"/>
  <c r="AB447" i="1"/>
  <c r="AB397" i="1"/>
  <c r="AA397" i="1"/>
  <c r="AD397" i="1" s="1"/>
  <c r="AB141" i="1"/>
  <c r="AB279" i="1"/>
  <c r="AA279" i="1"/>
  <c r="AD279" i="1" s="1"/>
  <c r="AB348" i="1"/>
  <c r="AA348" i="1"/>
  <c r="AD348" i="1" s="1"/>
  <c r="AB213" i="1"/>
  <c r="AB434" i="1"/>
  <c r="AA434" i="1"/>
  <c r="AD434" i="1" s="1"/>
  <c r="AA284" i="1"/>
  <c r="AD284" i="1" s="1"/>
  <c r="AB284" i="1"/>
  <c r="AB360" i="1"/>
  <c r="AB336" i="1"/>
  <c r="AA336" i="1"/>
  <c r="AD336" i="1" s="1"/>
  <c r="AB276" i="1"/>
  <c r="AA342" i="1"/>
  <c r="AD342" i="1" s="1"/>
  <c r="AB342" i="1"/>
  <c r="AB283" i="1"/>
  <c r="AB129" i="1"/>
  <c r="AB160" i="1"/>
  <c r="AB356" i="1"/>
  <c r="AA356" i="1"/>
  <c r="AD356" i="1" s="1"/>
  <c r="AB293" i="1"/>
  <c r="AB158" i="1"/>
  <c r="AA93" i="1"/>
  <c r="AD93" i="1" s="1"/>
  <c r="AB93" i="1"/>
  <c r="AA318" i="1"/>
  <c r="AD318" i="1" s="1"/>
  <c r="AB318" i="1"/>
  <c r="AB48" i="1"/>
  <c r="AB137" i="1"/>
  <c r="AB64" i="1"/>
  <c r="AB130" i="1"/>
  <c r="AB63" i="1"/>
  <c r="AB401" i="1"/>
  <c r="AA401" i="1"/>
  <c r="AD401" i="1" s="1"/>
  <c r="AB80" i="1"/>
  <c r="AB359" i="1"/>
  <c r="AA359" i="1"/>
  <c r="AD359" i="1" s="1"/>
  <c r="AB262" i="1"/>
  <c r="AA262" i="1"/>
  <c r="AD262" i="1" s="1"/>
  <c r="AB420" i="1"/>
  <c r="AA420" i="1"/>
  <c r="AD420" i="1" s="1"/>
  <c r="AB443" i="1"/>
  <c r="AA391" i="1"/>
  <c r="AD391" i="1" s="1"/>
  <c r="AB391" i="1"/>
  <c r="AB448" i="1"/>
  <c r="AA448" i="1"/>
  <c r="AD448" i="1" s="1"/>
  <c r="AB273" i="1"/>
  <c r="AA273" i="1"/>
  <c r="AD273" i="1" s="1"/>
  <c r="AB430" i="1"/>
  <c r="AB96" i="1"/>
  <c r="AB149" i="1"/>
  <c r="AB113" i="1"/>
  <c r="AB34" i="1"/>
  <c r="AA280" i="1"/>
  <c r="AD280" i="1" s="1"/>
  <c r="AB280" i="1"/>
  <c r="AB193" i="1"/>
  <c r="AB56" i="1"/>
  <c r="AB156" i="1"/>
  <c r="AB84" i="1"/>
  <c r="AB380" i="1"/>
  <c r="AA380" i="1"/>
  <c r="AD380" i="1" s="1"/>
  <c r="AB312" i="1"/>
  <c r="AB184" i="1"/>
  <c r="AB127" i="1"/>
  <c r="AB349" i="1"/>
  <c r="AA349" i="1"/>
  <c r="AD349" i="1" s="1"/>
  <c r="AA278" i="1"/>
  <c r="AD278" i="1" s="1"/>
  <c r="AB278" i="1"/>
  <c r="AB219" i="1"/>
  <c r="AA219" i="1"/>
  <c r="AD219" i="1" s="1"/>
  <c r="AB154" i="1"/>
  <c r="AB315" i="1"/>
  <c r="AA315" i="1"/>
  <c r="AD315" i="1" s="1"/>
  <c r="AB256" i="1"/>
  <c r="AA256" i="1"/>
  <c r="AD256" i="1" s="1"/>
  <c r="AB195" i="1"/>
  <c r="AB131" i="1"/>
  <c r="AB58" i="1"/>
  <c r="AB125" i="1"/>
  <c r="AB205" i="1"/>
  <c r="AA389" i="1"/>
  <c r="AD389" i="1" s="1"/>
  <c r="AB389" i="1"/>
  <c r="AB352" i="1"/>
  <c r="AB353" i="1"/>
  <c r="AA288" i="1"/>
  <c r="AD288" i="1" s="1"/>
  <c r="AB288" i="1"/>
  <c r="AB344" i="1"/>
  <c r="AA344" i="1"/>
  <c r="AD344" i="1" s="1"/>
  <c r="AB231" i="1"/>
  <c r="AB386" i="1"/>
  <c r="AA386" i="1"/>
  <c r="AD386" i="1" s="1"/>
  <c r="AB330" i="1"/>
  <c r="AB209" i="1"/>
  <c r="AB412" i="1"/>
  <c r="AA412" i="1"/>
  <c r="AD412" i="1" s="1"/>
  <c r="AB439" i="1"/>
  <c r="AA439" i="1"/>
  <c r="AD439" i="1" s="1"/>
  <c r="AB428" i="1"/>
  <c r="AA428" i="1"/>
  <c r="AD428" i="1" s="1"/>
  <c r="AA266" i="1"/>
  <c r="AD266" i="1" s="1"/>
  <c r="AB266" i="1"/>
  <c r="AB187" i="1"/>
  <c r="AB426" i="1"/>
  <c r="AB271" i="1"/>
  <c r="AA271" i="1"/>
  <c r="AD271" i="1" s="1"/>
  <c r="AB85" i="1"/>
  <c r="AA269" i="1"/>
  <c r="AD269" i="1" s="1"/>
  <c r="AB269" i="1"/>
  <c r="AB185" i="1"/>
  <c r="AB107" i="1"/>
  <c r="AB29" i="1"/>
  <c r="AB118" i="1"/>
  <c r="AB152" i="1"/>
  <c r="AB374" i="1"/>
  <c r="AA374" i="1"/>
  <c r="AD374" i="1" s="1"/>
  <c r="AB245" i="1"/>
  <c r="AB180" i="1"/>
  <c r="AB338" i="1"/>
  <c r="AA338" i="1"/>
  <c r="AD338" i="1" s="1"/>
  <c r="AB82" i="1"/>
  <c r="AB378" i="1"/>
  <c r="AA378" i="1"/>
  <c r="AD378" i="1" s="1"/>
  <c r="AA311" i="1"/>
  <c r="AD311" i="1" s="1"/>
  <c r="AB311" i="1"/>
  <c r="AB126" i="1"/>
  <c r="AB53" i="1"/>
  <c r="AB52" i="1"/>
  <c r="AB395" i="1"/>
  <c r="AA395" i="1"/>
  <c r="AD395" i="1" s="1"/>
  <c r="AA345" i="1"/>
  <c r="AD345" i="1" s="1"/>
  <c r="AB345" i="1"/>
  <c r="AA244" i="1"/>
  <c r="AD244" i="1" s="1"/>
  <c r="AA339" i="1"/>
  <c r="AD339" i="1" s="1"/>
  <c r="AB339" i="1"/>
  <c r="AA217" i="1"/>
  <c r="AD217" i="1" s="1"/>
  <c r="AC217" i="1"/>
  <c r="AB377" i="1"/>
  <c r="AA377" i="1"/>
  <c r="AD377" i="1" s="1"/>
  <c r="AB201" i="1"/>
  <c r="AB392" i="1"/>
  <c r="AA392" i="1"/>
  <c r="AD392" i="1" s="1"/>
  <c r="AB435" i="1"/>
  <c r="AA435" i="1"/>
  <c r="AD435" i="1" s="1"/>
  <c r="AB459" i="1"/>
  <c r="AA329" i="1"/>
  <c r="AD329" i="1" s="1"/>
  <c r="AB329" i="1"/>
  <c r="AB422" i="1"/>
  <c r="AA265" i="1"/>
  <c r="AD265" i="1" s="1"/>
  <c r="AB265" i="1"/>
  <c r="AA334" i="1"/>
  <c r="AD334" i="1" s="1"/>
  <c r="AB334" i="1"/>
  <c r="AA324" i="1"/>
  <c r="AD324" i="1" s="1"/>
  <c r="AB324" i="1"/>
  <c r="AA254" i="1"/>
  <c r="AD254" i="1" s="1"/>
  <c r="AB254" i="1"/>
  <c r="AA331" i="1"/>
  <c r="AD331" i="1" s="1"/>
  <c r="AB331" i="1"/>
  <c r="AB177" i="1"/>
  <c r="AA305" i="1"/>
  <c r="AD305" i="1" s="1"/>
  <c r="AB305" i="1"/>
  <c r="AB100" i="1"/>
  <c r="AB33" i="1"/>
  <c r="AB207" i="1"/>
  <c r="AB147" i="1"/>
  <c r="AB372" i="1"/>
  <c r="AB248" i="1"/>
  <c r="AA248" i="1"/>
  <c r="AD248" i="1" s="1"/>
  <c r="AB104" i="1"/>
  <c r="AB31" i="1"/>
  <c r="AB114" i="1"/>
  <c r="AB449" i="1"/>
  <c r="AA449" i="1"/>
  <c r="AD449" i="1" s="1"/>
  <c r="AB382" i="1"/>
  <c r="AA382" i="1"/>
  <c r="AD382" i="1" s="1"/>
  <c r="AB340" i="1"/>
  <c r="AA340" i="1"/>
  <c r="AD340" i="1" s="1"/>
  <c r="AB232" i="1"/>
  <c r="AA232" i="1"/>
  <c r="AD232" i="1" s="1"/>
  <c r="AA325" i="1"/>
  <c r="AD325" i="1" s="1"/>
  <c r="AB325" i="1"/>
  <c r="AB367" i="1"/>
  <c r="AA367" i="1"/>
  <c r="AD367" i="1" s="1"/>
  <c r="AB431" i="1"/>
  <c r="AA431" i="1"/>
  <c r="AD431" i="1" s="1"/>
  <c r="AB228" i="1"/>
  <c r="AA228" i="1"/>
  <c r="AD228" i="1" s="1"/>
  <c r="AB460" i="1"/>
  <c r="AA460" i="1"/>
  <c r="AD460" i="1" s="1"/>
  <c r="AB102" i="1"/>
  <c r="AB418" i="1"/>
  <c r="AA418" i="1"/>
  <c r="AD418" i="1" s="1"/>
  <c r="AA341" i="1"/>
  <c r="AD341" i="1" s="1"/>
  <c r="AB341" i="1"/>
  <c r="AB309" i="1"/>
  <c r="AA309" i="1"/>
  <c r="AD309" i="1" s="1"/>
  <c r="AB18" i="1"/>
  <c r="AA326" i="1"/>
  <c r="AD326" i="1" s="1"/>
  <c r="AB326" i="1"/>
  <c r="AB366" i="1"/>
  <c r="AA366" i="1"/>
  <c r="AD366" i="1" s="1"/>
  <c r="AA304" i="1"/>
  <c r="AD304" i="1" s="1"/>
  <c r="AB304" i="1"/>
  <c r="AB427" i="1"/>
  <c r="AA427" i="1"/>
  <c r="AD427" i="1" s="1"/>
  <c r="AB350" i="1"/>
  <c r="AA350" i="1"/>
  <c r="AD350" i="1" s="1"/>
  <c r="AA221" i="1"/>
  <c r="AD221" i="1" s="1"/>
  <c r="AB221" i="1"/>
  <c r="AB444" i="1"/>
  <c r="AA444" i="1"/>
  <c r="AD444" i="1" s="1"/>
  <c r="AB402" i="1"/>
  <c r="AA402" i="1"/>
  <c r="AD402" i="1" s="1"/>
  <c r="AB414" i="1"/>
  <c r="AA414" i="1"/>
  <c r="AD414" i="1" s="1"/>
  <c r="AB335" i="1"/>
  <c r="AB317" i="1"/>
  <c r="AB246" i="1"/>
  <c r="AA387" i="1"/>
  <c r="AD387" i="1" s="1"/>
  <c r="AB387" i="1"/>
  <c r="AA320" i="1"/>
  <c r="AD320" i="1" s="1"/>
  <c r="AB320" i="1"/>
  <c r="AB234" i="1"/>
  <c r="AA234" i="1"/>
  <c r="AD234" i="1" s="1"/>
  <c r="AA296" i="1"/>
  <c r="AD296" i="1" s="1"/>
  <c r="AB296" i="1"/>
  <c r="AB241" i="1"/>
  <c r="AA241" i="1"/>
  <c r="AD241" i="1" s="1"/>
  <c r="AB441" i="1"/>
  <c r="AA441" i="1"/>
  <c r="AD441" i="1" s="1"/>
  <c r="AA299" i="1"/>
  <c r="AD299" i="1" s="1"/>
  <c r="AB299" i="1"/>
  <c r="AB421" i="1"/>
  <c r="AA421" i="1"/>
  <c r="AD421" i="1" s="1"/>
  <c r="AB417" i="1"/>
  <c r="AA417" i="1"/>
  <c r="AD417" i="1" s="1"/>
  <c r="AB327" i="1"/>
  <c r="AA327" i="1"/>
  <c r="AD327" i="1" s="1"/>
  <c r="AA313" i="1"/>
  <c r="AD313" i="1" s="1"/>
  <c r="AB313" i="1"/>
  <c r="AB249" i="1"/>
  <c r="AA249" i="1"/>
  <c r="AD249" i="1" s="1"/>
  <c r="AB423" i="1"/>
  <c r="AB337" i="1"/>
  <c r="AA337" i="1"/>
  <c r="AD337" i="1" s="1"/>
  <c r="AB214" i="1"/>
  <c r="AB432" i="1"/>
  <c r="AA432" i="1"/>
  <c r="AD432" i="1" s="1"/>
  <c r="AB396" i="1"/>
  <c r="AB410" i="1"/>
  <c r="AA410" i="1"/>
  <c r="AD410" i="1" s="1"/>
  <c r="AB226" i="1"/>
  <c r="AA226" i="1"/>
  <c r="AD226" i="1" s="1"/>
  <c r="AA289" i="1"/>
  <c r="AD289" i="1" s="1"/>
  <c r="AB289" i="1"/>
  <c r="AB364" i="1"/>
  <c r="AA364" i="1"/>
  <c r="AD364" i="1" s="1"/>
  <c r="AA302" i="1"/>
  <c r="AD302" i="1" s="1"/>
  <c r="AB302" i="1"/>
  <c r="AB381" i="1"/>
  <c r="AA381" i="1"/>
  <c r="AD381" i="1" s="1"/>
  <c r="AB95" i="1"/>
  <c r="AB159" i="1"/>
  <c r="AB191" i="1"/>
  <c r="AB233" i="1"/>
  <c r="AB21" i="1"/>
  <c r="AB30" i="1"/>
  <c r="AA258" i="1"/>
  <c r="AD258" i="1" s="1"/>
  <c r="AB258" i="1"/>
  <c r="AB321" i="1"/>
  <c r="AA321" i="1"/>
  <c r="AD321" i="1" s="1"/>
  <c r="AC183" i="1"/>
  <c r="AA306" i="1"/>
  <c r="AD306" i="1" s="1"/>
  <c r="AB306" i="1"/>
  <c r="AB261" i="1"/>
  <c r="AA261" i="1"/>
  <c r="AD261" i="1" s="1"/>
  <c r="AB419" i="1"/>
  <c r="AA419" i="1"/>
  <c r="AD419" i="1" s="1"/>
  <c r="AB222" i="1"/>
  <c r="AA222" i="1"/>
  <c r="AD222" i="1" s="1"/>
  <c r="AB323" i="1"/>
  <c r="AB200" i="1"/>
  <c r="AB416" i="1"/>
  <c r="AA416" i="1"/>
  <c r="AD416" i="1" s="1"/>
  <c r="AB454" i="1"/>
  <c r="AA454" i="1"/>
  <c r="AD454" i="1" s="1"/>
  <c r="AB406" i="1"/>
  <c r="AB316" i="1"/>
  <c r="AA316" i="1"/>
  <c r="AD316" i="1" s="1"/>
  <c r="AB252" i="1"/>
  <c r="AA252" i="1"/>
  <c r="AD252" i="1" s="1"/>
  <c r="AA375" i="1"/>
  <c r="AD375" i="1" s="1"/>
  <c r="AB375" i="1"/>
  <c r="AB90" i="1"/>
  <c r="AB19" i="1"/>
  <c r="AB155" i="1"/>
  <c r="AB225" i="1"/>
  <c r="AA225" i="1"/>
  <c r="AD225" i="1" s="1"/>
  <c r="AB178" i="1"/>
  <c r="AB17" i="1"/>
  <c r="AB91" i="1"/>
  <c r="AB25" i="1"/>
  <c r="AB371" i="1"/>
  <c r="AB413" i="1"/>
  <c r="AA413" i="1"/>
  <c r="AD413" i="1" s="1"/>
  <c r="AA332" i="1"/>
  <c r="AD332" i="1" s="1"/>
  <c r="AB332" i="1"/>
  <c r="AB220" i="1"/>
  <c r="AB314" i="1"/>
  <c r="AA314" i="1"/>
  <c r="AD314" i="1" s="1"/>
  <c r="AB399" i="1"/>
  <c r="AA281" i="1"/>
  <c r="AD281" i="1" s="1"/>
  <c r="AB281" i="1"/>
  <c r="AB440" i="1"/>
  <c r="AA440" i="1"/>
  <c r="AD440" i="1" s="1"/>
  <c r="AB255" i="1"/>
  <c r="AA255" i="1"/>
  <c r="AD255" i="1" s="1"/>
  <c r="AB415" i="1"/>
  <c r="AA286" i="1"/>
  <c r="AD286" i="1" s="1"/>
  <c r="AB286" i="1"/>
  <c r="AA383" i="1"/>
  <c r="AD383" i="1" s="1"/>
  <c r="AB383" i="1"/>
  <c r="AB450" i="1"/>
  <c r="AA450" i="1"/>
  <c r="AD450" i="1" s="1"/>
  <c r="AB369" i="1"/>
  <c r="AB151" i="1"/>
  <c r="AB88" i="1"/>
  <c r="AC218" i="1"/>
  <c r="AB70" i="1"/>
  <c r="AB92" i="1"/>
  <c r="AB20" i="1"/>
  <c r="AB197" i="1"/>
  <c r="AB437" i="1"/>
  <c r="AA437" i="1"/>
  <c r="AD437" i="1" s="1"/>
  <c r="AB400" i="1"/>
  <c r="AA400" i="1"/>
  <c r="AD400" i="1" s="1"/>
  <c r="AA301" i="1"/>
  <c r="AD301" i="1" s="1"/>
  <c r="AB301" i="1"/>
  <c r="AB424" i="1"/>
  <c r="AA385" i="1"/>
  <c r="AD385" i="1" s="1"/>
  <c r="AB385" i="1"/>
  <c r="AB411" i="1"/>
  <c r="AA411" i="1"/>
  <c r="AD411" i="1" s="1"/>
  <c r="AB161" i="1"/>
  <c r="AA298" i="1"/>
  <c r="AD298" i="1" s="1"/>
  <c r="AB298" i="1"/>
  <c r="AA373" i="1"/>
  <c r="AD373" i="1" s="1"/>
  <c r="AB373" i="1"/>
  <c r="AB253" i="1"/>
  <c r="AA253" i="1"/>
  <c r="AD253" i="1" s="1"/>
  <c r="AB446" i="1"/>
  <c r="AA446" i="1"/>
  <c r="AD446" i="1" s="1"/>
  <c r="AB351" i="1"/>
  <c r="AB62" i="1"/>
  <c r="AB294" i="1"/>
  <c r="AB144" i="1"/>
  <c r="AB79" i="1"/>
  <c r="AB106" i="1"/>
  <c r="AB39" i="1"/>
  <c r="AB139" i="1"/>
  <c r="AB237" i="1"/>
  <c r="AA237" i="1"/>
  <c r="AD237" i="1" s="1"/>
  <c r="AC171" i="1"/>
  <c r="AB110" i="1"/>
  <c r="AB333" i="1"/>
  <c r="AA333" i="1"/>
  <c r="AD333" i="1" s="1"/>
  <c r="AB16" i="1"/>
  <c r="Z100" i="6"/>
  <c r="AC100" i="6" s="1"/>
  <c r="Z89" i="6"/>
  <c r="AC89" i="6" s="1"/>
  <c r="Z22" i="6"/>
  <c r="Z80" i="6"/>
  <c r="AC80" i="6" s="1"/>
  <c r="Z88" i="6"/>
  <c r="AC88" i="6" s="1"/>
  <c r="Z105" i="6"/>
  <c r="AC105" i="6" s="1"/>
  <c r="Z68" i="6"/>
  <c r="AC68" i="6" s="1"/>
  <c r="Z60" i="6"/>
  <c r="AC60" i="6" s="1"/>
  <c r="Z67" i="6"/>
  <c r="AC67" i="6" s="1"/>
  <c r="Z36" i="6"/>
  <c r="AC36" i="6" s="1"/>
  <c r="Z86" i="6"/>
  <c r="AC86" i="6" s="1"/>
  <c r="Z117" i="6"/>
  <c r="AC117" i="6" s="1"/>
  <c r="Z63" i="6"/>
  <c r="AC63" i="6" s="1"/>
  <c r="Z111" i="6"/>
  <c r="AC111" i="6" s="1"/>
  <c r="Z23" i="6"/>
  <c r="AC23" i="6" s="1"/>
  <c r="Z49" i="6"/>
  <c r="AC49" i="6" s="1"/>
  <c r="Z94" i="6"/>
  <c r="AC94" i="6" s="1"/>
  <c r="Z78" i="6"/>
  <c r="AC78" i="6" s="1"/>
  <c r="Z114" i="6"/>
  <c r="AC114" i="6" s="1"/>
  <c r="Z33" i="6"/>
  <c r="AC33" i="6" s="1"/>
  <c r="Z66" i="6"/>
  <c r="AC66" i="6" s="1"/>
  <c r="Z95" i="6"/>
  <c r="AC95" i="6" s="1"/>
  <c r="Z39" i="6"/>
  <c r="AC39" i="6" s="1"/>
  <c r="Z34" i="6"/>
  <c r="AC34" i="6" s="1"/>
  <c r="Z55" i="6"/>
  <c r="AC55" i="6" s="1"/>
  <c r="Z102" i="6"/>
  <c r="AC102" i="6" s="1"/>
  <c r="Z41" i="6"/>
  <c r="AC41" i="6" s="1"/>
  <c r="Z84" i="6"/>
  <c r="AC84" i="6" s="1"/>
  <c r="Z71" i="6"/>
  <c r="AC71" i="6" s="1"/>
  <c r="Z53" i="6"/>
  <c r="AC53" i="6" s="1"/>
  <c r="Z35" i="6"/>
  <c r="AC35" i="6" s="1"/>
  <c r="Z64" i="6"/>
  <c r="AC64" i="6" s="1"/>
  <c r="Z30" i="6"/>
  <c r="AC30" i="6" s="1"/>
  <c r="Z115" i="6"/>
  <c r="AC115" i="6" s="1"/>
  <c r="Z40" i="6"/>
  <c r="AC40" i="6" s="1"/>
  <c r="Z25" i="6"/>
  <c r="AC25" i="6" s="1"/>
  <c r="Z42" i="6"/>
  <c r="AC42" i="6" s="1"/>
  <c r="Z112" i="6"/>
  <c r="AC112" i="6" s="1"/>
  <c r="Z116" i="6"/>
  <c r="AC116" i="6" s="1"/>
  <c r="Z92" i="6"/>
  <c r="AC92" i="6" s="1"/>
  <c r="Z29" i="6"/>
  <c r="AC29" i="6" s="1"/>
  <c r="Z47" i="6"/>
  <c r="AC47" i="6" s="1"/>
  <c r="Z21" i="6"/>
  <c r="AC21" i="6" s="1"/>
  <c r="Z46" i="6"/>
  <c r="AC46" i="6" s="1"/>
  <c r="Z27" i="6"/>
  <c r="AC27" i="6" s="1"/>
  <c r="Z37" i="6"/>
  <c r="AC37" i="6" s="1"/>
  <c r="Z20" i="6"/>
  <c r="AA20" i="6" s="1"/>
  <c r="Z52" i="6"/>
  <c r="AC52" i="6" s="1"/>
  <c r="Z57" i="6"/>
  <c r="AC57" i="6" s="1"/>
  <c r="Z103" i="6"/>
  <c r="AC103" i="6" s="1"/>
  <c r="Z99" i="6"/>
  <c r="AC99" i="6" s="1"/>
  <c r="Z81" i="6"/>
  <c r="AC81" i="6" s="1"/>
  <c r="Z75" i="6"/>
  <c r="AC75" i="6" s="1"/>
  <c r="Z19" i="6"/>
  <c r="AC19" i="6" s="1"/>
  <c r="Z90" i="6"/>
  <c r="AC90" i="6" s="1"/>
  <c r="Z48" i="6"/>
  <c r="AC48" i="6" s="1"/>
  <c r="Z79" i="6"/>
  <c r="AC79" i="6" s="1"/>
  <c r="Z73" i="6"/>
  <c r="AC73" i="6" s="1"/>
  <c r="Z43" i="6"/>
  <c r="AC43" i="6" s="1"/>
  <c r="Z101" i="6"/>
  <c r="AC101" i="6" s="1"/>
  <c r="Z50" i="6"/>
  <c r="AC50" i="6" s="1"/>
  <c r="Z109" i="6"/>
  <c r="AC109" i="6" s="1"/>
  <c r="Z76" i="6"/>
  <c r="AC76" i="6" s="1"/>
  <c r="Z45" i="6"/>
  <c r="AC45" i="6" s="1"/>
  <c r="Z65" i="6"/>
  <c r="AC65" i="6" s="1"/>
  <c r="Z96" i="6"/>
  <c r="AC96" i="6" s="1"/>
  <c r="Z85" i="6"/>
  <c r="AC85" i="6" s="1"/>
  <c r="Z77" i="6"/>
  <c r="AC77" i="6" s="1"/>
  <c r="Z83" i="6"/>
  <c r="AC83" i="6" s="1"/>
  <c r="Z44" i="6"/>
  <c r="AC44" i="6" s="1"/>
  <c r="Z56" i="6"/>
  <c r="AC56" i="6" s="1"/>
  <c r="Z97" i="6"/>
  <c r="AC97" i="6" s="1"/>
  <c r="Z58" i="6"/>
  <c r="AC58" i="6" s="1"/>
  <c r="Z113" i="6"/>
  <c r="AC113" i="6" s="1"/>
  <c r="Z16" i="6"/>
  <c r="AC16" i="6" s="1"/>
  <c r="Z70" i="6"/>
  <c r="AC70" i="6" s="1"/>
  <c r="Z32" i="6"/>
  <c r="AC32" i="6" s="1"/>
  <c r="Z69" i="6"/>
  <c r="AC69" i="6" s="1"/>
  <c r="Z87" i="6"/>
  <c r="AC87" i="6" s="1"/>
  <c r="Z51" i="6"/>
  <c r="AC51" i="6" s="1"/>
  <c r="Z62" i="6"/>
  <c r="AC62" i="6" s="1"/>
  <c r="Z54" i="6"/>
  <c r="AC54" i="6" s="1"/>
  <c r="Z31" i="6"/>
  <c r="AC31" i="6" s="1"/>
  <c r="Z110" i="6"/>
  <c r="AC110" i="6" s="1"/>
  <c r="Z59" i="6"/>
  <c r="AC59" i="6" s="1"/>
  <c r="Z91" i="6"/>
  <c r="AC91" i="6" s="1"/>
  <c r="Z118" i="6"/>
  <c r="AC118" i="6" s="1"/>
  <c r="Z106" i="6"/>
  <c r="AC106" i="6" s="1"/>
  <c r="Z61" i="6"/>
  <c r="AC61" i="6" s="1"/>
  <c r="Z98" i="6"/>
  <c r="AC98" i="6" s="1"/>
  <c r="Z107" i="6"/>
  <c r="AC107" i="6" s="1"/>
  <c r="Z24" i="6"/>
  <c r="AA24" i="6" s="1"/>
  <c r="Z108" i="6"/>
  <c r="AC108" i="6" s="1"/>
  <c r="W108" i="7"/>
  <c r="W93" i="7"/>
  <c r="W82" i="7"/>
  <c r="W42" i="7"/>
  <c r="W76" i="7"/>
  <c r="W66" i="7"/>
  <c r="W61" i="7"/>
  <c r="W12" i="7"/>
  <c r="W86" i="7"/>
  <c r="W84" i="7"/>
  <c r="W33" i="7"/>
  <c r="W19" i="7"/>
  <c r="W81" i="7"/>
  <c r="W99" i="7"/>
  <c r="W28" i="7"/>
  <c r="W39" i="7"/>
  <c r="W13" i="7"/>
  <c r="W95" i="7"/>
  <c r="W44" i="7"/>
  <c r="W90" i="7"/>
  <c r="W75" i="7"/>
  <c r="W14" i="7"/>
  <c r="W15" i="7"/>
  <c r="W22" i="7"/>
  <c r="W10" i="7"/>
  <c r="W53" i="7"/>
  <c r="W47" i="7"/>
  <c r="W36" i="7"/>
  <c r="W62" i="7"/>
  <c r="W32" i="7"/>
  <c r="W85" i="7"/>
  <c r="W68" i="7"/>
  <c r="W100" i="7"/>
  <c r="W107" i="7"/>
  <c r="W88" i="7"/>
  <c r="W48" i="7"/>
  <c r="W94" i="7"/>
  <c r="W83" i="7"/>
  <c r="W92" i="7"/>
  <c r="W57" i="7"/>
  <c r="W104" i="7"/>
  <c r="W97" i="7"/>
  <c r="W9" i="7"/>
  <c r="W98" i="7"/>
  <c r="W102" i="7"/>
  <c r="W243" i="7"/>
  <c r="W244" i="7"/>
  <c r="W245" i="7"/>
  <c r="W246" i="7"/>
  <c r="W247" i="7"/>
  <c r="W248" i="7"/>
  <c r="W103" i="7"/>
  <c r="Y15" i="6"/>
  <c r="W17" i="7" s="1"/>
  <c r="W31" i="7"/>
  <c r="W29" i="7"/>
  <c r="W51" i="7"/>
  <c r="W45" i="7"/>
  <c r="W27" i="7"/>
  <c r="W25" i="7"/>
  <c r="W49" i="7"/>
  <c r="W54" i="7"/>
  <c r="W65" i="7"/>
  <c r="W34" i="7"/>
  <c r="W50" i="7"/>
  <c r="W35" i="7"/>
  <c r="W73" i="7"/>
  <c r="W40" i="7"/>
  <c r="W7" i="7"/>
  <c r="W38" i="7"/>
  <c r="W74" i="7"/>
  <c r="W67" i="7"/>
  <c r="W69" i="7"/>
  <c r="W59" i="7"/>
  <c r="W58" i="7"/>
  <c r="W24" i="7"/>
  <c r="W63" i="7"/>
  <c r="W26" i="7"/>
  <c r="W23" i="7"/>
  <c r="W78" i="7"/>
  <c r="W71" i="7"/>
  <c r="W37" i="7"/>
  <c r="W60" i="7"/>
  <c r="W46" i="7"/>
  <c r="W20" i="7"/>
  <c r="W43" i="7"/>
  <c r="W21" i="7"/>
  <c r="W18" i="7"/>
  <c r="W79" i="7"/>
  <c r="W64" i="7"/>
  <c r="W77" i="7"/>
  <c r="W70" i="7"/>
  <c r="W55" i="7"/>
  <c r="W91" i="7"/>
  <c r="W41" i="7"/>
  <c r="W101" i="7"/>
  <c r="W80" i="7"/>
  <c r="W96" i="7"/>
  <c r="W87" i="7"/>
  <c r="W72" i="7"/>
  <c r="W106" i="7"/>
  <c r="W110" i="7"/>
  <c r="W30" i="7"/>
  <c r="W109" i="7"/>
  <c r="W56" i="7"/>
  <c r="W52" i="7"/>
  <c r="W8" i="7"/>
  <c r="W89" i="7"/>
  <c r="W11" i="7"/>
  <c r="W105" i="7"/>
  <c r="AA82" i="6"/>
  <c r="AD82" i="6" s="1"/>
  <c r="AA89" i="6"/>
  <c r="AD89" i="6" s="1"/>
  <c r="AA61" i="6"/>
  <c r="AD61" i="6" s="1"/>
  <c r="AA26" i="6"/>
  <c r="AA30" i="6"/>
  <c r="AA35" i="6"/>
  <c r="AA22" i="6"/>
  <c r="AA39" i="6"/>
  <c r="AA42" i="6"/>
  <c r="AA36" i="6"/>
  <c r="AA23" i="6"/>
  <c r="AA16" i="6"/>
  <c r="AA114" i="6"/>
  <c r="AD114" i="6" s="1"/>
  <c r="AA41" i="6"/>
  <c r="AA18" i="6"/>
  <c r="AA84" i="6"/>
  <c r="AD84" i="6" s="1"/>
  <c r="AA52" i="6"/>
  <c r="AD52" i="6" s="1"/>
  <c r="AA40" i="6"/>
  <c r="AA28" i="6"/>
  <c r="AA74" i="6"/>
  <c r="AD74" i="6" s="1"/>
  <c r="AA38" i="6"/>
  <c r="AA55" i="6"/>
  <c r="AD55" i="6" s="1"/>
  <c r="AA105" i="6"/>
  <c r="AD105" i="6" s="1"/>
  <c r="AA100" i="6"/>
  <c r="AD100" i="6" s="1"/>
  <c r="AA99" i="6"/>
  <c r="AD99" i="6" s="1"/>
  <c r="AA71" i="6"/>
  <c r="AD71" i="6" s="1"/>
  <c r="AA92" i="6"/>
  <c r="AD92" i="6" s="1"/>
  <c r="AA64" i="6"/>
  <c r="AD64" i="6" s="1"/>
  <c r="AA88" i="6"/>
  <c r="AD88" i="6" s="1"/>
  <c r="AA93" i="6"/>
  <c r="AD93" i="6" s="1"/>
  <c r="AA78" i="6"/>
  <c r="AD78" i="6" s="1"/>
  <c r="AA102" i="6"/>
  <c r="AD102" i="6" s="1"/>
  <c r="AA95" i="6"/>
  <c r="AD95" i="6" s="1"/>
  <c r="AA86" i="6"/>
  <c r="AD86" i="6" s="1"/>
  <c r="AA67" i="6"/>
  <c r="AD67" i="6" s="1"/>
  <c r="AA72" i="6"/>
  <c r="AD72" i="6" s="1"/>
  <c r="AA80" i="6"/>
  <c r="AD80" i="6" s="1"/>
  <c r="AA104" i="6"/>
  <c r="AD104" i="6" s="1"/>
  <c r="AA60" i="6"/>
  <c r="AD60" i="6" s="1"/>
  <c r="AA66" i="6"/>
  <c r="AD66" i="6" s="1"/>
  <c r="AA68" i="6"/>
  <c r="AD68" i="6" s="1"/>
  <c r="AA63" i="6"/>
  <c r="AD63" i="6" s="1"/>
  <c r="AA53" i="6"/>
  <c r="AD53" i="6" s="1"/>
  <c r="AA117" i="6"/>
  <c r="AD117" i="6" s="1"/>
  <c r="AA111" i="6"/>
  <c r="AD111" i="6" s="1"/>
  <c r="Z15" i="6"/>
  <c r="AC15" i="6" s="1"/>
  <c r="Y15" i="1"/>
  <c r="W7" i="5" s="1"/>
  <c r="Z15" i="1"/>
  <c r="AC15" i="1" s="1"/>
  <c r="W386" i="5" l="1"/>
  <c r="W409" i="5"/>
  <c r="W372" i="5"/>
  <c r="W411" i="5"/>
  <c r="W441" i="5"/>
  <c r="W388" i="5"/>
  <c r="W361" i="5"/>
  <c r="W383" i="5"/>
  <c r="W427" i="5"/>
  <c r="W370" i="5"/>
  <c r="W436" i="5"/>
  <c r="W367" i="5"/>
  <c r="AA396" i="1"/>
  <c r="AD396" i="1" s="1"/>
  <c r="AA372" i="1"/>
  <c r="AD372" i="1" s="1"/>
  <c r="AB244" i="1"/>
  <c r="AA352" i="1"/>
  <c r="AD352" i="1" s="1"/>
  <c r="AA371" i="1"/>
  <c r="AD371" i="1" s="1"/>
  <c r="AA246" i="1"/>
  <c r="AD246" i="1" s="1"/>
  <c r="AB272" i="1"/>
  <c r="AA433" i="1"/>
  <c r="AD433" i="1" s="1"/>
  <c r="AA423" i="1"/>
  <c r="AD423" i="1" s="1"/>
  <c r="AB433" i="1"/>
  <c r="AA259" i="1"/>
  <c r="AD259" i="1" s="1"/>
  <c r="AA351" i="1"/>
  <c r="AD351" i="1" s="1"/>
  <c r="AB259" i="1"/>
  <c r="AB308" i="1"/>
  <c r="AB215" i="1"/>
  <c r="AA293" i="1"/>
  <c r="AD293" i="1" s="1"/>
  <c r="AA295" i="1"/>
  <c r="AD295" i="1" s="1"/>
  <c r="AA312" i="1"/>
  <c r="AD312" i="1" s="1"/>
  <c r="AB354" i="1"/>
  <c r="AA430" i="1"/>
  <c r="AD430" i="1" s="1"/>
  <c r="AA18" i="1"/>
  <c r="AD18" i="1" s="1"/>
  <c r="AA294" i="1"/>
  <c r="AD294" i="1" s="1"/>
  <c r="AA20" i="1"/>
  <c r="AD20" i="1" s="1"/>
  <c r="AA354" i="1"/>
  <c r="AD354" i="1" s="1"/>
  <c r="AA134" i="1"/>
  <c r="AD134" i="1" s="1"/>
  <c r="AB247" i="1"/>
  <c r="AB370" i="1"/>
  <c r="AB357" i="1"/>
  <c r="AA335" i="1"/>
  <c r="AD335" i="1" s="1"/>
  <c r="AA323" i="1"/>
  <c r="AD323" i="1" s="1"/>
  <c r="AB238" i="1"/>
  <c r="AA357" i="1"/>
  <c r="AD357" i="1" s="1"/>
  <c r="AB134" i="1"/>
  <c r="AA247" i="1"/>
  <c r="AD247" i="1" s="1"/>
  <c r="AA370" i="1"/>
  <c r="AD370" i="1" s="1"/>
  <c r="AA274" i="1"/>
  <c r="AD274" i="1" s="1"/>
  <c r="AA457" i="1"/>
  <c r="AD457" i="1" s="1"/>
  <c r="W248" i="5"/>
  <c r="AA368" i="1"/>
  <c r="AD368" i="1" s="1"/>
  <c r="AA233" i="1"/>
  <c r="AD233" i="1" s="1"/>
  <c r="AB368" i="1"/>
  <c r="AA283" i="1"/>
  <c r="AD283" i="1" s="1"/>
  <c r="AB263" i="1"/>
  <c r="AB274" i="1"/>
  <c r="AB23" i="1"/>
  <c r="AA179" i="1"/>
  <c r="AD179" i="1" s="1"/>
  <c r="AA164" i="1"/>
  <c r="AD164" i="1" s="1"/>
  <c r="AB103" i="1"/>
  <c r="AA103" i="1"/>
  <c r="AD103" i="1" s="1"/>
  <c r="AA328" i="1"/>
  <c r="AD328" i="1" s="1"/>
  <c r="AB328" i="1"/>
  <c r="AA353" i="1"/>
  <c r="AD353" i="1" s="1"/>
  <c r="AA303" i="1"/>
  <c r="AD303" i="1" s="1"/>
  <c r="AB303" i="1"/>
  <c r="AA188" i="1"/>
  <c r="AD188" i="1" s="1"/>
  <c r="AA23" i="1"/>
  <c r="AD23" i="1" s="1"/>
  <c r="AB179" i="1"/>
  <c r="AA308" i="1"/>
  <c r="AD308" i="1" s="1"/>
  <c r="AA57" i="1"/>
  <c r="AD57" i="1" s="1"/>
  <c r="AA108" i="1"/>
  <c r="AD108" i="1" s="1"/>
  <c r="AB108" i="1"/>
  <c r="AA160" i="1"/>
  <c r="AD160" i="1" s="1"/>
  <c r="AA88" i="1"/>
  <c r="AD88" i="1" s="1"/>
  <c r="AA17" i="1"/>
  <c r="AD17" i="1" s="1"/>
  <c r="AA215" i="1"/>
  <c r="AD215" i="1" s="1"/>
  <c r="AA276" i="1"/>
  <c r="AD276" i="1" s="1"/>
  <c r="AA24" i="1"/>
  <c r="AD24" i="1" s="1"/>
  <c r="AA369" i="1"/>
  <c r="AD369" i="1" s="1"/>
  <c r="AA167" i="1"/>
  <c r="AD167" i="1" s="1"/>
  <c r="AA196" i="1"/>
  <c r="AD196" i="1" s="1"/>
  <c r="AA28" i="1"/>
  <c r="AD28" i="1" s="1"/>
  <c r="AB57" i="1"/>
  <c r="AA245" i="1"/>
  <c r="AD245" i="1" s="1"/>
  <c r="AA78" i="1"/>
  <c r="AD78" i="1" s="1"/>
  <c r="AB404" i="1"/>
  <c r="AA409" i="1"/>
  <c r="AD409" i="1" s="1"/>
  <c r="AB290" i="1"/>
  <c r="AB451" i="1"/>
  <c r="AA290" i="1"/>
  <c r="AD290" i="1" s="1"/>
  <c r="AA307" i="1"/>
  <c r="AD307" i="1" s="1"/>
  <c r="AB81" i="1"/>
  <c r="AB307" i="1"/>
  <c r="AA300" i="1"/>
  <c r="AD300" i="1" s="1"/>
  <c r="AA404" i="1"/>
  <c r="AD404" i="1" s="1"/>
  <c r="AB135" i="1"/>
  <c r="AA135" i="1"/>
  <c r="AD135" i="1" s="1"/>
  <c r="AA119" i="1"/>
  <c r="AD119" i="1" s="1"/>
  <c r="AB119" i="1"/>
  <c r="AB277" i="1"/>
  <c r="AA154" i="1"/>
  <c r="AD154" i="1" s="1"/>
  <c r="AA231" i="1"/>
  <c r="AD231" i="1" s="1"/>
  <c r="AB171" i="1"/>
  <c r="W159" i="5"/>
  <c r="AB216" i="1"/>
  <c r="W194" i="5"/>
  <c r="AB388" i="1"/>
  <c r="W387" i="5"/>
  <c r="AB97" i="1"/>
  <c r="W96" i="5"/>
  <c r="AB218" i="1"/>
  <c r="W192" i="5"/>
  <c r="AA172" i="1"/>
  <c r="AD172" i="1" s="1"/>
  <c r="W164" i="5"/>
  <c r="AB65" i="1"/>
  <c r="W53" i="5"/>
  <c r="AA173" i="1"/>
  <c r="AD173" i="1" s="1"/>
  <c r="W160" i="5"/>
  <c r="AB208" i="1"/>
  <c r="W199" i="5"/>
  <c r="AB175" i="1"/>
  <c r="W175" i="5"/>
  <c r="AA83" i="1"/>
  <c r="AD83" i="1" s="1"/>
  <c r="W64" i="5"/>
  <c r="AA35" i="1"/>
  <c r="AD35" i="1" s="1"/>
  <c r="W34" i="5"/>
  <c r="AA181" i="1"/>
  <c r="AD181" i="1" s="1"/>
  <c r="W170" i="5"/>
  <c r="AB105" i="1"/>
  <c r="W92" i="5"/>
  <c r="AB165" i="1"/>
  <c r="W141" i="5"/>
  <c r="AB101" i="1"/>
  <c r="W116" i="5"/>
  <c r="AB210" i="1"/>
  <c r="W205" i="5"/>
  <c r="AB32" i="1"/>
  <c r="W19" i="5"/>
  <c r="AA69" i="1"/>
  <c r="AD69" i="1" s="1"/>
  <c r="AB172" i="1"/>
  <c r="AA317" i="1"/>
  <c r="AD317" i="1" s="1"/>
  <c r="AA64" i="1"/>
  <c r="AD64" i="1" s="1"/>
  <c r="AA102" i="1"/>
  <c r="AD102" i="1" s="1"/>
  <c r="AA75" i="1"/>
  <c r="AD75" i="1" s="1"/>
  <c r="AB75" i="1"/>
  <c r="AA406" i="1"/>
  <c r="AD406" i="1" s="1"/>
  <c r="AA56" i="1"/>
  <c r="AD56" i="1" s="1"/>
  <c r="AA30" i="1"/>
  <c r="AD30" i="1" s="1"/>
  <c r="AA267" i="1"/>
  <c r="AD267" i="1" s="1"/>
  <c r="AA214" i="1"/>
  <c r="AD214" i="1" s="1"/>
  <c r="AA198" i="1"/>
  <c r="AD198" i="1" s="1"/>
  <c r="AA415" i="1"/>
  <c r="AD415" i="1" s="1"/>
  <c r="AB143" i="1"/>
  <c r="AA101" i="1"/>
  <c r="AD101" i="1" s="1"/>
  <c r="AA143" i="1"/>
  <c r="AD143" i="1" s="1"/>
  <c r="AA19" i="1"/>
  <c r="AD19" i="1" s="1"/>
  <c r="AA424" i="1"/>
  <c r="AD424" i="1" s="1"/>
  <c r="AB343" i="1"/>
  <c r="AA32" i="1"/>
  <c r="AD32" i="1" s="1"/>
  <c r="AA429" i="1"/>
  <c r="AD429" i="1" s="1"/>
  <c r="AA343" i="1"/>
  <c r="AD343" i="1" s="1"/>
  <c r="AA70" i="1"/>
  <c r="AD70" i="1" s="1"/>
  <c r="AA191" i="1"/>
  <c r="AD191" i="1" s="1"/>
  <c r="AB429" i="1"/>
  <c r="AA216" i="1"/>
  <c r="AD216" i="1" s="1"/>
  <c r="AA159" i="1"/>
  <c r="AD159" i="1" s="1"/>
  <c r="AA203" i="1"/>
  <c r="AD203" i="1" s="1"/>
  <c r="AA95" i="1"/>
  <c r="AD95" i="1" s="1"/>
  <c r="AB78" i="1"/>
  <c r="AA184" i="1"/>
  <c r="AD184" i="1" s="1"/>
  <c r="AA81" i="1"/>
  <c r="AD81" i="1" s="1"/>
  <c r="AB24" i="1"/>
  <c r="AA390" i="1"/>
  <c r="AD390" i="1" s="1"/>
  <c r="AA206" i="1"/>
  <c r="AD206" i="1" s="1"/>
  <c r="AB60" i="1"/>
  <c r="AB206" i="1"/>
  <c r="AA87" i="1"/>
  <c r="AD87" i="1" s="1"/>
  <c r="AB87" i="1"/>
  <c r="AB109" i="1"/>
  <c r="AA148" i="1"/>
  <c r="AD148" i="1" s="1"/>
  <c r="AB148" i="1"/>
  <c r="AA22" i="1"/>
  <c r="AD22" i="1" s="1"/>
  <c r="AA60" i="1"/>
  <c r="AD60" i="1" s="1"/>
  <c r="AB22" i="1"/>
  <c r="AA220" i="1"/>
  <c r="AD220" i="1" s="1"/>
  <c r="AA36" i="1"/>
  <c r="AD36" i="1" s="1"/>
  <c r="AB112" i="1"/>
  <c r="AB36" i="1"/>
  <c r="AA71" i="1"/>
  <c r="AD71" i="1" s="1"/>
  <c r="AA149" i="1"/>
  <c r="AD149" i="1" s="1"/>
  <c r="AA218" i="1"/>
  <c r="AD218" i="1" s="1"/>
  <c r="AA170" i="1"/>
  <c r="AD170" i="1" s="1"/>
  <c r="AA128" i="1"/>
  <c r="AD128" i="1" s="1"/>
  <c r="AB239" i="1"/>
  <c r="AA112" i="1"/>
  <c r="AD112" i="1" s="1"/>
  <c r="AA90" i="1"/>
  <c r="AD90" i="1" s="1"/>
  <c r="AA62" i="1"/>
  <c r="AD62" i="1" s="1"/>
  <c r="AB456" i="1"/>
  <c r="AA456" i="1"/>
  <c r="AD456" i="1" s="1"/>
  <c r="AA447" i="1"/>
  <c r="AD447" i="1" s="1"/>
  <c r="AA174" i="1"/>
  <c r="AD174" i="1" s="1"/>
  <c r="AA31" i="1"/>
  <c r="AD31" i="1" s="1"/>
  <c r="AA33" i="1"/>
  <c r="AD33" i="1" s="1"/>
  <c r="AA443" i="1"/>
  <c r="AD443" i="1" s="1"/>
  <c r="AB174" i="1"/>
  <c r="AA239" i="1"/>
  <c r="AD239" i="1" s="1"/>
  <c r="AA251" i="1"/>
  <c r="AD251" i="1" s="1"/>
  <c r="AA79" i="1"/>
  <c r="AD79" i="1" s="1"/>
  <c r="AB251" i="1"/>
  <c r="AA25" i="1"/>
  <c r="AD25" i="1" s="1"/>
  <c r="AA45" i="1"/>
  <c r="AD45" i="1" s="1"/>
  <c r="AA131" i="1"/>
  <c r="AD131" i="1" s="1"/>
  <c r="AB35" i="1"/>
  <c r="AA238" i="1"/>
  <c r="AD238" i="1" s="1"/>
  <c r="AB361" i="1"/>
  <c r="AA322" i="1"/>
  <c r="AD322" i="1" s="1"/>
  <c r="AB453" i="1"/>
  <c r="AA257" i="1"/>
  <c r="AD257" i="1" s="1"/>
  <c r="AB384" i="1"/>
  <c r="AA277" i="1"/>
  <c r="AD277" i="1" s="1"/>
  <c r="AB393" i="1"/>
  <c r="AA426" i="1"/>
  <c r="AD426" i="1" s="1"/>
  <c r="AB398" i="1"/>
  <c r="AB319" i="1"/>
  <c r="AB270" i="1"/>
  <c r="AB224" i="1"/>
  <c r="AB199" i="1"/>
  <c r="AA178" i="1"/>
  <c r="AD178" i="1" s="1"/>
  <c r="AB390" i="1"/>
  <c r="AB362" i="1"/>
  <c r="AA199" i="1"/>
  <c r="AD199" i="1" s="1"/>
  <c r="AA187" i="1"/>
  <c r="AD187" i="1" s="1"/>
  <c r="AA168" i="1"/>
  <c r="AD168" i="1" s="1"/>
  <c r="AA365" i="1"/>
  <c r="AD365" i="1" s="1"/>
  <c r="AB310" i="1"/>
  <c r="AA65" i="1"/>
  <c r="AD65" i="1" s="1"/>
  <c r="AA310" i="1"/>
  <c r="AD310" i="1" s="1"/>
  <c r="AB227" i="1"/>
  <c r="AA204" i="1"/>
  <c r="AD204" i="1" s="1"/>
  <c r="AA151" i="1"/>
  <c r="AD151" i="1" s="1"/>
  <c r="AA223" i="1"/>
  <c r="AD223" i="1" s="1"/>
  <c r="AB123" i="1"/>
  <c r="AB322" i="1"/>
  <c r="AA136" i="1"/>
  <c r="AD136" i="1" s="1"/>
  <c r="AA38" i="1"/>
  <c r="AD38" i="1" s="1"/>
  <c r="AA86" i="1"/>
  <c r="AD86" i="1" s="1"/>
  <c r="AA123" i="1"/>
  <c r="AD123" i="1" s="1"/>
  <c r="AA29" i="1"/>
  <c r="AD29" i="1" s="1"/>
  <c r="AA194" i="1"/>
  <c r="AD194" i="1" s="1"/>
  <c r="AB194" i="1"/>
  <c r="AA125" i="1"/>
  <c r="AD125" i="1" s="1"/>
  <c r="AA27" i="1"/>
  <c r="AD27" i="1" s="1"/>
  <c r="AB27" i="1"/>
  <c r="AA319" i="1"/>
  <c r="AD319" i="1" s="1"/>
  <c r="AB38" i="1"/>
  <c r="AA144" i="1"/>
  <c r="AD144" i="1" s="1"/>
  <c r="AB26" i="1"/>
  <c r="AA139" i="1"/>
  <c r="AD139" i="1" s="1"/>
  <c r="AA138" i="1"/>
  <c r="AD138" i="1" s="1"/>
  <c r="AA192" i="1"/>
  <c r="AD192" i="1" s="1"/>
  <c r="AB45" i="1"/>
  <c r="AA97" i="1"/>
  <c r="AD97" i="1" s="1"/>
  <c r="AB138" i="1"/>
  <c r="AA85" i="1"/>
  <c r="AD85" i="1" s="1"/>
  <c r="AA130" i="1"/>
  <c r="AD130" i="1" s="1"/>
  <c r="AA146" i="1"/>
  <c r="AD146" i="1" s="1"/>
  <c r="AB54" i="1"/>
  <c r="AA39" i="1"/>
  <c r="AD39" i="1" s="1"/>
  <c r="AB83" i="1"/>
  <c r="AA54" i="1"/>
  <c r="AD54" i="1" s="1"/>
  <c r="AA26" i="1"/>
  <c r="AD26" i="1" s="1"/>
  <c r="AA92" i="1"/>
  <c r="AD92" i="1" s="1"/>
  <c r="AB76" i="1"/>
  <c r="AA42" i="1"/>
  <c r="AD42" i="1" s="1"/>
  <c r="AB42" i="1"/>
  <c r="AA208" i="1"/>
  <c r="AD208" i="1" s="1"/>
  <c r="AA46" i="1"/>
  <c r="AD46" i="1" s="1"/>
  <c r="AB223" i="1"/>
  <c r="AA94" i="1"/>
  <c r="AD94" i="1" s="1"/>
  <c r="AA399" i="1"/>
  <c r="AD399" i="1" s="1"/>
  <c r="AB99" i="1"/>
  <c r="AB94" i="1"/>
  <c r="AA99" i="1"/>
  <c r="AD99" i="1" s="1"/>
  <c r="AA200" i="1"/>
  <c r="AD200" i="1" s="1"/>
  <c r="AA197" i="1"/>
  <c r="AD197" i="1" s="1"/>
  <c r="AB46" i="1"/>
  <c r="AA66" i="1"/>
  <c r="AD66" i="1" s="1"/>
  <c r="AA212" i="1"/>
  <c r="AD212" i="1" s="1"/>
  <c r="AA161" i="1"/>
  <c r="AD161" i="1" s="1"/>
  <c r="AB66" i="1"/>
  <c r="AA73" i="1"/>
  <c r="AD73" i="1" s="1"/>
  <c r="AB192" i="1"/>
  <c r="AB162" i="1"/>
  <c r="AA162" i="1"/>
  <c r="AD162" i="1" s="1"/>
  <c r="AA158" i="1"/>
  <c r="AD158" i="1" s="1"/>
  <c r="AA142" i="1"/>
  <c r="AD142" i="1" s="1"/>
  <c r="AA98" i="1"/>
  <c r="AD98" i="1" s="1"/>
  <c r="AA126" i="1"/>
  <c r="AD126" i="1" s="1"/>
  <c r="AB142" i="1"/>
  <c r="AB98" i="1"/>
  <c r="AA165" i="1"/>
  <c r="AD165" i="1" s="1"/>
  <c r="AA109" i="1"/>
  <c r="AD109" i="1" s="1"/>
  <c r="AB43" i="1"/>
  <c r="AA91" i="1"/>
  <c r="AD91" i="1" s="1"/>
  <c r="AB188" i="1"/>
  <c r="AB173" i="1"/>
  <c r="AA201" i="1"/>
  <c r="AD201" i="1" s="1"/>
  <c r="AA51" i="1"/>
  <c r="AD51" i="1" s="1"/>
  <c r="AA330" i="1"/>
  <c r="AD330" i="1" s="1"/>
  <c r="AA34" i="1"/>
  <c r="AD34" i="1" s="1"/>
  <c r="AA55" i="1"/>
  <c r="AD55" i="1" s="1"/>
  <c r="AA106" i="1"/>
  <c r="AD106" i="1" s="1"/>
  <c r="AA180" i="1"/>
  <c r="AD180" i="1" s="1"/>
  <c r="AA100" i="1"/>
  <c r="AD100" i="1" s="1"/>
  <c r="AA129" i="1"/>
  <c r="AD129" i="1" s="1"/>
  <c r="AB67" i="1"/>
  <c r="AB182" i="1"/>
  <c r="AB133" i="1"/>
  <c r="AA68" i="1"/>
  <c r="AD68" i="1" s="1"/>
  <c r="AB115" i="1"/>
  <c r="AA114" i="1"/>
  <c r="AD114" i="1" s="1"/>
  <c r="AA147" i="1"/>
  <c r="AD147" i="1" s="1"/>
  <c r="AA361" i="1"/>
  <c r="AD361" i="1" s="1"/>
  <c r="AB68" i="1"/>
  <c r="AA163" i="1"/>
  <c r="AD163" i="1" s="1"/>
  <c r="AA121" i="1"/>
  <c r="AD121" i="1" s="1"/>
  <c r="AA175" i="1"/>
  <c r="AD175" i="1" s="1"/>
  <c r="AA190" i="1"/>
  <c r="AD190" i="1" s="1"/>
  <c r="AA141" i="1"/>
  <c r="AD141" i="1" s="1"/>
  <c r="AB190" i="1"/>
  <c r="AB163" i="1"/>
  <c r="AA115" i="1"/>
  <c r="AD115" i="1" s="1"/>
  <c r="AA67" i="1"/>
  <c r="AD67" i="1" s="1"/>
  <c r="AA207" i="1"/>
  <c r="AD207" i="1" s="1"/>
  <c r="AA47" i="1"/>
  <c r="AD47" i="1" s="1"/>
  <c r="AA96" i="1"/>
  <c r="AD96" i="1" s="1"/>
  <c r="AA80" i="1"/>
  <c r="AD80" i="1" s="1"/>
  <c r="AA398" i="1"/>
  <c r="AD398" i="1" s="1"/>
  <c r="AA224" i="1"/>
  <c r="AD224" i="1" s="1"/>
  <c r="AB181" i="1"/>
  <c r="AA182" i="1"/>
  <c r="AD182" i="1" s="1"/>
  <c r="AA77" i="1"/>
  <c r="AD77" i="1" s="1"/>
  <c r="AB72" i="1"/>
  <c r="AA362" i="1"/>
  <c r="AD362" i="1" s="1"/>
  <c r="AA453" i="1"/>
  <c r="AD453" i="1" s="1"/>
  <c r="AA145" i="1"/>
  <c r="AD145" i="1" s="1"/>
  <c r="AB121" i="1"/>
  <c r="AA72" i="1"/>
  <c r="AD72" i="1" s="1"/>
  <c r="AA61" i="1"/>
  <c r="AD61" i="1" s="1"/>
  <c r="AA133" i="1"/>
  <c r="AD133" i="1" s="1"/>
  <c r="AA185" i="1"/>
  <c r="AD185" i="1" s="1"/>
  <c r="AA63" i="1"/>
  <c r="AD63" i="1" s="1"/>
  <c r="AA48" i="1"/>
  <c r="AD48" i="1" s="1"/>
  <c r="AB86" i="1"/>
  <c r="AA43" i="1"/>
  <c r="AD43" i="1" s="1"/>
  <c r="AB61" i="1"/>
  <c r="AA58" i="1"/>
  <c r="AD58" i="1" s="1"/>
  <c r="AA127" i="1"/>
  <c r="AD127" i="1" s="1"/>
  <c r="AB365" i="1"/>
  <c r="AB257" i="1"/>
  <c r="AA84" i="1"/>
  <c r="AD84" i="1" s="1"/>
  <c r="AA44" i="1"/>
  <c r="AD44" i="1" s="1"/>
  <c r="AA459" i="1"/>
  <c r="AD459" i="1" s="1"/>
  <c r="AB44" i="1"/>
  <c r="AA122" i="1"/>
  <c r="AD122" i="1" s="1"/>
  <c r="AB122" i="1"/>
  <c r="AA205" i="1"/>
  <c r="AD205" i="1" s="1"/>
  <c r="AA74" i="1"/>
  <c r="AD74" i="1" s="1"/>
  <c r="AA213" i="1"/>
  <c r="AD213" i="1" s="1"/>
  <c r="AA153" i="1"/>
  <c r="AD153" i="1" s="1"/>
  <c r="AB74" i="1"/>
  <c r="AA59" i="1"/>
  <c r="AD59" i="1" s="1"/>
  <c r="AA40" i="1"/>
  <c r="AD40" i="1" s="1"/>
  <c r="AA155" i="1"/>
  <c r="AD155" i="1" s="1"/>
  <c r="AB59" i="1"/>
  <c r="AB117" i="1"/>
  <c r="AB40" i="1"/>
  <c r="AB49" i="1"/>
  <c r="AA21" i="1"/>
  <c r="AD21" i="1" s="1"/>
  <c r="AB47" i="1"/>
  <c r="AA117" i="1"/>
  <c r="AD117" i="1" s="1"/>
  <c r="AA157" i="1"/>
  <c r="AD157" i="1" s="1"/>
  <c r="AA49" i="1"/>
  <c r="AD49" i="1" s="1"/>
  <c r="AA76" i="1"/>
  <c r="AD76" i="1" s="1"/>
  <c r="AA407" i="1"/>
  <c r="AD407" i="1" s="1"/>
  <c r="AA132" i="1"/>
  <c r="AD132" i="1" s="1"/>
  <c r="AA89" i="1"/>
  <c r="AD89" i="1" s="1"/>
  <c r="AA140" i="1"/>
  <c r="AD140" i="1" s="1"/>
  <c r="AB132" i="1"/>
  <c r="AB89" i="1"/>
  <c r="AA189" i="1"/>
  <c r="AD189" i="1" s="1"/>
  <c r="AB189" i="1"/>
  <c r="AA393" i="1"/>
  <c r="AD393" i="1" s="1"/>
  <c r="AA116" i="1"/>
  <c r="AD116" i="1" s="1"/>
  <c r="AA169" i="1"/>
  <c r="AD169" i="1" s="1"/>
  <c r="AA82" i="1"/>
  <c r="AD82" i="1" s="1"/>
  <c r="AA110" i="1"/>
  <c r="AD110" i="1" s="1"/>
  <c r="AB116" i="1"/>
  <c r="AB169" i="1"/>
  <c r="AA105" i="1"/>
  <c r="AD105" i="1" s="1"/>
  <c r="AA41" i="1"/>
  <c r="AD41" i="1" s="1"/>
  <c r="AA156" i="1"/>
  <c r="AD156" i="1" s="1"/>
  <c r="AA360" i="1"/>
  <c r="AD360" i="1" s="1"/>
  <c r="AB41" i="1"/>
  <c r="AA16" i="1"/>
  <c r="AD16" i="1" s="1"/>
  <c r="AA107" i="1"/>
  <c r="AD107" i="1" s="1"/>
  <c r="AA285" i="1"/>
  <c r="AD285" i="1" s="1"/>
  <c r="AA150" i="1"/>
  <c r="AD150" i="1" s="1"/>
  <c r="AB204" i="1"/>
  <c r="AA211" i="1"/>
  <c r="AD211" i="1" s="1"/>
  <c r="AB50" i="1"/>
  <c r="AA152" i="1"/>
  <c r="AD152" i="1" s="1"/>
  <c r="AA195" i="1"/>
  <c r="AD195" i="1" s="1"/>
  <c r="AA176" i="1"/>
  <c r="AD176" i="1" s="1"/>
  <c r="AA186" i="1"/>
  <c r="AD186" i="1" s="1"/>
  <c r="AB150" i="1"/>
  <c r="AA50" i="1"/>
  <c r="AD50" i="1" s="1"/>
  <c r="AB176" i="1"/>
  <c r="AB186" i="1"/>
  <c r="AB211" i="1"/>
  <c r="AA118" i="1"/>
  <c r="AD118" i="1" s="1"/>
  <c r="AA113" i="1"/>
  <c r="AD113" i="1" s="1"/>
  <c r="AA210" i="1"/>
  <c r="AD210" i="1" s="1"/>
  <c r="AA227" i="1"/>
  <c r="AD227" i="1" s="1"/>
  <c r="AA124" i="1"/>
  <c r="AD124" i="1" s="1"/>
  <c r="AA177" i="1"/>
  <c r="AD177" i="1" s="1"/>
  <c r="AA270" i="1"/>
  <c r="AD270" i="1" s="1"/>
  <c r="AA52" i="1"/>
  <c r="AD52" i="1" s="1"/>
  <c r="AA120" i="1"/>
  <c r="AD120" i="1" s="1"/>
  <c r="AA384" i="1"/>
  <c r="AD384" i="1" s="1"/>
  <c r="AA111" i="1"/>
  <c r="AD111" i="1" s="1"/>
  <c r="AA202" i="1"/>
  <c r="AD202" i="1" s="1"/>
  <c r="AA104" i="1"/>
  <c r="AD104" i="1" s="1"/>
  <c r="AA422" i="1"/>
  <c r="AD422" i="1" s="1"/>
  <c r="AA53" i="1"/>
  <c r="AD53" i="1" s="1"/>
  <c r="AB120" i="1"/>
  <c r="AB111" i="1"/>
  <c r="AA37" i="1"/>
  <c r="AD37" i="1" s="1"/>
  <c r="AB202" i="1"/>
  <c r="AA193" i="1"/>
  <c r="AD193" i="1" s="1"/>
  <c r="AA137" i="1"/>
  <c r="AD137" i="1" s="1"/>
  <c r="AB153" i="1"/>
  <c r="AA209" i="1"/>
  <c r="AD209" i="1" s="1"/>
  <c r="AA166" i="1"/>
  <c r="AD166" i="1" s="1"/>
  <c r="AB166" i="1"/>
  <c r="AA76" i="6"/>
  <c r="AD76" i="6" s="1"/>
  <c r="AA69" i="6"/>
  <c r="AD69" i="6" s="1"/>
  <c r="AA54" i="6"/>
  <c r="AD54" i="6" s="1"/>
  <c r="AA47" i="6"/>
  <c r="AA73" i="6"/>
  <c r="AD73" i="6" s="1"/>
  <c r="AA34" i="6"/>
  <c r="AA96" i="6"/>
  <c r="AD96" i="6" s="1"/>
  <c r="AA90" i="6"/>
  <c r="AD90" i="6" s="1"/>
  <c r="AA21" i="6"/>
  <c r="AA115" i="6"/>
  <c r="AD115" i="6" s="1"/>
  <c r="AA77" i="6"/>
  <c r="AD77" i="6" s="1"/>
  <c r="AA51" i="6"/>
  <c r="AD51" i="6" s="1"/>
  <c r="AA75" i="6"/>
  <c r="AD75" i="6" s="1"/>
  <c r="AA113" i="6"/>
  <c r="AD113" i="6" s="1"/>
  <c r="AA32" i="6"/>
  <c r="AA94" i="6"/>
  <c r="AD94" i="6" s="1"/>
  <c r="AA116" i="6"/>
  <c r="AD116" i="6" s="1"/>
  <c r="AA112" i="6"/>
  <c r="AD112" i="6" s="1"/>
  <c r="AA103" i="6"/>
  <c r="AD103" i="6" s="1"/>
  <c r="AA109" i="6"/>
  <c r="AD109" i="6" s="1"/>
  <c r="AA85" i="6"/>
  <c r="AD85" i="6" s="1"/>
  <c r="AA91" i="6"/>
  <c r="AD91" i="6" s="1"/>
  <c r="AA81" i="6"/>
  <c r="AD81" i="6" s="1"/>
  <c r="AA118" i="6"/>
  <c r="AD118" i="6" s="1"/>
  <c r="AA87" i="6"/>
  <c r="AD87" i="6" s="1"/>
  <c r="AA49" i="6"/>
  <c r="AD49" i="6" s="1"/>
  <c r="AA29" i="6"/>
  <c r="AA97" i="6"/>
  <c r="AD97" i="6" s="1"/>
  <c r="AA56" i="6"/>
  <c r="AD56" i="6" s="1"/>
  <c r="AA108" i="6"/>
  <c r="AD108" i="6" s="1"/>
  <c r="AA37" i="6"/>
  <c r="AA59" i="6"/>
  <c r="AD59" i="6" s="1"/>
  <c r="AA57" i="6"/>
  <c r="AD57" i="6" s="1"/>
  <c r="AA58" i="6"/>
  <c r="AD58" i="6" s="1"/>
  <c r="AA107" i="6"/>
  <c r="AD107" i="6" s="1"/>
  <c r="AA98" i="6"/>
  <c r="AD98" i="6" s="1"/>
  <c r="AA101" i="6"/>
  <c r="AD101" i="6" s="1"/>
  <c r="AA110" i="6"/>
  <c r="AD110" i="6" s="1"/>
  <c r="AA50" i="6"/>
  <c r="AD50" i="6" s="1"/>
  <c r="Y12" i="1"/>
  <c r="AA62" i="6"/>
  <c r="AD62" i="6" s="1"/>
  <c r="AA106" i="6"/>
  <c r="AD106" i="6" s="1"/>
  <c r="AA83" i="6"/>
  <c r="AD83" i="6" s="1"/>
  <c r="AA70" i="6"/>
  <c r="AD70" i="6" s="1"/>
  <c r="AA27" i="6"/>
  <c r="AA79" i="6"/>
  <c r="AD79" i="6" s="1"/>
  <c r="AA19" i="6"/>
  <c r="AA65" i="6"/>
  <c r="AD65" i="6" s="1"/>
  <c r="AB15" i="1"/>
  <c r="W16" i="7"/>
  <c r="AA15" i="1"/>
  <c r="AA25" i="6"/>
  <c r="AD25" i="6" s="1"/>
  <c r="AA31" i="6"/>
  <c r="AD31" i="6" s="1"/>
  <c r="AA45" i="6"/>
  <c r="AD45" i="6" s="1"/>
  <c r="AA44" i="6"/>
  <c r="AD44" i="6" s="1"/>
  <c r="AA48" i="6"/>
  <c r="AD48" i="6" s="1"/>
  <c r="AA33" i="6"/>
  <c r="AD33" i="6" s="1"/>
  <c r="AA17" i="6"/>
  <c r="AD17" i="6" s="1"/>
  <c r="AA43" i="6"/>
  <c r="AD43" i="6" s="1"/>
  <c r="AA46" i="6"/>
  <c r="AD46" i="6" s="1"/>
  <c r="Y12" i="6"/>
  <c r="AD40" i="6"/>
  <c r="AD16" i="6"/>
  <c r="AD26" i="6"/>
  <c r="AD34" i="6"/>
  <c r="AD24" i="6"/>
  <c r="AD36" i="6"/>
  <c r="AD42" i="6"/>
  <c r="AD22" i="6"/>
  <c r="AD18" i="6"/>
  <c r="AD35" i="6"/>
  <c r="AD21" i="6"/>
  <c r="AD32" i="6"/>
  <c r="AD23" i="6"/>
  <c r="AD19" i="6"/>
  <c r="AD39" i="6"/>
  <c r="AD28" i="6"/>
  <c r="AD47" i="6"/>
  <c r="AD20" i="6"/>
  <c r="AD37" i="6"/>
  <c r="AD29" i="6"/>
  <c r="AD30" i="6"/>
  <c r="AD27" i="6"/>
  <c r="AD38" i="6"/>
  <c r="AD41" i="6"/>
  <c r="AB15" i="6"/>
  <c r="AA15" i="6"/>
  <c r="AA12" i="1" l="1"/>
  <c r="AA10" i="1" s="1"/>
  <c r="AB12" i="1"/>
  <c r="AD15" i="1"/>
  <c r="AD12" i="1" s="1"/>
  <c r="AC12" i="6"/>
  <c r="AA12" i="6"/>
  <c r="AA10" i="6" s="1"/>
  <c r="AB12" i="6"/>
  <c r="AD15" i="6"/>
  <c r="AD12" i="6" s="1"/>
  <c r="Y10" i="6"/>
  <c r="Y10" i="1" l="1"/>
</calcChain>
</file>

<file path=xl/sharedStrings.xml><?xml version="1.0" encoding="utf-8"?>
<sst xmlns="http://schemas.openxmlformats.org/spreadsheetml/2006/main" count="11949" uniqueCount="541">
  <si>
    <r>
      <rPr>
        <b/>
        <sz val="14"/>
        <color rgb="FF000000"/>
        <rFont val="Segoe UI Light"/>
        <family val="2"/>
      </rPr>
      <t xml:space="preserve">CÔNG TY TNHH NÔNG SẢN THỰC PHẨM TRẦN GIA
</t>
    </r>
    <r>
      <rPr>
        <sz val="11"/>
        <color rgb="FF000000"/>
        <rFont val="Segoe UI Light"/>
        <family val="2"/>
      </rPr>
      <t xml:space="preserve">HTX: Ấp Lộc Tiến, Xã Mỹ Lộc, Huyện Cần Giuộc, Tỉnh Long An
</t>
    </r>
    <r>
      <rPr>
        <sz val="11"/>
        <color rgb="FF000000"/>
        <rFont val="Segoe UI Light"/>
        <family val="2"/>
      </rPr>
      <t xml:space="preserve">VP: Tòa nhà An Phú Plaza, 117-119 Lý Chính Thắng, P.7. Q.3, TP.HCM
</t>
    </r>
    <r>
      <rPr>
        <sz val="11"/>
        <color rgb="FF000000"/>
        <rFont val="Segoe UI Light"/>
        <family val="2"/>
      </rPr>
      <t xml:space="preserve">Kho sơ chế: 30 Kha Vạn Cân, P. Hiệp Bình Chánh, TP.Thủ Đức, TP.HCM
</t>
    </r>
    <r>
      <rPr>
        <sz val="11"/>
        <color rgb="FF000000"/>
        <rFont val="Segoe UI Light"/>
        <family val="2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  <family val="2"/>
      </rPr>
      <t>Website: rausachtrangia.com - Hotline: 090.245.8081</t>
    </r>
  </si>
  <si>
    <t>NGÀY</t>
  </si>
  <si>
    <t>TÊN KH</t>
  </si>
  <si>
    <t>Line ID</t>
  </si>
  <si>
    <t>Barcode</t>
  </si>
  <si>
    <t>MÃ KHO</t>
  </si>
  <si>
    <t>MÃ HÀNG</t>
  </si>
  <si>
    <t>TÊN HÀNG</t>
  </si>
  <si>
    <t>ĐVT</t>
  </si>
  <si>
    <t>SL</t>
  </si>
  <si>
    <t>ĐƠN GIÁ</t>
  </si>
  <si>
    <t>THÀNH TIỀN</t>
  </si>
  <si>
    <t>GHI CHÚ</t>
  </si>
  <si>
    <t>Custom5</t>
  </si>
  <si>
    <t>Price List Id</t>
  </si>
  <si>
    <t>Doc Type</t>
  </si>
  <si>
    <t>Bắp cải trắng</t>
  </si>
  <si>
    <t>Kg</t>
  </si>
  <si>
    <t/>
  </si>
  <si>
    <t>AdjDO</t>
  </si>
  <si>
    <t>Bắp mỹ trái (Loại 1)</t>
  </si>
  <si>
    <t>Trái</t>
  </si>
  <si>
    <t>Bí đỏ hồ lô</t>
  </si>
  <si>
    <t>Bí ngòi xanh</t>
  </si>
  <si>
    <t>Cải Hongkong(Cai ngong)</t>
  </si>
  <si>
    <t>Cần tây</t>
  </si>
  <si>
    <t>Củ riềng</t>
  </si>
  <si>
    <t>Củ sen</t>
  </si>
  <si>
    <t>Đậu bắp</t>
  </si>
  <si>
    <t>Hành lá</t>
  </si>
  <si>
    <t>Hành Paro</t>
  </si>
  <si>
    <t>Mướp hương</t>
  </si>
  <si>
    <t>Ngò rí</t>
  </si>
  <si>
    <t>Ớt hiểm đỏ</t>
  </si>
  <si>
    <t>Ớt hiểm xanh</t>
  </si>
  <si>
    <t>Rau răm</t>
  </si>
  <si>
    <t>Sả cây</t>
  </si>
  <si>
    <t>Xà lách romain</t>
  </si>
  <si>
    <t>Tỏi lột</t>
  </si>
  <si>
    <t>Nấm đông cô tươi</t>
  </si>
  <si>
    <t>Nấm đùi gà</t>
  </si>
  <si>
    <t>Nấm kim châm tươi</t>
  </si>
  <si>
    <t>Nấm linh chi nâu (kg)</t>
  </si>
  <si>
    <t>Nấm đùi gà baby</t>
  </si>
  <si>
    <t>Đậu hủ trứng CP 220gr</t>
  </si>
  <si>
    <t>Cây</t>
  </si>
  <si>
    <t>Chanh không hạt</t>
  </si>
  <si>
    <t>Dưa hấu</t>
  </si>
  <si>
    <t>Rau má nhỏ</t>
  </si>
  <si>
    <t>Pricelist17</t>
  </si>
  <si>
    <t>Bông cải xanh</t>
  </si>
  <si>
    <t>Ớt sừng đỏ</t>
  </si>
  <si>
    <t>Trứng vịt muối</t>
  </si>
  <si>
    <t>Quả</t>
  </si>
  <si>
    <t>Bánh ướt</t>
  </si>
  <si>
    <t>Cần tàu</t>
  </si>
  <si>
    <t>Củ Gừng</t>
  </si>
  <si>
    <t>Khoai lang nhật</t>
  </si>
  <si>
    <t>Thì là</t>
  </si>
  <si>
    <t>Nấm bào ngư trắng</t>
  </si>
  <si>
    <t>Tắc trái</t>
  </si>
  <si>
    <t>Lá chanh</t>
  </si>
  <si>
    <t>Xà lách Rocket</t>
  </si>
  <si>
    <t>Hành tím củ</t>
  </si>
  <si>
    <t>Nấm mỡ nâu</t>
  </si>
  <si>
    <t>Nấm mối đen</t>
  </si>
  <si>
    <t>Ngò tây</t>
  </si>
  <si>
    <t>Nấm hải sản (kg)</t>
  </si>
  <si>
    <t>Nấm linh chi trắng (kg)</t>
  </si>
  <si>
    <t>Húng lũi</t>
  </si>
  <si>
    <t>Cà rốt baby</t>
  </si>
  <si>
    <t>Hành tây</t>
  </si>
  <si>
    <t>Cam vàng</t>
  </si>
  <si>
    <t>Chanh Dây</t>
  </si>
  <si>
    <t>Chanh vàng</t>
  </si>
  <si>
    <t>Lá dứa</t>
  </si>
  <si>
    <t>Hành tím bắc lột</t>
  </si>
  <si>
    <t>Xà lách búp mỹ</t>
  </si>
  <si>
    <t>Tiêu xanh Tươi</t>
  </si>
  <si>
    <t>TRẦN GIA</t>
  </si>
  <si>
    <t>FAST</t>
  </si>
  <si>
    <t>Bắp cải tím</t>
  </si>
  <si>
    <t>NL300003</t>
  </si>
  <si>
    <t>Bánh phở</t>
  </si>
  <si>
    <t>NL300002</t>
  </si>
  <si>
    <t>NL300189</t>
  </si>
  <si>
    <t>NL300004</t>
  </si>
  <si>
    <t>NL300107</t>
  </si>
  <si>
    <t>Bầu xanh</t>
  </si>
  <si>
    <t>NL300174</t>
  </si>
  <si>
    <t>NL300007</t>
  </si>
  <si>
    <t>Bí đỏ</t>
  </si>
  <si>
    <t>kg</t>
  </si>
  <si>
    <t>NL300008</t>
  </si>
  <si>
    <t>Bí nụ</t>
  </si>
  <si>
    <t>NL300009</t>
  </si>
  <si>
    <t>NL300137</t>
  </si>
  <si>
    <t>Bông cải xanh Baby</t>
  </si>
  <si>
    <t>NL300015</t>
  </si>
  <si>
    <t>Bún nhỏ</t>
  </si>
  <si>
    <t>NL300012</t>
  </si>
  <si>
    <t>Cà chua</t>
  </si>
  <si>
    <t>NL300013</t>
  </si>
  <si>
    <t>Cà chua bi</t>
  </si>
  <si>
    <t>NL300014</t>
  </si>
  <si>
    <t>Cà rốt</t>
  </si>
  <si>
    <t>NL300027</t>
  </si>
  <si>
    <t>NL300028</t>
  </si>
  <si>
    <t>Cải chua nguyên cây</t>
  </si>
  <si>
    <t>NL300155</t>
  </si>
  <si>
    <t>NL300020</t>
  </si>
  <si>
    <t>Cải thảo</t>
  </si>
  <si>
    <t>NL300022</t>
  </si>
  <si>
    <t>Cam tươi</t>
  </si>
  <si>
    <t>NL600002</t>
  </si>
  <si>
    <t>NL600067</t>
  </si>
  <si>
    <t>NL300172</t>
  </si>
  <si>
    <t>NL300025</t>
  </si>
  <si>
    <t>Chả lụa chay</t>
  </si>
  <si>
    <t>NL100153</t>
  </si>
  <si>
    <t>NL300030</t>
  </si>
  <si>
    <t>NL300029</t>
  </si>
  <si>
    <t>Chanh ko hạt</t>
  </si>
  <si>
    <t>NL600068</t>
  </si>
  <si>
    <t>Củ cải đỏ (Radis)</t>
  </si>
  <si>
    <t>NL300034</t>
  </si>
  <si>
    <t>Củ cải trắng (Loại 1)</t>
  </si>
  <si>
    <t>NL300033</t>
  </si>
  <si>
    <t>NL300054</t>
  </si>
  <si>
    <t>NL300035</t>
  </si>
  <si>
    <t>Củ sắn</t>
  </si>
  <si>
    <t>NL300036</t>
  </si>
  <si>
    <t>NL300038</t>
  </si>
  <si>
    <t>Đậu cove Pháp (Nhật)</t>
  </si>
  <si>
    <t>NL300156</t>
  </si>
  <si>
    <t>Đậu Hà Lan</t>
  </si>
  <si>
    <t>NL200314</t>
  </si>
  <si>
    <t>Đậu hủ miếng trắng</t>
  </si>
  <si>
    <t>NL300037</t>
  </si>
  <si>
    <t>Đậu hủ trắng cây Ichiban 220gr</t>
  </si>
  <si>
    <t>NL300041</t>
  </si>
  <si>
    <t>Đậu hủ trứng cây Ichiban 220gr</t>
  </si>
  <si>
    <t>Đu đủ trái xanh</t>
  </si>
  <si>
    <t>NL300049</t>
  </si>
  <si>
    <t>NL600004</t>
  </si>
  <si>
    <t>Dưa leo</t>
  </si>
  <si>
    <t>NL300048</t>
  </si>
  <si>
    <t>NL300058</t>
  </si>
  <si>
    <t>NL300061</t>
  </si>
  <si>
    <t>Hành phi</t>
  </si>
  <si>
    <t>NL200008</t>
  </si>
  <si>
    <t>NL300059</t>
  </si>
  <si>
    <t>NL300055</t>
  </si>
  <si>
    <t>Hành tím lột vỏ TQ</t>
  </si>
  <si>
    <t>Hành tím VN lột vỏ</t>
  </si>
  <si>
    <t>Hẹ lá</t>
  </si>
  <si>
    <t>NL300076</t>
  </si>
  <si>
    <t>Húng cây</t>
  </si>
  <si>
    <t>NL300063</t>
  </si>
  <si>
    <t>NL300062</t>
  </si>
  <si>
    <t>Khế xanh</t>
  </si>
  <si>
    <t>NL300068</t>
  </si>
  <si>
    <t>NL300070</t>
  </si>
  <si>
    <t>Khoai môn cao</t>
  </si>
  <si>
    <t>Lá cây nhíp</t>
  </si>
  <si>
    <t>NL300080</t>
  </si>
  <si>
    <t>Lá cây nhíp (lá mè)</t>
  </si>
  <si>
    <t>NL300073</t>
  </si>
  <si>
    <t>Lá chuối</t>
  </si>
  <si>
    <t>NL300074</t>
  </si>
  <si>
    <t>Lá cóc</t>
  </si>
  <si>
    <t>NL300043</t>
  </si>
  <si>
    <t>NL300184</t>
  </si>
  <si>
    <t>Lá Giang (kg)</t>
  </si>
  <si>
    <t>NL300173</t>
  </si>
  <si>
    <t>Lá lốt</t>
  </si>
  <si>
    <t>NL300077</t>
  </si>
  <si>
    <t>Lá Trâm Ổi</t>
  </si>
  <si>
    <t>NL300044</t>
  </si>
  <si>
    <t>Me Vắt</t>
  </si>
  <si>
    <t>NL200143</t>
  </si>
  <si>
    <t>Miến dong</t>
  </si>
  <si>
    <t>NL200324</t>
  </si>
  <si>
    <t>Mồng tơi</t>
  </si>
  <si>
    <t>NL300084</t>
  </si>
  <si>
    <t>NL300088</t>
  </si>
  <si>
    <t>NL300103</t>
  </si>
  <si>
    <t>Nấm bào ngư xám</t>
  </si>
  <si>
    <t>NL300102</t>
  </si>
  <si>
    <t>NL300090</t>
  </si>
  <si>
    <t>NL300091</t>
  </si>
  <si>
    <t>NL300092</t>
  </si>
  <si>
    <t>NL300094</t>
  </si>
  <si>
    <t>NL300096</t>
  </si>
  <si>
    <t>NL300097</t>
  </si>
  <si>
    <t>NL300098</t>
  </si>
  <si>
    <t>Nấm mèo</t>
  </si>
  <si>
    <t>NL200147</t>
  </si>
  <si>
    <t>NL300158</t>
  </si>
  <si>
    <t>Nấm Mỡ trắng</t>
  </si>
  <si>
    <t>NL300101</t>
  </si>
  <si>
    <t>Ngò gai</t>
  </si>
  <si>
    <t>NL300086</t>
  </si>
  <si>
    <t>Ngò om</t>
  </si>
  <si>
    <t>NL300128</t>
  </si>
  <si>
    <t>NL300085</t>
  </si>
  <si>
    <t>NL300126</t>
  </si>
  <si>
    <t>Ổi không hạt</t>
  </si>
  <si>
    <t>NL600006</t>
  </si>
  <si>
    <t>Ổi trái</t>
  </si>
  <si>
    <t>Ớt đà lạt (đỏ)</t>
  </si>
  <si>
    <t>NL300112</t>
  </si>
  <si>
    <t>Ớt đà lạt (vàng)</t>
  </si>
  <si>
    <t>NL300152</t>
  </si>
  <si>
    <t>Ớt đà lạt (xanh)</t>
  </si>
  <si>
    <t>NL300153</t>
  </si>
  <si>
    <t>NL300113</t>
  </si>
  <si>
    <t>NL300116</t>
  </si>
  <si>
    <t>Ớt sừng xanh</t>
  </si>
  <si>
    <t>NL300117</t>
  </si>
  <si>
    <t>Quế vị</t>
  </si>
  <si>
    <t>NL300120</t>
  </si>
  <si>
    <t>Quế vị (xá xị)</t>
  </si>
  <si>
    <t>Rau càng cua</t>
  </si>
  <si>
    <t>NL300122</t>
  </si>
  <si>
    <t>Rau kinh giới</t>
  </si>
  <si>
    <t>NL300072</t>
  </si>
  <si>
    <t>Rau má</t>
  </si>
  <si>
    <t>NL300125</t>
  </si>
  <si>
    <t>Rau muống bào</t>
  </si>
  <si>
    <t>NL300087</t>
  </si>
  <si>
    <t>NL300121</t>
  </si>
  <si>
    <t>Rau tía tô</t>
  </si>
  <si>
    <t>NL300140</t>
  </si>
  <si>
    <t>Rose mary</t>
  </si>
  <si>
    <t>NL300066</t>
  </si>
  <si>
    <t>Rosemary (Hương thảo)</t>
  </si>
  <si>
    <t>NL300132</t>
  </si>
  <si>
    <t>Sao Nhái</t>
  </si>
  <si>
    <t>NL300162</t>
  </si>
  <si>
    <t>Su Su</t>
  </si>
  <si>
    <t>NL300138</t>
  </si>
  <si>
    <t>NL300119</t>
  </si>
  <si>
    <t>Tần ô</t>
  </si>
  <si>
    <t>NL300018</t>
  </si>
  <si>
    <t>Táo đỏ trái</t>
  </si>
  <si>
    <t>NL600008</t>
  </si>
  <si>
    <t>Táo WOW</t>
  </si>
  <si>
    <t>NL600042</t>
  </si>
  <si>
    <t>NL300139</t>
  </si>
  <si>
    <t>Thơm hườm (kg)</t>
  </si>
  <si>
    <t>NL600020</t>
  </si>
  <si>
    <t>Thơm trái hườm</t>
  </si>
  <si>
    <t>Thơm trái xanh</t>
  </si>
  <si>
    <t>NL300047</t>
  </si>
  <si>
    <t>Thơm xanh (kg)</t>
  </si>
  <si>
    <t>NL300141</t>
  </si>
  <si>
    <t>Tỏi Bắc lột</t>
  </si>
  <si>
    <t>NL300144</t>
  </si>
  <si>
    <t>NL300142</t>
  </si>
  <si>
    <t>Tỏi lột sạch</t>
  </si>
  <si>
    <t>Trứng gà</t>
  </si>
  <si>
    <t>NL100100</t>
  </si>
  <si>
    <t>NL100101</t>
  </si>
  <si>
    <t>NL300146</t>
  </si>
  <si>
    <t>Xà lách lolo tím</t>
  </si>
  <si>
    <t>NL300148</t>
  </si>
  <si>
    <t>Xà lách lolo xanh</t>
  </si>
  <si>
    <t>NL300145</t>
  </si>
  <si>
    <t>NL300131</t>
  </si>
  <si>
    <t>NL300147</t>
  </si>
  <si>
    <t>Xoài Keo</t>
  </si>
  <si>
    <t>NL600021</t>
  </si>
  <si>
    <t>Bảng kê hóa đơn mua hàng</t>
  </si>
  <si>
    <t>Ngày ct</t>
  </si>
  <si>
    <t>Mã ct</t>
  </si>
  <si>
    <t>Số ct</t>
  </si>
  <si>
    <t>Áp giá</t>
  </si>
  <si>
    <t>Mã ncc</t>
  </si>
  <si>
    <t>Tên ncc</t>
  </si>
  <si>
    <t>Diễn giải</t>
  </si>
  <si>
    <t>Mã hàng</t>
  </si>
  <si>
    <t>Tên mặt hàng</t>
  </si>
  <si>
    <t>Đvt</t>
  </si>
  <si>
    <t>Số lượng</t>
  </si>
  <si>
    <t>Giá</t>
  </si>
  <si>
    <t>Giá báo</t>
  </si>
  <si>
    <t>Tiền</t>
  </si>
  <si>
    <t>Chênh lệch giá</t>
  </si>
  <si>
    <t>Kho hàng</t>
  </si>
  <si>
    <t>Mã nx</t>
  </si>
  <si>
    <t>Vụ việc</t>
  </si>
  <si>
    <t>Bộ phận</t>
  </si>
  <si>
    <t>Hợp đồng</t>
  </si>
  <si>
    <t>HD</t>
  </si>
  <si>
    <t>1</t>
  </si>
  <si>
    <t>SCC00003</t>
  </si>
  <si>
    <t>HCM-NCC rau-CTy TNHH NS TP Trần Gia</t>
  </si>
  <si>
    <t>Chanh</t>
  </si>
  <si>
    <t>Ngô ngọt ( Bắp trái)</t>
  </si>
  <si>
    <t>Cái</t>
  </si>
  <si>
    <t>Bí ngòi</t>
  </si>
  <si>
    <t>Cải ngồng</t>
  </si>
  <si>
    <t>Rau cần tây</t>
  </si>
  <si>
    <t>Khoai lang Nhật</t>
  </si>
  <si>
    <t>Nấm Mối</t>
  </si>
  <si>
    <t>Mùi ta ( Ngò rí )</t>
  </si>
  <si>
    <t>Quất ( Tắc trái )</t>
  </si>
  <si>
    <t>Tỏi bóc</t>
  </si>
  <si>
    <t>Xà lách Roman</t>
  </si>
  <si>
    <t>Chanh dây (chanh leo)</t>
  </si>
  <si>
    <t>Hành bóc</t>
  </si>
  <si>
    <t>Nấm hải sản</t>
  </si>
  <si>
    <t>Ớt sừng</t>
  </si>
  <si>
    <t>Gừng tàu</t>
  </si>
  <si>
    <t>Rau mùi tây</t>
  </si>
  <si>
    <t>Húng Bạc Hà</t>
  </si>
  <si>
    <t>Nấm Linh Chi nâu</t>
  </si>
  <si>
    <t>quả</t>
  </si>
  <si>
    <t>Đậu hủ non trứng</t>
  </si>
  <si>
    <t>Nấm Linh Chi trắng</t>
  </si>
  <si>
    <t>NL300111</t>
  </si>
  <si>
    <t>lệch số lượng</t>
  </si>
  <si>
    <t>lệch đơn giá</t>
  </si>
  <si>
    <t>lệch tổng tiền</t>
  </si>
  <si>
    <t>sl</t>
  </si>
  <si>
    <t>đơn giá</t>
  </si>
  <si>
    <t>thành tiền</t>
  </si>
  <si>
    <t>Bó xôi (Nhà Lồng)</t>
  </si>
  <si>
    <t>CHI TIẾT ĐỐI CHIẾU CÔNG NỢ</t>
  </si>
  <si>
    <t xml:space="preserve">Địa chỉ: </t>
  </si>
  <si>
    <t>Người liên hệ:                                                                                              Email:</t>
  </si>
  <si>
    <t>MÃ ĐƠN HÀNG</t>
  </si>
  <si>
    <t>MÃ KH</t>
  </si>
  <si>
    <t>TỔNG TIỀN</t>
  </si>
  <si>
    <t>Booklet No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</si>
  <si>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TIANLONG 01</t>
    </r>
  </si>
  <si>
    <t>NL300203</t>
  </si>
  <si>
    <t>NL300209</t>
  </si>
  <si>
    <t>Tỏi củ</t>
  </si>
  <si>
    <t>Gói</t>
  </si>
  <si>
    <t>NL600003</t>
  </si>
  <si>
    <t>Bắp mỹ (kg)</t>
  </si>
  <si>
    <t>Bạc hà</t>
  </si>
  <si>
    <t>bỏ lột</t>
  </si>
  <si>
    <t>Nấm kim châm gói (200g)</t>
  </si>
  <si>
    <t>Gừng còn vỏ VN</t>
  </si>
  <si>
    <t>SOTG00110145428</t>
  </si>
  <si>
    <t>SOTG00110145381</t>
  </si>
  <si>
    <t>SOTG00110145431</t>
  </si>
  <si>
    <t>SOTG00110145382</t>
  </si>
  <si>
    <t>SOTG00110145573</t>
  </si>
  <si>
    <t>SOTG00110145784</t>
  </si>
  <si>
    <t>Nấm linh chi trắng (125g)</t>
  </si>
  <si>
    <t>Hộp</t>
  </si>
  <si>
    <t>SOTG00110145972</t>
  </si>
  <si>
    <t>SOTG00110146168</t>
  </si>
  <si>
    <t>NL300053</t>
  </si>
  <si>
    <t>Gừng ta</t>
  </si>
  <si>
    <t>TIANLONG 01</t>
  </si>
  <si>
    <t>Hoa cúc tím</t>
  </si>
  <si>
    <t>Bó</t>
  </si>
  <si>
    <t>TSG.01</t>
  </si>
  <si>
    <t>331801</t>
  </si>
  <si>
    <t>TSG01</t>
  </si>
  <si>
    <t>Củ cải trắng</t>
  </si>
  <si>
    <t>Cải bó xôi</t>
  </si>
  <si>
    <t>Mồng tơi nhặt</t>
  </si>
  <si>
    <t>Khoai môn</t>
  </si>
  <si>
    <t>NL300218</t>
  </si>
  <si>
    <t>Hoa cúc (decor) bó</t>
  </si>
  <si>
    <t>Nấm đông cô khô</t>
  </si>
  <si>
    <t>NL200158</t>
  </si>
  <si>
    <t>sum vlookup</t>
  </si>
  <si>
    <t>sheet fast</t>
  </si>
  <si>
    <t>lệch sheet fast</t>
  </si>
  <si>
    <t>TG-KS01163</t>
  </si>
  <si>
    <t>Nấm linh chi trắng - hộp (125g)</t>
  </si>
  <si>
    <t>Cải cúc (Tần Ô)</t>
  </si>
  <si>
    <t>26/09/2025</t>
  </si>
  <si>
    <t>27/09/2025</t>
  </si>
  <si>
    <t>28/09/2025</t>
  </si>
  <si>
    <t>29/09/2025</t>
  </si>
  <si>
    <t>30/09/2025</t>
  </si>
  <si>
    <r>
      <t xml:space="preserve">CÔNG TY TNHH NÔNG SẢN THỰC PHẨM TRẦN GIA
</t>
    </r>
    <r>
      <rPr>
        <sz val="11"/>
        <rFont val="Segoe UI Light"/>
        <family val="2"/>
      </rPr>
      <t>HTX: Ấp Lộc Tiến, Xã Mỹ Lộc, Huyện Cần Giuộc, Tỉnh Long An
VP: Tòa nhà An Phú Plaza, 117-119 Lý Chính Thắng, P.7. Q.3, TP.HCM
Kho sơ chế: 30 Kha Vạn Cân, P. Hiệp Bình Chánh, TP.Thủ Đức, TP.HCM
Kho Đà Lạt: 69 Trần Thủ Độ, TT Liên Nghĩa, Huyện Đức Trọng, Tỉnh Lâm Đồng.
Website: rausachtrangia.com - Hotline: 090.245.8081</t>
    </r>
  </si>
  <si>
    <t>2509TSG01100</t>
  </si>
  <si>
    <t>TSG01 - Nhập hàng mua ngày 26/09/2025</t>
  </si>
  <si>
    <t>2509TSG01105</t>
  </si>
  <si>
    <t>2509TSG01106</t>
  </si>
  <si>
    <t>TSG01 - Nhập hàng mua ngày 29/09/2025</t>
  </si>
  <si>
    <t>2509TSG01110</t>
  </si>
  <si>
    <t>TSG01 - Nhập hàng mua ngày 28/09/2025</t>
  </si>
  <si>
    <t>2509TSG01115</t>
  </si>
  <si>
    <t>2509TSG01117</t>
  </si>
  <si>
    <t>2509TSG01122</t>
  </si>
  <si>
    <t>TSG01 - Nhập hàng mua ngày 30/09/2025</t>
  </si>
  <si>
    <t>2509TSG01128</t>
  </si>
  <si>
    <t>Súp lơ xanh</t>
  </si>
  <si>
    <t>Tên Khách hàng: LONGWANG 18</t>
  </si>
  <si>
    <t>Địa chỉ: Land Mark 81</t>
  </si>
  <si>
    <t>Thực nhận</t>
  </si>
  <si>
    <t>lệch SL với ncc</t>
  </si>
  <si>
    <t>lệch TT với ncc</t>
  </si>
  <si>
    <t>Hành Paro (Hành Baro)</t>
  </si>
  <si>
    <t>I100008</t>
  </si>
  <si>
    <t>I100012</t>
  </si>
  <si>
    <t>I100060</t>
  </si>
  <si>
    <t>I100074</t>
  </si>
  <si>
    <t>I100098</t>
  </si>
  <si>
    <t>I100113</t>
  </si>
  <si>
    <t>I100236</t>
  </si>
  <si>
    <t>I100237</t>
  </si>
  <si>
    <t>I100634</t>
  </si>
  <si>
    <t>I100921</t>
  </si>
  <si>
    <t>I100156</t>
  </si>
  <si>
    <t>I100160</t>
  </si>
  <si>
    <t>I100216</t>
  </si>
  <si>
    <t>I100229</t>
  </si>
  <si>
    <t>I100209</t>
  </si>
  <si>
    <t>I100479</t>
  </si>
  <si>
    <t>I100167</t>
  </si>
  <si>
    <t>I100474</t>
  </si>
  <si>
    <t>I100240</t>
  </si>
  <si>
    <t>I100635</t>
  </si>
  <si>
    <t>I100469</t>
  </si>
  <si>
    <t>I100062</t>
  </si>
  <si>
    <t>TG-KS00392</t>
  </si>
  <si>
    <t>LONGWANG 7</t>
  </si>
  <si>
    <t>TG-AA12453</t>
  </si>
  <si>
    <t>I100253</t>
  </si>
  <si>
    <t>I100003</t>
  </si>
  <si>
    <t>I100016</t>
  </si>
  <si>
    <t>I100024</t>
  </si>
  <si>
    <t>I100040</t>
  </si>
  <si>
    <t>I100045</t>
  </si>
  <si>
    <t>I100057</t>
  </si>
  <si>
    <t>I100097</t>
  </si>
  <si>
    <t>I100075</t>
  </si>
  <si>
    <t>I100101</t>
  </si>
  <si>
    <t>I100121</t>
  </si>
  <si>
    <t>I100151</t>
  </si>
  <si>
    <t>I100650</t>
  </si>
  <si>
    <t>I100970</t>
  </si>
  <si>
    <t>I100170</t>
  </si>
  <si>
    <t>I100189</t>
  </si>
  <si>
    <t>I100198</t>
  </si>
  <si>
    <t>I100219</t>
  </si>
  <si>
    <t>I100275</t>
  </si>
  <si>
    <t>I100212</t>
  </si>
  <si>
    <t>TG-AA12657</t>
  </si>
  <si>
    <t>I100072</t>
  </si>
  <si>
    <t>I100133</t>
  </si>
  <si>
    <t>I100626</t>
  </si>
  <si>
    <t>I100222</t>
  </si>
  <si>
    <t>I100203</t>
  </si>
  <si>
    <t>TG-AA12729</t>
  </si>
  <si>
    <t>TG-AA12790</t>
  </si>
  <si>
    <t>I100883</t>
  </si>
  <si>
    <t>I100099</t>
  </si>
  <si>
    <t>I100136</t>
  </si>
  <si>
    <t>TG-AA12897</t>
  </si>
  <si>
    <t>TG-AA12959</t>
  </si>
  <si>
    <t>I100730</t>
  </si>
  <si>
    <t>TG-AA13168</t>
  </si>
  <si>
    <t>TG-AA13256</t>
  </si>
  <si>
    <t>TG-AA13378</t>
  </si>
  <si>
    <t>I100733</t>
  </si>
  <si>
    <t>TG-AA13438</t>
  </si>
  <si>
    <t>TG-AA13632</t>
  </si>
  <si>
    <t>WSG.07</t>
  </si>
  <si>
    <t>WSG07</t>
  </si>
  <si>
    <t>Nấm mỡ đen</t>
  </si>
  <si>
    <t>Trứng bắc thảo</t>
  </si>
  <si>
    <t>NL100279</t>
  </si>
  <si>
    <t>Trứng Bắc Thảo</t>
  </si>
  <si>
    <t>Tía tô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</si>
  <si>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</si>
  <si>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</si>
  <si>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</si>
  <si>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</si>
  <si>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</si>
  <si>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</si>
  <si>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</si>
  <si>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</si>
  <si>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</si>
  <si>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</si>
  <si>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</si>
  <si>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</si>
  <si>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</si>
  <si>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</si>
  <si>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</si>
  <si>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2601WSG07005</t>
  </si>
  <si>
    <t>NCC100186</t>
  </si>
  <si>
    <t>CÔNG TY TNHH NÔNG SẢN THỰC PHẨM TRẦN GIA</t>
  </si>
  <si>
    <t>WSG07 - Nhập hàng mua ngày 01/01/2026</t>
  </si>
  <si>
    <t>3311</t>
  </si>
  <si>
    <t>Lá Dứa (lá nếp)</t>
  </si>
  <si>
    <t>2601WSG07010</t>
  </si>
  <si>
    <t>2601WSG07015</t>
  </si>
  <si>
    <t>WSG07 - Nhập hàng mua ngày 02/01/2026</t>
  </si>
  <si>
    <t>Riềng củ</t>
  </si>
  <si>
    <t>Tiêu xanh</t>
  </si>
  <si>
    <t>2601WSG07020</t>
  </si>
  <si>
    <t>2601WSG07027</t>
  </si>
  <si>
    <t>WSG07 - Nhập hàng mua ngày 03/01/2026</t>
  </si>
  <si>
    <t>2601WSG07033</t>
  </si>
  <si>
    <t>2601WSG07038</t>
  </si>
  <si>
    <t>WSG07 - Nhập hàng mua ngày 04/01/2026</t>
  </si>
  <si>
    <t>WSG072601013</t>
  </si>
  <si>
    <t>2601WSG07042</t>
  </si>
  <si>
    <t>WSG07 - Nhập hàng mua ngày 05/01/2026</t>
  </si>
  <si>
    <t>2601WSG07053</t>
  </si>
  <si>
    <t>WSG07 - Nhập hàng mua ngày 06/01/2026</t>
  </si>
  <si>
    <t>2601WSG07063</t>
  </si>
  <si>
    <t>WSG07 - Nhập hàng mua ngày 07/01/2026</t>
  </si>
  <si>
    <t>WSG072601028</t>
  </si>
  <si>
    <t>2601WSG07073</t>
  </si>
  <si>
    <t>WSG07 - Nhập hàng mua ngày 08/01/2026</t>
  </si>
  <si>
    <t>2601WSG07077</t>
  </si>
  <si>
    <t>WSG072601034</t>
  </si>
  <si>
    <t>2601WSG07082</t>
  </si>
  <si>
    <t>WSG07 - Nhập hàng mua ngày 09/01/2026</t>
  </si>
  <si>
    <t>2601WSG07087</t>
  </si>
  <si>
    <t>2601WSG07092</t>
  </si>
  <si>
    <t>WSG07 - Nhập hàng mua ngày 10/01/2026</t>
  </si>
  <si>
    <t>2601WSG07097</t>
  </si>
  <si>
    <t>2601WSG07102</t>
  </si>
  <si>
    <t>WSG07 - Nhập hàng mua ngày 11/01/2026</t>
  </si>
  <si>
    <t>WSG072601181</t>
  </si>
  <si>
    <t>2601WSG07109</t>
  </si>
  <si>
    <t>WSG07 - Nhập hàng mua ngày 12/01/2026</t>
  </si>
  <si>
    <t>WSG072601182</t>
  </si>
  <si>
    <t>2601WSG07115</t>
  </si>
  <si>
    <t>WSG07 - Nhập hàng mua ngày 13/01/2026</t>
  </si>
  <si>
    <t>2601WSG07119</t>
  </si>
  <si>
    <t>WSG072601185</t>
  </si>
  <si>
    <t>2601WSG07124</t>
  </si>
  <si>
    <t>WSG07 - Nhập hàng mua ngày 14/01/2026</t>
  </si>
  <si>
    <t>2601WSG07129</t>
  </si>
  <si>
    <t>2601WSG07136</t>
  </si>
  <si>
    <t>WSG07 - Nhập hàng mua ngày 15/01/2026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</si>
</sst>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[$-10409]#,##0;\(#,##0\)"/>
    <numFmt numFmtId="165" formatCode="[$-10409]dd/mm/yyyy"/>
    <numFmt numFmtId="166" formatCode="[$-10409]#,###,###,###.0000;\-#,###,###,###.0000;"/>
    <numFmt numFmtId="167" formatCode="[$-10409]###,###,###,###.00;\-###,###,###,###.00;"/>
    <numFmt numFmtId="168" formatCode="[$-10409]###,###,###,###,###;\-###,###,###,###,###;"/>
    <numFmt numFmtId="169" formatCode="_(* #,##0_);_(* \(#,##0\);_(* &quot;-&quot;??_);_(@_)"/>
    <numFmt numFmtId="170" formatCode="_(* #,##0.000_);_(* \(#,##0.000\);_(* &quot;-&quot;???_);_(@_)"/>
    <numFmt numFmtId="171" formatCode="[$-10409]###,###,###,###,###.00;\-###,###,###,###,###.00;"/>
    <numFmt numFmtId="172" formatCode="_(* #,##0.000_);_(* \(#,##0.000\);_(* &quot;-&quot;??_);_(@_)"/>
    <numFmt numFmtId="173" formatCode="[$-10409]#,##0.00;\(#,##0.00\)"/>
  </numFmts>
  <fonts count="4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Segoe UI Light"/>
      <family val="2"/>
    </font>
    <font>
      <i/>
      <sz val="11"/>
      <color rgb="FF000000"/>
      <name val="Segoe U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11"/>
      <color rgb="FF000000"/>
      <name val="Segoe UI Light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i/>
      <sz val="8"/>
      <color rgb="FF000000"/>
      <name val="Verdana"/>
      <family val="2"/>
    </font>
    <font>
      <sz val="11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Arial"/>
      <family val="2"/>
    </font>
    <font>
      <b/>
      <sz val="12"/>
      <name val="Calibri"/>
      <family val="2"/>
    </font>
    <font>
      <b/>
      <sz val="16"/>
      <color rgb="FF000000"/>
      <name val="Segoe UI"/>
      <family val="2"/>
    </font>
    <font>
      <sz val="12"/>
      <color rgb="FF000000"/>
      <name val="Segoe UI"/>
      <family val="2"/>
    </font>
    <font>
      <sz val="14"/>
      <name val="Calibri"/>
      <family val="2"/>
    </font>
    <font>
      <sz val="9"/>
      <color rgb="FF000000"/>
      <name val="Segoe UI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i/>
      <sz val="11"/>
      <color rgb="FF000000"/>
      <name val="Verdana"/>
      <family val="2"/>
    </font>
    <font>
      <b/>
      <sz val="11"/>
      <name val="Calibri"/>
      <family val="2"/>
    </font>
    <font>
      <sz val="8"/>
      <color rgb="FF000000"/>
      <name val="Verdana"/>
      <family val="2"/>
    </font>
    <font>
      <sz val="12"/>
      <name val="Calibri"/>
      <family val="2"/>
    </font>
    <font>
      <sz val="12"/>
      <color theme="0"/>
      <name val="Calibri"/>
      <family val="2"/>
    </font>
    <font>
      <sz val="12"/>
      <color rgb="FF000000"/>
      <name val="Verdana"/>
      <family val="2"/>
    </font>
    <font>
      <b/>
      <sz val="11"/>
      <name val="Calibri"/>
      <family val="2"/>
    </font>
    <font>
      <b/>
      <sz val="14"/>
      <name val="Segoe UI Light"/>
      <family val="2"/>
    </font>
    <font>
      <sz val="11"/>
      <name val="Segoe UI Light"/>
      <family val="2"/>
    </font>
    <font>
      <b/>
      <sz val="16"/>
      <name val="Segoe UI"/>
      <family val="2"/>
    </font>
    <font>
      <i/>
      <sz val="11"/>
      <name val="Segoe UI"/>
      <family val="2"/>
    </font>
    <font>
      <sz val="12"/>
      <name val="Segoe UI"/>
      <family val="2"/>
    </font>
    <font>
      <b/>
      <sz val="14"/>
      <name val="Calibri"/>
      <family val="2"/>
    </font>
    <font>
      <b/>
      <sz val="9"/>
      <name val="Segoe UI"/>
      <family val="2"/>
    </font>
    <font>
      <b/>
      <sz val="9"/>
      <name val="Arial"/>
      <family val="2"/>
    </font>
    <font>
      <sz val="9"/>
      <name val="Segoe UI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3"/>
      <name val="Calibri"/>
      <family val="2"/>
    </font>
    <font>
      <sz val="1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F5FF"/>
        <bgColor rgb="FFEDF5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41">
    <xf numFmtId="0" fontId="1" fillId="0" borderId="0" xfId="0" applyFont="1"/>
    <xf numFmtId="0" fontId="4" fillId="2" borderId="3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4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top" wrapText="1" readingOrder="1"/>
    </xf>
    <xf numFmtId="0" fontId="11" fillId="4" borderId="7" xfId="0" applyFont="1" applyFill="1" applyBorder="1" applyAlignment="1">
      <alignment horizontal="center" vertical="center" wrapText="1" readingOrder="1"/>
    </xf>
    <xf numFmtId="165" fontId="9" fillId="0" borderId="0" xfId="0" applyNumberFormat="1" applyFont="1"/>
    <xf numFmtId="169" fontId="1" fillId="0" borderId="0" xfId="1" applyNumberFormat="1" applyFont="1"/>
    <xf numFmtId="0" fontId="11" fillId="4" borderId="7" xfId="0" applyFont="1" applyFill="1" applyBorder="1" applyAlignment="1">
      <alignment horizontal="center" vertical="center" readingOrder="1"/>
    </xf>
    <xf numFmtId="165" fontId="10" fillId="0" borderId="7" xfId="0" applyNumberFormat="1" applyFont="1" applyBorder="1" applyAlignment="1">
      <alignment horizontal="center" vertical="top" readingOrder="1"/>
    </xf>
    <xf numFmtId="0" fontId="10" fillId="0" borderId="7" xfId="0" applyFont="1" applyBorder="1" applyAlignment="1">
      <alignment vertical="top" readingOrder="1"/>
    </xf>
    <xf numFmtId="0" fontId="10" fillId="0" borderId="7" xfId="0" applyFont="1" applyBorder="1" applyAlignment="1">
      <alignment horizontal="right" vertical="top" readingOrder="1"/>
    </xf>
    <xf numFmtId="166" fontId="10" fillId="0" borderId="7" xfId="0" applyNumberFormat="1" applyFont="1" applyBorder="1" applyAlignment="1">
      <alignment horizontal="right" vertical="top" readingOrder="1"/>
    </xf>
    <xf numFmtId="167" fontId="10" fillId="0" borderId="7" xfId="0" applyNumberFormat="1" applyFont="1" applyBorder="1" applyAlignment="1">
      <alignment horizontal="right" vertical="top" readingOrder="1"/>
    </xf>
    <xf numFmtId="168" fontId="10" fillId="0" borderId="7" xfId="0" applyNumberFormat="1" applyFont="1" applyBorder="1" applyAlignment="1">
      <alignment horizontal="right" vertical="top" readingOrder="1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169" fontId="14" fillId="0" borderId="0" xfId="1" applyNumberFormat="1" applyFont="1"/>
    <xf numFmtId="43" fontId="14" fillId="0" borderId="0" xfId="1" applyFont="1"/>
    <xf numFmtId="165" fontId="1" fillId="0" borderId="0" xfId="0" applyNumberFormat="1" applyFont="1"/>
    <xf numFmtId="169" fontId="1" fillId="0" borderId="0" xfId="0" applyNumberFormat="1" applyFont="1"/>
    <xf numFmtId="171" fontId="9" fillId="0" borderId="0" xfId="0" applyNumberFormat="1" applyFont="1"/>
    <xf numFmtId="172" fontId="1" fillId="0" borderId="0" xfId="1" applyNumberFormat="1" applyFont="1" applyFill="1"/>
    <xf numFmtId="169" fontId="15" fillId="0" borderId="0" xfId="1" applyNumberFormat="1" applyFont="1" applyAlignment="1">
      <alignment horizontal="right"/>
    </xf>
    <xf numFmtId="169" fontId="17" fillId="5" borderId="0" xfId="1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65" fontId="16" fillId="0" borderId="0" xfId="0" applyNumberFormat="1" applyFont="1"/>
    <xf numFmtId="0" fontId="16" fillId="0" borderId="0" xfId="0" applyFont="1"/>
    <xf numFmtId="0" fontId="5" fillId="2" borderId="0" xfId="0" applyFont="1" applyFill="1" applyAlignment="1">
      <alignment horizontal="center" vertical="center" wrapText="1" readingOrder="1"/>
    </xf>
    <xf numFmtId="43" fontId="1" fillId="0" borderId="0" xfId="0" applyNumberFormat="1" applyFont="1"/>
    <xf numFmtId="43" fontId="1" fillId="0" borderId="0" xfId="1" applyFont="1"/>
    <xf numFmtId="43" fontId="17" fillId="5" borderId="0" xfId="1" applyFont="1" applyFill="1" applyAlignment="1">
      <alignment horizontal="center" vertical="center"/>
    </xf>
    <xf numFmtId="169" fontId="9" fillId="0" borderId="0" xfId="1" applyNumberFormat="1" applyFont="1" applyAlignment="1">
      <alignment vertical="center"/>
    </xf>
    <xf numFmtId="169" fontId="20" fillId="0" borderId="0" xfId="1" applyNumberFormat="1" applyFont="1"/>
    <xf numFmtId="43" fontId="20" fillId="0" borderId="0" xfId="1" applyFont="1"/>
    <xf numFmtId="43" fontId="9" fillId="0" borderId="0" xfId="1" applyFont="1" applyAlignment="1">
      <alignment vertical="center"/>
    </xf>
    <xf numFmtId="43" fontId="17" fillId="5" borderId="0" xfId="0" applyNumberFormat="1" applyFont="1" applyFill="1" applyAlignment="1">
      <alignment horizontal="center" vertical="center"/>
    </xf>
    <xf numFmtId="0" fontId="1" fillId="0" borderId="4" xfId="0" applyFont="1" applyBorder="1"/>
    <xf numFmtId="43" fontId="9" fillId="0" borderId="0" xfId="1" applyFont="1"/>
    <xf numFmtId="43" fontId="1" fillId="0" borderId="0" xfId="1" applyFont="1" applyFill="1" applyAlignment="1">
      <alignment horizontal="right"/>
    </xf>
    <xf numFmtId="0" fontId="13" fillId="0" borderId="0" xfId="0" applyFont="1"/>
    <xf numFmtId="0" fontId="21" fillId="0" borderId="3" xfId="0" applyFont="1" applyBorder="1" applyAlignment="1">
      <alignment vertical="top" wrapText="1" readingOrder="1"/>
    </xf>
    <xf numFmtId="0" fontId="22" fillId="0" borderId="3" xfId="0" applyFont="1" applyBorder="1" applyAlignment="1">
      <alignment vertical="top" wrapText="1" readingOrder="1"/>
    </xf>
    <xf numFmtId="43" fontId="1" fillId="0" borderId="0" xfId="1" applyFont="1" applyAlignment="1"/>
    <xf numFmtId="0" fontId="8" fillId="0" borderId="4" xfId="0" applyFont="1" applyBorder="1" applyAlignment="1">
      <alignment horizontal="left"/>
    </xf>
    <xf numFmtId="0" fontId="22" fillId="0" borderId="3" xfId="0" applyFont="1" applyBorder="1" applyAlignment="1">
      <alignment horizontal="left" vertical="top" wrapText="1" readingOrder="1"/>
    </xf>
    <xf numFmtId="0" fontId="24" fillId="0" borderId="0" xfId="0" applyFont="1" applyAlignment="1">
      <alignment vertical="top" readingOrder="1"/>
    </xf>
    <xf numFmtId="0" fontId="25" fillId="4" borderId="7" xfId="0" applyFont="1" applyFill="1" applyBorder="1" applyAlignment="1">
      <alignment horizontal="center" vertical="center" readingOrder="1"/>
    </xf>
    <xf numFmtId="0" fontId="27" fillId="0" borderId="4" xfId="0" applyFont="1" applyBorder="1" applyAlignment="1">
      <alignment vertical="center"/>
    </xf>
    <xf numFmtId="0" fontId="0" fillId="0" borderId="4" xfId="0" applyBorder="1"/>
    <xf numFmtId="165" fontId="28" fillId="0" borderId="7" xfId="0" applyNumberFormat="1" applyFont="1" applyBorder="1" applyAlignment="1">
      <alignment horizontal="center" vertical="top" readingOrder="1"/>
    </xf>
    <xf numFmtId="0" fontId="28" fillId="0" borderId="7" xfId="0" applyFont="1" applyBorder="1" applyAlignment="1">
      <alignment vertical="top" readingOrder="1"/>
    </xf>
    <xf numFmtId="0" fontId="28" fillId="0" borderId="7" xfId="0" applyFont="1" applyBorder="1" applyAlignment="1">
      <alignment horizontal="right" vertical="top" readingOrder="1"/>
    </xf>
    <xf numFmtId="166" fontId="28" fillId="0" borderId="7" xfId="0" applyNumberFormat="1" applyFont="1" applyBorder="1" applyAlignment="1">
      <alignment horizontal="right" vertical="top" readingOrder="1"/>
    </xf>
    <xf numFmtId="167" fontId="28" fillId="0" borderId="7" xfId="0" applyNumberFormat="1" applyFont="1" applyBorder="1" applyAlignment="1">
      <alignment horizontal="right" vertical="top" readingOrder="1"/>
    </xf>
    <xf numFmtId="168" fontId="28" fillId="0" borderId="7" xfId="0" applyNumberFormat="1" applyFont="1" applyBorder="1" applyAlignment="1">
      <alignment horizontal="right" vertical="top" readingOrder="1"/>
    </xf>
    <xf numFmtId="165" fontId="9" fillId="6" borderId="0" xfId="0" applyNumberFormat="1" applyFont="1" applyFill="1"/>
    <xf numFmtId="0" fontId="9" fillId="6" borderId="0" xfId="0" applyFont="1" applyFill="1"/>
    <xf numFmtId="0" fontId="29" fillId="0" borderId="0" xfId="0" applyFont="1"/>
    <xf numFmtId="173" fontId="14" fillId="0" borderId="0" xfId="0" applyNumberFormat="1" applyFont="1"/>
    <xf numFmtId="0" fontId="30" fillId="0" borderId="0" xfId="0" applyFont="1"/>
    <xf numFmtId="165" fontId="31" fillId="0" borderId="7" xfId="0" applyNumberFormat="1" applyFont="1" applyBorder="1" applyAlignment="1">
      <alignment horizontal="center" vertical="top" readingOrder="1"/>
    </xf>
    <xf numFmtId="0" fontId="31" fillId="0" borderId="7" xfId="0" applyFont="1" applyBorder="1" applyAlignment="1">
      <alignment vertical="top" readingOrder="1"/>
    </xf>
    <xf numFmtId="0" fontId="31" fillId="0" borderId="7" xfId="0" applyFont="1" applyBorder="1" applyAlignment="1">
      <alignment horizontal="right" vertical="top" readingOrder="1"/>
    </xf>
    <xf numFmtId="166" fontId="31" fillId="0" borderId="7" xfId="0" applyNumberFormat="1" applyFont="1" applyBorder="1" applyAlignment="1">
      <alignment horizontal="right" vertical="top" readingOrder="1"/>
    </xf>
    <xf numFmtId="167" fontId="31" fillId="0" borderId="7" xfId="0" applyNumberFormat="1" applyFont="1" applyBorder="1" applyAlignment="1">
      <alignment horizontal="right" vertical="top" readingOrder="1"/>
    </xf>
    <xf numFmtId="168" fontId="31" fillId="0" borderId="7" xfId="0" applyNumberFormat="1" applyFont="1" applyBorder="1" applyAlignment="1">
      <alignment horizontal="right" vertical="top" readingOrder="1"/>
    </xf>
    <xf numFmtId="169" fontId="23" fillId="0" borderId="4" xfId="1" applyNumberFormat="1" applyFont="1" applyBorder="1" applyAlignment="1">
      <alignment vertical="center" readingOrder="1"/>
    </xf>
    <xf numFmtId="0" fontId="32" fillId="0" borderId="4" xfId="0" applyFont="1" applyBorder="1" applyAlignment="1">
      <alignment vertical="center"/>
    </xf>
    <xf numFmtId="4" fontId="0" fillId="0" borderId="4" xfId="0" applyNumberFormat="1" applyBorder="1" applyAlignment="1">
      <alignment horizontal="right"/>
    </xf>
    <xf numFmtId="169" fontId="0" fillId="0" borderId="4" xfId="1" applyNumberFormat="1" applyFont="1" applyBorder="1" applyAlignment="1">
      <alignment horizontal="right"/>
    </xf>
    <xf numFmtId="43" fontId="1" fillId="0" borderId="0" xfId="1" applyFont="1" applyFill="1" applyAlignment="1"/>
    <xf numFmtId="169" fontId="1" fillId="0" borderId="0" xfId="1" applyNumberFormat="1" applyFont="1" applyFill="1" applyAlignment="1"/>
    <xf numFmtId="43" fontId="38" fillId="0" borderId="0" xfId="1" applyFont="1" applyFill="1" applyAlignment="1"/>
    <xf numFmtId="0" fontId="40" fillId="0" borderId="3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9" fillId="0" borderId="4" xfId="0" applyFont="1" applyBorder="1" applyAlignment="1">
      <alignment vertical="center" readingOrder="1"/>
    </xf>
    <xf numFmtId="0" fontId="42" fillId="0" borderId="4" xfId="0" applyFont="1" applyBorder="1"/>
    <xf numFmtId="0" fontId="43" fillId="0" borderId="3" xfId="0" applyFont="1" applyBorder="1" applyAlignment="1">
      <alignment vertical="top" readingOrder="1"/>
    </xf>
    <xf numFmtId="0" fontId="40" fillId="7" borderId="3" xfId="0" applyFont="1" applyFill="1" applyBorder="1" applyAlignment="1">
      <alignment horizontal="center" vertical="center" readingOrder="1"/>
    </xf>
    <xf numFmtId="0" fontId="29" fillId="6" borderId="0" xfId="0" applyFont="1" applyFill="1"/>
    <xf numFmtId="43" fontId="20" fillId="0" borderId="0" xfId="1" applyFont="1" applyFill="1" applyAlignment="1"/>
    <xf numFmtId="43" fontId="38" fillId="6" borderId="0" xfId="1" applyFont="1" applyFill="1" applyAlignment="1"/>
    <xf numFmtId="43" fontId="14" fillId="6" borderId="0" xfId="1" applyFont="1" applyFill="1" applyAlignment="1"/>
    <xf numFmtId="0" fontId="40" fillId="0" borderId="8" xfId="0" applyFont="1" applyBorder="1" applyAlignment="1">
      <alignment horizontal="center" vertical="center" readingOrder="1"/>
    </xf>
    <xf numFmtId="0" fontId="43" fillId="0" borderId="8" xfId="0" applyFont="1" applyBorder="1" applyAlignment="1">
      <alignment vertical="top" readingOrder="1"/>
    </xf>
    <xf numFmtId="0" fontId="40" fillId="8" borderId="4" xfId="0" applyFont="1" applyFill="1" applyBorder="1" applyAlignment="1">
      <alignment horizontal="center" vertical="center" readingOrder="1"/>
    </xf>
    <xf numFmtId="169" fontId="17" fillId="8" borderId="4" xfId="1" applyNumberFormat="1" applyFont="1" applyFill="1" applyBorder="1" applyAlignment="1">
      <alignment horizontal="center" vertical="center"/>
    </xf>
    <xf numFmtId="43" fontId="17" fillId="8" borderId="4" xfId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165" fontId="1" fillId="0" borderId="4" xfId="0" applyNumberFormat="1" applyFont="1" applyBorder="1"/>
    <xf numFmtId="43" fontId="1" fillId="0" borderId="4" xfId="1" applyFont="1" applyFill="1" applyBorder="1" applyAlignment="1">
      <alignment horizontal="right"/>
    </xf>
    <xf numFmtId="169" fontId="1" fillId="0" borderId="4" xfId="1" applyNumberFormat="1" applyFont="1" applyFill="1" applyBorder="1" applyAlignment="1"/>
    <xf numFmtId="170" fontId="1" fillId="0" borderId="4" xfId="0" applyNumberFormat="1" applyFont="1" applyBorder="1"/>
    <xf numFmtId="169" fontId="1" fillId="0" borderId="4" xfId="0" applyNumberFormat="1" applyFont="1" applyBorder="1"/>
    <xf numFmtId="172" fontId="1" fillId="0" borderId="4" xfId="1" applyNumberFormat="1" applyFont="1" applyFill="1" applyBorder="1" applyAlignment="1"/>
    <xf numFmtId="43" fontId="14" fillId="6" borderId="4" xfId="1" applyFont="1" applyFill="1" applyBorder="1" applyAlignment="1"/>
    <xf numFmtId="43" fontId="44" fillId="0" borderId="4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9" fontId="23" fillId="0" borderId="4" xfId="1" applyNumberFormat="1" applyFont="1" applyBorder="1" applyAlignment="1">
      <alignment vertical="center" wrapText="1" readingOrder="1"/>
    </xf>
    <xf numFmtId="164" fontId="43" fillId="0" borderId="2" xfId="0" applyNumberFormat="1" applyFont="1" applyBorder="1" applyAlignment="1">
      <alignment horizontal="right" vertical="top" readingOrder="1"/>
    </xf>
    <xf numFmtId="0" fontId="39" fillId="7" borderId="9" xfId="0" applyFont="1" applyFill="1" applyBorder="1" applyAlignment="1">
      <alignment horizontal="center" vertical="center" readingOrder="1"/>
    </xf>
    <xf numFmtId="0" fontId="40" fillId="7" borderId="9" xfId="0" applyFont="1" applyFill="1" applyBorder="1" applyAlignment="1">
      <alignment horizontal="center" vertical="center" readingOrder="1"/>
    </xf>
    <xf numFmtId="0" fontId="41" fillId="0" borderId="4" xfId="0" applyFont="1" applyBorder="1" applyAlignment="1">
      <alignment vertical="top" readingOrder="1"/>
    </xf>
    <xf numFmtId="164" fontId="43" fillId="9" borderId="2" xfId="0" applyNumberFormat="1" applyFont="1" applyFill="1" applyBorder="1" applyAlignment="1">
      <alignment horizontal="right" vertical="top" readingOrder="1"/>
    </xf>
    <xf numFmtId="0" fontId="43" fillId="9" borderId="3" xfId="0" applyFont="1" applyFill="1" applyBorder="1" applyAlignment="1">
      <alignment vertical="top" readingOrder="1"/>
    </xf>
    <xf numFmtId="172" fontId="38" fillId="0" borderId="0" xfId="1" applyNumberFormat="1" applyFont="1" applyFill="1" applyAlignment="1"/>
    <xf numFmtId="0" fontId="28" fillId="6" borderId="7" xfId="0" applyFont="1" applyFill="1" applyBorder="1" applyAlignment="1">
      <alignment vertical="top" readingOrder="1"/>
    </xf>
    <xf numFmtId="0" fontId="37" fillId="0" borderId="3" xfId="0" applyFont="1" applyBorder="1" applyAlignment="1">
      <alignment vertical="center" readingOrder="1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33" fillId="0" borderId="3" xfId="0" applyFont="1" applyBorder="1" applyAlignment="1">
      <alignment vertical="top" readingOrder="1"/>
    </xf>
    <xf numFmtId="0" fontId="35" fillId="0" borderId="3" xfId="0" applyFont="1" applyBorder="1" applyAlignment="1">
      <alignment horizontal="center" vertical="center" readingOrder="1"/>
    </xf>
    <xf numFmtId="0" fontId="36" fillId="0" borderId="3" xfId="0" applyFont="1" applyBorder="1" applyAlignment="1">
      <alignment horizontal="right" vertical="top" readingOrder="1"/>
    </xf>
    <xf numFmtId="0" fontId="11" fillId="0" borderId="0" xfId="0" applyFont="1" applyAlignment="1">
      <alignment horizontal="center" vertical="center" wrapText="1" readingOrder="1"/>
    </xf>
    <xf numFmtId="0" fontId="9" fillId="0" borderId="0" xfId="0" applyFont="1"/>
    <xf numFmtId="0" fontId="12" fillId="0" borderId="0" xfId="0" applyFont="1" applyAlignment="1">
      <alignment horizontal="center" vertical="center" wrapText="1" readingOrder="1"/>
    </xf>
    <xf numFmtId="0" fontId="19" fillId="0" borderId="3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2" fillId="0" borderId="3" xfId="0" applyFont="1" applyBorder="1" applyAlignment="1">
      <alignment vertical="top" wrapText="1" readingOrder="1"/>
    </xf>
    <xf numFmtId="0" fontId="18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right" vertical="top" wrapText="1" readingOrder="1"/>
    </xf>
    <xf numFmtId="0" fontId="25" fillId="0" borderId="0" xfId="0" applyFont="1" applyAlignment="1">
      <alignment horizontal="center" vertical="center" readingOrder="1"/>
    </xf>
    <xf numFmtId="0" fontId="1" fillId="0" borderId="0" xfId="0" applyFont="1"/>
    <xf numFmtId="0" fontId="26" fillId="0" borderId="0" xfId="0" applyFont="1" applyAlignment="1">
      <alignment horizontal="center" vertical="center" readingOrder="1"/>
    </xf>
    <xf numFmtId="0" fontId="1" fillId="10" borderId="4" xfId="0" applyFont="1" applyFill="1" applyBorder="1"/>
    <xf numFmtId="0" fontId="27" fillId="10" borderId="4" xfId="0" applyFont="1" applyFill="1" applyBorder="1" applyAlignment="1">
      <alignment vertical="center"/>
    </xf>
    <xf numFmtId="0" fontId="0" fillId="10" borderId="4" xfId="0" applyFill="1" applyBorder="1"/>
    <xf numFmtId="4" fontId="0" fillId="10" borderId="4" xfId="0" applyNumberFormat="1" applyFill="1" applyBorder="1" applyAlignment="1">
      <alignment horizontal="right"/>
    </xf>
    <xf numFmtId="169" fontId="0" fillId="10" borderId="4" xfId="1" applyNumberFormat="1" applyFont="1" applyFill="1" applyBorder="1" applyAlignment="1">
      <alignment horizontal="right"/>
    </xf>
    <xf numFmtId="0" fontId="1" fillId="10" borderId="0" xfId="0" applyFont="1" applyFill="1"/>
    <xf numFmtId="0" fontId="9" fillId="10" borderId="4" xfId="0" applyFont="1" applyFill="1" applyBorder="1" applyAlignment="1">
      <alignment vertical="center" readingOrder="1"/>
    </xf>
    <xf numFmtId="164" fontId="43" fillId="10" borderId="2" xfId="0" applyNumberFormat="1" applyFont="1" applyFill="1" applyBorder="1" applyAlignment="1">
      <alignment horizontal="right" vertical="top" readingOrder="1"/>
    </xf>
    <xf numFmtId="0" fontId="43" fillId="10" borderId="3" xfId="0" applyFont="1" applyFill="1" applyBorder="1" applyAlignment="1">
      <alignment vertical="top" readingOrder="1"/>
    </xf>
  </cellXfs>
  <cellStyles count="2">
    <cellStyle name="Comma" xfId="1" builtinId="3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40E0D0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9067</xdr:rowOff>
    </xdr:from>
    <xdr:to>
      <xdr:col>2</xdr:col>
      <xdr:colOff>0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8915</xdr:colOff>
      <xdr:row>1</xdr:row>
      <xdr:rowOff>9067</xdr:rowOff>
    </xdr:from>
    <xdr:to>
      <xdr:col>3</xdr:col>
      <xdr:colOff>913485</xdr:colOff>
      <xdr:row>1</xdr:row>
      <xdr:rowOff>1076459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FF3A52-E06B-4AFD-A196-875902BF7DB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365" y="123367"/>
          <a:ext cx="3647770" cy="1067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8915</xdr:colOff>
      <xdr:row>1</xdr:row>
      <xdr:rowOff>9067</xdr:rowOff>
    </xdr:from>
    <xdr:to>
      <xdr:col>3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9DFBA-25DF-4D45-BB26-6DCC16D553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365" y="123367"/>
          <a:ext cx="3647770" cy="1067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272;&#7888;I%20CHI&#7870;U%20TR&#7846;N%20GIA/DCCN%20T&#7914;%2001.4%20&#272;&#7870;N%2015.4%20LW7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ÁO CÁO CÔNG NỢ_KIỂM TRA_ĐIỀU C"/>
      <sheetName val="NHẬP FAST lw7"/>
      <sheetName val="FAST"/>
      <sheetName val="MÃ "/>
      <sheetName val="Sheet5"/>
    </sheetNames>
    <sheetDataSet>
      <sheetData sheetId="0" refreshError="1">
        <row r="17">
          <cell r="J17" t="str">
            <v>Bí ngòi xanh</v>
          </cell>
          <cell r="K17" t="str">
            <v>Kg</v>
          </cell>
        </row>
        <row r="18">
          <cell r="J18" t="str">
            <v>Cà rốt baby</v>
          </cell>
          <cell r="K18" t="str">
            <v>Kg</v>
          </cell>
        </row>
        <row r="19">
          <cell r="J19" t="str">
            <v>Cần tây</v>
          </cell>
          <cell r="K19" t="str">
            <v>Kg</v>
          </cell>
        </row>
        <row r="20">
          <cell r="J20" t="str">
            <v>Củ Gừng</v>
          </cell>
          <cell r="K20" t="str">
            <v>Kg</v>
          </cell>
        </row>
        <row r="21">
          <cell r="J21" t="str">
            <v>Hành lá</v>
          </cell>
          <cell r="K21" t="str">
            <v>Kg</v>
          </cell>
        </row>
        <row r="22">
          <cell r="J22" t="str">
            <v>Mướp hương</v>
          </cell>
          <cell r="K22" t="str">
            <v>Kg</v>
          </cell>
        </row>
        <row r="23">
          <cell r="J23" t="str">
            <v>Nấm kim châm tươi</v>
          </cell>
          <cell r="K23" t="str">
            <v>Kg</v>
          </cell>
        </row>
        <row r="24">
          <cell r="J24" t="str">
            <v>Ngò tây</v>
          </cell>
          <cell r="K24" t="str">
            <v>Kg</v>
          </cell>
        </row>
        <row r="25">
          <cell r="J25" t="str">
            <v>Tỏi lột</v>
          </cell>
          <cell r="K25" t="str">
            <v>Kg</v>
          </cell>
        </row>
        <row r="26">
          <cell r="J26" t="str">
            <v>Xà lách romain</v>
          </cell>
          <cell r="K26" t="str">
            <v>Kg</v>
          </cell>
        </row>
        <row r="27">
          <cell r="J27" t="str">
            <v>Chanh không hạt</v>
          </cell>
          <cell r="K27" t="str">
            <v>Kg</v>
          </cell>
        </row>
        <row r="28">
          <cell r="J28" t="str">
            <v>Dưa hấu</v>
          </cell>
          <cell r="K28" t="str">
            <v>Kg</v>
          </cell>
        </row>
        <row r="29">
          <cell r="J29" t="str">
            <v>Húng lũi</v>
          </cell>
          <cell r="K29" t="str">
            <v>Kg</v>
          </cell>
        </row>
        <row r="30">
          <cell r="J30" t="str">
            <v>Lá dứa</v>
          </cell>
          <cell r="K30" t="str">
            <v>Kg</v>
          </cell>
        </row>
        <row r="31">
          <cell r="J31" t="str">
            <v>Bánh ướt</v>
          </cell>
          <cell r="K31" t="str">
            <v>Kg</v>
          </cell>
        </row>
        <row r="32">
          <cell r="J32" t="str">
            <v>Bắp mỹ trái (Loại 1)</v>
          </cell>
          <cell r="K32" t="str">
            <v>Trái</v>
          </cell>
        </row>
        <row r="33">
          <cell r="J33" t="str">
            <v>Bí đỏ hồ lô</v>
          </cell>
          <cell r="K33" t="str">
            <v>Kg</v>
          </cell>
        </row>
        <row r="34">
          <cell r="J34" t="str">
            <v>Cần tây</v>
          </cell>
          <cell r="K34" t="str">
            <v>Kg</v>
          </cell>
        </row>
        <row r="35">
          <cell r="J35" t="str">
            <v>Củ riềng</v>
          </cell>
          <cell r="K35" t="str">
            <v>Kg</v>
          </cell>
        </row>
        <row r="36">
          <cell r="J36" t="str">
            <v>Đậu bắp</v>
          </cell>
          <cell r="K36" t="str">
            <v>Kg</v>
          </cell>
        </row>
        <row r="37">
          <cell r="J37" t="str">
            <v>Hành tây</v>
          </cell>
          <cell r="K37" t="str">
            <v>Kg</v>
          </cell>
        </row>
        <row r="38">
          <cell r="J38" t="str">
            <v>Hành tím củ</v>
          </cell>
          <cell r="K38" t="str">
            <v>Kg</v>
          </cell>
        </row>
        <row r="39">
          <cell r="J39" t="str">
            <v>Khoai lang nhật</v>
          </cell>
          <cell r="K39" t="str">
            <v>Kg</v>
          </cell>
        </row>
        <row r="40">
          <cell r="J40" t="str">
            <v>Nấm bào ngư trắng</v>
          </cell>
          <cell r="K40" t="str">
            <v>Kg</v>
          </cell>
        </row>
        <row r="41">
          <cell r="J41" t="str">
            <v>Nấm đông cô tươi</v>
          </cell>
          <cell r="K41" t="str">
            <v>Kg</v>
          </cell>
        </row>
        <row r="42">
          <cell r="J42" t="str">
            <v>Nấm đùi gà baby</v>
          </cell>
          <cell r="K42" t="str">
            <v>Kg</v>
          </cell>
        </row>
        <row r="43">
          <cell r="J43" t="str">
            <v>Nấm linh chi nâu (kg)</v>
          </cell>
          <cell r="K43" t="str">
            <v>Kg</v>
          </cell>
        </row>
        <row r="44">
          <cell r="J44" t="str">
            <v>Nấm linh chi trắng (kg)</v>
          </cell>
          <cell r="K44" t="str">
            <v>Kg</v>
          </cell>
        </row>
        <row r="45">
          <cell r="J45" t="str">
            <v>Ngò rí</v>
          </cell>
          <cell r="K45" t="str">
            <v>Kg</v>
          </cell>
        </row>
        <row r="46">
          <cell r="J46" t="str">
            <v>Rau răm</v>
          </cell>
          <cell r="K46" t="str">
            <v>Kg</v>
          </cell>
        </row>
        <row r="47">
          <cell r="J47" t="str">
            <v>Sả cây</v>
          </cell>
          <cell r="K47" t="str">
            <v>Kg</v>
          </cell>
        </row>
        <row r="48">
          <cell r="J48" t="str">
            <v>Tỏi lột</v>
          </cell>
          <cell r="K48" t="str">
            <v>Kg</v>
          </cell>
        </row>
        <row r="49">
          <cell r="J49" t="str">
            <v>Trứng vịt muối</v>
          </cell>
          <cell r="K49" t="str">
            <v>Quả</v>
          </cell>
        </row>
        <row r="50">
          <cell r="J50" t="str">
            <v>Xà lách romain</v>
          </cell>
          <cell r="K50" t="str">
            <v>Kg</v>
          </cell>
        </row>
        <row r="51">
          <cell r="J51" t="str">
            <v>Chanh không hạt</v>
          </cell>
          <cell r="K51" t="str">
            <v>Kg</v>
          </cell>
        </row>
        <row r="52">
          <cell r="J52" t="str">
            <v>Dưa hấu</v>
          </cell>
          <cell r="K52" t="str">
            <v>Kg</v>
          </cell>
        </row>
        <row r="53">
          <cell r="J53" t="str">
            <v>Bắp cải trắng</v>
          </cell>
          <cell r="K53" t="str">
            <v>Kg</v>
          </cell>
        </row>
        <row r="54">
          <cell r="J54" t="str">
            <v>Bắp mỹ trái (Loại 1)</v>
          </cell>
          <cell r="K54" t="str">
            <v>Trái</v>
          </cell>
        </row>
        <row r="55">
          <cell r="J55" t="str">
            <v>Bí đỏ hồ lô</v>
          </cell>
          <cell r="K55" t="str">
            <v>Kg</v>
          </cell>
        </row>
        <row r="56">
          <cell r="J56" t="str">
            <v>Bí ngòi xanh</v>
          </cell>
          <cell r="K56" t="str">
            <v>Kg</v>
          </cell>
        </row>
        <row r="57">
          <cell r="J57" t="str">
            <v>Cải Hongkong(Cai ngong)</v>
          </cell>
          <cell r="K57" t="str">
            <v>Kg</v>
          </cell>
        </row>
        <row r="58">
          <cell r="J58" t="str">
            <v>Đậu bắp</v>
          </cell>
          <cell r="K58" t="str">
            <v>Kg</v>
          </cell>
        </row>
        <row r="59">
          <cell r="J59" t="str">
            <v>Hành lá</v>
          </cell>
          <cell r="K59" t="str">
            <v>Kg</v>
          </cell>
        </row>
        <row r="60">
          <cell r="J60" t="str">
            <v>Mướp hương</v>
          </cell>
          <cell r="K60" t="str">
            <v>Kg</v>
          </cell>
        </row>
        <row r="61">
          <cell r="J61" t="str">
            <v>Nấm đông cô tươi</v>
          </cell>
          <cell r="K61" t="str">
            <v>Kg</v>
          </cell>
        </row>
        <row r="62">
          <cell r="J62" t="str">
            <v>Nấm đùi gà baby</v>
          </cell>
          <cell r="K62" t="str">
            <v>Kg</v>
          </cell>
        </row>
        <row r="63">
          <cell r="J63" t="str">
            <v>Nấm kim châm tươi</v>
          </cell>
          <cell r="K63" t="str">
            <v>Kg</v>
          </cell>
        </row>
        <row r="64">
          <cell r="J64" t="str">
            <v>Ngò rí</v>
          </cell>
          <cell r="K64" t="str">
            <v>Kg</v>
          </cell>
        </row>
        <row r="65">
          <cell r="J65" t="str">
            <v>Ớt hiểm xanh</v>
          </cell>
          <cell r="K65" t="str">
            <v>Kg</v>
          </cell>
        </row>
        <row r="66">
          <cell r="J66" t="str">
            <v>Ớt sừng đỏ</v>
          </cell>
          <cell r="K66" t="str">
            <v>Kg</v>
          </cell>
        </row>
        <row r="67">
          <cell r="J67" t="str">
            <v>Rau răm</v>
          </cell>
          <cell r="K67" t="str">
            <v>Kg</v>
          </cell>
        </row>
        <row r="68">
          <cell r="J68" t="str">
            <v>Sả cây</v>
          </cell>
          <cell r="K68" t="str">
            <v>Kg</v>
          </cell>
        </row>
        <row r="69">
          <cell r="J69" t="str">
            <v>Tỏi lột</v>
          </cell>
          <cell r="K69" t="str">
            <v>Kg</v>
          </cell>
        </row>
        <row r="70">
          <cell r="J70" t="str">
            <v>Xà lách romain</v>
          </cell>
          <cell r="K70" t="str">
            <v>Kg</v>
          </cell>
        </row>
        <row r="71">
          <cell r="J71" t="str">
            <v>Dưa hấu</v>
          </cell>
          <cell r="K71" t="str">
            <v>Kg</v>
          </cell>
        </row>
        <row r="72">
          <cell r="J72" t="str">
            <v>Rau má nhỏ</v>
          </cell>
          <cell r="K72" t="str">
            <v>Kg</v>
          </cell>
        </row>
        <row r="73">
          <cell r="J73" t="str">
            <v>Bánh ướt</v>
          </cell>
          <cell r="K73" t="str">
            <v>Kg</v>
          </cell>
        </row>
        <row r="74">
          <cell r="J74" t="str">
            <v>Bắp cải trắng</v>
          </cell>
          <cell r="K74" t="str">
            <v>Kg</v>
          </cell>
        </row>
        <row r="75">
          <cell r="J75" t="str">
            <v>Bắp mỹ trái (Loại 1)</v>
          </cell>
          <cell r="K75" t="str">
            <v>Trái</v>
          </cell>
        </row>
        <row r="76">
          <cell r="J76" t="str">
            <v>Bí đỏ hồ lô</v>
          </cell>
          <cell r="K76" t="str">
            <v>Kg</v>
          </cell>
        </row>
        <row r="77">
          <cell r="J77" t="str">
            <v>Bí ngòi xanh</v>
          </cell>
          <cell r="K77" t="str">
            <v>Kg</v>
          </cell>
        </row>
        <row r="78">
          <cell r="J78" t="str">
            <v>Cải Hongkong(Cai ngong)</v>
          </cell>
          <cell r="K78" t="str">
            <v>Kg</v>
          </cell>
        </row>
        <row r="79">
          <cell r="J79" t="str">
            <v>Cần tây</v>
          </cell>
          <cell r="K79" t="str">
            <v>Kg</v>
          </cell>
        </row>
        <row r="80">
          <cell r="J80" t="str">
            <v>Củ riềng</v>
          </cell>
          <cell r="K80" t="str">
            <v>Kg</v>
          </cell>
        </row>
        <row r="81">
          <cell r="J81" t="str">
            <v>Củ sen</v>
          </cell>
          <cell r="K81" t="str">
            <v>Kg</v>
          </cell>
        </row>
        <row r="82">
          <cell r="J82" t="str">
            <v>Đậu bắp</v>
          </cell>
          <cell r="K82" t="str">
            <v>Kg</v>
          </cell>
        </row>
        <row r="83">
          <cell r="J83" t="str">
            <v>Đậu hủ trứng CP 220gr</v>
          </cell>
          <cell r="K83" t="str">
            <v>Cây</v>
          </cell>
        </row>
        <row r="84">
          <cell r="J84" t="str">
            <v>Hành lá</v>
          </cell>
          <cell r="K84" t="str">
            <v>Kg</v>
          </cell>
        </row>
        <row r="85">
          <cell r="J85" t="str">
            <v>Hành tây</v>
          </cell>
          <cell r="K85" t="str">
            <v>Kg</v>
          </cell>
        </row>
        <row r="86">
          <cell r="J86" t="str">
            <v>Hành tím củ</v>
          </cell>
          <cell r="K86" t="str">
            <v>Kg</v>
          </cell>
        </row>
        <row r="87">
          <cell r="J87" t="str">
            <v>Khoai lang nhật</v>
          </cell>
          <cell r="K87" t="str">
            <v>Kg</v>
          </cell>
        </row>
        <row r="88">
          <cell r="J88" t="str">
            <v>Mướp hương</v>
          </cell>
          <cell r="K88" t="str">
            <v>Kg</v>
          </cell>
        </row>
        <row r="89">
          <cell r="J89" t="str">
            <v>Nấm đông cô tươi</v>
          </cell>
          <cell r="K89" t="str">
            <v>Kg</v>
          </cell>
        </row>
        <row r="90">
          <cell r="J90" t="str">
            <v>Nấm đùi gà</v>
          </cell>
          <cell r="K90" t="str">
            <v>Kg</v>
          </cell>
        </row>
        <row r="91">
          <cell r="J91" t="str">
            <v>Nấm đùi gà baby</v>
          </cell>
          <cell r="K91" t="str">
            <v>Kg</v>
          </cell>
        </row>
        <row r="92">
          <cell r="J92" t="str">
            <v>Nấm kim châm tươi</v>
          </cell>
          <cell r="K92" t="str">
            <v>Kg</v>
          </cell>
        </row>
        <row r="93">
          <cell r="J93" t="str">
            <v>Nấm linh chi nâu (kg)</v>
          </cell>
          <cell r="K93" t="str">
            <v>Kg</v>
          </cell>
        </row>
        <row r="94">
          <cell r="J94" t="str">
            <v>Ngò rí</v>
          </cell>
          <cell r="K94" t="str">
            <v>Kg</v>
          </cell>
        </row>
        <row r="95">
          <cell r="J95" t="str">
            <v>Ngò tây</v>
          </cell>
          <cell r="K95" t="str">
            <v>Kg</v>
          </cell>
        </row>
        <row r="96">
          <cell r="J96" t="str">
            <v>Ớt hiểm đỏ</v>
          </cell>
          <cell r="K96" t="str">
            <v>Kg</v>
          </cell>
        </row>
        <row r="97">
          <cell r="J97" t="str">
            <v>Ớt sừng đỏ</v>
          </cell>
          <cell r="K97" t="str">
            <v>Kg</v>
          </cell>
        </row>
        <row r="98">
          <cell r="J98" t="str">
            <v>Rau răm</v>
          </cell>
          <cell r="K98" t="str">
            <v>Kg</v>
          </cell>
        </row>
        <row r="99">
          <cell r="J99" t="str">
            <v>Sả cây</v>
          </cell>
          <cell r="K99" t="str">
            <v>Kg</v>
          </cell>
        </row>
        <row r="100">
          <cell r="J100" t="str">
            <v>Tắc trái</v>
          </cell>
          <cell r="K100" t="str">
            <v>Kg</v>
          </cell>
        </row>
        <row r="101">
          <cell r="J101" t="str">
            <v>Thì là</v>
          </cell>
          <cell r="K101" t="str">
            <v>Kg</v>
          </cell>
        </row>
        <row r="102">
          <cell r="J102" t="str">
            <v>Xà lách romain</v>
          </cell>
          <cell r="K102" t="str">
            <v>Kg</v>
          </cell>
        </row>
        <row r="103">
          <cell r="J103" t="str">
            <v>Cam vàng</v>
          </cell>
          <cell r="K103" t="str">
            <v>Kg</v>
          </cell>
        </row>
        <row r="104">
          <cell r="J104" t="str">
            <v>Chanh Dây</v>
          </cell>
          <cell r="K104" t="str">
            <v>Kg</v>
          </cell>
        </row>
        <row r="105">
          <cell r="J105" t="str">
            <v>Chanh không hạt</v>
          </cell>
          <cell r="K105" t="str">
            <v>Kg</v>
          </cell>
        </row>
        <row r="106">
          <cell r="J106" t="str">
            <v>Chanh vàng</v>
          </cell>
          <cell r="K106" t="str">
            <v>Kg</v>
          </cell>
        </row>
        <row r="107">
          <cell r="J107" t="str">
            <v>Dưa hấu</v>
          </cell>
          <cell r="K107" t="str">
            <v>Kg</v>
          </cell>
        </row>
        <row r="108">
          <cell r="J108" t="str">
            <v>Rau má nhỏ</v>
          </cell>
          <cell r="K108" t="str">
            <v>Kg</v>
          </cell>
        </row>
        <row r="109">
          <cell r="J109" t="str">
            <v>Tắc trái</v>
          </cell>
          <cell r="K109" t="str">
            <v>Kg</v>
          </cell>
        </row>
        <row r="110">
          <cell r="J110" t="str">
            <v>Trứng vịt muối</v>
          </cell>
          <cell r="K110" t="str">
            <v>Quả</v>
          </cell>
        </row>
        <row r="111">
          <cell r="J111" t="str">
            <v>Cải Hongkong(Cai ngong)</v>
          </cell>
          <cell r="K111" t="str">
            <v>Kg</v>
          </cell>
        </row>
        <row r="112">
          <cell r="J112" t="str">
            <v>Bánh ướt</v>
          </cell>
          <cell r="K112" t="str">
            <v>Kg</v>
          </cell>
        </row>
        <row r="113">
          <cell r="J113" t="str">
            <v>Bắp cải trắng</v>
          </cell>
          <cell r="K113" t="str">
            <v>Kg</v>
          </cell>
        </row>
        <row r="114">
          <cell r="J114" t="str">
            <v>Bắp mỹ trái (Loại 1)</v>
          </cell>
          <cell r="K114" t="str">
            <v>Trái</v>
          </cell>
        </row>
        <row r="115">
          <cell r="J115" t="str">
            <v>Bí ngòi xanh</v>
          </cell>
          <cell r="K115" t="str">
            <v>Kg</v>
          </cell>
        </row>
        <row r="116">
          <cell r="J116" t="str">
            <v>Cải Hongkong(Cai ngong)</v>
          </cell>
          <cell r="K116" t="str">
            <v>Kg</v>
          </cell>
        </row>
        <row r="117">
          <cell r="J117" t="str">
            <v>Cần tây</v>
          </cell>
          <cell r="K117" t="str">
            <v>Kg</v>
          </cell>
        </row>
        <row r="118">
          <cell r="J118" t="str">
            <v>Củ sen</v>
          </cell>
          <cell r="K118" t="str">
            <v>Kg</v>
          </cell>
        </row>
        <row r="119">
          <cell r="J119" t="str">
            <v>Đậu bắp</v>
          </cell>
          <cell r="K119" t="str">
            <v>Kg</v>
          </cell>
        </row>
        <row r="120">
          <cell r="J120" t="str">
            <v>Hành lá</v>
          </cell>
          <cell r="K120" t="str">
            <v>Kg</v>
          </cell>
        </row>
        <row r="121">
          <cell r="J121" t="str">
            <v>Mướp hương</v>
          </cell>
          <cell r="K121" t="str">
            <v>Kg</v>
          </cell>
        </row>
        <row r="122">
          <cell r="J122" t="str">
            <v>Nấm đông cô tươi</v>
          </cell>
          <cell r="K122" t="str">
            <v>Kg</v>
          </cell>
        </row>
        <row r="123">
          <cell r="J123" t="str">
            <v>Nấm đùi gà</v>
          </cell>
          <cell r="K123" t="str">
            <v>Kg</v>
          </cell>
        </row>
        <row r="124">
          <cell r="J124" t="str">
            <v>Nấm hải sản (kg)</v>
          </cell>
          <cell r="K124" t="str">
            <v>Kg</v>
          </cell>
        </row>
        <row r="125">
          <cell r="J125" t="str">
            <v>Nấm kim châm tươi</v>
          </cell>
          <cell r="K125" t="str">
            <v>Kg</v>
          </cell>
        </row>
        <row r="126">
          <cell r="J126" t="str">
            <v>Nấm mối đen</v>
          </cell>
          <cell r="K126" t="str">
            <v>Kg</v>
          </cell>
        </row>
        <row r="127">
          <cell r="J127" t="str">
            <v>Ngò rí</v>
          </cell>
          <cell r="K127" t="str">
            <v>Kg</v>
          </cell>
        </row>
        <row r="128">
          <cell r="J128" t="str">
            <v>Ngò tây</v>
          </cell>
          <cell r="K128" t="str">
            <v>Kg</v>
          </cell>
        </row>
        <row r="129">
          <cell r="J129" t="str">
            <v>Ớt sừng đỏ</v>
          </cell>
          <cell r="K129" t="str">
            <v>Kg</v>
          </cell>
        </row>
        <row r="130">
          <cell r="J130" t="str">
            <v>Rau răm</v>
          </cell>
          <cell r="K130" t="str">
            <v>Kg</v>
          </cell>
        </row>
        <row r="131">
          <cell r="J131" t="str">
            <v>Tắc trái</v>
          </cell>
          <cell r="K131" t="str">
            <v>Kg</v>
          </cell>
        </row>
        <row r="132">
          <cell r="J132" t="str">
            <v>Tỏi lột</v>
          </cell>
          <cell r="K132" t="str">
            <v>Kg</v>
          </cell>
        </row>
        <row r="133">
          <cell r="J133" t="str">
            <v>Xà lách romain</v>
          </cell>
          <cell r="K133" t="str">
            <v>Kg</v>
          </cell>
        </row>
        <row r="134">
          <cell r="J134" t="str">
            <v>Chanh không hạt</v>
          </cell>
          <cell r="K134" t="str">
            <v>Kg</v>
          </cell>
        </row>
        <row r="135">
          <cell r="J135" t="str">
            <v>Dưa hấu</v>
          </cell>
          <cell r="K135" t="str">
            <v>Kg</v>
          </cell>
        </row>
        <row r="136">
          <cell r="J136" t="str">
            <v>Húng lũi</v>
          </cell>
          <cell r="K136" t="str">
            <v>Kg</v>
          </cell>
        </row>
        <row r="137">
          <cell r="J137" t="str">
            <v>Lá dứa</v>
          </cell>
          <cell r="K137" t="str">
            <v>Kg</v>
          </cell>
        </row>
        <row r="138">
          <cell r="J138" t="str">
            <v>Trứng vịt muối</v>
          </cell>
          <cell r="K138" t="str">
            <v>Quả</v>
          </cell>
        </row>
        <row r="139">
          <cell r="J139" t="str">
            <v>Bắp cải trắng</v>
          </cell>
          <cell r="K139" t="str">
            <v>Kg</v>
          </cell>
        </row>
        <row r="140">
          <cell r="J140" t="str">
            <v>Bắp mỹ trái (Loại 1)</v>
          </cell>
          <cell r="K140" t="str">
            <v>Trái</v>
          </cell>
        </row>
        <row r="141">
          <cell r="J141" t="str">
            <v>Bí đỏ hồ lô</v>
          </cell>
          <cell r="K141" t="str">
            <v>Kg</v>
          </cell>
        </row>
        <row r="142">
          <cell r="J142" t="str">
            <v>Bí ngòi xanh</v>
          </cell>
          <cell r="K142" t="str">
            <v>Kg</v>
          </cell>
        </row>
        <row r="143">
          <cell r="J143" t="str">
            <v>Cà rốt baby</v>
          </cell>
          <cell r="K143" t="str">
            <v>Kg</v>
          </cell>
        </row>
        <row r="144">
          <cell r="J144" t="str">
            <v>Cải Hongkong(Cai ngong)</v>
          </cell>
          <cell r="K144" t="str">
            <v>Kg</v>
          </cell>
        </row>
        <row r="145">
          <cell r="J145" t="str">
            <v>Cần tàu</v>
          </cell>
          <cell r="K145" t="str">
            <v>Kg</v>
          </cell>
        </row>
        <row r="146">
          <cell r="J146" t="str">
            <v>Cần tây</v>
          </cell>
          <cell r="K146" t="str">
            <v>Kg</v>
          </cell>
        </row>
        <row r="147">
          <cell r="J147" t="str">
            <v>Củ riềng</v>
          </cell>
          <cell r="K147" t="str">
            <v>Kg</v>
          </cell>
        </row>
        <row r="148">
          <cell r="J148" t="str">
            <v>Củ sen</v>
          </cell>
          <cell r="K148" t="str">
            <v>Kg</v>
          </cell>
        </row>
        <row r="149">
          <cell r="J149" t="str">
            <v>Đậu bắp</v>
          </cell>
          <cell r="K149" t="str">
            <v>Kg</v>
          </cell>
        </row>
        <row r="150">
          <cell r="J150" t="str">
            <v>Hành lá</v>
          </cell>
          <cell r="K150" t="str">
            <v>Kg</v>
          </cell>
        </row>
        <row r="151">
          <cell r="J151" t="str">
            <v>Khoai lang nhật</v>
          </cell>
          <cell r="K151" t="str">
            <v>Kg</v>
          </cell>
        </row>
        <row r="152">
          <cell r="J152" t="str">
            <v>Mướp hương</v>
          </cell>
          <cell r="K152" t="str">
            <v>Kg</v>
          </cell>
        </row>
        <row r="153">
          <cell r="J153" t="str">
            <v>Nấm đông cô tươi</v>
          </cell>
          <cell r="K153" t="str">
            <v>Kg</v>
          </cell>
        </row>
        <row r="154">
          <cell r="J154" t="str">
            <v>Nấm đùi gà</v>
          </cell>
          <cell r="K154" t="str">
            <v>Kg</v>
          </cell>
        </row>
        <row r="155">
          <cell r="J155" t="str">
            <v>Nấm đùi gà baby</v>
          </cell>
          <cell r="K155" t="str">
            <v>Kg</v>
          </cell>
        </row>
        <row r="156">
          <cell r="J156" t="str">
            <v>Nấm kim châm tươi</v>
          </cell>
          <cell r="K156" t="str">
            <v>Kg</v>
          </cell>
        </row>
        <row r="157">
          <cell r="J157" t="str">
            <v>Nấm linh chi nâu (kg)</v>
          </cell>
          <cell r="K157" t="str">
            <v>Kg</v>
          </cell>
        </row>
        <row r="158">
          <cell r="J158" t="str">
            <v>Ngò rí</v>
          </cell>
          <cell r="K158" t="str">
            <v>Kg</v>
          </cell>
        </row>
        <row r="159">
          <cell r="J159" t="str">
            <v>Ngò tây</v>
          </cell>
          <cell r="K159" t="str">
            <v>Kg</v>
          </cell>
        </row>
        <row r="160">
          <cell r="J160" t="str">
            <v>Ớt hiểm đỏ</v>
          </cell>
          <cell r="K160" t="str">
            <v>Kg</v>
          </cell>
        </row>
        <row r="161">
          <cell r="J161" t="str">
            <v>Ớt sừng đỏ</v>
          </cell>
          <cell r="K161" t="str">
            <v>Kg</v>
          </cell>
        </row>
        <row r="162">
          <cell r="J162" t="str">
            <v>Sả cây</v>
          </cell>
          <cell r="K162" t="str">
            <v>Kg</v>
          </cell>
        </row>
        <row r="163">
          <cell r="J163" t="str">
            <v>Tắc trái</v>
          </cell>
          <cell r="K163" t="str">
            <v>Kg</v>
          </cell>
        </row>
        <row r="164">
          <cell r="J164" t="str">
            <v>Thì là</v>
          </cell>
          <cell r="K164" t="str">
            <v>Kg</v>
          </cell>
        </row>
        <row r="165">
          <cell r="J165" t="str">
            <v>Tỏi lột</v>
          </cell>
          <cell r="K165" t="str">
            <v>Kg</v>
          </cell>
        </row>
        <row r="166">
          <cell r="J166" t="str">
            <v>Trứng vịt muối</v>
          </cell>
          <cell r="K166" t="str">
            <v>Quả</v>
          </cell>
        </row>
        <row r="167">
          <cell r="J167" t="str">
            <v>Xà lách romain</v>
          </cell>
          <cell r="K167" t="str">
            <v>Kg</v>
          </cell>
        </row>
        <row r="168">
          <cell r="J168" t="str">
            <v>Chanh không hạt</v>
          </cell>
          <cell r="K168" t="str">
            <v>Kg</v>
          </cell>
        </row>
        <row r="169">
          <cell r="J169" t="str">
            <v>Tắc trái</v>
          </cell>
          <cell r="K169" t="str">
            <v>Kg</v>
          </cell>
        </row>
        <row r="170">
          <cell r="J170" t="str">
            <v>Dưa hấu</v>
          </cell>
          <cell r="K170" t="str">
            <v>Kg</v>
          </cell>
        </row>
        <row r="171">
          <cell r="J171" t="str">
            <v>Rau má nhỏ</v>
          </cell>
          <cell r="K171" t="str">
            <v>Kg</v>
          </cell>
        </row>
        <row r="172">
          <cell r="J172" t="str">
            <v>Xà lách Rocket</v>
          </cell>
          <cell r="K172" t="str">
            <v>Kg</v>
          </cell>
        </row>
        <row r="173">
          <cell r="J173" t="str">
            <v>Bánh ướt</v>
          </cell>
          <cell r="K173" t="str">
            <v>Kg</v>
          </cell>
        </row>
        <row r="174">
          <cell r="J174" t="str">
            <v>Nấm mối đen</v>
          </cell>
          <cell r="K174" t="str">
            <v>Kg</v>
          </cell>
        </row>
        <row r="175">
          <cell r="J175" t="str">
            <v>Bắp cải trắng</v>
          </cell>
          <cell r="K175" t="str">
            <v>Kg</v>
          </cell>
        </row>
        <row r="176">
          <cell r="J176" t="str">
            <v>Bắp mỹ trái (Loại 1)</v>
          </cell>
          <cell r="K176" t="str">
            <v>Trái</v>
          </cell>
        </row>
        <row r="177">
          <cell r="J177" t="str">
            <v>Bí đỏ hồ lô</v>
          </cell>
          <cell r="K177" t="str">
            <v>Kg</v>
          </cell>
        </row>
        <row r="178">
          <cell r="J178" t="str">
            <v>Bí ngòi xanh</v>
          </cell>
          <cell r="K178" t="str">
            <v>Kg</v>
          </cell>
        </row>
        <row r="179">
          <cell r="J179" t="str">
            <v>Cải Hongkong(Cai ngong)</v>
          </cell>
          <cell r="K179" t="str">
            <v>Kg</v>
          </cell>
        </row>
        <row r="180">
          <cell r="J180" t="str">
            <v>Cần tàu</v>
          </cell>
          <cell r="K180" t="str">
            <v>Kg</v>
          </cell>
        </row>
        <row r="181">
          <cell r="J181" t="str">
            <v>Cần tây</v>
          </cell>
          <cell r="K181" t="str">
            <v>Kg</v>
          </cell>
        </row>
        <row r="182">
          <cell r="J182" t="str">
            <v>Củ Gừng</v>
          </cell>
          <cell r="K182" t="str">
            <v>Kg</v>
          </cell>
        </row>
        <row r="183">
          <cell r="J183" t="str">
            <v>Đậu bắp</v>
          </cell>
          <cell r="K183" t="str">
            <v>Kg</v>
          </cell>
        </row>
        <row r="184">
          <cell r="J184" t="str">
            <v>Hành lá</v>
          </cell>
          <cell r="K184" t="str">
            <v>Kg</v>
          </cell>
        </row>
        <row r="185">
          <cell r="J185" t="str">
            <v>Hành Paro</v>
          </cell>
          <cell r="K185" t="str">
            <v>Kg</v>
          </cell>
        </row>
        <row r="186">
          <cell r="J186" t="str">
            <v>Hành tím bắc lột</v>
          </cell>
          <cell r="K186" t="str">
            <v>Kg</v>
          </cell>
        </row>
        <row r="187">
          <cell r="J187" t="str">
            <v>Khoai lang nhật</v>
          </cell>
          <cell r="K187" t="str">
            <v>Kg</v>
          </cell>
        </row>
        <row r="188">
          <cell r="J188" t="str">
            <v>Mướp hương</v>
          </cell>
          <cell r="K188" t="str">
            <v>Kg</v>
          </cell>
        </row>
        <row r="189">
          <cell r="J189" t="str">
            <v>Nấm bào ngư trắng</v>
          </cell>
          <cell r="K189" t="str">
            <v>Kg</v>
          </cell>
        </row>
        <row r="190">
          <cell r="J190" t="str">
            <v>Nấm đông cô tươi</v>
          </cell>
          <cell r="K190" t="str">
            <v>Kg</v>
          </cell>
        </row>
        <row r="191">
          <cell r="J191" t="str">
            <v>Nấm đùi gà baby</v>
          </cell>
          <cell r="K191" t="str">
            <v>Kg</v>
          </cell>
        </row>
        <row r="192">
          <cell r="J192" t="str">
            <v>Nấm hải sản (kg)</v>
          </cell>
          <cell r="K192" t="str">
            <v>Kg</v>
          </cell>
        </row>
        <row r="193">
          <cell r="J193" t="str">
            <v>Nấm kim châm tươi</v>
          </cell>
          <cell r="K193" t="str">
            <v>Kg</v>
          </cell>
        </row>
        <row r="194">
          <cell r="J194" t="str">
            <v>Nấm linh chi nâu (kg)</v>
          </cell>
          <cell r="K194" t="str">
            <v>Kg</v>
          </cell>
        </row>
        <row r="195">
          <cell r="J195" t="str">
            <v>Nấm mỡ nâu</v>
          </cell>
          <cell r="K195" t="str">
            <v>Kg</v>
          </cell>
        </row>
        <row r="196">
          <cell r="J196" t="str">
            <v>Nấm mối đen</v>
          </cell>
          <cell r="K196" t="str">
            <v>Kg</v>
          </cell>
        </row>
        <row r="197">
          <cell r="J197" t="str">
            <v>Ớt hiểm xanh</v>
          </cell>
          <cell r="K197" t="str">
            <v>Kg</v>
          </cell>
        </row>
        <row r="198">
          <cell r="J198" t="str">
            <v>Rau răm</v>
          </cell>
          <cell r="K198" t="str">
            <v>Kg</v>
          </cell>
        </row>
        <row r="199">
          <cell r="J199" t="str">
            <v>Tắc trái</v>
          </cell>
          <cell r="K199" t="str">
            <v>Kg</v>
          </cell>
        </row>
        <row r="200">
          <cell r="J200" t="str">
            <v>Thì là</v>
          </cell>
          <cell r="K200" t="str">
            <v>Kg</v>
          </cell>
        </row>
        <row r="201">
          <cell r="J201" t="str">
            <v>Tỏi lột</v>
          </cell>
          <cell r="K201" t="str">
            <v>Kg</v>
          </cell>
        </row>
        <row r="202">
          <cell r="J202" t="str">
            <v>Trứng vịt muối</v>
          </cell>
          <cell r="K202" t="str">
            <v>Quả</v>
          </cell>
        </row>
        <row r="203">
          <cell r="J203" t="str">
            <v>Xà lách romain</v>
          </cell>
          <cell r="K203" t="str">
            <v>Kg</v>
          </cell>
        </row>
        <row r="204">
          <cell r="J204" t="str">
            <v>Cam vàng</v>
          </cell>
          <cell r="K204" t="str">
            <v>Kg</v>
          </cell>
        </row>
        <row r="205">
          <cell r="J205" t="str">
            <v>Chanh Dây</v>
          </cell>
          <cell r="K205" t="str">
            <v>Kg</v>
          </cell>
        </row>
        <row r="206">
          <cell r="J206" t="str">
            <v>Chanh không hạt</v>
          </cell>
          <cell r="K206" t="str">
            <v>Kg</v>
          </cell>
        </row>
        <row r="207">
          <cell r="J207" t="str">
            <v>Chanh vàng</v>
          </cell>
          <cell r="K207" t="str">
            <v>Kg</v>
          </cell>
        </row>
        <row r="208">
          <cell r="J208" t="str">
            <v>Dưa hấu</v>
          </cell>
          <cell r="K208" t="str">
            <v>Kg</v>
          </cell>
        </row>
        <row r="209">
          <cell r="J209" t="str">
            <v>Húng lũi</v>
          </cell>
          <cell r="K209" t="str">
            <v>Kg</v>
          </cell>
        </row>
        <row r="210">
          <cell r="J210" t="str">
            <v>Rau má nhỏ</v>
          </cell>
          <cell r="K210" t="str">
            <v>Kg</v>
          </cell>
        </row>
        <row r="211">
          <cell r="J211" t="str">
            <v>Tắc trái</v>
          </cell>
          <cell r="K211" t="str">
            <v>Kg</v>
          </cell>
        </row>
        <row r="212">
          <cell r="J212" t="str">
            <v>Củ Gừng</v>
          </cell>
          <cell r="K212" t="str">
            <v>Kg</v>
          </cell>
        </row>
        <row r="213">
          <cell r="J213" t="str">
            <v>Bánh ướt</v>
          </cell>
          <cell r="K213" t="str">
            <v>Kg</v>
          </cell>
        </row>
        <row r="214">
          <cell r="J214" t="str">
            <v>Bắp cải trắng</v>
          </cell>
          <cell r="K214" t="str">
            <v>Kg</v>
          </cell>
        </row>
        <row r="215">
          <cell r="J215" t="str">
            <v>Bắp mỹ trái (Loại 1)</v>
          </cell>
          <cell r="K215" t="str">
            <v>Trái</v>
          </cell>
        </row>
        <row r="216">
          <cell r="J216" t="str">
            <v>Bí đỏ hồ lô</v>
          </cell>
          <cell r="K216" t="str">
            <v>Kg</v>
          </cell>
        </row>
        <row r="217">
          <cell r="J217" t="str">
            <v>Bí ngòi xanh</v>
          </cell>
          <cell r="K217" t="str">
            <v>Kg</v>
          </cell>
        </row>
        <row r="218">
          <cell r="J218" t="str">
            <v>Cà rốt baby</v>
          </cell>
          <cell r="K218" t="str">
            <v>Kg</v>
          </cell>
        </row>
        <row r="219">
          <cell r="J219" t="str">
            <v>Cần tây</v>
          </cell>
          <cell r="K219" t="str">
            <v>Kg</v>
          </cell>
        </row>
        <row r="220">
          <cell r="J220" t="str">
            <v>Củ Gừng</v>
          </cell>
          <cell r="K220" t="str">
            <v>Kg</v>
          </cell>
        </row>
        <row r="221">
          <cell r="J221" t="str">
            <v>Củ riềng</v>
          </cell>
          <cell r="K221" t="str">
            <v>Kg</v>
          </cell>
        </row>
        <row r="222">
          <cell r="J222" t="str">
            <v>Đậu bắp</v>
          </cell>
          <cell r="K222" t="str">
            <v>Kg</v>
          </cell>
        </row>
        <row r="223">
          <cell r="J223" t="str">
            <v>Lá chanh</v>
          </cell>
          <cell r="K223" t="str">
            <v>Kg</v>
          </cell>
        </row>
        <row r="224">
          <cell r="J224" t="str">
            <v>Mướp hương</v>
          </cell>
          <cell r="K224" t="str">
            <v>Kg</v>
          </cell>
        </row>
        <row r="225">
          <cell r="J225" t="str">
            <v>Nấm đông cô tươi</v>
          </cell>
          <cell r="K225" t="str">
            <v>Kg</v>
          </cell>
        </row>
        <row r="226">
          <cell r="J226" t="str">
            <v>Nấm đùi gà baby</v>
          </cell>
          <cell r="K226" t="str">
            <v>Kg</v>
          </cell>
        </row>
        <row r="227">
          <cell r="J227" t="str">
            <v>Nấm kim châm tươi</v>
          </cell>
          <cell r="K227" t="str">
            <v>Kg</v>
          </cell>
        </row>
        <row r="228">
          <cell r="J228" t="str">
            <v>Nấm linh chi nâu (kg)</v>
          </cell>
          <cell r="K228" t="str">
            <v>Kg</v>
          </cell>
        </row>
        <row r="229">
          <cell r="J229" t="str">
            <v>Nấm mỡ nâu</v>
          </cell>
          <cell r="K229" t="str">
            <v>Kg</v>
          </cell>
        </row>
        <row r="230">
          <cell r="J230" t="str">
            <v>Ngò tây</v>
          </cell>
          <cell r="K230" t="str">
            <v>Kg</v>
          </cell>
        </row>
        <row r="231">
          <cell r="J231" t="str">
            <v>Ớt hiểm đỏ</v>
          </cell>
          <cell r="K231" t="str">
            <v>Kg</v>
          </cell>
        </row>
        <row r="232">
          <cell r="J232" t="str">
            <v>Rau răm</v>
          </cell>
          <cell r="K232" t="str">
            <v>Kg</v>
          </cell>
        </row>
        <row r="233">
          <cell r="J233" t="str">
            <v>Sả cây</v>
          </cell>
          <cell r="K233" t="str">
            <v>Kg</v>
          </cell>
        </row>
        <row r="234">
          <cell r="J234" t="str">
            <v>Tắc trái</v>
          </cell>
          <cell r="K234" t="str">
            <v>Kg</v>
          </cell>
        </row>
        <row r="235">
          <cell r="J235" t="str">
            <v>Tỏi lột</v>
          </cell>
          <cell r="K235" t="str">
            <v>Kg</v>
          </cell>
        </row>
        <row r="236">
          <cell r="J236" t="str">
            <v>Trứng vịt muối</v>
          </cell>
          <cell r="K236" t="str">
            <v>Quả</v>
          </cell>
        </row>
        <row r="237">
          <cell r="J237" t="str">
            <v>Xà lách romain</v>
          </cell>
          <cell r="K237" t="str">
            <v>Kg</v>
          </cell>
        </row>
        <row r="238">
          <cell r="J238" t="str">
            <v>Chanh không hạt</v>
          </cell>
          <cell r="K238" t="str">
            <v>Kg</v>
          </cell>
        </row>
        <row r="239">
          <cell r="J239" t="str">
            <v>Dưa hấu</v>
          </cell>
          <cell r="K239" t="str">
            <v>Kg</v>
          </cell>
        </row>
        <row r="240">
          <cell r="J240" t="str">
            <v>Lá dứa</v>
          </cell>
          <cell r="K240" t="str">
            <v>Kg</v>
          </cell>
        </row>
        <row r="241">
          <cell r="J241" t="str">
            <v>Rau má nhỏ</v>
          </cell>
          <cell r="K241" t="str">
            <v>Kg</v>
          </cell>
        </row>
        <row r="242">
          <cell r="J242" t="str">
            <v>Bánh ướt</v>
          </cell>
          <cell r="K242" t="str">
            <v>Kg</v>
          </cell>
        </row>
        <row r="243">
          <cell r="J243" t="str">
            <v>Bắp cải trắng</v>
          </cell>
          <cell r="K243" t="str">
            <v>Kg</v>
          </cell>
        </row>
        <row r="244">
          <cell r="J244" t="str">
            <v>Bắp mỹ trái (Loại 1)</v>
          </cell>
          <cell r="K244" t="str">
            <v>Trái</v>
          </cell>
        </row>
        <row r="245">
          <cell r="J245" t="str">
            <v>Bí đỏ hồ lô</v>
          </cell>
          <cell r="K245" t="str">
            <v>Kg</v>
          </cell>
        </row>
        <row r="246">
          <cell r="J246" t="str">
            <v>Bí ngòi xanh</v>
          </cell>
          <cell r="K246" t="str">
            <v>Kg</v>
          </cell>
        </row>
        <row r="247">
          <cell r="J247" t="str">
            <v>Cải Hongkong(Cai ngong)</v>
          </cell>
          <cell r="K247" t="str">
            <v>Kg</v>
          </cell>
        </row>
        <row r="248">
          <cell r="J248" t="str">
            <v>Cần tây</v>
          </cell>
          <cell r="K248" t="str">
            <v>Kg</v>
          </cell>
        </row>
        <row r="249">
          <cell r="J249" t="str">
            <v>Đậu bắp</v>
          </cell>
          <cell r="K249" t="str">
            <v>Kg</v>
          </cell>
        </row>
        <row r="250">
          <cell r="J250" t="str">
            <v>Hành lá</v>
          </cell>
          <cell r="K250" t="str">
            <v>Kg</v>
          </cell>
        </row>
        <row r="251">
          <cell r="J251" t="str">
            <v>Mướp hương</v>
          </cell>
          <cell r="K251" t="str">
            <v>Kg</v>
          </cell>
        </row>
        <row r="252">
          <cell r="J252" t="str">
            <v>Nấm đùi gà</v>
          </cell>
          <cell r="K252" t="str">
            <v>Kg</v>
          </cell>
        </row>
        <row r="253">
          <cell r="J253" t="str">
            <v>Ngò rí</v>
          </cell>
          <cell r="K253" t="str">
            <v>Kg</v>
          </cell>
        </row>
        <row r="254">
          <cell r="J254" t="str">
            <v>Rau răm</v>
          </cell>
          <cell r="K254" t="str">
            <v>Kg</v>
          </cell>
        </row>
        <row r="255">
          <cell r="J255" t="str">
            <v>Tỏi lột</v>
          </cell>
          <cell r="K255" t="str">
            <v>Kg</v>
          </cell>
        </row>
        <row r="256">
          <cell r="J256" t="str">
            <v>Xà lách romain</v>
          </cell>
          <cell r="K256" t="str">
            <v>Kg</v>
          </cell>
        </row>
        <row r="257">
          <cell r="J257" t="str">
            <v>Chanh không hạt</v>
          </cell>
          <cell r="K257" t="str">
            <v>Kg</v>
          </cell>
        </row>
        <row r="258">
          <cell r="J258" t="str">
            <v>Dưa hấu</v>
          </cell>
          <cell r="K258" t="str">
            <v>Kg</v>
          </cell>
        </row>
        <row r="259">
          <cell r="J259" t="str">
            <v>Húng lũi</v>
          </cell>
          <cell r="K259" t="str">
            <v>Kg</v>
          </cell>
        </row>
        <row r="260">
          <cell r="J260" t="str">
            <v>Lá dứa</v>
          </cell>
          <cell r="K260" t="str">
            <v>Kg</v>
          </cell>
        </row>
        <row r="261">
          <cell r="J261" t="str">
            <v>Rau má nhỏ</v>
          </cell>
          <cell r="K261" t="str">
            <v>Kg</v>
          </cell>
        </row>
        <row r="262">
          <cell r="J262" t="str">
            <v>Bánh ướt</v>
          </cell>
          <cell r="K262" t="str">
            <v>Kg</v>
          </cell>
        </row>
        <row r="263">
          <cell r="J263" t="str">
            <v>Bắp cải trắng</v>
          </cell>
          <cell r="K263" t="str">
            <v>Kg</v>
          </cell>
        </row>
        <row r="264">
          <cell r="J264" t="str">
            <v>Bắp mỹ trái (Loại 1)</v>
          </cell>
          <cell r="K264" t="str">
            <v>Trái</v>
          </cell>
        </row>
        <row r="265">
          <cell r="J265" t="str">
            <v>Bí ngòi xanh</v>
          </cell>
          <cell r="K265" t="str">
            <v>Kg</v>
          </cell>
        </row>
        <row r="266">
          <cell r="J266" t="str">
            <v>Củ riềng</v>
          </cell>
          <cell r="K266" t="str">
            <v>Kg</v>
          </cell>
        </row>
        <row r="267">
          <cell r="J267" t="str">
            <v>Nấm đông cô tươi</v>
          </cell>
          <cell r="K267" t="str">
            <v>Kg</v>
          </cell>
        </row>
        <row r="268">
          <cell r="J268" t="str">
            <v>Nấm kim châm tươi</v>
          </cell>
          <cell r="K268" t="str">
            <v>Kg</v>
          </cell>
        </row>
        <row r="269">
          <cell r="J269" t="str">
            <v>Ngò tây</v>
          </cell>
          <cell r="K269" t="str">
            <v>Kg</v>
          </cell>
        </row>
        <row r="270">
          <cell r="J270" t="str">
            <v>Tắc trái</v>
          </cell>
          <cell r="K270" t="str">
            <v>Kg</v>
          </cell>
        </row>
        <row r="271">
          <cell r="J271" t="str">
            <v>Tỏi lột</v>
          </cell>
          <cell r="K271" t="str">
            <v>Kg</v>
          </cell>
        </row>
        <row r="272">
          <cell r="J272" t="str">
            <v>Trứng vịt muối</v>
          </cell>
          <cell r="K272" t="str">
            <v>Quả</v>
          </cell>
        </row>
        <row r="273">
          <cell r="J273" t="str">
            <v>Xà lách romain</v>
          </cell>
          <cell r="K273" t="str">
            <v>Kg</v>
          </cell>
        </row>
        <row r="274">
          <cell r="J274" t="str">
            <v>Chanh không hạt</v>
          </cell>
          <cell r="K274" t="str">
            <v>Kg</v>
          </cell>
        </row>
        <row r="275">
          <cell r="J275" t="str">
            <v>Dưa hấu</v>
          </cell>
          <cell r="K275" t="str">
            <v>Kg</v>
          </cell>
        </row>
        <row r="276">
          <cell r="J276" t="str">
            <v>Bánh ướt</v>
          </cell>
          <cell r="K276" t="str">
            <v>Kg</v>
          </cell>
        </row>
        <row r="277">
          <cell r="J277" t="str">
            <v>Bắp cải trắng</v>
          </cell>
          <cell r="K277" t="str">
            <v>Kg</v>
          </cell>
        </row>
        <row r="278">
          <cell r="J278" t="str">
            <v>Bắp mỹ trái (Loại 1)</v>
          </cell>
          <cell r="K278" t="str">
            <v>Trái</v>
          </cell>
        </row>
        <row r="279">
          <cell r="J279" t="str">
            <v>Bí đỏ hồ lô</v>
          </cell>
          <cell r="K279" t="str">
            <v>Kg</v>
          </cell>
        </row>
        <row r="280">
          <cell r="J280" t="str">
            <v>Bí ngòi xanh</v>
          </cell>
          <cell r="K280" t="str">
            <v>Kg</v>
          </cell>
        </row>
        <row r="281">
          <cell r="J281" t="str">
            <v>Cải Hongkong(Cai ngong)</v>
          </cell>
          <cell r="K281" t="str">
            <v>Kg</v>
          </cell>
        </row>
        <row r="282">
          <cell r="J282" t="str">
            <v>Cần tây</v>
          </cell>
          <cell r="K282" t="str">
            <v>Kg</v>
          </cell>
        </row>
        <row r="283">
          <cell r="J283" t="str">
            <v>Đậu bắp</v>
          </cell>
          <cell r="K283" t="str">
            <v>Kg</v>
          </cell>
        </row>
        <row r="284">
          <cell r="J284" t="str">
            <v>Đậu hủ trứng CP 220gr</v>
          </cell>
          <cell r="K284" t="str">
            <v>Cây</v>
          </cell>
        </row>
        <row r="285">
          <cell r="J285" t="str">
            <v>Hành lá</v>
          </cell>
          <cell r="K285" t="str">
            <v>Kg</v>
          </cell>
        </row>
        <row r="286">
          <cell r="J286" t="str">
            <v>Khoai lang nhật</v>
          </cell>
          <cell r="K286" t="str">
            <v>Kg</v>
          </cell>
        </row>
        <row r="287">
          <cell r="J287" t="str">
            <v>Mướp hương</v>
          </cell>
          <cell r="K287" t="str">
            <v>Kg</v>
          </cell>
        </row>
        <row r="288">
          <cell r="J288" t="str">
            <v>Nấm bào ngư trắng</v>
          </cell>
          <cell r="K288" t="str">
            <v>Kg</v>
          </cell>
        </row>
        <row r="289">
          <cell r="J289" t="str">
            <v>Nấm đông cô tươi</v>
          </cell>
          <cell r="K289" t="str">
            <v>Kg</v>
          </cell>
        </row>
        <row r="290">
          <cell r="J290" t="str">
            <v>Nấm đùi gà</v>
          </cell>
          <cell r="K290" t="str">
            <v>Kg</v>
          </cell>
        </row>
        <row r="291">
          <cell r="J291" t="str">
            <v>Nấm đùi gà baby</v>
          </cell>
          <cell r="K291" t="str">
            <v>Kg</v>
          </cell>
        </row>
        <row r="292">
          <cell r="J292" t="str">
            <v>Nấm kim châm tươi</v>
          </cell>
          <cell r="K292" t="str">
            <v>Kg</v>
          </cell>
        </row>
        <row r="293">
          <cell r="J293" t="str">
            <v>Nấm mối đen</v>
          </cell>
          <cell r="K293" t="str">
            <v>Kg</v>
          </cell>
        </row>
        <row r="294">
          <cell r="J294" t="str">
            <v>Ngò rí</v>
          </cell>
          <cell r="K294" t="str">
            <v>Kg</v>
          </cell>
        </row>
        <row r="295">
          <cell r="J295" t="str">
            <v>Ớt sừng đỏ</v>
          </cell>
          <cell r="K295" t="str">
            <v>Kg</v>
          </cell>
        </row>
        <row r="296">
          <cell r="J296" t="str">
            <v>Rau răm</v>
          </cell>
          <cell r="K296" t="str">
            <v>Kg</v>
          </cell>
        </row>
        <row r="297">
          <cell r="J297" t="str">
            <v>Sả cây</v>
          </cell>
          <cell r="K297" t="str">
            <v>Kg</v>
          </cell>
        </row>
        <row r="298">
          <cell r="J298" t="str">
            <v>Trứng vịt muối</v>
          </cell>
          <cell r="K298" t="str">
            <v>Quả</v>
          </cell>
        </row>
        <row r="299">
          <cell r="J299" t="str">
            <v>Xà lách romain</v>
          </cell>
          <cell r="K299" t="str">
            <v>Kg</v>
          </cell>
        </row>
        <row r="300">
          <cell r="J300" t="str">
            <v>Dưa hấu</v>
          </cell>
          <cell r="K300" t="str">
            <v>Kg</v>
          </cell>
        </row>
        <row r="301">
          <cell r="J301" t="str">
            <v>Bánh ướt</v>
          </cell>
          <cell r="K301" t="str">
            <v>Kg</v>
          </cell>
        </row>
        <row r="302">
          <cell r="J302" t="str">
            <v>Bắp cải trắng</v>
          </cell>
          <cell r="K302" t="str">
            <v>Kg</v>
          </cell>
        </row>
        <row r="303">
          <cell r="J303" t="str">
            <v>Bắp mỹ trái (Loại 1)</v>
          </cell>
          <cell r="K303" t="str">
            <v>Trái</v>
          </cell>
        </row>
        <row r="304">
          <cell r="J304" t="str">
            <v>Bí đỏ hồ lô</v>
          </cell>
          <cell r="K304" t="str">
            <v>Kg</v>
          </cell>
        </row>
        <row r="305">
          <cell r="J305" t="str">
            <v>Bí ngòi xanh</v>
          </cell>
          <cell r="K305" t="str">
            <v>Kg</v>
          </cell>
        </row>
        <row r="306">
          <cell r="J306" t="str">
            <v>Cải Hongkong(Cai ngong)</v>
          </cell>
          <cell r="K306" t="str">
            <v>Kg</v>
          </cell>
        </row>
        <row r="307">
          <cell r="J307" t="str">
            <v>Cần tàu</v>
          </cell>
          <cell r="K307" t="str">
            <v>Kg</v>
          </cell>
        </row>
        <row r="308">
          <cell r="J308" t="str">
            <v>Cần tây</v>
          </cell>
          <cell r="K308" t="str">
            <v>Kg</v>
          </cell>
        </row>
        <row r="309">
          <cell r="J309" t="str">
            <v>Củ sen</v>
          </cell>
          <cell r="K309" t="str">
            <v>Kg</v>
          </cell>
        </row>
        <row r="310">
          <cell r="J310" t="str">
            <v>Đậu bắp</v>
          </cell>
          <cell r="K310" t="str">
            <v>Kg</v>
          </cell>
        </row>
        <row r="311">
          <cell r="J311" t="str">
            <v>Hành lá</v>
          </cell>
          <cell r="K311" t="str">
            <v>Kg</v>
          </cell>
        </row>
        <row r="312">
          <cell r="J312" t="str">
            <v>Mướp hương</v>
          </cell>
          <cell r="K312" t="str">
            <v>Kg</v>
          </cell>
        </row>
        <row r="313">
          <cell r="J313" t="str">
            <v>Nấm bào ngư trắng</v>
          </cell>
          <cell r="K313" t="str">
            <v>Kg</v>
          </cell>
        </row>
        <row r="314">
          <cell r="J314" t="str">
            <v>Nấm đông cô tươi</v>
          </cell>
          <cell r="K314" t="str">
            <v>Kg</v>
          </cell>
        </row>
        <row r="315">
          <cell r="J315" t="str">
            <v>Nấm đùi gà</v>
          </cell>
          <cell r="K315" t="str">
            <v>Kg</v>
          </cell>
        </row>
        <row r="316">
          <cell r="J316" t="str">
            <v>Nấm kim châm tươi</v>
          </cell>
          <cell r="K316" t="str">
            <v>Kg</v>
          </cell>
        </row>
        <row r="317">
          <cell r="J317" t="str">
            <v>Ngò rí</v>
          </cell>
          <cell r="K317" t="str">
            <v>Kg</v>
          </cell>
        </row>
        <row r="318">
          <cell r="J318" t="str">
            <v>Ngò tây</v>
          </cell>
          <cell r="K318" t="str">
            <v>Kg</v>
          </cell>
        </row>
        <row r="319">
          <cell r="J319" t="str">
            <v>Ớt hiểm đỏ</v>
          </cell>
          <cell r="K319" t="str">
            <v>Kg</v>
          </cell>
        </row>
        <row r="320">
          <cell r="J320" t="str">
            <v>Ớt sừng đỏ</v>
          </cell>
          <cell r="K320" t="str">
            <v>Kg</v>
          </cell>
        </row>
        <row r="321">
          <cell r="J321" t="str">
            <v>Tắc trái</v>
          </cell>
          <cell r="K321" t="str">
            <v>Kg</v>
          </cell>
        </row>
        <row r="322">
          <cell r="J322" t="str">
            <v>Thì là</v>
          </cell>
          <cell r="K322" t="str">
            <v>Kg</v>
          </cell>
        </row>
        <row r="323">
          <cell r="J323" t="str">
            <v>Tỏi lột</v>
          </cell>
          <cell r="K323" t="str">
            <v>Kg</v>
          </cell>
        </row>
        <row r="324">
          <cell r="J324" t="str">
            <v>Xà lách romain</v>
          </cell>
          <cell r="K324" t="str">
            <v>Kg</v>
          </cell>
        </row>
        <row r="325">
          <cell r="J325" t="str">
            <v>Dưa hấu</v>
          </cell>
          <cell r="K325" t="str">
            <v>Kg</v>
          </cell>
        </row>
        <row r="326">
          <cell r="J326" t="str">
            <v>Húng lũi</v>
          </cell>
          <cell r="K326" t="str">
            <v>Kg</v>
          </cell>
        </row>
        <row r="327">
          <cell r="J327" t="str">
            <v>Cải Hongkong(Cai ngong)</v>
          </cell>
          <cell r="K327" t="str">
            <v>Kg</v>
          </cell>
        </row>
        <row r="328">
          <cell r="J328" t="str">
            <v>Bánh ướt</v>
          </cell>
          <cell r="K328" t="str">
            <v>Kg</v>
          </cell>
        </row>
        <row r="329">
          <cell r="J329" t="str">
            <v>Bánh ướt</v>
          </cell>
          <cell r="K329" t="str">
            <v>Kg</v>
          </cell>
        </row>
        <row r="330">
          <cell r="J330" t="str">
            <v>Bắp cải trắng</v>
          </cell>
          <cell r="K330" t="str">
            <v>Kg</v>
          </cell>
        </row>
        <row r="331">
          <cell r="J331" t="str">
            <v>Bắp mỹ trái (Loại 1)</v>
          </cell>
          <cell r="K331" t="str">
            <v>Trái</v>
          </cell>
        </row>
        <row r="332">
          <cell r="J332" t="str">
            <v>Bí đỏ hồ lô</v>
          </cell>
          <cell r="K332" t="str">
            <v>Kg</v>
          </cell>
        </row>
        <row r="333">
          <cell r="J333" t="str">
            <v>Bí ngòi xanh</v>
          </cell>
          <cell r="K333" t="str">
            <v>Kg</v>
          </cell>
        </row>
        <row r="334">
          <cell r="J334" t="str">
            <v>Cà rốt baby</v>
          </cell>
          <cell r="K334" t="str">
            <v>Kg</v>
          </cell>
        </row>
        <row r="335">
          <cell r="J335" t="str">
            <v>Cải Hongkong(Cai ngong)</v>
          </cell>
          <cell r="K335" t="str">
            <v>Kg</v>
          </cell>
        </row>
        <row r="336">
          <cell r="J336" t="str">
            <v>Cần tàu</v>
          </cell>
          <cell r="K336" t="str">
            <v>Kg</v>
          </cell>
        </row>
        <row r="337">
          <cell r="J337" t="str">
            <v>Cần tây</v>
          </cell>
          <cell r="K337" t="str">
            <v>Kg</v>
          </cell>
        </row>
        <row r="338">
          <cell r="J338" t="str">
            <v>Củ riềng</v>
          </cell>
          <cell r="K338" t="str">
            <v>Kg</v>
          </cell>
        </row>
        <row r="339">
          <cell r="J339" t="str">
            <v>Củ sen</v>
          </cell>
          <cell r="K339" t="str">
            <v>Kg</v>
          </cell>
        </row>
        <row r="340">
          <cell r="J340" t="str">
            <v>Đậu bắp</v>
          </cell>
          <cell r="K340" t="str">
            <v>Kg</v>
          </cell>
        </row>
        <row r="341">
          <cell r="J341" t="str">
            <v>Hành lá</v>
          </cell>
          <cell r="K341" t="str">
            <v>Kg</v>
          </cell>
        </row>
        <row r="342">
          <cell r="J342" t="str">
            <v>Khoai lang nhật</v>
          </cell>
          <cell r="K342" t="str">
            <v>Kg</v>
          </cell>
        </row>
        <row r="343">
          <cell r="J343" t="str">
            <v>Lá chanh</v>
          </cell>
          <cell r="K343" t="str">
            <v>Kg</v>
          </cell>
        </row>
        <row r="344">
          <cell r="J344" t="str">
            <v>Mướp hương</v>
          </cell>
          <cell r="K344" t="str">
            <v>Kg</v>
          </cell>
        </row>
        <row r="345">
          <cell r="J345" t="str">
            <v>Nấm đông cô tươi</v>
          </cell>
          <cell r="K345" t="str">
            <v>Kg</v>
          </cell>
        </row>
        <row r="346">
          <cell r="J346" t="str">
            <v>Nấm đùi gà</v>
          </cell>
          <cell r="K346" t="str">
            <v>Kg</v>
          </cell>
        </row>
        <row r="347">
          <cell r="J347" t="str">
            <v>Nấm đùi gà baby</v>
          </cell>
          <cell r="K347" t="str">
            <v>Kg</v>
          </cell>
        </row>
        <row r="348">
          <cell r="J348" t="str">
            <v>Nấm hải sản (kg)</v>
          </cell>
          <cell r="K348" t="str">
            <v>Kg</v>
          </cell>
        </row>
        <row r="349">
          <cell r="J349" t="str">
            <v>Nấm kim châm tươi</v>
          </cell>
          <cell r="K349" t="str">
            <v>Kg</v>
          </cell>
        </row>
        <row r="350">
          <cell r="J350" t="str">
            <v>Nấm linh chi nâu (kg)</v>
          </cell>
          <cell r="K350" t="str">
            <v>Kg</v>
          </cell>
        </row>
        <row r="351">
          <cell r="J351" t="str">
            <v>Nấm mỡ nâu</v>
          </cell>
          <cell r="K351" t="str">
            <v>Kg</v>
          </cell>
        </row>
        <row r="352">
          <cell r="J352" t="str">
            <v>Ngò rí</v>
          </cell>
          <cell r="K352" t="str">
            <v>Kg</v>
          </cell>
        </row>
        <row r="353">
          <cell r="J353" t="str">
            <v>Ngò tây</v>
          </cell>
          <cell r="K353" t="str">
            <v>Kg</v>
          </cell>
        </row>
        <row r="354">
          <cell r="J354" t="str">
            <v>Ớt hiểm đỏ</v>
          </cell>
          <cell r="K354" t="str">
            <v>Kg</v>
          </cell>
        </row>
        <row r="355">
          <cell r="J355" t="str">
            <v>Ớt sừng đỏ</v>
          </cell>
          <cell r="K355" t="str">
            <v>Kg</v>
          </cell>
        </row>
        <row r="356">
          <cell r="J356" t="str">
            <v>Rau răm</v>
          </cell>
          <cell r="K356" t="str">
            <v>Kg</v>
          </cell>
        </row>
        <row r="357">
          <cell r="J357" t="str">
            <v>Sả cây</v>
          </cell>
          <cell r="K357" t="str">
            <v>Kg</v>
          </cell>
        </row>
        <row r="358">
          <cell r="J358" t="str">
            <v>Tắc trái</v>
          </cell>
          <cell r="K358" t="str">
            <v>Kg</v>
          </cell>
        </row>
        <row r="359">
          <cell r="J359" t="str">
            <v>Tỏi lột</v>
          </cell>
          <cell r="K359" t="str">
            <v>Kg</v>
          </cell>
        </row>
        <row r="360">
          <cell r="J360" t="str">
            <v>Trứng vịt muối</v>
          </cell>
          <cell r="K360" t="str">
            <v>Quả</v>
          </cell>
        </row>
        <row r="361">
          <cell r="J361" t="str">
            <v>Xà lách romain</v>
          </cell>
          <cell r="K361" t="str">
            <v>Kg</v>
          </cell>
        </row>
        <row r="362">
          <cell r="J362" t="str">
            <v>Chanh không hạt</v>
          </cell>
          <cell r="K362" t="str">
            <v>Kg</v>
          </cell>
        </row>
        <row r="363">
          <cell r="J363" t="str">
            <v>Dưa hấu</v>
          </cell>
          <cell r="K363" t="str">
            <v>Kg</v>
          </cell>
        </row>
        <row r="364">
          <cell r="J364" t="str">
            <v>Rau má nhỏ</v>
          </cell>
          <cell r="K364" t="str">
            <v>Kg</v>
          </cell>
        </row>
        <row r="365">
          <cell r="J365" t="str">
            <v>Xà lách Rocket</v>
          </cell>
          <cell r="K365" t="str">
            <v>Kg</v>
          </cell>
        </row>
        <row r="366">
          <cell r="J366" t="str">
            <v>Bí ngòi xanh</v>
          </cell>
          <cell r="K366" t="str">
            <v>Kg</v>
          </cell>
        </row>
        <row r="367">
          <cell r="J367" t="str">
            <v>Bông cải xanh</v>
          </cell>
          <cell r="K367" t="str">
            <v>Kg</v>
          </cell>
        </row>
        <row r="368">
          <cell r="J368" t="str">
            <v>Cà rốt baby</v>
          </cell>
          <cell r="K368" t="str">
            <v>Kg</v>
          </cell>
        </row>
        <row r="369">
          <cell r="J369" t="str">
            <v>Cần tây</v>
          </cell>
          <cell r="K369" t="str">
            <v>Kg</v>
          </cell>
        </row>
        <row r="370">
          <cell r="J370" t="str">
            <v>Khoai lang nhật</v>
          </cell>
          <cell r="K370" t="str">
            <v>Kg</v>
          </cell>
        </row>
        <row r="371">
          <cell r="J371" t="str">
            <v>Ớt sừng đỏ</v>
          </cell>
          <cell r="K371" t="str">
            <v>Kg</v>
          </cell>
        </row>
        <row r="372">
          <cell r="J372" t="str">
            <v>Sả cây</v>
          </cell>
          <cell r="K372" t="str">
            <v>Kg</v>
          </cell>
        </row>
        <row r="373">
          <cell r="J373" t="str">
            <v>Tỏi lột</v>
          </cell>
          <cell r="K373" t="str">
            <v>Kg</v>
          </cell>
        </row>
        <row r="374">
          <cell r="J374" t="str">
            <v>Xà lách romain</v>
          </cell>
          <cell r="K374" t="str">
            <v>Kg</v>
          </cell>
        </row>
        <row r="375">
          <cell r="J375" t="str">
            <v>Cam vàng</v>
          </cell>
          <cell r="K375" t="str">
            <v>Kg</v>
          </cell>
        </row>
        <row r="376">
          <cell r="J376" t="str">
            <v>Chanh Dây</v>
          </cell>
          <cell r="K376" t="str">
            <v>Kg</v>
          </cell>
        </row>
        <row r="377">
          <cell r="J377" t="str">
            <v>Chanh không hạt</v>
          </cell>
          <cell r="K377" t="str">
            <v>Kg</v>
          </cell>
        </row>
        <row r="378">
          <cell r="J378" t="str">
            <v>Chanh vàng</v>
          </cell>
          <cell r="K378" t="str">
            <v>Kg</v>
          </cell>
        </row>
        <row r="379">
          <cell r="J379" t="str">
            <v>Dưa hấu</v>
          </cell>
          <cell r="K379" t="str">
            <v>Kg</v>
          </cell>
        </row>
        <row r="380">
          <cell r="J380" t="str">
            <v>Húng lũi</v>
          </cell>
          <cell r="K380" t="str">
            <v>Kg</v>
          </cell>
        </row>
        <row r="381">
          <cell r="J381" t="str">
            <v>Rau má nhỏ</v>
          </cell>
          <cell r="K381" t="str">
            <v>Kg</v>
          </cell>
        </row>
        <row r="382">
          <cell r="J382" t="str">
            <v>Tắc trái</v>
          </cell>
          <cell r="K382" t="str">
            <v>Kg</v>
          </cell>
        </row>
        <row r="383">
          <cell r="J383" t="str">
            <v>Bí ngòi xanh</v>
          </cell>
          <cell r="K383" t="str">
            <v>Kg</v>
          </cell>
        </row>
        <row r="384">
          <cell r="J384" t="str">
            <v>Bánh ướt</v>
          </cell>
          <cell r="K384" t="str">
            <v>Kg</v>
          </cell>
        </row>
        <row r="385">
          <cell r="J385" t="str">
            <v>Bắp cải trắng</v>
          </cell>
          <cell r="K385" t="str">
            <v>Kg</v>
          </cell>
        </row>
        <row r="386">
          <cell r="J386" t="str">
            <v>Bí ngòi xanh</v>
          </cell>
          <cell r="K386" t="str">
            <v>Kg</v>
          </cell>
        </row>
        <row r="387">
          <cell r="J387" t="str">
            <v>Bông cải xanh</v>
          </cell>
          <cell r="K387" t="str">
            <v>Kg</v>
          </cell>
        </row>
        <row r="388">
          <cell r="J388" t="str">
            <v>Cà rốt baby</v>
          </cell>
          <cell r="K388" t="str">
            <v>Kg</v>
          </cell>
        </row>
        <row r="389">
          <cell r="J389" t="str">
            <v>Củ Gừng</v>
          </cell>
          <cell r="K389" t="str">
            <v>Kg</v>
          </cell>
        </row>
        <row r="390">
          <cell r="J390" t="str">
            <v>Củ riềng</v>
          </cell>
          <cell r="K390" t="str">
            <v>Kg</v>
          </cell>
        </row>
        <row r="391">
          <cell r="J391" t="str">
            <v>Đậu bắp</v>
          </cell>
          <cell r="K391" t="str">
            <v>Kg</v>
          </cell>
        </row>
        <row r="392">
          <cell r="J392" t="str">
            <v>Hành lá</v>
          </cell>
          <cell r="K392" t="str">
            <v>Kg</v>
          </cell>
        </row>
        <row r="393">
          <cell r="J393" t="str">
            <v>Hành tây</v>
          </cell>
          <cell r="K393" t="str">
            <v>Kg</v>
          </cell>
        </row>
        <row r="394">
          <cell r="J394" t="str">
            <v>Lá chanh</v>
          </cell>
          <cell r="K394" t="str">
            <v>Kg</v>
          </cell>
        </row>
        <row r="395">
          <cell r="J395" t="str">
            <v>Mướp hương</v>
          </cell>
          <cell r="K395" t="str">
            <v>Kg</v>
          </cell>
        </row>
        <row r="396">
          <cell r="J396" t="str">
            <v>Nấm đông cô tươi</v>
          </cell>
          <cell r="K396" t="str">
            <v>Kg</v>
          </cell>
        </row>
        <row r="397">
          <cell r="J397" t="str">
            <v>Nấm linh chi trắng (kg)</v>
          </cell>
          <cell r="K397" t="str">
            <v>Kg</v>
          </cell>
        </row>
        <row r="398">
          <cell r="J398" t="str">
            <v>Ngò tây</v>
          </cell>
          <cell r="K398" t="str">
            <v>Kg</v>
          </cell>
        </row>
        <row r="399">
          <cell r="J399" t="str">
            <v>Ớt sừng đỏ</v>
          </cell>
          <cell r="K399" t="str">
            <v>Kg</v>
          </cell>
        </row>
        <row r="400">
          <cell r="J400" t="str">
            <v>Rau răm</v>
          </cell>
          <cell r="K400" t="str">
            <v>Kg</v>
          </cell>
        </row>
        <row r="401">
          <cell r="J401" t="str">
            <v>Tỏi lột</v>
          </cell>
          <cell r="K401" t="str">
            <v>Kg</v>
          </cell>
        </row>
        <row r="402">
          <cell r="J402" t="str">
            <v>Trứng vịt muối</v>
          </cell>
          <cell r="K402" t="str">
            <v>Quả</v>
          </cell>
        </row>
        <row r="403">
          <cell r="J403" t="str">
            <v>Xà lách romain</v>
          </cell>
          <cell r="K403" t="str">
            <v>Kg</v>
          </cell>
        </row>
        <row r="404">
          <cell r="J404" t="str">
            <v>Dưa hấu</v>
          </cell>
          <cell r="K404" t="str">
            <v>Kg</v>
          </cell>
        </row>
        <row r="405">
          <cell r="J405">
            <v>0</v>
          </cell>
          <cell r="K405">
            <v>0</v>
          </cell>
        </row>
        <row r="407">
          <cell r="J407" t="str">
            <v>Thủ trưởng đơn vị
(Ký, đóng dấu, ghi rõ họ, tên)
TRẦN THẾ HIỂN</v>
          </cell>
        </row>
        <row r="408">
          <cell r="J408">
            <v>0</v>
          </cell>
        </row>
        <row r="409">
          <cell r="J409">
            <v>0</v>
          </cell>
        </row>
      </sheetData>
      <sheetData sheetId="1" refreshError="1"/>
      <sheetData sheetId="2" refreshError="1">
        <row r="2">
          <cell r="A2" t="str">
            <v>ASAKN001</v>
          </cell>
          <cell r="B2" t="str">
            <v>Thịt Tươi Nhúng Lẩu</v>
          </cell>
          <cell r="C2" t="str">
            <v>Phần</v>
          </cell>
        </row>
        <row r="3">
          <cell r="A3" t="str">
            <v>ASAKN002</v>
          </cell>
          <cell r="B3" t="str">
            <v>Mỳ Tôm</v>
          </cell>
          <cell r="C3" t="str">
            <v>Gói</v>
          </cell>
        </row>
        <row r="4">
          <cell r="A4" t="str">
            <v>ASAKN003</v>
          </cell>
          <cell r="B4" t="str">
            <v>Bún Thêm</v>
          </cell>
          <cell r="C4" t="str">
            <v>Phần</v>
          </cell>
        </row>
        <row r="5">
          <cell r="A5" t="str">
            <v>ASAKN004</v>
          </cell>
          <cell r="B5" t="str">
            <v>Thịt Ba Chỉ Bò Tơ Nhúng Lẩu</v>
          </cell>
          <cell r="C5" t="str">
            <v>Phần</v>
          </cell>
        </row>
        <row r="6">
          <cell r="A6" t="str">
            <v>ASAKN005</v>
          </cell>
          <cell r="B6" t="str">
            <v>Đậu Phụ Nhúng Lẩu</v>
          </cell>
          <cell r="C6" t="str">
            <v>Phần</v>
          </cell>
        </row>
        <row r="7">
          <cell r="A7" t="str">
            <v>ASAKN006</v>
          </cell>
          <cell r="B7" t="str">
            <v>Ba Chỉ Bò Mỹ Nhúng Lẩu</v>
          </cell>
          <cell r="C7" t="str">
            <v>Phần</v>
          </cell>
        </row>
        <row r="8">
          <cell r="A8" t="str">
            <v>ASAKN007</v>
          </cell>
          <cell r="B8" t="str">
            <v>Bò Viên Nhúng Lẩu</v>
          </cell>
          <cell r="C8" t="str">
            <v>Phần</v>
          </cell>
        </row>
        <row r="9">
          <cell r="A9" t="str">
            <v>ASAKN008</v>
          </cell>
          <cell r="B9" t="str">
            <v>Nấm Kim Châm Nhúng Lẩu</v>
          </cell>
          <cell r="C9" t="str">
            <v>Phần</v>
          </cell>
        </row>
        <row r="10">
          <cell r="A10" t="str">
            <v>ASAKN009</v>
          </cell>
          <cell r="B10" t="str">
            <v>Rau Nhúng Lẩu</v>
          </cell>
          <cell r="C10" t="str">
            <v>Phần</v>
          </cell>
        </row>
        <row r="11">
          <cell r="A11" t="str">
            <v>ASAKN010</v>
          </cell>
          <cell r="B11" t="str">
            <v>Rau Om Chuối Đậu</v>
          </cell>
          <cell r="C11" t="str">
            <v>Phần</v>
          </cell>
        </row>
        <row r="12">
          <cell r="A12" t="str">
            <v>ASAKN011</v>
          </cell>
          <cell r="B12" t="str">
            <v>Nấm Tươi Nhúng Lẩu</v>
          </cell>
          <cell r="C12" t="str">
            <v>Phần</v>
          </cell>
        </row>
        <row r="13">
          <cell r="A13" t="str">
            <v>ASAKN012</v>
          </cell>
          <cell r="B13" t="str">
            <v>Kim Chi Gọi Thêm</v>
          </cell>
          <cell r="C13" t="str">
            <v>Phần</v>
          </cell>
        </row>
        <row r="14">
          <cell r="A14" t="str">
            <v>ASAKN013</v>
          </cell>
          <cell r="B14" t="str">
            <v>Gạch Cua Thêm</v>
          </cell>
          <cell r="C14" t="str">
            <v>Phần</v>
          </cell>
        </row>
        <row r="15">
          <cell r="A15" t="str">
            <v>ASAKN014</v>
          </cell>
          <cell r="B15" t="str">
            <v>Trứng Thêm</v>
          </cell>
          <cell r="C15" t="str">
            <v>Phần</v>
          </cell>
        </row>
        <row r="16">
          <cell r="A16" t="str">
            <v>ASAKN015</v>
          </cell>
          <cell r="B16" t="str">
            <v>Chân Gà Rút Xương</v>
          </cell>
          <cell r="C16" t="str">
            <v>Phần</v>
          </cell>
        </row>
        <row r="17">
          <cell r="A17" t="str">
            <v>ASAKN016</v>
          </cell>
          <cell r="B17" t="str">
            <v>Dạ Dày Nhúng Lẩu</v>
          </cell>
          <cell r="C17" t="str">
            <v>Phần</v>
          </cell>
        </row>
        <row r="18">
          <cell r="A18" t="str">
            <v>ASAKN017</v>
          </cell>
          <cell r="B18" t="str">
            <v>Sách Bò Nhúng Lẩu</v>
          </cell>
          <cell r="C18" t="str">
            <v>Phần</v>
          </cell>
        </row>
        <row r="19">
          <cell r="A19" t="str">
            <v>ASAKN018</v>
          </cell>
          <cell r="B19" t="str">
            <v>Nạm Bò Nhúng Lẩu</v>
          </cell>
          <cell r="C19" t="str">
            <v>Phần</v>
          </cell>
        </row>
        <row r="20">
          <cell r="A20" t="str">
            <v>ASAKN019</v>
          </cell>
          <cell r="B20" t="str">
            <v>Đuôi Bò Nhúng Lẩu</v>
          </cell>
          <cell r="C20" t="str">
            <v>Phần</v>
          </cell>
        </row>
        <row r="21">
          <cell r="A21" t="str">
            <v>ASAKN020</v>
          </cell>
          <cell r="B21" t="str">
            <v>Gân Bò Nhúng Lẩu</v>
          </cell>
          <cell r="C21" t="str">
            <v>Phần</v>
          </cell>
        </row>
        <row r="22">
          <cell r="A22" t="str">
            <v>ASAKN021</v>
          </cell>
          <cell r="B22" t="str">
            <v>Chả Lá Lốt</v>
          </cell>
          <cell r="C22" t="str">
            <v>Phần</v>
          </cell>
        </row>
        <row r="23">
          <cell r="A23" t="str">
            <v>ASAKN022</v>
          </cell>
          <cell r="B23" t="str">
            <v>Chả Cá</v>
          </cell>
          <cell r="C23" t="str">
            <v>Phần</v>
          </cell>
        </row>
        <row r="24">
          <cell r="A24" t="str">
            <v>ASAKN023</v>
          </cell>
          <cell r="B24" t="str">
            <v>Mọc Bò Nấm</v>
          </cell>
          <cell r="C24" t="str">
            <v>Phần</v>
          </cell>
        </row>
        <row r="25">
          <cell r="A25" t="str">
            <v>ASAKN024</v>
          </cell>
          <cell r="B25" t="str">
            <v>Mọc Heo Nấm</v>
          </cell>
          <cell r="C25" t="str">
            <v>Phần</v>
          </cell>
        </row>
        <row r="26">
          <cell r="A26" t="str">
            <v>ASAKN025</v>
          </cell>
          <cell r="B26" t="str">
            <v>Mọc Tôm Tươi</v>
          </cell>
          <cell r="C26" t="str">
            <v>Phần</v>
          </cell>
        </row>
        <row r="27">
          <cell r="A27" t="str">
            <v>ASAKN026</v>
          </cell>
          <cell r="B27" t="str">
            <v>Mọc Sò Điệp</v>
          </cell>
          <cell r="C27" t="str">
            <v>Phần</v>
          </cell>
        </row>
        <row r="28">
          <cell r="A28" t="str">
            <v>ASAKN027</v>
          </cell>
          <cell r="B28" t="str">
            <v>Đậu Hũ Phô Mai</v>
          </cell>
          <cell r="C28" t="str">
            <v>Phần</v>
          </cell>
        </row>
        <row r="29">
          <cell r="A29" t="str">
            <v>ASAKN028</v>
          </cell>
          <cell r="B29" t="str">
            <v>Xúc xích phô mai</v>
          </cell>
          <cell r="C29" t="str">
            <v>Phần</v>
          </cell>
        </row>
        <row r="30">
          <cell r="A30" t="str">
            <v>ASAKN029</v>
          </cell>
          <cell r="B30" t="str">
            <v>Tàu Hũ Ki Cuộn</v>
          </cell>
          <cell r="C30" t="str">
            <v>Phần</v>
          </cell>
        </row>
        <row r="31">
          <cell r="A31" t="str">
            <v>ASAKN030</v>
          </cell>
          <cell r="B31" t="str">
            <v>Thanh cua nhúng lẩu</v>
          </cell>
          <cell r="C31" t="str">
            <v>Phần</v>
          </cell>
        </row>
        <row r="32">
          <cell r="A32" t="str">
            <v>ASAKN031</v>
          </cell>
          <cell r="B32" t="str">
            <v>Viên Tôm</v>
          </cell>
          <cell r="C32" t="str">
            <v>Phần</v>
          </cell>
        </row>
        <row r="33">
          <cell r="A33" t="str">
            <v>ASAKN032</v>
          </cell>
          <cell r="B33" t="str">
            <v>Bánh Đa</v>
          </cell>
          <cell r="C33" t="str">
            <v>Phần</v>
          </cell>
        </row>
        <row r="34">
          <cell r="A34" t="str">
            <v>ASAKN033</v>
          </cell>
          <cell r="B34" t="str">
            <v>Mồng Tơi Nhúng Lẩu</v>
          </cell>
          <cell r="C34" t="str">
            <v>Phần</v>
          </cell>
        </row>
        <row r="35">
          <cell r="A35" t="str">
            <v>ASAKN034</v>
          </cell>
          <cell r="B35" t="str">
            <v>Rau Tần Ô Nhúng Lẩu</v>
          </cell>
          <cell r="C35" t="str">
            <v>Phần</v>
          </cell>
        </row>
        <row r="36">
          <cell r="A36" t="str">
            <v>ASAKN035</v>
          </cell>
          <cell r="B36" t="str">
            <v>Rau Muống Chẻ</v>
          </cell>
          <cell r="C36" t="str">
            <v>Phần</v>
          </cell>
        </row>
        <row r="37">
          <cell r="A37" t="str">
            <v>ASAKN036</v>
          </cell>
          <cell r="B37" t="str">
            <v>Bầu Nhúng Lẩu</v>
          </cell>
          <cell r="C37" t="str">
            <v>Phần</v>
          </cell>
        </row>
        <row r="38">
          <cell r="A38" t="str">
            <v>ASAKN037</v>
          </cell>
          <cell r="B38" t="str">
            <v>Mướp Hương Nhúng Lẩu</v>
          </cell>
          <cell r="C38" t="str">
            <v>Phần</v>
          </cell>
        </row>
        <row r="39">
          <cell r="A39" t="str">
            <v>ASAKN038</v>
          </cell>
          <cell r="B39" t="str">
            <v>Cải thảo Nhúng Lẩu</v>
          </cell>
          <cell r="C39" t="str">
            <v>Phần</v>
          </cell>
        </row>
        <row r="40">
          <cell r="A40" t="str">
            <v>ASAKN039</v>
          </cell>
          <cell r="B40" t="str">
            <v>Rau Xà Lách nhúng lẩu</v>
          </cell>
          <cell r="C40" t="str">
            <v>Phần</v>
          </cell>
        </row>
        <row r="41">
          <cell r="A41" t="str">
            <v>ASAKN040</v>
          </cell>
          <cell r="B41" t="str">
            <v>Ngô ngọt nhúng lẩu</v>
          </cell>
          <cell r="C41" t="str">
            <v>Phần</v>
          </cell>
        </row>
        <row r="42">
          <cell r="A42" t="str">
            <v>ASAKN041</v>
          </cell>
          <cell r="B42" t="str">
            <v>Nấm Đông Cô</v>
          </cell>
          <cell r="C42" t="str">
            <v>Phần</v>
          </cell>
        </row>
        <row r="43">
          <cell r="A43" t="str">
            <v>ASAKN042</v>
          </cell>
          <cell r="B43" t="str">
            <v>Rau Lẩu Cua</v>
          </cell>
          <cell r="C43" t="str">
            <v>Phần</v>
          </cell>
        </row>
        <row r="44">
          <cell r="A44" t="str">
            <v>ASAKN043</v>
          </cell>
          <cell r="B44" t="str">
            <v>Rau Lẩu Thái</v>
          </cell>
          <cell r="C44" t="str">
            <v>Phần</v>
          </cell>
        </row>
        <row r="45">
          <cell r="A45" t="str">
            <v>ASAKN044</v>
          </cell>
          <cell r="B45" t="str">
            <v>Set Rau Nấm</v>
          </cell>
          <cell r="C45" t="str">
            <v>Phần</v>
          </cell>
        </row>
        <row r="46">
          <cell r="A46" t="str">
            <v>ASAKN045</v>
          </cell>
          <cell r="B46" t="str">
            <v>Gù Bò Nhúng Lẩu</v>
          </cell>
          <cell r="C46" t="str">
            <v>Phần</v>
          </cell>
        </row>
        <row r="47">
          <cell r="A47" t="str">
            <v>ASAKN046</v>
          </cell>
          <cell r="B47" t="str">
            <v>Gà Tươi Nhúng Lẩu (Nửa Con)</v>
          </cell>
          <cell r="C47" t="str">
            <v>Phần</v>
          </cell>
        </row>
        <row r="48">
          <cell r="A48" t="str">
            <v>ASAKN047</v>
          </cell>
          <cell r="B48" t="str">
            <v>Chim Câu Nhúng Lẩu (Cả Con)</v>
          </cell>
          <cell r="C48" t="str">
            <v>Phần</v>
          </cell>
        </row>
        <row r="49">
          <cell r="A49" t="str">
            <v>ASAKN048</v>
          </cell>
          <cell r="B49" t="str">
            <v>Rau Lẩu Cà Chua</v>
          </cell>
          <cell r="C49" t="str">
            <v>Phần</v>
          </cell>
        </row>
        <row r="50">
          <cell r="A50" t="str">
            <v>ASANO001</v>
          </cell>
          <cell r="B50" t="str">
            <v>Cơm Lam</v>
          </cell>
          <cell r="C50" t="str">
            <v>Phần</v>
          </cell>
        </row>
        <row r="51">
          <cell r="A51" t="str">
            <v>ASANO002</v>
          </cell>
          <cell r="B51" t="str">
            <v>Xôi Chiên Bò Nấm</v>
          </cell>
          <cell r="C51" t="str">
            <v>Phần</v>
          </cell>
        </row>
        <row r="52">
          <cell r="A52" t="str">
            <v>ASANO003</v>
          </cell>
          <cell r="B52" t="str">
            <v>Mì Xào Hải Sản</v>
          </cell>
          <cell r="C52" t="str">
            <v>Phần</v>
          </cell>
        </row>
        <row r="53">
          <cell r="A53" t="str">
            <v>ASANO004</v>
          </cell>
          <cell r="B53" t="str">
            <v>Cơm Chiên Tôm Dứa</v>
          </cell>
          <cell r="C53" t="str">
            <v>Phần</v>
          </cell>
        </row>
        <row r="54">
          <cell r="A54" t="str">
            <v>ASANO005</v>
          </cell>
          <cell r="B54" t="str">
            <v>Bánh Bao Chiên</v>
          </cell>
          <cell r="C54" t="str">
            <v>Phần</v>
          </cell>
        </row>
        <row r="55">
          <cell r="A55" t="str">
            <v>ASANO006</v>
          </cell>
          <cell r="B55" t="str">
            <v>Cơm cháy kho quẹt</v>
          </cell>
          <cell r="C55" t="str">
            <v>Phần</v>
          </cell>
        </row>
        <row r="56">
          <cell r="A56" t="str">
            <v>ASCBO001</v>
          </cell>
          <cell r="B56" t="str">
            <v>Set Lẩu 1 ( 2-3 khách )</v>
          </cell>
          <cell r="C56" t="str">
            <v>Set</v>
          </cell>
        </row>
        <row r="57">
          <cell r="A57" t="str">
            <v>ASCBO002</v>
          </cell>
          <cell r="B57" t="str">
            <v>Set Lẩu 2 ( 3-4 khách )</v>
          </cell>
          <cell r="C57" t="str">
            <v>Set</v>
          </cell>
        </row>
        <row r="58">
          <cell r="A58" t="str">
            <v>ASCBO003</v>
          </cell>
          <cell r="B58" t="str">
            <v>COMBO TIỆC TÙNG 1 ( 4-5 khách )</v>
          </cell>
          <cell r="C58" t="str">
            <v>Set</v>
          </cell>
        </row>
        <row r="59">
          <cell r="A59" t="str">
            <v>ASCBO004</v>
          </cell>
          <cell r="B59" t="str">
            <v>COMBO TIỆC TÙNG 2 ( 5-6 khách )</v>
          </cell>
          <cell r="C59" t="str">
            <v>Set</v>
          </cell>
        </row>
        <row r="60">
          <cell r="A60" t="str">
            <v>ASCBO005</v>
          </cell>
          <cell r="B60" t="str">
            <v>Tiệc 1</v>
          </cell>
          <cell r="C60" t="str">
            <v>Set</v>
          </cell>
        </row>
        <row r="61">
          <cell r="A61" t="str">
            <v>ASCBO006</v>
          </cell>
          <cell r="B61" t="str">
            <v>Tiệc 2</v>
          </cell>
          <cell r="C61" t="str">
            <v>Set</v>
          </cell>
        </row>
        <row r="62">
          <cell r="A62" t="str">
            <v>ASCBO007</v>
          </cell>
          <cell r="B62" t="str">
            <v>Tiệc 3</v>
          </cell>
          <cell r="C62" t="str">
            <v>Set</v>
          </cell>
        </row>
        <row r="63">
          <cell r="A63" t="str">
            <v>ASCCX001</v>
          </cell>
          <cell r="B63" t="str">
            <v>Heo Quay Cuốn Bánh Tráng</v>
          </cell>
          <cell r="C63" t="str">
            <v>Phần</v>
          </cell>
        </row>
        <row r="64">
          <cell r="A64" t="str">
            <v>ASCCX002</v>
          </cell>
          <cell r="B64" t="str">
            <v>Bánh Tráng Heo Hấp</v>
          </cell>
          <cell r="C64" t="str">
            <v>Phần</v>
          </cell>
        </row>
        <row r="65">
          <cell r="A65" t="str">
            <v>ASCCX003</v>
          </cell>
          <cell r="B65" t="str">
            <v>Bò Tơ Cuốn Bánh Tráng</v>
          </cell>
          <cell r="C65" t="str">
            <v>Phần</v>
          </cell>
        </row>
        <row r="66">
          <cell r="A66" t="str">
            <v>ASCCX004</v>
          </cell>
          <cell r="B66" t="str">
            <v>Bò Lá Lốt Cuốn Bánh Tráng</v>
          </cell>
          <cell r="C66" t="str">
            <v>Phần</v>
          </cell>
        </row>
        <row r="67">
          <cell r="A67" t="str">
            <v>ASCCX005</v>
          </cell>
          <cell r="B67" t="str">
            <v>Bánh Tráng Heo Quay (Size S)</v>
          </cell>
          <cell r="C67" t="str">
            <v>Phần</v>
          </cell>
        </row>
        <row r="68">
          <cell r="A68" t="str">
            <v>ASCCX006</v>
          </cell>
          <cell r="B68" t="str">
            <v>Bánh Tráng Cuốn Bò Tơ (Size S)</v>
          </cell>
          <cell r="C68" t="str">
            <v>Phần</v>
          </cell>
        </row>
        <row r="69">
          <cell r="A69" t="str">
            <v>ASCCX007</v>
          </cell>
          <cell r="B69" t="str">
            <v>Bánh Tráng Cuốn Bò Lá Lốt (Size S)</v>
          </cell>
          <cell r="C69" t="str">
            <v>Phần</v>
          </cell>
        </row>
        <row r="70">
          <cell r="A70" t="str">
            <v>ASCCX008</v>
          </cell>
          <cell r="B70" t="str">
            <v>Mẹt Cuốn An Vũ Đặc Biệt</v>
          </cell>
          <cell r="C70" t="str">
            <v>Phần</v>
          </cell>
        </row>
        <row r="71">
          <cell r="A71" t="str">
            <v>ASCCX009</v>
          </cell>
          <cell r="B71" t="str">
            <v>Bò Lụi Sả Cuốn Bánh Tráng</v>
          </cell>
          <cell r="C71" t="str">
            <v>Phần</v>
          </cell>
        </row>
        <row r="72">
          <cell r="A72" t="str">
            <v>ASCCX010</v>
          </cell>
          <cell r="B72" t="str">
            <v>Bánh Tráng Cuốn Nem Bò Nướng</v>
          </cell>
          <cell r="C72" t="str">
            <v>Phần</v>
          </cell>
        </row>
        <row r="73">
          <cell r="A73" t="str">
            <v>ASCCX011</v>
          </cell>
          <cell r="B73" t="str">
            <v>Heo Quay Bánh Hỏi</v>
          </cell>
          <cell r="C73" t="str">
            <v>Phần</v>
          </cell>
        </row>
        <row r="74">
          <cell r="A74" t="str">
            <v>ASCHA001</v>
          </cell>
          <cell r="B74" t="str">
            <v>Mẹt Cuốn Ngũ Sắc</v>
          </cell>
          <cell r="C74" t="str">
            <v>Phần</v>
          </cell>
        </row>
        <row r="75">
          <cell r="A75" t="str">
            <v>ASCHA002</v>
          </cell>
          <cell r="B75" t="str">
            <v>Chả Giò An Lạc</v>
          </cell>
          <cell r="C75" t="str">
            <v>Phần</v>
          </cell>
        </row>
        <row r="76">
          <cell r="A76" t="str">
            <v>ASCHA003</v>
          </cell>
          <cell r="B76" t="str">
            <v>Nấm Thập Vị Thanh Lành</v>
          </cell>
          <cell r="C76" t="str">
            <v>Phần</v>
          </cell>
        </row>
        <row r="77">
          <cell r="A77" t="str">
            <v>ASCHA004</v>
          </cell>
          <cell r="B77" t="str">
            <v>Nấm Xào Rau Củ Thập Cẩm</v>
          </cell>
          <cell r="C77" t="str">
            <v>Phần</v>
          </cell>
        </row>
        <row r="78">
          <cell r="A78" t="str">
            <v>ASDQE001</v>
          </cell>
          <cell r="B78" t="str">
            <v>Chả Ốc Tây Hồ</v>
          </cell>
          <cell r="C78" t="str">
            <v>Phần</v>
          </cell>
        </row>
        <row r="79">
          <cell r="A79" t="str">
            <v>ASDQE002</v>
          </cell>
          <cell r="B79" t="str">
            <v>Ốc Xào Chuối Đậu</v>
          </cell>
          <cell r="C79" t="str">
            <v>Phần</v>
          </cell>
        </row>
        <row r="80">
          <cell r="A80" t="str">
            <v>ASDQE003</v>
          </cell>
          <cell r="B80" t="str">
            <v>Ốc Nhồi Ống Tre</v>
          </cell>
          <cell r="C80" t="str">
            <v>Phần</v>
          </cell>
        </row>
        <row r="81">
          <cell r="A81" t="str">
            <v>ASDQE004</v>
          </cell>
          <cell r="B81" t="str">
            <v>Ếch Rang MuốI</v>
          </cell>
          <cell r="C81" t="str">
            <v>Phần</v>
          </cell>
        </row>
        <row r="82">
          <cell r="A82" t="str">
            <v>ASDQE005</v>
          </cell>
          <cell r="B82" t="str">
            <v>Lươn Nướng</v>
          </cell>
          <cell r="C82" t="str">
            <v>Phần</v>
          </cell>
        </row>
        <row r="83">
          <cell r="A83" t="str">
            <v>ASDQE007</v>
          </cell>
          <cell r="B83" t="str">
            <v>Ếch Xào Chuối Đậu</v>
          </cell>
          <cell r="C83" t="str">
            <v>Phần</v>
          </cell>
        </row>
        <row r="84">
          <cell r="A84" t="str">
            <v>ASDQE008</v>
          </cell>
          <cell r="B84" t="str">
            <v>Nem Ốc Hà Thành</v>
          </cell>
          <cell r="C84" t="str">
            <v>Phần</v>
          </cell>
        </row>
        <row r="85">
          <cell r="A85" t="str">
            <v>ASDQE009</v>
          </cell>
          <cell r="B85" t="str">
            <v>Nem Gánh Hà Nội</v>
          </cell>
          <cell r="C85" t="str">
            <v>Phần</v>
          </cell>
        </row>
        <row r="86">
          <cell r="A86" t="str">
            <v>ASDVU001</v>
          </cell>
          <cell r="B86" t="str">
            <v>Khăn Lạnh</v>
          </cell>
          <cell r="C86" t="str">
            <v>Cái</v>
          </cell>
        </row>
        <row r="87">
          <cell r="A87" t="str">
            <v>ASDVU002</v>
          </cell>
          <cell r="B87" t="str">
            <v>Đơn Freeship</v>
          </cell>
          <cell r="C87" t="str">
            <v>Lần</v>
          </cell>
        </row>
        <row r="88">
          <cell r="A88" t="str">
            <v>ASDVU003</v>
          </cell>
          <cell r="B88" t="str">
            <v>Phí Rượu Quê</v>
          </cell>
          <cell r="C88" t="str">
            <v>Lít</v>
          </cell>
        </row>
        <row r="89">
          <cell r="A89" t="str">
            <v>ASDVU004</v>
          </cell>
          <cell r="B89" t="str">
            <v>Phí Rượu Vang Ngoại</v>
          </cell>
          <cell r="C89" t="str">
            <v>chai</v>
          </cell>
        </row>
        <row r="90">
          <cell r="A90" t="str">
            <v>ASDVU005</v>
          </cell>
          <cell r="B90" t="str">
            <v>Phí Rượu Mạnh Ngoại</v>
          </cell>
          <cell r="C90" t="str">
            <v>chai</v>
          </cell>
        </row>
        <row r="91">
          <cell r="A91" t="str">
            <v>ASDVU006</v>
          </cell>
          <cell r="B91" t="str">
            <v>Phí Đồ Ăn</v>
          </cell>
          <cell r="C91" t="str">
            <v>Đĩa</v>
          </cell>
        </row>
        <row r="92">
          <cell r="A92" t="str">
            <v>ASDVU007</v>
          </cell>
          <cell r="B92" t="str">
            <v>Phí Thuê Loa Đài Tổ Chức Sự Kiện</v>
          </cell>
          <cell r="C92" t="str">
            <v>Lần</v>
          </cell>
        </row>
        <row r="93">
          <cell r="A93" t="str">
            <v>ASDVU008</v>
          </cell>
          <cell r="B93" t="str">
            <v>Phí Thuê Máy Chiếu</v>
          </cell>
          <cell r="C93" t="str">
            <v>Lần</v>
          </cell>
        </row>
        <row r="94">
          <cell r="A94" t="str">
            <v>ASDVU009</v>
          </cell>
          <cell r="B94" t="str">
            <v>Gói Trang Trí Tổ Chức Sự Kiện/Sinh Nhật</v>
          </cell>
          <cell r="C94" t="str">
            <v>Lần</v>
          </cell>
        </row>
        <row r="95">
          <cell r="A95" t="str">
            <v>ASHAS001</v>
          </cell>
          <cell r="B95" t="str">
            <v>Tôm Sú Xóc Tỏi</v>
          </cell>
          <cell r="C95" t="str">
            <v>Phần</v>
          </cell>
        </row>
        <row r="96">
          <cell r="A96" t="str">
            <v>ASHAS002</v>
          </cell>
          <cell r="B96" t="str">
            <v>Tôm Nướng Muối Ớt</v>
          </cell>
          <cell r="C96" t="str">
            <v>Phần</v>
          </cell>
        </row>
        <row r="97">
          <cell r="A97" t="str">
            <v>ASHAS003</v>
          </cell>
          <cell r="B97" t="str">
            <v>Tôm Sú Xốt Phô Mai</v>
          </cell>
          <cell r="C97" t="str">
            <v>Phần</v>
          </cell>
        </row>
        <row r="98">
          <cell r="A98" t="str">
            <v>ASHAS004</v>
          </cell>
          <cell r="B98" t="str">
            <v>Mực Hấp Gừng</v>
          </cell>
          <cell r="C98" t="str">
            <v>Phần</v>
          </cell>
        </row>
        <row r="99">
          <cell r="A99" t="str">
            <v>ASHAS005</v>
          </cell>
          <cell r="B99" t="str">
            <v>Mực Chiên Bơ</v>
          </cell>
          <cell r="C99" t="str">
            <v>Phần</v>
          </cell>
        </row>
        <row r="100">
          <cell r="A100" t="str">
            <v>ASHAS006</v>
          </cell>
          <cell r="B100" t="str">
            <v>Mực Nướng Muối Ớt</v>
          </cell>
          <cell r="C100" t="str">
            <v>Phần</v>
          </cell>
        </row>
        <row r="101">
          <cell r="A101" t="str">
            <v>ASHGC001</v>
          </cell>
          <cell r="B101" t="str">
            <v>Chân Giò Quay Lu</v>
          </cell>
          <cell r="C101" t="str">
            <v>Phần</v>
          </cell>
        </row>
        <row r="102">
          <cell r="A102" t="str">
            <v>ASHGC002</v>
          </cell>
          <cell r="B102" t="str">
            <v>Dồi Sụn Chiên</v>
          </cell>
          <cell r="C102" t="str">
            <v>Phần</v>
          </cell>
        </row>
        <row r="103">
          <cell r="A103" t="str">
            <v>ASHGC003</v>
          </cell>
          <cell r="B103" t="str">
            <v>Má Heo Nướng</v>
          </cell>
          <cell r="C103" t="str">
            <v>Phần</v>
          </cell>
        </row>
        <row r="104">
          <cell r="A104" t="str">
            <v>ASHGC004</v>
          </cell>
          <cell r="B104" t="str">
            <v>Heo Giòn Quay Lu</v>
          </cell>
          <cell r="C104" t="str">
            <v>Phần</v>
          </cell>
        </row>
        <row r="105">
          <cell r="A105" t="str">
            <v>ASHGC005</v>
          </cell>
          <cell r="B105" t="str">
            <v>Má Đào Chiên Kiểu Thái</v>
          </cell>
          <cell r="C105" t="str">
            <v>Phần</v>
          </cell>
        </row>
        <row r="106">
          <cell r="A106" t="str">
            <v>ASHGC006</v>
          </cell>
          <cell r="B106" t="str">
            <v>Gà Ri Chiên Mắm (1/2 Con)</v>
          </cell>
          <cell r="C106" t="str">
            <v>Phần</v>
          </cell>
        </row>
        <row r="107">
          <cell r="A107" t="str">
            <v>ASHGC007</v>
          </cell>
          <cell r="B107" t="str">
            <v>Gà Quay Lu (1 Con)</v>
          </cell>
          <cell r="C107" t="str">
            <v>Phần</v>
          </cell>
        </row>
        <row r="108">
          <cell r="A108" t="str">
            <v>ASHGC008</v>
          </cell>
          <cell r="B108" t="str">
            <v>Cánh Gà Chiên Mắm</v>
          </cell>
          <cell r="C108" t="str">
            <v>Phần</v>
          </cell>
        </row>
        <row r="109">
          <cell r="A109" t="str">
            <v>ASHGC009</v>
          </cell>
          <cell r="B109" t="str">
            <v>Cá Lăng Rang Muối</v>
          </cell>
          <cell r="C109" t="str">
            <v>Phần</v>
          </cell>
        </row>
        <row r="110">
          <cell r="A110" t="str">
            <v>ASHGC010</v>
          </cell>
          <cell r="B110" t="str">
            <v>Cá Lăng Nướng Riềng Mẻ</v>
          </cell>
          <cell r="C110" t="str">
            <v>Phần</v>
          </cell>
        </row>
        <row r="111">
          <cell r="A111" t="str">
            <v>ASHGC011</v>
          </cell>
          <cell r="B111" t="str">
            <v>Cá Lăng Hấp Xì Dầu</v>
          </cell>
          <cell r="C111" t="str">
            <v>Phần</v>
          </cell>
        </row>
        <row r="112">
          <cell r="A112" t="str">
            <v>ASHGC012</v>
          </cell>
          <cell r="B112" t="str">
            <v>Gà Quay Lu (1/2 Con)</v>
          </cell>
          <cell r="C112" t="str">
            <v>Phần</v>
          </cell>
        </row>
        <row r="113">
          <cell r="A113" t="str">
            <v>ASHGC013</v>
          </cell>
          <cell r="B113" t="str">
            <v>Gà Quay Mắm Nhĩ</v>
          </cell>
          <cell r="C113" t="str">
            <v>Phần</v>
          </cell>
        </row>
        <row r="114">
          <cell r="A114" t="str">
            <v>ASHGC014</v>
          </cell>
          <cell r="B114" t="str">
            <v>Gà Quay Mắm Nhĩ Nửa Con</v>
          </cell>
          <cell r="C114" t="str">
            <v>Phần</v>
          </cell>
        </row>
        <row r="115">
          <cell r="A115" t="str">
            <v>ASHGC015</v>
          </cell>
          <cell r="B115" t="str">
            <v>Sụn Gà Rang Muối Hong Kong</v>
          </cell>
          <cell r="C115" t="str">
            <v>Phần</v>
          </cell>
        </row>
        <row r="116">
          <cell r="A116" t="str">
            <v>ASHGC016</v>
          </cell>
          <cell r="B116" t="str">
            <v>Chân Gà Rang Muối Hong Kong</v>
          </cell>
          <cell r="C116" t="str">
            <v>Phần</v>
          </cell>
        </row>
        <row r="117">
          <cell r="A117" t="str">
            <v>ASHQU001</v>
          </cell>
          <cell r="B117" t="str">
            <v>Nước Ép Dưa Hấu</v>
          </cell>
          <cell r="C117" t="str">
            <v>Ly</v>
          </cell>
        </row>
        <row r="118">
          <cell r="A118" t="str">
            <v>ASHQU002</v>
          </cell>
          <cell r="B118" t="str">
            <v>Nước Ép Thơm</v>
          </cell>
          <cell r="C118" t="str">
            <v>Ly</v>
          </cell>
        </row>
        <row r="119">
          <cell r="A119" t="str">
            <v>ASHQU003</v>
          </cell>
          <cell r="B119" t="str">
            <v>Nước Ép Cam</v>
          </cell>
          <cell r="C119" t="str">
            <v>Ly</v>
          </cell>
        </row>
        <row r="120">
          <cell r="A120" t="str">
            <v>ASHQU004</v>
          </cell>
          <cell r="B120" t="str">
            <v>Trà Dưỡng Tâm</v>
          </cell>
          <cell r="C120" t="str">
            <v>Ly</v>
          </cell>
        </row>
        <row r="121">
          <cell r="A121" t="str">
            <v>ASHQU005</v>
          </cell>
          <cell r="B121" t="str">
            <v>Trà Hoa Cúc</v>
          </cell>
          <cell r="C121" t="str">
            <v>Ly</v>
          </cell>
        </row>
        <row r="122">
          <cell r="A122" t="str">
            <v>ASHQU006</v>
          </cell>
          <cell r="B122" t="str">
            <v>Trà Ổi Hồng</v>
          </cell>
          <cell r="C122" t="str">
            <v>Ly</v>
          </cell>
        </row>
        <row r="123">
          <cell r="A123" t="str">
            <v>ASHQU007</v>
          </cell>
          <cell r="B123" t="str">
            <v>Trà Đào Hibicus</v>
          </cell>
          <cell r="C123" t="str">
            <v>Ly</v>
          </cell>
        </row>
        <row r="124">
          <cell r="A124" t="str">
            <v>ASHQU008</v>
          </cell>
          <cell r="B124" t="str">
            <v>Nước Ép Chanh Dây</v>
          </cell>
          <cell r="C124" t="str">
            <v>Ly</v>
          </cell>
        </row>
        <row r="125">
          <cell r="A125" t="str">
            <v>ASKVI001</v>
          </cell>
          <cell r="B125" t="str">
            <v>Đậu Hũ Chiên Trứng Muối</v>
          </cell>
          <cell r="C125" t="str">
            <v>Phần</v>
          </cell>
        </row>
        <row r="126">
          <cell r="A126" t="str">
            <v>ASKVI002</v>
          </cell>
          <cell r="B126" t="str">
            <v>Khoai Lang Kén</v>
          </cell>
          <cell r="C126" t="str">
            <v>Phần</v>
          </cell>
        </row>
        <row r="127">
          <cell r="A127" t="str">
            <v>ASKVI003</v>
          </cell>
          <cell r="B127" t="str">
            <v>Khoai Tây Chiên Lắc Phô Mai</v>
          </cell>
          <cell r="C127" t="str">
            <v>Phần</v>
          </cell>
        </row>
        <row r="128">
          <cell r="A128" t="str">
            <v>ASKVI004</v>
          </cell>
          <cell r="B128" t="str">
            <v>Nấm Hải Sản Chiên Giòn</v>
          </cell>
          <cell r="C128" t="str">
            <v>Phần</v>
          </cell>
        </row>
        <row r="129">
          <cell r="A129" t="str">
            <v>ASKVI005</v>
          </cell>
          <cell r="B129" t="str">
            <v>Chân Gà Sả Tắc</v>
          </cell>
          <cell r="C129" t="str">
            <v>Phần</v>
          </cell>
        </row>
        <row r="130">
          <cell r="A130" t="str">
            <v>ASKVI006</v>
          </cell>
          <cell r="B130" t="str">
            <v>Tàu Hũ Cuộn Nhân Tôm</v>
          </cell>
          <cell r="C130" t="str">
            <v>Phần</v>
          </cell>
        </row>
        <row r="131">
          <cell r="A131" t="str">
            <v>ASKVI007</v>
          </cell>
          <cell r="B131" t="str">
            <v>Hoành Thánh Chiên Nhân Tôm</v>
          </cell>
          <cell r="C131" t="str">
            <v>Phần</v>
          </cell>
        </row>
        <row r="132">
          <cell r="A132" t="str">
            <v>ASKVI008</v>
          </cell>
          <cell r="B132" t="str">
            <v>Bò Cuốn Mỡ Chài</v>
          </cell>
          <cell r="C132" t="str">
            <v>Phần</v>
          </cell>
        </row>
        <row r="133">
          <cell r="A133" t="str">
            <v>ASKVI009</v>
          </cell>
          <cell r="B133" t="str">
            <v>Hến Xúc Bánh Phồng</v>
          </cell>
          <cell r="C133" t="str">
            <v>Phần</v>
          </cell>
        </row>
        <row r="134">
          <cell r="A134" t="str">
            <v>ASLAU001</v>
          </cell>
          <cell r="B134" t="str">
            <v>Lẩu Riêu Cua Bầu Đặc Biệt</v>
          </cell>
          <cell r="C134" t="str">
            <v>Nồi</v>
          </cell>
        </row>
        <row r="135">
          <cell r="A135" t="str">
            <v>ASLAU002</v>
          </cell>
          <cell r="B135" t="str">
            <v>Lẩu Cua Đồng Gà Ri (1 Con)</v>
          </cell>
          <cell r="C135" t="str">
            <v>Nồi</v>
          </cell>
        </row>
        <row r="136">
          <cell r="A136" t="str">
            <v>ASLAU003</v>
          </cell>
          <cell r="B136" t="str">
            <v>Lẩu Cua Đồng Gà Ri (1/2 Con)</v>
          </cell>
          <cell r="C136" t="str">
            <v>Nồi</v>
          </cell>
        </row>
        <row r="137">
          <cell r="A137" t="str">
            <v>ASLAU004</v>
          </cell>
          <cell r="B137" t="str">
            <v>Lẩu Bò Lá Giang</v>
          </cell>
          <cell r="C137" t="str">
            <v>Nồi</v>
          </cell>
        </row>
        <row r="138">
          <cell r="A138" t="str">
            <v>ASLAU005</v>
          </cell>
          <cell r="B138" t="str">
            <v>Lẩu Gà Lá Giang (1 Con)</v>
          </cell>
          <cell r="C138" t="str">
            <v>Nồi</v>
          </cell>
        </row>
        <row r="139">
          <cell r="A139" t="str">
            <v>ASLAU006</v>
          </cell>
          <cell r="B139" t="str">
            <v>Lẩu Gà Lá Giang (1/2 Con)</v>
          </cell>
          <cell r="C139" t="str">
            <v>Nồi</v>
          </cell>
        </row>
        <row r="140">
          <cell r="A140" t="str">
            <v>ASLAU007</v>
          </cell>
          <cell r="B140" t="str">
            <v>Lẩu Cá Lăng Lá Giang</v>
          </cell>
          <cell r="C140" t="str">
            <v>Nồi</v>
          </cell>
        </row>
        <row r="141">
          <cell r="A141" t="str">
            <v>ASLAU009</v>
          </cell>
          <cell r="B141" t="str">
            <v>Lẩu Riêu Cua Bầu Đặc Biệt (Size S)</v>
          </cell>
          <cell r="C141" t="str">
            <v>Nồi</v>
          </cell>
        </row>
        <row r="142">
          <cell r="A142" t="str">
            <v>ASLAU010</v>
          </cell>
          <cell r="B142" t="str">
            <v>Lẩu Bò Lá Giang (Size S)</v>
          </cell>
          <cell r="C142" t="str">
            <v>Nồi</v>
          </cell>
        </row>
        <row r="143">
          <cell r="A143" t="str">
            <v>ASLAU011</v>
          </cell>
          <cell r="B143" t="str">
            <v>Lẩu Cua Đồng</v>
          </cell>
          <cell r="C143" t="str">
            <v>Nồi</v>
          </cell>
        </row>
        <row r="144">
          <cell r="A144" t="str">
            <v>ASLAU012</v>
          </cell>
          <cell r="B144" t="str">
            <v>Lẩu Thái Cốt Bề Bề</v>
          </cell>
          <cell r="C144" t="str">
            <v>Nồi</v>
          </cell>
        </row>
        <row r="145">
          <cell r="A145" t="str">
            <v>ASLAU013</v>
          </cell>
          <cell r="B145" t="str">
            <v>Mâm Lẩu Cua Bò</v>
          </cell>
          <cell r="C145" t="str">
            <v>Mâm</v>
          </cell>
        </row>
        <row r="146">
          <cell r="A146" t="str">
            <v>ASLAU014</v>
          </cell>
          <cell r="B146" t="str">
            <v>Mâm Lẩu Cua Gà</v>
          </cell>
          <cell r="C146" t="str">
            <v>Mâm</v>
          </cell>
        </row>
        <row r="147">
          <cell r="A147" t="str">
            <v>ASLAU015</v>
          </cell>
          <cell r="B147" t="str">
            <v>Mâm Lẩu Nấm Chim Câu</v>
          </cell>
          <cell r="C147" t="str">
            <v>Mâm</v>
          </cell>
        </row>
        <row r="148">
          <cell r="A148" t="str">
            <v>ASLAU016</v>
          </cell>
          <cell r="B148" t="str">
            <v>Mâm Lẩu Nấm Bò</v>
          </cell>
          <cell r="C148" t="str">
            <v>Mâm</v>
          </cell>
        </row>
        <row r="149">
          <cell r="A149" t="str">
            <v>ASLAU017</v>
          </cell>
          <cell r="B149" t="str">
            <v>Mâm Lẩu Nấm Gà</v>
          </cell>
          <cell r="C149" t="str">
            <v>Mâm</v>
          </cell>
        </row>
        <row r="150">
          <cell r="A150" t="str">
            <v>ASLAU018</v>
          </cell>
          <cell r="B150" t="str">
            <v>Mâm Lẩu Cà Chua Bò</v>
          </cell>
          <cell r="C150" t="str">
            <v>Mâm</v>
          </cell>
        </row>
        <row r="151">
          <cell r="A151" t="str">
            <v>ASLAU019</v>
          </cell>
          <cell r="B151" t="str">
            <v>Mâm Lẩu Cà Chua Gà</v>
          </cell>
          <cell r="C151" t="str">
            <v>Mâm</v>
          </cell>
        </row>
        <row r="152">
          <cell r="A152" t="str">
            <v>ASLOM001</v>
          </cell>
          <cell r="B152" t="str">
            <v>Ếch Om Chuối Đậu</v>
          </cell>
          <cell r="C152" t="str">
            <v>Nồi</v>
          </cell>
        </row>
        <row r="153">
          <cell r="A153" t="str">
            <v>ASLOM002</v>
          </cell>
          <cell r="B153" t="str">
            <v>Lươn Om Chuối Đậu</v>
          </cell>
          <cell r="C153" t="str">
            <v>Nồi</v>
          </cell>
        </row>
        <row r="154">
          <cell r="A154" t="str">
            <v>ASLOM003</v>
          </cell>
          <cell r="B154" t="str">
            <v>Ốc Om Chuối Đậu</v>
          </cell>
          <cell r="C154" t="str">
            <v>Nồi</v>
          </cell>
        </row>
        <row r="155">
          <cell r="A155" t="str">
            <v>ASLOM004</v>
          </cell>
          <cell r="B155" t="str">
            <v>Cá Lăng Om Chuối Đậu</v>
          </cell>
          <cell r="C155" t="str">
            <v>Nồi</v>
          </cell>
        </row>
        <row r="156">
          <cell r="A156" t="str">
            <v>ASMAKN001</v>
          </cell>
          <cell r="B156" t="str">
            <v>Thịt Tươi Nhúng Lẩu (MV)</v>
          </cell>
          <cell r="C156" t="str">
            <v>Phần</v>
          </cell>
        </row>
        <row r="157">
          <cell r="A157" t="str">
            <v>ASMAKN002</v>
          </cell>
          <cell r="B157" t="str">
            <v>Mỳ Tôm (MV)</v>
          </cell>
          <cell r="C157" t="str">
            <v>Gói</v>
          </cell>
        </row>
        <row r="158">
          <cell r="A158" t="str">
            <v>ASMAKN003</v>
          </cell>
          <cell r="B158" t="str">
            <v>Bún Thêm (MV)</v>
          </cell>
          <cell r="C158" t="str">
            <v>Phần</v>
          </cell>
        </row>
        <row r="159">
          <cell r="A159" t="str">
            <v>ASMAKN004</v>
          </cell>
          <cell r="B159" t="str">
            <v>Thịt Ba Chỉ Bò Tơ Nhúng Lẩu (MV)</v>
          </cell>
          <cell r="C159" t="str">
            <v>Phần</v>
          </cell>
        </row>
        <row r="160">
          <cell r="A160" t="str">
            <v>ASMAKN005</v>
          </cell>
          <cell r="B160" t="str">
            <v>Đậu Phụ Nhúng Lẩu (MV)</v>
          </cell>
          <cell r="C160" t="str">
            <v>Phần</v>
          </cell>
        </row>
        <row r="161">
          <cell r="A161" t="str">
            <v>ASMAKN006</v>
          </cell>
          <cell r="B161" t="str">
            <v>Ba Chỉ Bò Mỹ Nhúng Lẩu (MV)</v>
          </cell>
          <cell r="C161" t="str">
            <v>Phần</v>
          </cell>
        </row>
        <row r="162">
          <cell r="A162" t="str">
            <v>ASMAKN007</v>
          </cell>
          <cell r="B162" t="str">
            <v>Bò Viên Nhúng Lẩu (MV)</v>
          </cell>
          <cell r="C162" t="str">
            <v>Phần</v>
          </cell>
        </row>
        <row r="163">
          <cell r="A163" t="str">
            <v>ASMAKN008</v>
          </cell>
          <cell r="B163" t="str">
            <v>Nấm Kim Châm Nhúng Lẩu (MV)</v>
          </cell>
          <cell r="C163" t="str">
            <v>Phần</v>
          </cell>
        </row>
        <row r="164">
          <cell r="A164" t="str">
            <v>ASMAKN009</v>
          </cell>
          <cell r="B164" t="str">
            <v>Rau Nhúng Lẩu (MV)</v>
          </cell>
          <cell r="C164" t="str">
            <v>Phần</v>
          </cell>
        </row>
        <row r="165">
          <cell r="A165" t="str">
            <v>ASMAKN010</v>
          </cell>
          <cell r="B165" t="str">
            <v>Rau Om Chuối Đậu (MV)</v>
          </cell>
          <cell r="C165" t="str">
            <v>Phần</v>
          </cell>
        </row>
        <row r="166">
          <cell r="A166" t="str">
            <v>ASMAKN011</v>
          </cell>
          <cell r="B166" t="str">
            <v>Nấm Tươi Nhúng Lẩu (MV)</v>
          </cell>
          <cell r="C166" t="str">
            <v>Phần</v>
          </cell>
        </row>
        <row r="167">
          <cell r="A167" t="str">
            <v>ASMAKN012</v>
          </cell>
          <cell r="B167" t="str">
            <v>Kim Chi Gọi Thêm (MV)</v>
          </cell>
          <cell r="C167" t="str">
            <v>Phần</v>
          </cell>
        </row>
        <row r="168">
          <cell r="A168" t="str">
            <v>ASMAKN013</v>
          </cell>
          <cell r="B168" t="str">
            <v>Gạch Cua Thêm (MV)</v>
          </cell>
          <cell r="C168" t="str">
            <v>Phần</v>
          </cell>
        </row>
        <row r="169">
          <cell r="A169" t="str">
            <v>ASMAKN014</v>
          </cell>
          <cell r="B169" t="str">
            <v>Trứng Thêm (MV)</v>
          </cell>
          <cell r="C169" t="str">
            <v>Phần</v>
          </cell>
        </row>
        <row r="170">
          <cell r="A170" t="str">
            <v>ASMAKN015</v>
          </cell>
          <cell r="B170" t="str">
            <v>Chân Gà Rút Xương (MV)</v>
          </cell>
          <cell r="C170" t="str">
            <v>Phần</v>
          </cell>
        </row>
        <row r="171">
          <cell r="A171" t="str">
            <v>ASMAKN016</v>
          </cell>
          <cell r="B171" t="str">
            <v>Dạ Dày Nhúng Lẩu (MV)</v>
          </cell>
          <cell r="C171" t="str">
            <v>Phần</v>
          </cell>
        </row>
        <row r="172">
          <cell r="A172" t="str">
            <v>ASMAKN017</v>
          </cell>
          <cell r="B172" t="str">
            <v>Sách Bò Nhúng Lẩu (MV)</v>
          </cell>
          <cell r="C172" t="str">
            <v>Phần</v>
          </cell>
        </row>
        <row r="173">
          <cell r="A173" t="str">
            <v>ASMAKN018</v>
          </cell>
          <cell r="B173" t="str">
            <v>Nạm Bò Nhúng Lẩu (MV)</v>
          </cell>
          <cell r="C173" t="str">
            <v>Phần</v>
          </cell>
        </row>
        <row r="174">
          <cell r="A174" t="str">
            <v>ASMAKN019</v>
          </cell>
          <cell r="B174" t="str">
            <v>Đuôi Bò Nhúng Lẩu (MV)</v>
          </cell>
          <cell r="C174" t="str">
            <v>Phần</v>
          </cell>
        </row>
        <row r="175">
          <cell r="A175" t="str">
            <v>ASMAKN020</v>
          </cell>
          <cell r="B175" t="str">
            <v>Gân Bò Nhúng Lẩu (MV)</v>
          </cell>
          <cell r="C175" t="str">
            <v>Phần</v>
          </cell>
        </row>
        <row r="176">
          <cell r="A176" t="str">
            <v>ASMAKN021</v>
          </cell>
          <cell r="B176" t="str">
            <v>Chả Lá Lốt (MV)</v>
          </cell>
          <cell r="C176" t="str">
            <v>Phần</v>
          </cell>
        </row>
        <row r="177">
          <cell r="A177" t="str">
            <v>ASMAKN022</v>
          </cell>
          <cell r="B177" t="str">
            <v>Chả Cá (MV)</v>
          </cell>
          <cell r="C177" t="str">
            <v>Phần</v>
          </cell>
        </row>
        <row r="178">
          <cell r="A178" t="str">
            <v>ASMAKN023</v>
          </cell>
          <cell r="B178" t="str">
            <v>Mọc Bò Nấm (MV)</v>
          </cell>
          <cell r="C178" t="str">
            <v>Phần</v>
          </cell>
        </row>
        <row r="179">
          <cell r="A179" t="str">
            <v>ASMAKN024</v>
          </cell>
          <cell r="B179" t="str">
            <v>Mọc Heo Nấm (MV)</v>
          </cell>
          <cell r="C179" t="str">
            <v>Phần</v>
          </cell>
        </row>
        <row r="180">
          <cell r="A180" t="str">
            <v>ASMAKN025</v>
          </cell>
          <cell r="B180" t="str">
            <v>Mọc Tôm Tươi (MV)</v>
          </cell>
          <cell r="C180" t="str">
            <v>Phần</v>
          </cell>
        </row>
        <row r="181">
          <cell r="A181" t="str">
            <v>ASMAKN026</v>
          </cell>
          <cell r="B181" t="str">
            <v>Mọc Sò Điệp (MV)</v>
          </cell>
          <cell r="C181" t="str">
            <v>Phần</v>
          </cell>
        </row>
        <row r="182">
          <cell r="A182" t="str">
            <v>ASMAKN027</v>
          </cell>
          <cell r="B182" t="str">
            <v>Đậu Hũ Phô Mai (MV)</v>
          </cell>
          <cell r="C182" t="str">
            <v>Phần</v>
          </cell>
        </row>
        <row r="183">
          <cell r="A183" t="str">
            <v>ASMAKN028</v>
          </cell>
          <cell r="B183" t="str">
            <v>Xúc xích phô mai (MV)</v>
          </cell>
          <cell r="C183" t="str">
            <v>Phần</v>
          </cell>
        </row>
        <row r="184">
          <cell r="A184" t="str">
            <v>ASMAKN029</v>
          </cell>
          <cell r="B184" t="str">
            <v>Tàu Hũ Ki Cuộn (MV)</v>
          </cell>
          <cell r="C184" t="str">
            <v>Phần</v>
          </cell>
        </row>
        <row r="185">
          <cell r="A185" t="str">
            <v>ASMAKN030</v>
          </cell>
          <cell r="B185" t="str">
            <v>Thanh cua nhúng lẩu (MV)</v>
          </cell>
          <cell r="C185" t="str">
            <v>Phần</v>
          </cell>
        </row>
        <row r="186">
          <cell r="A186" t="str">
            <v>ASMAKN031</v>
          </cell>
          <cell r="B186" t="str">
            <v>Viên Tôm (MV)</v>
          </cell>
          <cell r="C186" t="str">
            <v>Phần</v>
          </cell>
        </row>
        <row r="187">
          <cell r="A187" t="str">
            <v>ASMAKN032</v>
          </cell>
          <cell r="B187" t="str">
            <v>Bánh Đa (MV)</v>
          </cell>
          <cell r="C187" t="str">
            <v>Phần</v>
          </cell>
        </row>
        <row r="188">
          <cell r="A188" t="str">
            <v>ASMAKN033</v>
          </cell>
          <cell r="B188" t="str">
            <v>Mồng Tơi Nhúng Lẩu (MV)</v>
          </cell>
          <cell r="C188" t="str">
            <v>Phần</v>
          </cell>
        </row>
        <row r="189">
          <cell r="A189" t="str">
            <v>ASMAKN034</v>
          </cell>
          <cell r="B189" t="str">
            <v>Rau Tần Ô Nhúng Lẩu (MV)</v>
          </cell>
          <cell r="C189" t="str">
            <v>Phần</v>
          </cell>
        </row>
        <row r="190">
          <cell r="A190" t="str">
            <v>ASMAKN035</v>
          </cell>
          <cell r="B190" t="str">
            <v>Rau Muống Chẻ (MV)</v>
          </cell>
          <cell r="C190" t="str">
            <v>Phần</v>
          </cell>
        </row>
        <row r="191">
          <cell r="A191" t="str">
            <v>ASMAKN036</v>
          </cell>
          <cell r="B191" t="str">
            <v>Bầu Nhúng Lẩu (MV)</v>
          </cell>
          <cell r="C191" t="str">
            <v>Phần</v>
          </cell>
        </row>
        <row r="192">
          <cell r="A192" t="str">
            <v>ASMAKN037</v>
          </cell>
          <cell r="B192" t="str">
            <v>Mướp Hương Nhúng Lẩu (MV)</v>
          </cell>
          <cell r="C192" t="str">
            <v>Phần</v>
          </cell>
        </row>
        <row r="193">
          <cell r="A193" t="str">
            <v>ASMAKN038</v>
          </cell>
          <cell r="B193" t="str">
            <v>Cải thảo Nhúng Lẩu (MV)</v>
          </cell>
          <cell r="C193" t="str">
            <v>Phần</v>
          </cell>
        </row>
        <row r="194">
          <cell r="A194" t="str">
            <v>ASMAKN039</v>
          </cell>
          <cell r="B194" t="str">
            <v>Rau Xà Lách nhúng lẩu (MV)</v>
          </cell>
          <cell r="C194" t="str">
            <v>Phần</v>
          </cell>
        </row>
        <row r="195">
          <cell r="A195" t="str">
            <v>ASMAKN040</v>
          </cell>
          <cell r="B195" t="str">
            <v>Ngô ngọt nhúng lẩu (MV)</v>
          </cell>
          <cell r="C195" t="str">
            <v>Phần</v>
          </cell>
        </row>
        <row r="196">
          <cell r="A196" t="str">
            <v>ASMAKN041</v>
          </cell>
          <cell r="B196" t="str">
            <v>Rau Lẩu Cua( MV)</v>
          </cell>
          <cell r="C196" t="str">
            <v>Phần</v>
          </cell>
        </row>
        <row r="197">
          <cell r="A197" t="str">
            <v>ASMAKN042</v>
          </cell>
          <cell r="B197" t="str">
            <v>Rau Lẩu Thái( MV)</v>
          </cell>
          <cell r="C197" t="str">
            <v>Phần</v>
          </cell>
        </row>
        <row r="198">
          <cell r="A198" t="str">
            <v>ASMAKN043</v>
          </cell>
          <cell r="B198" t="str">
            <v>Set Rau Nấm (MV)</v>
          </cell>
          <cell r="C198" t="str">
            <v>Phần</v>
          </cell>
        </row>
        <row r="199">
          <cell r="A199" t="str">
            <v>ASMAKN044</v>
          </cell>
          <cell r="B199" t="str">
            <v>Gù Bò Nhúng Lẩu (MV)</v>
          </cell>
          <cell r="C199" t="str">
            <v>Phần</v>
          </cell>
        </row>
        <row r="200">
          <cell r="A200" t="str">
            <v>ASMAKN045</v>
          </cell>
          <cell r="B200" t="str">
            <v>Gà Tươi Nhúng Lẩu (Nửa Con) (MV)</v>
          </cell>
          <cell r="C200" t="str">
            <v>Phần</v>
          </cell>
        </row>
        <row r="201">
          <cell r="A201" t="str">
            <v>ASMAKN046</v>
          </cell>
          <cell r="B201" t="str">
            <v>Chim Câu Nhúng Lẩu (Cả Con) (MV)</v>
          </cell>
          <cell r="C201" t="str">
            <v>Phần</v>
          </cell>
        </row>
        <row r="202">
          <cell r="A202" t="str">
            <v>ASMAKN047</v>
          </cell>
          <cell r="B202" t="str">
            <v>Rau Lẩu Cà Chua (MV)</v>
          </cell>
          <cell r="C202" t="str">
            <v>Phần</v>
          </cell>
        </row>
        <row r="203">
          <cell r="A203" t="str">
            <v>ASMANO001</v>
          </cell>
          <cell r="B203" t="str">
            <v>Cơm Lam (MV)</v>
          </cell>
          <cell r="C203" t="str">
            <v>Phần</v>
          </cell>
        </row>
        <row r="204">
          <cell r="A204" t="str">
            <v>ASMANO002</v>
          </cell>
          <cell r="B204" t="str">
            <v>Xôi Chiên Bò Nấm (MV)</v>
          </cell>
          <cell r="C204" t="str">
            <v>Phần</v>
          </cell>
        </row>
        <row r="205">
          <cell r="A205" t="str">
            <v>ASMANO003</v>
          </cell>
          <cell r="B205" t="str">
            <v>Mì Xào Hải Sản (MV)</v>
          </cell>
          <cell r="C205" t="str">
            <v>Phần</v>
          </cell>
        </row>
        <row r="206">
          <cell r="A206" t="str">
            <v>ASMANO004</v>
          </cell>
          <cell r="B206" t="str">
            <v>Cơm Chiên Tôm Dứa (MV)</v>
          </cell>
          <cell r="C206" t="str">
            <v>Phần</v>
          </cell>
        </row>
        <row r="207">
          <cell r="A207" t="str">
            <v>ASMANO005</v>
          </cell>
          <cell r="B207" t="str">
            <v>Bánh Bao Chiên (MV)</v>
          </cell>
          <cell r="C207" t="str">
            <v>Phần</v>
          </cell>
        </row>
        <row r="208">
          <cell r="A208" t="str">
            <v>ASMCBO001</v>
          </cell>
          <cell r="B208" t="str">
            <v>Combo Hạnh Phúc (MV)</v>
          </cell>
          <cell r="C208" t="str">
            <v>Set</v>
          </cell>
        </row>
        <row r="209">
          <cell r="A209" t="str">
            <v>ASMCBO002</v>
          </cell>
          <cell r="B209" t="str">
            <v>Combo Tâm Giao (MV)</v>
          </cell>
          <cell r="C209" t="str">
            <v>Set</v>
          </cell>
        </row>
        <row r="210">
          <cell r="A210" t="str">
            <v>ASMCBO003</v>
          </cell>
          <cell r="B210" t="str">
            <v>Combo Thịnh Vượng (MV)</v>
          </cell>
          <cell r="C210" t="str">
            <v>Set</v>
          </cell>
        </row>
        <row r="211">
          <cell r="A211" t="str">
            <v>ASMCBO004</v>
          </cell>
          <cell r="B211" t="str">
            <v>Combo Sung Túc (MV)</v>
          </cell>
          <cell r="C211" t="str">
            <v>Set</v>
          </cell>
        </row>
        <row r="212">
          <cell r="A212" t="str">
            <v>ASMCBO005</v>
          </cell>
          <cell r="B212" t="str">
            <v>SET LẨU UYÊN ƯƠNG 1 (MV)</v>
          </cell>
          <cell r="C212" t="str">
            <v>Set</v>
          </cell>
        </row>
        <row r="213">
          <cell r="A213" t="str">
            <v>ASMCBO006</v>
          </cell>
          <cell r="B213" t="str">
            <v>SET LẨU UYÊN ƯƠNG 2 (MV)</v>
          </cell>
          <cell r="C213" t="str">
            <v>Set</v>
          </cell>
        </row>
        <row r="214">
          <cell r="A214" t="str">
            <v>ASMCBO007</v>
          </cell>
          <cell r="B214" t="str">
            <v>COMBO LẨU CUA 399K (MV)</v>
          </cell>
          <cell r="C214" t="str">
            <v>Set</v>
          </cell>
        </row>
        <row r="215">
          <cell r="A215" t="str">
            <v>ASMCBO008</v>
          </cell>
          <cell r="B215" t="str">
            <v>COMBO LẨU CUA 499K (MV)</v>
          </cell>
          <cell r="C215" t="str">
            <v>Set</v>
          </cell>
        </row>
        <row r="216">
          <cell r="A216" t="str">
            <v>ASMCBO009</v>
          </cell>
          <cell r="B216" t="str">
            <v>COMBO LẨU THÁI 399K( MV)</v>
          </cell>
          <cell r="C216" t="str">
            <v>Set</v>
          </cell>
        </row>
        <row r="217">
          <cell r="A217" t="str">
            <v>ASMCBO010</v>
          </cell>
          <cell r="B217" t="str">
            <v>COMBO LẨU THÁI 499K (MV)</v>
          </cell>
          <cell r="C217" t="str">
            <v>Set</v>
          </cell>
        </row>
        <row r="218">
          <cell r="A218" t="str">
            <v>ASMCBO011</v>
          </cell>
          <cell r="B218" t="str">
            <v>Tiệc 1 (MV)</v>
          </cell>
          <cell r="C218" t="str">
            <v>Set</v>
          </cell>
        </row>
        <row r="219">
          <cell r="A219" t="str">
            <v>ASMCBO012</v>
          </cell>
          <cell r="B219" t="str">
            <v>Tiệc 2 (MV)</v>
          </cell>
          <cell r="C219" t="str">
            <v>Set</v>
          </cell>
        </row>
        <row r="220">
          <cell r="A220" t="str">
            <v>ASMCBO013</v>
          </cell>
          <cell r="B220" t="str">
            <v>Tiệc 3 (MV)</v>
          </cell>
          <cell r="C220" t="str">
            <v>Set</v>
          </cell>
        </row>
        <row r="221">
          <cell r="A221" t="str">
            <v>ASMCCX001</v>
          </cell>
          <cell r="B221" t="str">
            <v>Heo Quay Cuốn Bánh Tráng (MV)</v>
          </cell>
          <cell r="C221" t="str">
            <v>Phần</v>
          </cell>
        </row>
        <row r="222">
          <cell r="A222" t="str">
            <v>ASMCCX002</v>
          </cell>
          <cell r="B222" t="str">
            <v>Bánh Tráng Heo Hấp (MV)</v>
          </cell>
          <cell r="C222" t="str">
            <v>Phần</v>
          </cell>
        </row>
        <row r="223">
          <cell r="A223" t="str">
            <v>ASMCCX003</v>
          </cell>
          <cell r="B223" t="str">
            <v>Bò Tơ Cuốn Bánh Tráng (MV)</v>
          </cell>
          <cell r="C223" t="str">
            <v>Phần</v>
          </cell>
        </row>
        <row r="224">
          <cell r="A224" t="str">
            <v>ASMCCX004</v>
          </cell>
          <cell r="B224" t="str">
            <v>Bò Lá Lốt Cuốn Bánh Tráng (MV)</v>
          </cell>
          <cell r="C224" t="str">
            <v>Phần</v>
          </cell>
        </row>
        <row r="225">
          <cell r="A225" t="str">
            <v>ASMCCX005</v>
          </cell>
          <cell r="B225" t="str">
            <v>Bánh Tráng Heo Quay (Size S) (MV)</v>
          </cell>
          <cell r="C225" t="str">
            <v>Phần</v>
          </cell>
        </row>
        <row r="226">
          <cell r="A226" t="str">
            <v>ASMCCX006</v>
          </cell>
          <cell r="B226" t="str">
            <v>Bánh Tráng Cuốn Bò Tơ (Size S) (MV)</v>
          </cell>
          <cell r="C226" t="str">
            <v>Phần</v>
          </cell>
        </row>
        <row r="227">
          <cell r="A227" t="str">
            <v>ASMCCX007</v>
          </cell>
          <cell r="B227" t="str">
            <v>Bánh Tráng Cuốn Bò Lá Lốt (Size S) (MV)</v>
          </cell>
          <cell r="C227" t="str">
            <v>Phần</v>
          </cell>
        </row>
        <row r="228">
          <cell r="A228" t="str">
            <v>ASMCCX008</v>
          </cell>
          <cell r="B228" t="str">
            <v>Mẹt Cuốn An Vũ Đặc Biệt (MV)</v>
          </cell>
          <cell r="C228" t="str">
            <v>Phần</v>
          </cell>
        </row>
        <row r="229">
          <cell r="A229" t="str">
            <v>ASMCCX009</v>
          </cell>
          <cell r="B229" t="str">
            <v>Bò Lụi Sả Cuốn Bánh Tráng (MV)</v>
          </cell>
          <cell r="C229" t="str">
            <v>Phần</v>
          </cell>
        </row>
        <row r="230">
          <cell r="A230" t="str">
            <v>ASMCCX010</v>
          </cell>
          <cell r="B230" t="str">
            <v>Bánh Tráng Cuốn Nem Bò Nướng (MV)</v>
          </cell>
          <cell r="C230" t="str">
            <v>Phần</v>
          </cell>
        </row>
        <row r="231">
          <cell r="A231" t="str">
            <v>ASMCCX011</v>
          </cell>
          <cell r="B231" t="str">
            <v>Heo Quay Bánh Hỏi (MV)</v>
          </cell>
          <cell r="C231" t="str">
            <v>Phần</v>
          </cell>
        </row>
        <row r="232">
          <cell r="A232" t="str">
            <v>ASMCHA001</v>
          </cell>
          <cell r="B232" t="str">
            <v>Mẹt Cuốn Ngũ Sắc (MV)</v>
          </cell>
          <cell r="C232" t="str">
            <v>Phần</v>
          </cell>
        </row>
        <row r="233">
          <cell r="A233" t="str">
            <v>ASMCHA002</v>
          </cell>
          <cell r="B233" t="str">
            <v>Chả Giò An Lạc (MV)</v>
          </cell>
          <cell r="C233" t="str">
            <v>Phần</v>
          </cell>
        </row>
        <row r="234">
          <cell r="A234" t="str">
            <v>ASMCHA003</v>
          </cell>
          <cell r="B234" t="str">
            <v>Nấm Thập Vị Thanh Lành (MV)</v>
          </cell>
          <cell r="C234" t="str">
            <v>Phần</v>
          </cell>
        </row>
        <row r="235">
          <cell r="A235" t="str">
            <v>ASMCHA004</v>
          </cell>
          <cell r="B235" t="str">
            <v>Nấm Xào Rau Củ Thập Cẩm (MV)</v>
          </cell>
          <cell r="C235" t="str">
            <v>Phần</v>
          </cell>
        </row>
        <row r="236">
          <cell r="A236" t="str">
            <v>ASMDQE001</v>
          </cell>
          <cell r="B236" t="str">
            <v>Chả Ốc Tây Hồ (MV)</v>
          </cell>
          <cell r="C236" t="str">
            <v>Phần</v>
          </cell>
        </row>
        <row r="237">
          <cell r="A237" t="str">
            <v>ASMDQE002</v>
          </cell>
          <cell r="B237" t="str">
            <v>Ốc Xào Chuối Đậu (MV)</v>
          </cell>
          <cell r="C237" t="str">
            <v>Phần</v>
          </cell>
        </row>
        <row r="238">
          <cell r="A238" t="str">
            <v>ASMDQE003</v>
          </cell>
          <cell r="B238" t="str">
            <v>Ốc Nhồi Ống Tre (MV)</v>
          </cell>
          <cell r="C238" t="str">
            <v>Phần</v>
          </cell>
        </row>
        <row r="239">
          <cell r="A239" t="str">
            <v>ASMDQE004</v>
          </cell>
          <cell r="B239" t="str">
            <v>Ếch Rang Muối (MV)</v>
          </cell>
          <cell r="C239" t="str">
            <v>Phần</v>
          </cell>
        </row>
        <row r="240">
          <cell r="A240" t="str">
            <v>ASMDQE005</v>
          </cell>
          <cell r="B240" t="str">
            <v>Lươn Nướng (MV)</v>
          </cell>
          <cell r="C240" t="str">
            <v>Phần</v>
          </cell>
        </row>
        <row r="241">
          <cell r="A241" t="str">
            <v>ASMDQE006</v>
          </cell>
          <cell r="B241" t="str">
            <v>Ếch Xào Chuối Đậu (MV)</v>
          </cell>
          <cell r="C241" t="str">
            <v>Phần</v>
          </cell>
        </row>
        <row r="242">
          <cell r="A242" t="str">
            <v>ASMDQE007</v>
          </cell>
          <cell r="B242" t="str">
            <v>Nem Ốc (MV)</v>
          </cell>
          <cell r="C242" t="str">
            <v>Phần</v>
          </cell>
        </row>
        <row r="243">
          <cell r="A243" t="str">
            <v>ASMDQE008</v>
          </cell>
          <cell r="B243" t="str">
            <v>Nem Gánh Hà Nội (MV)</v>
          </cell>
          <cell r="C243" t="str">
            <v>Phần</v>
          </cell>
        </row>
        <row r="244">
          <cell r="A244" t="str">
            <v>ASMHAS001</v>
          </cell>
          <cell r="B244" t="str">
            <v>Tôm Sú Xóc Tỏi (MV)</v>
          </cell>
          <cell r="C244" t="str">
            <v>Phần</v>
          </cell>
        </row>
        <row r="245">
          <cell r="A245" t="str">
            <v>ASMHAS002</v>
          </cell>
          <cell r="B245" t="str">
            <v>Tôm Nướng Muối Ớt (MV)</v>
          </cell>
          <cell r="C245" t="str">
            <v>Phần</v>
          </cell>
        </row>
        <row r="246">
          <cell r="A246" t="str">
            <v>ASMHAS003</v>
          </cell>
          <cell r="B246" t="str">
            <v>Tôm Sú Xốt Phô Mai (MV)</v>
          </cell>
          <cell r="C246" t="str">
            <v>Phần</v>
          </cell>
        </row>
        <row r="247">
          <cell r="A247" t="str">
            <v>ASMHAS004</v>
          </cell>
          <cell r="B247" t="str">
            <v>Mực Ống Xốt Thái (MV)</v>
          </cell>
          <cell r="C247" t="str">
            <v>Phần</v>
          </cell>
        </row>
        <row r="248">
          <cell r="A248" t="str">
            <v>ASMHAS005</v>
          </cell>
          <cell r="B248" t="str">
            <v>Mực Ống Chiên Bơ (MV)</v>
          </cell>
          <cell r="C248" t="str">
            <v>Phần</v>
          </cell>
        </row>
        <row r="249">
          <cell r="A249" t="str">
            <v>ASMHAS006</v>
          </cell>
          <cell r="B249" t="str">
            <v>Mực Nướng Muối Ớt (MV)</v>
          </cell>
          <cell r="C249" t="str">
            <v>Phần</v>
          </cell>
        </row>
        <row r="250">
          <cell r="A250" t="str">
            <v>ASMHGC001</v>
          </cell>
          <cell r="B250" t="str">
            <v>Chân Giò Quay Lu (MV)</v>
          </cell>
          <cell r="C250" t="str">
            <v>Phần</v>
          </cell>
        </row>
        <row r="251">
          <cell r="A251" t="str">
            <v>ASMHGC002</v>
          </cell>
          <cell r="B251" t="str">
            <v>Dồi Sụn Chiên (MV)</v>
          </cell>
          <cell r="C251" t="str">
            <v>Phần</v>
          </cell>
        </row>
        <row r="252">
          <cell r="A252" t="str">
            <v>ASMHGC003</v>
          </cell>
          <cell r="B252" t="str">
            <v>Má Heo Nướng (MV)</v>
          </cell>
          <cell r="C252" t="str">
            <v>Phần</v>
          </cell>
        </row>
        <row r="253">
          <cell r="A253" t="str">
            <v>ASMHGC004</v>
          </cell>
          <cell r="B253" t="str">
            <v>Heo Giòn Quay Lu (MV)</v>
          </cell>
          <cell r="C253" t="str">
            <v>Phần</v>
          </cell>
        </row>
        <row r="254">
          <cell r="A254" t="str">
            <v>ASMHGC005</v>
          </cell>
          <cell r="B254" t="str">
            <v>Má Đào Chiên Kiểu Thái (MV)</v>
          </cell>
          <cell r="C254" t="str">
            <v>Phần</v>
          </cell>
        </row>
        <row r="255">
          <cell r="A255" t="str">
            <v>ASMHGC006</v>
          </cell>
          <cell r="B255" t="str">
            <v>Gà Ri Chiên Mắm (1/2 Con) (MV)</v>
          </cell>
          <cell r="C255" t="str">
            <v>Phần</v>
          </cell>
        </row>
        <row r="256">
          <cell r="A256" t="str">
            <v>ASMHGC007</v>
          </cell>
          <cell r="B256" t="str">
            <v>Gà Quay Lu (1 Con) (MV)</v>
          </cell>
          <cell r="C256" t="str">
            <v>Phần</v>
          </cell>
        </row>
        <row r="257">
          <cell r="A257" t="str">
            <v>ASMHGC008</v>
          </cell>
          <cell r="B257" t="str">
            <v>Cánh Gà Chiên Mắm (MV)</v>
          </cell>
          <cell r="C257" t="str">
            <v>Phần</v>
          </cell>
        </row>
        <row r="258">
          <cell r="A258" t="str">
            <v>ASMHGC009</v>
          </cell>
          <cell r="B258" t="str">
            <v>Cá Lăng Rang Muối (MV)</v>
          </cell>
          <cell r="C258" t="str">
            <v>Phần</v>
          </cell>
        </row>
        <row r="259">
          <cell r="A259" t="str">
            <v>ASMHGC010</v>
          </cell>
          <cell r="B259" t="str">
            <v>Cá Lăng Nướng Riềng Mẻ (MV)</v>
          </cell>
          <cell r="C259" t="str">
            <v>Phần</v>
          </cell>
        </row>
        <row r="260">
          <cell r="A260" t="str">
            <v>ASMHGC011</v>
          </cell>
          <cell r="B260" t="str">
            <v>Cá Lăng Hấp Xì Dầu (MV)</v>
          </cell>
          <cell r="C260" t="str">
            <v>Phần</v>
          </cell>
        </row>
        <row r="261">
          <cell r="A261" t="str">
            <v>ASMHGC012</v>
          </cell>
          <cell r="B261" t="str">
            <v>Gà Quay Lu (1/2 Con) (MV)</v>
          </cell>
          <cell r="C261" t="str">
            <v>Phần</v>
          </cell>
        </row>
        <row r="262">
          <cell r="A262" t="str">
            <v>ASMHGC013</v>
          </cell>
          <cell r="B262" t="str">
            <v>Gà Quay Mắm Nhĩ (MV)</v>
          </cell>
          <cell r="C262" t="str">
            <v>Phần</v>
          </cell>
        </row>
        <row r="263">
          <cell r="A263" t="str">
            <v>ASMHGC014</v>
          </cell>
          <cell r="B263" t="str">
            <v>Gà Quay Mắm Nhĩ Nửa Con (MV)</v>
          </cell>
          <cell r="C263" t="str">
            <v>Phần</v>
          </cell>
        </row>
        <row r="264">
          <cell r="A264" t="str">
            <v>ASMHGC015</v>
          </cell>
          <cell r="B264" t="str">
            <v>Sụn Gà Rang Muối Hong Kong (MV)</v>
          </cell>
          <cell r="C264" t="str">
            <v>Phần</v>
          </cell>
        </row>
        <row r="265">
          <cell r="A265" t="str">
            <v>ASMHGC016</v>
          </cell>
          <cell r="B265" t="str">
            <v>Chân Gà Rang Muối Hong Kong (MV)</v>
          </cell>
          <cell r="C265" t="str">
            <v>Phần</v>
          </cell>
        </row>
        <row r="266">
          <cell r="A266" t="str">
            <v>ASMHQU001</v>
          </cell>
          <cell r="B266" t="str">
            <v>Nước Ép Dưa Hấu (MV)</v>
          </cell>
          <cell r="C266" t="str">
            <v>Ly</v>
          </cell>
        </row>
        <row r="267">
          <cell r="A267" t="str">
            <v>ASMHQU002</v>
          </cell>
          <cell r="B267" t="str">
            <v>Nước Ép Thơm (MV)</v>
          </cell>
          <cell r="C267" t="str">
            <v>Ly</v>
          </cell>
        </row>
        <row r="268">
          <cell r="A268" t="str">
            <v>ASMHQU003</v>
          </cell>
          <cell r="B268" t="str">
            <v>Nước Ép Cam (MV)</v>
          </cell>
          <cell r="C268" t="str">
            <v>Ly</v>
          </cell>
        </row>
        <row r="269">
          <cell r="A269" t="str">
            <v>ASMHQU004</v>
          </cell>
          <cell r="B269" t="str">
            <v>Trà Dưỡng Tâm (MV)</v>
          </cell>
          <cell r="C269" t="str">
            <v>Ly</v>
          </cell>
        </row>
        <row r="270">
          <cell r="A270" t="str">
            <v>ASMHQU005</v>
          </cell>
          <cell r="B270" t="str">
            <v>Trà Hoa Cúc (MV)</v>
          </cell>
          <cell r="C270" t="str">
            <v>Ly</v>
          </cell>
        </row>
        <row r="271">
          <cell r="A271" t="str">
            <v>ASMHQU006</v>
          </cell>
          <cell r="B271" t="str">
            <v>Trà Ổi Hồng (MV)</v>
          </cell>
          <cell r="C271" t="str">
            <v>Ly</v>
          </cell>
        </row>
        <row r="272">
          <cell r="A272" t="str">
            <v>ASMHQU007</v>
          </cell>
          <cell r="B272" t="str">
            <v>Trà Đào Hibicus (MV)</v>
          </cell>
          <cell r="C272" t="str">
            <v>Ly</v>
          </cell>
        </row>
        <row r="273">
          <cell r="A273" t="str">
            <v>ASMHQU008</v>
          </cell>
          <cell r="B273" t="str">
            <v>Nước Ép Chanh Dây (MV)</v>
          </cell>
          <cell r="C273" t="str">
            <v>Ly</v>
          </cell>
        </row>
        <row r="274">
          <cell r="A274" t="str">
            <v>ASMKVI001</v>
          </cell>
          <cell r="B274" t="str">
            <v>Đậu Hũ Chiên Trứng Muối (MV)</v>
          </cell>
          <cell r="C274" t="str">
            <v>Phần</v>
          </cell>
        </row>
        <row r="275">
          <cell r="A275" t="str">
            <v>ASMKVI002</v>
          </cell>
          <cell r="B275" t="str">
            <v>Khoai Lang Kén (MV)</v>
          </cell>
          <cell r="C275" t="str">
            <v>Phần</v>
          </cell>
        </row>
        <row r="276">
          <cell r="A276" t="str">
            <v>ASMKVI003</v>
          </cell>
          <cell r="B276" t="str">
            <v>Khoai Tây Chiên Lắc Phô Mai (MV)</v>
          </cell>
          <cell r="C276" t="str">
            <v>Phần</v>
          </cell>
        </row>
        <row r="277">
          <cell r="A277" t="str">
            <v>ASMKVI004</v>
          </cell>
          <cell r="B277" t="str">
            <v>Nấm Hải Sản Chiên Giòn (MV)</v>
          </cell>
          <cell r="C277" t="str">
            <v>Phần</v>
          </cell>
        </row>
        <row r="278">
          <cell r="A278" t="str">
            <v>ASMKVI005</v>
          </cell>
          <cell r="B278" t="str">
            <v>Tàu Hũ Cuộn Nhân Tôm (MV)</v>
          </cell>
          <cell r="C278" t="str">
            <v>Phần</v>
          </cell>
        </row>
        <row r="279">
          <cell r="A279" t="str">
            <v>ASMKVI006</v>
          </cell>
          <cell r="B279" t="str">
            <v>Há Cảo Nhân Tôm (MV)</v>
          </cell>
          <cell r="C279" t="str">
            <v>Phần</v>
          </cell>
        </row>
        <row r="280">
          <cell r="A280" t="str">
            <v>ASMKVI007</v>
          </cell>
          <cell r="B280" t="str">
            <v>Bò Cuốn Mỡ Chài (MV)</v>
          </cell>
          <cell r="C280" t="str">
            <v>Phần</v>
          </cell>
        </row>
        <row r="281">
          <cell r="A281" t="str">
            <v>ASMKVI008</v>
          </cell>
          <cell r="B281" t="str">
            <v>Hến Xúc Bánh Phồng (MV)</v>
          </cell>
          <cell r="C281" t="str">
            <v>Phần</v>
          </cell>
        </row>
        <row r="282">
          <cell r="A282" t="str">
            <v>ASMKVI009</v>
          </cell>
          <cell r="B282" t="str">
            <v>Hoành Thánh Chiên Nhân Tôm (MV)</v>
          </cell>
          <cell r="C282" t="str">
            <v>Phần</v>
          </cell>
        </row>
        <row r="283">
          <cell r="A283" t="str">
            <v>ASMLAU001</v>
          </cell>
          <cell r="B283" t="str">
            <v>Lẩu Riêu Cua Bầu Đặc Biệt (MV)</v>
          </cell>
          <cell r="C283" t="str">
            <v>Nồi</v>
          </cell>
        </row>
        <row r="284">
          <cell r="A284" t="str">
            <v>ASMLAU002</v>
          </cell>
          <cell r="B284" t="str">
            <v>Lẩu Cua Đồng Gà Ri (1 Con) (MV)</v>
          </cell>
          <cell r="C284" t="str">
            <v>Nồi</v>
          </cell>
        </row>
        <row r="285">
          <cell r="A285" t="str">
            <v>ASMLAU003</v>
          </cell>
          <cell r="B285" t="str">
            <v>Lẩu Cua Đồng Gà Ri (1/2 Con) (MV)</v>
          </cell>
          <cell r="C285" t="str">
            <v>Nồi</v>
          </cell>
        </row>
        <row r="286">
          <cell r="A286" t="str">
            <v>ASMLAU004</v>
          </cell>
          <cell r="B286" t="str">
            <v>Lẩu Bò Lá Giang (MV)</v>
          </cell>
          <cell r="C286" t="str">
            <v>Nồi</v>
          </cell>
        </row>
        <row r="287">
          <cell r="A287" t="str">
            <v>ASMLAU005</v>
          </cell>
          <cell r="B287" t="str">
            <v>Lẩu Gà Lá Giang (1 Con) (MV)</v>
          </cell>
          <cell r="C287" t="str">
            <v>Nồi</v>
          </cell>
        </row>
        <row r="288">
          <cell r="A288" t="str">
            <v>ASMLAU006</v>
          </cell>
          <cell r="B288" t="str">
            <v>Lẩu Gà Lá Giang (1/2 Con) (MV)</v>
          </cell>
          <cell r="C288" t="str">
            <v>Nồi</v>
          </cell>
        </row>
        <row r="289">
          <cell r="A289" t="str">
            <v>ASMLAU007</v>
          </cell>
          <cell r="B289" t="str">
            <v>Lẩu Cá Lăng Lá Giang (MV)</v>
          </cell>
          <cell r="C289" t="str">
            <v>Nồi</v>
          </cell>
        </row>
        <row r="290">
          <cell r="A290" t="str">
            <v>ASMLAU008</v>
          </cell>
          <cell r="B290" t="str">
            <v>Lẩu Riêu Cua Bầu Đặc Biệt (Size S) (MV)</v>
          </cell>
          <cell r="C290" t="str">
            <v>Nồi</v>
          </cell>
        </row>
        <row r="291">
          <cell r="A291" t="str">
            <v>ASMLAU009</v>
          </cell>
          <cell r="B291" t="str">
            <v>Lẩu Bò Lá Giang (Size S) (MV)</v>
          </cell>
          <cell r="C291" t="str">
            <v>Nồi</v>
          </cell>
        </row>
        <row r="292">
          <cell r="A292" t="str">
            <v>ASMLAU010</v>
          </cell>
          <cell r="B292" t="str">
            <v>Lẩu cua Đồng (MV)</v>
          </cell>
          <cell r="C292" t="str">
            <v>Nồi</v>
          </cell>
        </row>
        <row r="293">
          <cell r="A293" t="str">
            <v>ASMLAU011</v>
          </cell>
          <cell r="B293" t="str">
            <v>Lẩu Thái Cốt Bề Bề (MV)</v>
          </cell>
          <cell r="C293" t="str">
            <v>Nồi</v>
          </cell>
        </row>
        <row r="294">
          <cell r="A294" t="str">
            <v>ASMLAU012</v>
          </cell>
          <cell r="B294" t="str">
            <v>Mâm Lẩu Cua Bò (MV)</v>
          </cell>
          <cell r="C294" t="str">
            <v>Mâm</v>
          </cell>
        </row>
        <row r="295">
          <cell r="A295" t="str">
            <v>ASMLAU013</v>
          </cell>
          <cell r="B295" t="str">
            <v>Mâm Lẩu Cua Gà (MV)</v>
          </cell>
          <cell r="C295" t="str">
            <v>Mâm</v>
          </cell>
        </row>
        <row r="296">
          <cell r="A296" t="str">
            <v>ASMLAU014</v>
          </cell>
          <cell r="B296" t="str">
            <v>Mâm Lẩu Nấm Chim Câu (MV)</v>
          </cell>
          <cell r="C296" t="str">
            <v>Mâm</v>
          </cell>
        </row>
        <row r="297">
          <cell r="A297" t="str">
            <v>ASMLAU015</v>
          </cell>
          <cell r="B297" t="str">
            <v>Mâm Lẩu Nấm Bò (MV)</v>
          </cell>
          <cell r="C297" t="str">
            <v>Mâm</v>
          </cell>
        </row>
        <row r="298">
          <cell r="A298" t="str">
            <v>ASMLAU016</v>
          </cell>
          <cell r="B298" t="str">
            <v>Mâm Lẩu Nấm Gà (MV)</v>
          </cell>
          <cell r="C298" t="str">
            <v>Mâm</v>
          </cell>
        </row>
        <row r="299">
          <cell r="A299" t="str">
            <v>ASMLAU017</v>
          </cell>
          <cell r="B299" t="str">
            <v>Mâm Lẩu Cà Chua Bò (MV)</v>
          </cell>
          <cell r="C299" t="str">
            <v>Mâm</v>
          </cell>
        </row>
        <row r="300">
          <cell r="A300" t="str">
            <v>ASMLAU018</v>
          </cell>
          <cell r="B300" t="str">
            <v>Mâm Lẩu Cà Chua Gà (MV)</v>
          </cell>
          <cell r="C300" t="str">
            <v>Mâm</v>
          </cell>
        </row>
        <row r="301">
          <cell r="A301" t="str">
            <v>ASMLOM001</v>
          </cell>
          <cell r="B301" t="str">
            <v>Ếch Om Chuối Đậu (MV)</v>
          </cell>
          <cell r="C301" t="str">
            <v>Nồi</v>
          </cell>
        </row>
        <row r="302">
          <cell r="A302" t="str">
            <v>ASMLOM002</v>
          </cell>
          <cell r="B302" t="str">
            <v>Lươn Om Chuối Đậu (MV)</v>
          </cell>
          <cell r="C302" t="str">
            <v>Nồi</v>
          </cell>
        </row>
        <row r="303">
          <cell r="A303" t="str">
            <v>ASMLOM003</v>
          </cell>
          <cell r="B303" t="str">
            <v>Ốc Om Chuối Đậu (MV)</v>
          </cell>
          <cell r="C303" t="str">
            <v>Nồi</v>
          </cell>
        </row>
        <row r="304">
          <cell r="A304" t="str">
            <v>ASMLOM004</v>
          </cell>
          <cell r="B304" t="str">
            <v>Cá Lăng Om Chuối Đậu (MV)</v>
          </cell>
          <cell r="C304" t="str">
            <v>Nồi</v>
          </cell>
        </row>
        <row r="305">
          <cell r="A305" t="str">
            <v>ASMNCD001</v>
          </cell>
          <cell r="B305" t="str">
            <v>Bò Nướng Tảng (MV)</v>
          </cell>
          <cell r="C305" t="str">
            <v>Phần</v>
          </cell>
        </row>
        <row r="306">
          <cell r="A306" t="str">
            <v>ASMNCD002</v>
          </cell>
          <cell r="B306" t="str">
            <v>Nem Bò Nấm (MV)</v>
          </cell>
          <cell r="C306" t="str">
            <v>Phần</v>
          </cell>
        </row>
        <row r="307">
          <cell r="A307" t="str">
            <v>ASMNCD003</v>
          </cell>
          <cell r="B307" t="str">
            <v>Bò Nướng Lá Lốt (MV)</v>
          </cell>
          <cell r="C307" t="str">
            <v>Phần</v>
          </cell>
        </row>
        <row r="308">
          <cell r="A308" t="str">
            <v>ASMNCD004</v>
          </cell>
          <cell r="B308" t="str">
            <v>Đuôi Bò Tiềm Thuốc Bắc Củ Sen (MV)</v>
          </cell>
          <cell r="C308" t="str">
            <v>Phần</v>
          </cell>
        </row>
        <row r="309">
          <cell r="A309" t="str">
            <v>ASMNCD005</v>
          </cell>
          <cell r="B309" t="str">
            <v>Bò Nấm Xúc Phồng Tôm (MV)</v>
          </cell>
          <cell r="C309" t="str">
            <v>Phần</v>
          </cell>
        </row>
        <row r="310">
          <cell r="A310" t="str">
            <v>ASMNCD006</v>
          </cell>
          <cell r="B310" t="str">
            <v>Bò Hỏa Diệm Sơn (MV)</v>
          </cell>
          <cell r="C310" t="str">
            <v>Phần</v>
          </cell>
        </row>
        <row r="311">
          <cell r="A311" t="str">
            <v>ASMNCD007</v>
          </cell>
          <cell r="B311" t="str">
            <v>Bò Nướng Lụi Sả (MV)</v>
          </cell>
          <cell r="C311" t="str">
            <v>Phần</v>
          </cell>
        </row>
        <row r="312">
          <cell r="A312" t="str">
            <v>ASMNCD008</v>
          </cell>
          <cell r="B312" t="str">
            <v>Bê Chao Tây Bắc (MV)</v>
          </cell>
          <cell r="C312" t="str">
            <v>Phần</v>
          </cell>
        </row>
        <row r="313">
          <cell r="A313" t="str">
            <v>ASMNCD009</v>
          </cell>
          <cell r="B313" t="str">
            <v>Bò Lúc Lắc (MV)</v>
          </cell>
          <cell r="C313" t="str">
            <v>Phần</v>
          </cell>
        </row>
        <row r="314">
          <cell r="A314" t="str">
            <v>ASMRAU001</v>
          </cell>
          <cell r="B314" t="str">
            <v>Rau Muống Xào Tỏi (MV)</v>
          </cell>
          <cell r="C314" t="str">
            <v>Phần</v>
          </cell>
        </row>
        <row r="315">
          <cell r="A315" t="str">
            <v>ASMRAU002</v>
          </cell>
          <cell r="B315" t="str">
            <v>Nộm Sứa (MV)</v>
          </cell>
          <cell r="C315" t="str">
            <v>Phần</v>
          </cell>
        </row>
        <row r="316">
          <cell r="A316" t="str">
            <v>ASMRAU003</v>
          </cell>
          <cell r="B316" t="str">
            <v>Nộm Đu Đủ Heo Quay (MV)</v>
          </cell>
          <cell r="C316" t="str">
            <v>Phần</v>
          </cell>
        </row>
        <row r="317">
          <cell r="A317" t="str">
            <v>ASMRAU004</v>
          </cell>
          <cell r="B317" t="str">
            <v>Nộm Ngó Sen Tai Heo (MV)</v>
          </cell>
          <cell r="C317" t="str">
            <v>Phần</v>
          </cell>
        </row>
        <row r="318">
          <cell r="A318" t="str">
            <v>ASMRAU005</v>
          </cell>
          <cell r="B318" t="str">
            <v>Salad Rau Xanh Xốt Mè Rang (MV)</v>
          </cell>
          <cell r="C318" t="str">
            <v>Phần</v>
          </cell>
        </row>
        <row r="319">
          <cell r="A319" t="str">
            <v>ASMRAU006</v>
          </cell>
          <cell r="B319" t="str">
            <v>Salad Rong Biển Trứng Tôm (MV)</v>
          </cell>
          <cell r="C319" t="str">
            <v>Phần</v>
          </cell>
        </row>
        <row r="320">
          <cell r="A320" t="str">
            <v>ASMRAU007</v>
          </cell>
          <cell r="B320" t="str">
            <v>Nộm Bò Đu Đủ (MV)</v>
          </cell>
          <cell r="C320" t="str">
            <v>Phần</v>
          </cell>
        </row>
        <row r="321">
          <cell r="A321" t="str">
            <v>ASMRAU008</v>
          </cell>
          <cell r="B321" t="str">
            <v>Cải Làn Xào Tỏi (MV)</v>
          </cell>
          <cell r="C321" t="str">
            <v>Phần</v>
          </cell>
        </row>
        <row r="322">
          <cell r="A322" t="str">
            <v>ASMRAU009</v>
          </cell>
          <cell r="B322" t="str">
            <v>Salad Rau Vườn Nhiệt Đới (MV)</v>
          </cell>
          <cell r="C322" t="str">
            <v>Phần</v>
          </cell>
        </row>
        <row r="323">
          <cell r="A323" t="str">
            <v>ASMRAU010</v>
          </cell>
          <cell r="B323" t="str">
            <v>Nộm Bò Rau Tiến Vua (MV)</v>
          </cell>
          <cell r="C323" t="str">
            <v>Phần</v>
          </cell>
        </row>
        <row r="324">
          <cell r="A324" t="str">
            <v>ASMRUO001</v>
          </cell>
          <cell r="B324" t="str">
            <v>Rượu Bách Nhật (MV)</v>
          </cell>
          <cell r="C324" t="str">
            <v>Chai</v>
          </cell>
        </row>
        <row r="325">
          <cell r="A325" t="str">
            <v>ASNCD001</v>
          </cell>
          <cell r="B325" t="str">
            <v>Bò Nướng Tảng</v>
          </cell>
          <cell r="C325" t="str">
            <v>Phần</v>
          </cell>
        </row>
        <row r="326">
          <cell r="A326" t="str">
            <v>ASNCD002</v>
          </cell>
          <cell r="B326" t="str">
            <v>Nem Bò Nấm</v>
          </cell>
          <cell r="C326" t="str">
            <v>Phần</v>
          </cell>
        </row>
        <row r="327">
          <cell r="A327" t="str">
            <v>ASNCD003</v>
          </cell>
          <cell r="B327" t="str">
            <v>Bò Nướng Lá Lốt</v>
          </cell>
          <cell r="C327" t="str">
            <v>Phần</v>
          </cell>
        </row>
        <row r="328">
          <cell r="A328" t="str">
            <v>ASNCD004</v>
          </cell>
          <cell r="B328" t="str">
            <v>Đuôi Bò Tiềm Thuốc Bắc Củ Sen</v>
          </cell>
          <cell r="C328" t="str">
            <v>Phần</v>
          </cell>
        </row>
        <row r="329">
          <cell r="A329" t="str">
            <v>ASNCD005</v>
          </cell>
          <cell r="B329" t="str">
            <v>Bò Nấm Xúc Phồng Tôm</v>
          </cell>
          <cell r="C329" t="str">
            <v>Phần</v>
          </cell>
        </row>
        <row r="330">
          <cell r="A330" t="str">
            <v>ASNCD006</v>
          </cell>
          <cell r="B330" t="str">
            <v>Bò Tảng Cháy Lửa Hồng</v>
          </cell>
          <cell r="C330" t="str">
            <v>Phần</v>
          </cell>
        </row>
        <row r="331">
          <cell r="A331" t="str">
            <v>ASNCD007</v>
          </cell>
          <cell r="B331" t="str">
            <v>Bò Nướng Lụi Sả</v>
          </cell>
          <cell r="C331" t="str">
            <v>Phần</v>
          </cell>
        </row>
        <row r="332">
          <cell r="A332" t="str">
            <v>ASNCD008</v>
          </cell>
          <cell r="B332" t="str">
            <v>Bò Bóp Thấu</v>
          </cell>
          <cell r="C332" t="str">
            <v>Phần</v>
          </cell>
        </row>
        <row r="333">
          <cell r="A333" t="str">
            <v>ASNCD009</v>
          </cell>
          <cell r="B333" t="str">
            <v>Bê Chao Tây Bắc</v>
          </cell>
          <cell r="C333" t="str">
            <v>Phần</v>
          </cell>
        </row>
        <row r="334">
          <cell r="A334" t="str">
            <v>ASNCD010</v>
          </cell>
          <cell r="B334" t="str">
            <v>Bò Lúc Lắc</v>
          </cell>
          <cell r="C334" t="str">
            <v>Phần</v>
          </cell>
        </row>
        <row r="335">
          <cell r="A335" t="str">
            <v>ASRAU001</v>
          </cell>
          <cell r="B335" t="str">
            <v>Rau Muống Xào Tỏi</v>
          </cell>
          <cell r="C335" t="str">
            <v>Phần</v>
          </cell>
        </row>
        <row r="336">
          <cell r="A336" t="str">
            <v>ASRAU002</v>
          </cell>
          <cell r="B336" t="str">
            <v>Nộm Sứa</v>
          </cell>
          <cell r="C336" t="str">
            <v>Phần</v>
          </cell>
        </row>
        <row r="337">
          <cell r="A337" t="str">
            <v>ASRAU003</v>
          </cell>
          <cell r="B337" t="str">
            <v>Nộm Đu Đủ Heo Quay</v>
          </cell>
          <cell r="C337" t="str">
            <v>Phần</v>
          </cell>
        </row>
        <row r="338">
          <cell r="A338" t="str">
            <v>ASRAU004</v>
          </cell>
          <cell r="B338" t="str">
            <v>Nộm Ngó Sen Tai Heo</v>
          </cell>
          <cell r="C338" t="str">
            <v>Phần</v>
          </cell>
        </row>
        <row r="339">
          <cell r="A339" t="str">
            <v>ASRAU005</v>
          </cell>
          <cell r="B339" t="str">
            <v>Salad Rau Xanh Xốt Mè Rang</v>
          </cell>
          <cell r="C339" t="str">
            <v>Phần</v>
          </cell>
        </row>
        <row r="340">
          <cell r="A340" t="str">
            <v>ASRAU006</v>
          </cell>
          <cell r="B340" t="str">
            <v>Salad Rong Biển Trứng Tôm</v>
          </cell>
          <cell r="C340" t="str">
            <v>Phần</v>
          </cell>
        </row>
        <row r="341">
          <cell r="A341" t="str">
            <v>ASRAU007</v>
          </cell>
          <cell r="B341" t="str">
            <v>Nộm Bò Đu Đủ</v>
          </cell>
          <cell r="C341" t="str">
            <v>Phần</v>
          </cell>
        </row>
        <row r="342">
          <cell r="A342" t="str">
            <v>ASRAU008</v>
          </cell>
          <cell r="B342" t="str">
            <v>Cải Làn Xào Tỏi</v>
          </cell>
          <cell r="C342" t="str">
            <v>Phần</v>
          </cell>
        </row>
        <row r="343">
          <cell r="A343" t="str">
            <v>ASRAU009</v>
          </cell>
          <cell r="B343" t="str">
            <v>Salad Rau Vườn Nhiệt Đới</v>
          </cell>
          <cell r="C343" t="str">
            <v>Phần</v>
          </cell>
        </row>
        <row r="344">
          <cell r="A344" t="str">
            <v>ASRAU010</v>
          </cell>
          <cell r="B344" t="str">
            <v>Nộm Bò Rau Tiến Vua</v>
          </cell>
          <cell r="C344" t="str">
            <v>Phần</v>
          </cell>
        </row>
        <row r="345">
          <cell r="A345" t="str">
            <v>ASRUO001</v>
          </cell>
          <cell r="B345" t="str">
            <v>Rượu Bách Nhật</v>
          </cell>
          <cell r="C345" t="str">
            <v>Chai</v>
          </cell>
        </row>
        <row r="346">
          <cell r="A346" t="str">
            <v>ASTMI001</v>
          </cell>
          <cell r="B346" t="str">
            <v>Trái Cây Nhiệt Đới</v>
          </cell>
          <cell r="C346" t="str">
            <v>phần</v>
          </cell>
        </row>
        <row r="347">
          <cell r="A347" t="str">
            <v>ASTMI002</v>
          </cell>
          <cell r="B347" t="str">
            <v>Pana Cotta ( Tặng khách hàng)</v>
          </cell>
          <cell r="C347" t="str">
            <v>ly</v>
          </cell>
        </row>
        <row r="348">
          <cell r="A348" t="str">
            <v>BH100001</v>
          </cell>
          <cell r="B348" t="str">
            <v>KT-Bề bề xay (250g/túi)</v>
          </cell>
          <cell r="C348" t="str">
            <v>Túi</v>
          </cell>
        </row>
        <row r="349">
          <cell r="A349" t="str">
            <v>BH100002</v>
          </cell>
          <cell r="B349" t="str">
            <v>KT-Bê chao sơ chế (miếng)</v>
          </cell>
          <cell r="C349" t="str">
            <v>kg</v>
          </cell>
        </row>
        <row r="350">
          <cell r="A350" t="str">
            <v>BH100003</v>
          </cell>
          <cell r="B350" t="str">
            <v>KT-Bò khô</v>
          </cell>
          <cell r="C350" t="str">
            <v>Gói</v>
          </cell>
        </row>
        <row r="351">
          <cell r="A351" t="str">
            <v>BH100004</v>
          </cell>
          <cell r="B351" t="str">
            <v>KT-Bò khô (1kg)</v>
          </cell>
          <cell r="C351" t="str">
            <v>Gói</v>
          </cell>
        </row>
        <row r="352">
          <cell r="A352" t="str">
            <v>BH100005</v>
          </cell>
          <cell r="B352" t="str">
            <v>KT-Bò khô (500g)</v>
          </cell>
          <cell r="C352" t="str">
            <v>Gói</v>
          </cell>
        </row>
        <row r="353">
          <cell r="A353" t="str">
            <v>BH100006</v>
          </cell>
          <cell r="B353" t="str">
            <v>KT-Bò tơ ba chỉ chín (Bò tơ cuốn)</v>
          </cell>
          <cell r="C353" t="str">
            <v>kg</v>
          </cell>
        </row>
        <row r="354">
          <cell r="A354" t="str">
            <v>BH100007</v>
          </cell>
          <cell r="B354" t="str">
            <v>KT-Cánh gà khúc giữa tươi</v>
          </cell>
          <cell r="C354" t="str">
            <v>kg</v>
          </cell>
        </row>
        <row r="355">
          <cell r="A355" t="str">
            <v>BH100008</v>
          </cell>
          <cell r="B355" t="str">
            <v>KT-Chả ốc (6 viên/xuất)</v>
          </cell>
          <cell r="C355" t="str">
            <v>Suất</v>
          </cell>
        </row>
        <row r="356">
          <cell r="A356" t="str">
            <v>BH100009</v>
          </cell>
          <cell r="B356" t="str">
            <v>KT-Chân gà luộc (600g/túi)</v>
          </cell>
          <cell r="C356" t="str">
            <v>Túi</v>
          </cell>
        </row>
        <row r="357">
          <cell r="A357" t="str">
            <v>BH100010</v>
          </cell>
          <cell r="B357" t="str">
            <v>KT-Chân gà sả tắc (2.500g/túi)</v>
          </cell>
          <cell r="C357" t="str">
            <v>Túi</v>
          </cell>
        </row>
        <row r="358">
          <cell r="A358" t="str">
            <v>BH100011</v>
          </cell>
          <cell r="B358" t="str">
            <v>KT-Chân gà sả tắc (500g/suất)</v>
          </cell>
          <cell r="C358" t="str">
            <v>Suất</v>
          </cell>
        </row>
        <row r="359">
          <cell r="A359" t="str">
            <v>BH100012</v>
          </cell>
          <cell r="B359" t="str">
            <v>KT-Chân gà tàu xì (1.500g/túi)</v>
          </cell>
          <cell r="C359" t="str">
            <v>Túi</v>
          </cell>
        </row>
        <row r="360">
          <cell r="A360" t="str">
            <v>BH100013</v>
          </cell>
          <cell r="B360" t="str">
            <v>KT-Chân gà tàu xì (350g/suất)</v>
          </cell>
          <cell r="C360" t="str">
            <v>Suất</v>
          </cell>
        </row>
        <row r="361">
          <cell r="A361" t="str">
            <v>BH100014</v>
          </cell>
          <cell r="B361" t="str">
            <v>KT-Dạ dày tiềm tiêu xanh (10 suất/túi)</v>
          </cell>
          <cell r="C361" t="str">
            <v>Túi</v>
          </cell>
        </row>
        <row r="362">
          <cell r="A362" t="str">
            <v>BH100015</v>
          </cell>
          <cell r="B362" t="str">
            <v>KT-Dẻ sườn heo</v>
          </cell>
          <cell r="C362" t="str">
            <v>kg</v>
          </cell>
        </row>
        <row r="363">
          <cell r="A363" t="str">
            <v>BH100016</v>
          </cell>
          <cell r="B363" t="str">
            <v>KT-Dồi bò (hấp)</v>
          </cell>
          <cell r="C363" t="str">
            <v>Suất</v>
          </cell>
        </row>
        <row r="364">
          <cell r="A364" t="str">
            <v>BH100017</v>
          </cell>
          <cell r="B364" t="str">
            <v>KT-Đuôi bò tiềm thuốc bắc (400g/túi)</v>
          </cell>
          <cell r="C364" t="str">
            <v>Túi</v>
          </cell>
        </row>
        <row r="365">
          <cell r="A365" t="str">
            <v>BH100018</v>
          </cell>
          <cell r="B365" t="str">
            <v>KT-Gân bò thái ngâm sả</v>
          </cell>
          <cell r="C365" t="str">
            <v>kg</v>
          </cell>
        </row>
        <row r="366">
          <cell r="A366" t="str">
            <v>BH100019</v>
          </cell>
          <cell r="B366" t="str">
            <v>KT-Kho quẹt</v>
          </cell>
          <cell r="C366" t="str">
            <v>kg</v>
          </cell>
        </row>
        <row r="367">
          <cell r="A367" t="str">
            <v>BH100020</v>
          </cell>
          <cell r="B367" t="str">
            <v>KT-Lưỡi bò</v>
          </cell>
          <cell r="C367" t="str">
            <v>kg</v>
          </cell>
        </row>
        <row r="368">
          <cell r="A368" t="str">
            <v>BH100021</v>
          </cell>
          <cell r="B368" t="str">
            <v>KT-Mực sơ chế (150g)</v>
          </cell>
          <cell r="C368" t="str">
            <v>Suất</v>
          </cell>
        </row>
        <row r="369">
          <cell r="A369" t="str">
            <v>BH100022</v>
          </cell>
          <cell r="B369" t="str">
            <v>KT-Mực sơ chế (200g)</v>
          </cell>
          <cell r="C369" t="str">
            <v>Suất</v>
          </cell>
        </row>
        <row r="370">
          <cell r="A370" t="str">
            <v>BH100023</v>
          </cell>
          <cell r="B370" t="str">
            <v>KT-Nem bò nấm (12 cái/suất)</v>
          </cell>
          <cell r="C370" t="str">
            <v>Suất</v>
          </cell>
        </row>
        <row r="371">
          <cell r="A371" t="str">
            <v>BH100024</v>
          </cell>
          <cell r="B371" t="str">
            <v>KT-Sách ong hấp gừng (1.300g/túi)</v>
          </cell>
          <cell r="C371" t="str">
            <v>Túi</v>
          </cell>
        </row>
        <row r="372">
          <cell r="A372" t="str">
            <v>BH100025</v>
          </cell>
          <cell r="B372" t="str">
            <v>KT-Thăn ngoại bò (200 g/suất)</v>
          </cell>
          <cell r="C372" t="str">
            <v>Suất</v>
          </cell>
        </row>
        <row r="373">
          <cell r="A373" t="str">
            <v>BH100026</v>
          </cell>
          <cell r="B373" t="str">
            <v>KT-Thịt bò tảng</v>
          </cell>
          <cell r="C373" t="str">
            <v>kg</v>
          </cell>
        </row>
        <row r="374">
          <cell r="A374" t="str">
            <v>BH100027</v>
          </cell>
          <cell r="B374" t="str">
            <v>KT-Thịt diềm má (150g/suất)</v>
          </cell>
          <cell r="C374" t="str">
            <v>Suất</v>
          </cell>
        </row>
        <row r="375">
          <cell r="A375" t="str">
            <v>BH100028</v>
          </cell>
          <cell r="B375" t="str">
            <v>KT-Thịt diềm má (200g/suất)</v>
          </cell>
          <cell r="C375" t="str">
            <v>Suất</v>
          </cell>
        </row>
        <row r="376">
          <cell r="A376" t="str">
            <v>BH100029</v>
          </cell>
          <cell r="B376" t="str">
            <v>KT-Viên mọc bò (6 viên/xuất)</v>
          </cell>
          <cell r="C376" t="str">
            <v>Suất</v>
          </cell>
        </row>
        <row r="377">
          <cell r="A377" t="str">
            <v>BH100030</v>
          </cell>
          <cell r="B377" t="str">
            <v>KT-Bê chao (sơ chế)</v>
          </cell>
          <cell r="C377" t="str">
            <v>Suất</v>
          </cell>
        </row>
        <row r="378">
          <cell r="A378" t="str">
            <v>BH100031</v>
          </cell>
          <cell r="B378" t="str">
            <v>KT-Dạ dày tàu xì (10 suất/túi)</v>
          </cell>
          <cell r="C378" t="str">
            <v>Túi</v>
          </cell>
        </row>
        <row r="379">
          <cell r="A379" t="str">
            <v>BH100032</v>
          </cell>
          <cell r="B379" t="str">
            <v>KT-Dạ dày tàu xì (5 suất/túi)</v>
          </cell>
          <cell r="C379" t="str">
            <v>Túi</v>
          </cell>
        </row>
        <row r="380">
          <cell r="A380" t="str">
            <v>BH100033</v>
          </cell>
          <cell r="B380" t="str">
            <v>KT-Thăn ngoại bò (kg)</v>
          </cell>
          <cell r="C380" t="str">
            <v>kg</v>
          </cell>
        </row>
        <row r="381">
          <cell r="A381" t="str">
            <v>BH100034</v>
          </cell>
          <cell r="B381" t="str">
            <v>KT-Dạ dày tiềm tiêu xanh (5 suất/túi)</v>
          </cell>
          <cell r="C381" t="str">
            <v>Túi</v>
          </cell>
        </row>
        <row r="382">
          <cell r="A382" t="str">
            <v>BH100035</v>
          </cell>
          <cell r="B382" t="str">
            <v>KT-Cá trắm giòn file</v>
          </cell>
          <cell r="C382" t="str">
            <v>kg</v>
          </cell>
        </row>
        <row r="383">
          <cell r="A383" t="str">
            <v>BH100036</v>
          </cell>
          <cell r="B383" t="str">
            <v>KT-Thịt heo quay</v>
          </cell>
          <cell r="C383" t="str">
            <v>kg</v>
          </cell>
        </row>
        <row r="384">
          <cell r="A384" t="str">
            <v>BH100037</v>
          </cell>
          <cell r="B384" t="str">
            <v>KT-Xách bò hấp gừng (1.200g/túi)</v>
          </cell>
          <cell r="C384" t="str">
            <v>Túi</v>
          </cell>
        </row>
        <row r="385">
          <cell r="A385" t="str">
            <v>BH100038</v>
          </cell>
          <cell r="B385" t="str">
            <v>KT-Ếch chiên (465g/suất)</v>
          </cell>
          <cell r="C385" t="str">
            <v>Suất</v>
          </cell>
        </row>
        <row r="386">
          <cell r="A386" t="str">
            <v>BH100039</v>
          </cell>
          <cell r="B386" t="str">
            <v>KT-Bò cuốn lá lốt (12 cái/suất)</v>
          </cell>
          <cell r="C386" t="str">
            <v>Suất</v>
          </cell>
        </row>
        <row r="387">
          <cell r="A387" t="str">
            <v>BH100040</v>
          </cell>
          <cell r="B387" t="str">
            <v>KT-Ruột ốc (150g/suất)</v>
          </cell>
          <cell r="C387" t="str">
            <v>Suất</v>
          </cell>
        </row>
        <row r="388">
          <cell r="A388" t="str">
            <v>BH100041</v>
          </cell>
          <cell r="B388" t="str">
            <v>KT-Ếch tươi sơ chế</v>
          </cell>
          <cell r="C388" t="str">
            <v>kg</v>
          </cell>
        </row>
        <row r="389">
          <cell r="A389" t="str">
            <v>BH100042</v>
          </cell>
          <cell r="B389" t="str">
            <v>KT-Ốc hấp sả (6 con/suất)</v>
          </cell>
          <cell r="C389" t="str">
            <v>Suất</v>
          </cell>
        </row>
        <row r="390">
          <cell r="A390" t="str">
            <v>BH100043</v>
          </cell>
          <cell r="B390" t="str">
            <v>KT-Ếch tươi sơ chế (250gr)</v>
          </cell>
          <cell r="C390" t="str">
            <v>Suất</v>
          </cell>
        </row>
        <row r="391">
          <cell r="A391" t="str">
            <v>BH100044</v>
          </cell>
          <cell r="B391" t="str">
            <v>KT-Ếch tươi sơ chế (200gr)</v>
          </cell>
          <cell r="C391" t="str">
            <v>Suất</v>
          </cell>
        </row>
        <row r="392">
          <cell r="A392" t="str">
            <v>BH100045</v>
          </cell>
          <cell r="B392" t="str">
            <v>KT-Ốc nhồi ống tre (8 ống/suất)</v>
          </cell>
          <cell r="C392" t="str">
            <v>Suất</v>
          </cell>
        </row>
        <row r="393">
          <cell r="A393" t="str">
            <v>BH100046</v>
          </cell>
          <cell r="B393" t="str">
            <v>KT-Nước thịt cua (1.2kg/túi)</v>
          </cell>
          <cell r="C393" t="str">
            <v>Túi</v>
          </cell>
        </row>
        <row r="394">
          <cell r="A394" t="str">
            <v>BH100047</v>
          </cell>
          <cell r="B394" t="str">
            <v>KT-Nước thịt cua (400g/túi)</v>
          </cell>
          <cell r="C394" t="str">
            <v>Túi</v>
          </cell>
        </row>
        <row r="395">
          <cell r="A395" t="str">
            <v>BH100048</v>
          </cell>
          <cell r="B395" t="str">
            <v>KT-Lõi vai bò Kobe (kg)</v>
          </cell>
          <cell r="C395" t="str">
            <v>kg</v>
          </cell>
        </row>
        <row r="396">
          <cell r="A396" t="str">
            <v>BH100049</v>
          </cell>
          <cell r="B396" t="str">
            <v>KT-Chả cá (6 viên/suất)</v>
          </cell>
          <cell r="C396" t="str">
            <v>Suất</v>
          </cell>
        </row>
        <row r="397">
          <cell r="A397" t="str">
            <v>BH100050</v>
          </cell>
          <cell r="B397" t="str">
            <v>KT-Chân gà tàu xì (5 suất/túi)</v>
          </cell>
          <cell r="C397" t="str">
            <v>Túi</v>
          </cell>
        </row>
        <row r="398">
          <cell r="A398" t="str">
            <v>BH100051</v>
          </cell>
          <cell r="B398" t="str">
            <v>KT-Tàu hũ tôm tươi cuộn nấm (12 cái/túi)</v>
          </cell>
          <cell r="C398" t="str">
            <v>Túi</v>
          </cell>
        </row>
        <row r="399">
          <cell r="A399" t="str">
            <v>BH100052</v>
          </cell>
          <cell r="B399" t="str">
            <v>KT-Đuôi bò tiềm củ sen (500g/túi)</v>
          </cell>
          <cell r="C399" t="str">
            <v>Túi</v>
          </cell>
        </row>
        <row r="400">
          <cell r="A400" t="str">
            <v>BH100053</v>
          </cell>
          <cell r="B400" t="str">
            <v>KT-Dồi bò (5 suất/túi)</v>
          </cell>
          <cell r="C400" t="str">
            <v>Túi</v>
          </cell>
        </row>
        <row r="401">
          <cell r="A401" t="str">
            <v>BH100054</v>
          </cell>
          <cell r="B401" t="str">
            <v>KT-Bò tơ ba chỉ sống xay</v>
          </cell>
          <cell r="C401" t="str">
            <v>kg</v>
          </cell>
        </row>
        <row r="402">
          <cell r="A402" t="str">
            <v>BH100055</v>
          </cell>
          <cell r="B402" t="str">
            <v>KT-Bò lụi sả (12 cái/túi)</v>
          </cell>
          <cell r="C402" t="str">
            <v>Túi</v>
          </cell>
        </row>
        <row r="403">
          <cell r="A403" t="str">
            <v>BH100056</v>
          </cell>
          <cell r="B403" t="str">
            <v>KT-Mọc bò tươi</v>
          </cell>
          <cell r="C403" t="str">
            <v>kg</v>
          </cell>
        </row>
        <row r="404">
          <cell r="A404" t="str">
            <v>BH100057</v>
          </cell>
          <cell r="B404" t="str">
            <v>KT-Thịt xá xíu</v>
          </cell>
          <cell r="C404" t="str">
            <v>kg</v>
          </cell>
        </row>
        <row r="405">
          <cell r="A405" t="str">
            <v>BH100058</v>
          </cell>
          <cell r="B405" t="str">
            <v>KT-Bò sốt tiêu đen</v>
          </cell>
          <cell r="C405" t="str">
            <v>kg</v>
          </cell>
        </row>
        <row r="406">
          <cell r="A406" t="str">
            <v>BH100059</v>
          </cell>
          <cell r="B406" t="str">
            <v>KT-Pín bò (sơ chế)</v>
          </cell>
          <cell r="C406" t="str">
            <v>kg</v>
          </cell>
        </row>
        <row r="407">
          <cell r="A407" t="str">
            <v>BH100060</v>
          </cell>
          <cell r="B407" t="str">
            <v>KT-Gân bò (sơ chế)</v>
          </cell>
          <cell r="C407" t="str">
            <v>kg</v>
          </cell>
        </row>
        <row r="408">
          <cell r="A408" t="str">
            <v>BH100061</v>
          </cell>
          <cell r="B408" t="str">
            <v>KT-Đuôi bò (sơ chế)</v>
          </cell>
          <cell r="C408" t="str">
            <v>kg</v>
          </cell>
        </row>
        <row r="409">
          <cell r="A409" t="str">
            <v>BH100062</v>
          </cell>
          <cell r="B409" t="str">
            <v>KT-Đậu phụ tuyết (48 viên/túi)</v>
          </cell>
          <cell r="C409" t="str">
            <v>Túi</v>
          </cell>
        </row>
        <row r="410">
          <cell r="A410" t="str">
            <v>BH100063</v>
          </cell>
          <cell r="B410" t="str">
            <v>KT-Bò bít tết</v>
          </cell>
          <cell r="C410" t="str">
            <v>kg</v>
          </cell>
        </row>
        <row r="411">
          <cell r="A411" t="str">
            <v>BH100064</v>
          </cell>
          <cell r="B411" t="str">
            <v>KT-Gà bơ chanh</v>
          </cell>
          <cell r="C411" t="str">
            <v>kg</v>
          </cell>
        </row>
        <row r="412">
          <cell r="A412" t="str">
            <v>BH100065</v>
          </cell>
          <cell r="B412" t="str">
            <v>KT-Gà nấm</v>
          </cell>
          <cell r="C412" t="str">
            <v>kg</v>
          </cell>
        </row>
        <row r="413">
          <cell r="A413" t="str">
            <v>BH100066</v>
          </cell>
          <cell r="B413" t="str">
            <v>KT-Gà cari</v>
          </cell>
          <cell r="C413" t="str">
            <v>kg</v>
          </cell>
        </row>
        <row r="414">
          <cell r="A414" t="str">
            <v>BH100067</v>
          </cell>
          <cell r="B414" t="str">
            <v>KT-Sườn chua ngọt</v>
          </cell>
          <cell r="C414" t="str">
            <v>kg</v>
          </cell>
        </row>
        <row r="415">
          <cell r="A415" t="str">
            <v>BH100069</v>
          </cell>
          <cell r="B415" t="str">
            <v>KT-Thịt kho sống</v>
          </cell>
          <cell r="C415" t="str">
            <v>kg</v>
          </cell>
        </row>
        <row r="416">
          <cell r="A416" t="str">
            <v>BH100070</v>
          </cell>
          <cell r="B416" t="str">
            <v>KT-Thịt kho cá sống</v>
          </cell>
          <cell r="C416" t="str">
            <v>kg</v>
          </cell>
        </row>
        <row r="417">
          <cell r="A417" t="str">
            <v>BH100071</v>
          </cell>
          <cell r="B417" t="str">
            <v>KT-Tôm (sơ chế)</v>
          </cell>
          <cell r="C417" t="str">
            <v>kg</v>
          </cell>
        </row>
        <row r="418">
          <cell r="A418" t="str">
            <v>BH100072</v>
          </cell>
          <cell r="B418" t="str">
            <v>KT-Cá basa (sơ chế)</v>
          </cell>
          <cell r="C418" t="str">
            <v>kg</v>
          </cell>
        </row>
        <row r="419">
          <cell r="A419" t="str">
            <v>BH100073</v>
          </cell>
          <cell r="B419" t="str">
            <v>KT-Đùi gà táu</v>
          </cell>
          <cell r="C419" t="str">
            <v>kg</v>
          </cell>
        </row>
        <row r="420">
          <cell r="A420" t="str">
            <v>BH100074</v>
          </cell>
          <cell r="B420" t="str">
            <v>KT-Quẩy nhồi hải sản (2 cái/suất)</v>
          </cell>
          <cell r="C420" t="str">
            <v>Suất</v>
          </cell>
        </row>
        <row r="421">
          <cell r="A421" t="str">
            <v>BH100075</v>
          </cell>
          <cell r="B421" t="str">
            <v>KT-Lạp sườn</v>
          </cell>
          <cell r="C421" t="str">
            <v>kg</v>
          </cell>
        </row>
        <row r="422">
          <cell r="A422" t="str">
            <v>BH100076</v>
          </cell>
          <cell r="B422" t="str">
            <v>KT-Mỡ lợn</v>
          </cell>
          <cell r="C422" t="str">
            <v>kg</v>
          </cell>
        </row>
        <row r="423">
          <cell r="A423" t="str">
            <v>BH100077</v>
          </cell>
          <cell r="B423" t="str">
            <v>KT-Mỡ gà</v>
          </cell>
          <cell r="C423" t="str">
            <v>kg</v>
          </cell>
        </row>
        <row r="424">
          <cell r="A424" t="str">
            <v>BH100078</v>
          </cell>
          <cell r="B424" t="str">
            <v>KT-Quẩy nhồi hải sản</v>
          </cell>
          <cell r="C424" t="str">
            <v>Cái</v>
          </cell>
        </row>
        <row r="425">
          <cell r="A425" t="str">
            <v>BH100079</v>
          </cell>
          <cell r="B425" t="str">
            <v>KT-Lạp xưởng xào (130g/túi)</v>
          </cell>
          <cell r="C425" t="str">
            <v>Túi</v>
          </cell>
        </row>
        <row r="426">
          <cell r="A426" t="str">
            <v>BH100080</v>
          </cell>
          <cell r="B426" t="str">
            <v>KT-Nấm xào (230g/túi)</v>
          </cell>
          <cell r="C426" t="str">
            <v>Túi</v>
          </cell>
        </row>
        <row r="427">
          <cell r="A427" t="str">
            <v>BH100081</v>
          </cell>
          <cell r="B427" t="str">
            <v>KT-Gà ướp karaage</v>
          </cell>
          <cell r="C427" t="str">
            <v>kg</v>
          </cell>
        </row>
        <row r="428">
          <cell r="A428" t="str">
            <v>BH100082</v>
          </cell>
          <cell r="B428" t="str">
            <v>KT-Lõi vai bò Mỹ bào</v>
          </cell>
          <cell r="C428" t="str">
            <v>kg</v>
          </cell>
        </row>
        <row r="429">
          <cell r="A429" t="str">
            <v>BH100083</v>
          </cell>
          <cell r="B429" t="str">
            <v>KT-Má heo xá xíu</v>
          </cell>
          <cell r="C429" t="str">
            <v>kg</v>
          </cell>
        </row>
        <row r="430">
          <cell r="A430" t="str">
            <v>BH100084</v>
          </cell>
          <cell r="B430" t="str">
            <v>KT-Lõi vai bò Mỹ cắt miếng</v>
          </cell>
          <cell r="C430" t="str">
            <v>kg</v>
          </cell>
        </row>
        <row r="431">
          <cell r="A431" t="str">
            <v>BH200001</v>
          </cell>
          <cell r="B431" t="str">
            <v>KT-Bột rang muối</v>
          </cell>
          <cell r="C431" t="str">
            <v>kg</v>
          </cell>
        </row>
        <row r="432">
          <cell r="A432" t="str">
            <v>BH200002</v>
          </cell>
          <cell r="B432" t="str">
            <v>KT-Bột tổng hợp</v>
          </cell>
          <cell r="C432" t="str">
            <v>kg</v>
          </cell>
        </row>
        <row r="433">
          <cell r="A433" t="str">
            <v>BH200003</v>
          </cell>
          <cell r="B433" t="str">
            <v>KT-Bột xóc tỏi (500gr/túi)</v>
          </cell>
          <cell r="C433" t="str">
            <v>kg</v>
          </cell>
        </row>
        <row r="434">
          <cell r="A434" t="str">
            <v>BH200004</v>
          </cell>
          <cell r="B434" t="str">
            <v>KT-Combo lẩu chua cô đặc</v>
          </cell>
          <cell r="C434" t="str">
            <v>Túi</v>
          </cell>
        </row>
        <row r="435">
          <cell r="A435" t="str">
            <v>BH200005</v>
          </cell>
          <cell r="B435" t="str">
            <v>KT-Combo lẩu nấm cô đặc</v>
          </cell>
          <cell r="C435" t="str">
            <v>Túi</v>
          </cell>
        </row>
        <row r="436">
          <cell r="A436" t="str">
            <v>BH200006</v>
          </cell>
          <cell r="B436" t="str">
            <v>KT-Combo lẩu tứ xuyên</v>
          </cell>
          <cell r="C436" t="str">
            <v>Túi</v>
          </cell>
        </row>
        <row r="437">
          <cell r="A437" t="str">
            <v>BH200007</v>
          </cell>
          <cell r="B437" t="str">
            <v>KT-Combo lẩu thái cô đặc</v>
          </cell>
          <cell r="C437" t="str">
            <v>Túi</v>
          </cell>
        </row>
        <row r="438">
          <cell r="A438" t="str">
            <v>BH200008</v>
          </cell>
          <cell r="B438" t="str">
            <v>KT-Chẩm chéo</v>
          </cell>
          <cell r="C438" t="str">
            <v>kg</v>
          </cell>
        </row>
        <row r="439">
          <cell r="A439" t="str">
            <v>BH200009</v>
          </cell>
          <cell r="B439" t="str">
            <v>KT-Dầu điều</v>
          </cell>
          <cell r="C439" t="str">
            <v>kg</v>
          </cell>
        </row>
        <row r="440">
          <cell r="A440" t="str">
            <v>BH200010</v>
          </cell>
          <cell r="B440" t="str">
            <v>KT-Gia vị canh cua</v>
          </cell>
          <cell r="C440" t="str">
            <v>Gói</v>
          </cell>
        </row>
        <row r="441">
          <cell r="A441" t="str">
            <v>BH200011</v>
          </cell>
          <cell r="B441" t="str">
            <v>KT-Gia vị lẩu bò tiêu xanh</v>
          </cell>
          <cell r="C441" t="str">
            <v>Gói</v>
          </cell>
        </row>
        <row r="442">
          <cell r="A442" t="str">
            <v>BH200012</v>
          </cell>
          <cell r="B442" t="str">
            <v>KT-Gia vị lẩu cua (396 g/ túi - 5 nồi)</v>
          </cell>
          <cell r="C442" t="str">
            <v>Gói</v>
          </cell>
        </row>
        <row r="443">
          <cell r="A443" t="str">
            <v>BH200013</v>
          </cell>
          <cell r="B443" t="str">
            <v>KT-Gia vị lẩu chua cô đặc (150g/túi)</v>
          </cell>
          <cell r="C443" t="str">
            <v>Túi</v>
          </cell>
        </row>
        <row r="444">
          <cell r="A444" t="str">
            <v>BH200014</v>
          </cell>
          <cell r="B444" t="str">
            <v>KT-Gia vị lẩu nấm cô đặc (168g/túi)</v>
          </cell>
          <cell r="C444" t="str">
            <v>Túi</v>
          </cell>
        </row>
        <row r="445">
          <cell r="A445" t="str">
            <v>BH200015</v>
          </cell>
          <cell r="B445" t="str">
            <v>KT-Gia vị lẩu nấm cô đặc (250g/túi)</v>
          </cell>
          <cell r="C445" t="str">
            <v>Túi</v>
          </cell>
        </row>
        <row r="446">
          <cell r="A446" t="str">
            <v>BH200016</v>
          </cell>
          <cell r="B446" t="str">
            <v>KT-Gia vị lẩu tứ xuyên 1 (gia vị khô)</v>
          </cell>
          <cell r="C446" t="str">
            <v>Gói</v>
          </cell>
        </row>
        <row r="447">
          <cell r="A447" t="str">
            <v>BH200017</v>
          </cell>
          <cell r="B447" t="str">
            <v>KT-Gia vị lẩu tứ xuyên 2 (gia vị nước)</v>
          </cell>
          <cell r="C447" t="str">
            <v>Gói</v>
          </cell>
        </row>
        <row r="448">
          <cell r="A448" t="str">
            <v>BH200018</v>
          </cell>
          <cell r="B448" t="str">
            <v>KT-Gia vị lẩu tứ xuyên 3 (gia vị xuyên tiêu xanh)</v>
          </cell>
          <cell r="C448" t="str">
            <v>Gói</v>
          </cell>
        </row>
        <row r="449">
          <cell r="A449" t="str">
            <v>BH200019</v>
          </cell>
          <cell r="B449" t="str">
            <v>KT-Gia vị lẩu thái cô đặc (890g/túi)</v>
          </cell>
          <cell r="C449" t="str">
            <v>Túi</v>
          </cell>
        </row>
        <row r="450">
          <cell r="A450" t="str">
            <v>BH200020</v>
          </cell>
          <cell r="B450" t="str">
            <v>KT-Gia vị pha nước lẩu ăn thêm</v>
          </cell>
          <cell r="C450" t="str">
            <v>Gói</v>
          </cell>
        </row>
        <row r="451">
          <cell r="A451" t="str">
            <v>BH200021</v>
          </cell>
          <cell r="B451" t="str">
            <v>KT-Kim chi (NMSX)</v>
          </cell>
          <cell r="C451" t="str">
            <v>kg</v>
          </cell>
        </row>
        <row r="452">
          <cell r="A452" t="str">
            <v>BH200022</v>
          </cell>
          <cell r="B452" t="str">
            <v>KT-Lạc rang</v>
          </cell>
          <cell r="C452" t="str">
            <v>kg</v>
          </cell>
        </row>
        <row r="453">
          <cell r="A453" t="str">
            <v>BH200023</v>
          </cell>
          <cell r="B453" t="str">
            <v>KT-Mắm nêm chế biến</v>
          </cell>
          <cell r="C453" t="str">
            <v>kg</v>
          </cell>
        </row>
        <row r="454">
          <cell r="A454" t="str">
            <v>BH200024</v>
          </cell>
          <cell r="B454" t="str">
            <v>KT-Muối chấm gà</v>
          </cell>
          <cell r="C454" t="str">
            <v>kg</v>
          </cell>
        </row>
        <row r="455">
          <cell r="A455" t="str">
            <v>BH200025</v>
          </cell>
          <cell r="B455" t="str">
            <v>KT-Nước cốt dừa (250g/túi)</v>
          </cell>
          <cell r="C455" t="str">
            <v>Túi</v>
          </cell>
        </row>
        <row r="456">
          <cell r="A456" t="str">
            <v>BH200026</v>
          </cell>
          <cell r="B456" t="str">
            <v>KT-Nước cốt lẩu nấm cô đặc (1kg/túi)</v>
          </cell>
          <cell r="C456" t="str">
            <v>Túi</v>
          </cell>
        </row>
        <row r="457">
          <cell r="A457" t="str">
            <v>BH200027</v>
          </cell>
          <cell r="B457" t="str">
            <v>KT-Nước cốt lẩu tứ xuyên (210g/gói)</v>
          </cell>
          <cell r="C457" t="str">
            <v>Gói</v>
          </cell>
        </row>
        <row r="458">
          <cell r="A458" t="str">
            <v>BH200028</v>
          </cell>
          <cell r="B458" t="str">
            <v>KT-Nước chấm cá</v>
          </cell>
          <cell r="C458" t="str">
            <v>kg</v>
          </cell>
        </row>
        <row r="459">
          <cell r="A459" t="str">
            <v>BH200029</v>
          </cell>
          <cell r="B459" t="str">
            <v>KT-Nước chấm ốc (500g/túi)</v>
          </cell>
          <cell r="C459" t="str">
            <v>kg</v>
          </cell>
        </row>
        <row r="460">
          <cell r="A460" t="str">
            <v>BH200030</v>
          </cell>
          <cell r="B460" t="str">
            <v>KT-Nước lẩu ăn thêm</v>
          </cell>
          <cell r="C460" t="str">
            <v>kg</v>
          </cell>
        </row>
        <row r="461">
          <cell r="A461" t="str">
            <v>BH200031</v>
          </cell>
          <cell r="B461" t="str">
            <v>KT-Nước lẩu chua cô đặc (1000g/túi)</v>
          </cell>
          <cell r="C461" t="str">
            <v>Túi</v>
          </cell>
        </row>
        <row r="462">
          <cell r="A462" t="str">
            <v>BH200032</v>
          </cell>
          <cell r="B462" t="str">
            <v>KT-Nước lẩu nấm cô đặc (750g/túi)</v>
          </cell>
          <cell r="C462" t="str">
            <v>Túi</v>
          </cell>
        </row>
        <row r="463">
          <cell r="A463" t="str">
            <v>BH200033</v>
          </cell>
          <cell r="B463" t="str">
            <v>KT-Nước lẩu thái cô đặc (750g/túi)</v>
          </cell>
          <cell r="C463" t="str">
            <v>Túi</v>
          </cell>
        </row>
        <row r="464">
          <cell r="A464" t="str">
            <v>BH200034</v>
          </cell>
          <cell r="B464" t="str">
            <v>KT-Nước me (400g/túi)</v>
          </cell>
          <cell r="C464" t="str">
            <v>Túi</v>
          </cell>
        </row>
        <row r="465">
          <cell r="A465" t="str">
            <v>BH200035</v>
          </cell>
          <cell r="B465" t="str">
            <v>KT-Nước nộm salad (nước nộm)</v>
          </cell>
          <cell r="C465" t="str">
            <v>kg</v>
          </cell>
        </row>
        <row r="466">
          <cell r="A466" t="str">
            <v>BH200036</v>
          </cell>
          <cell r="B466" t="str">
            <v>KT-Nước ngâm chân gà (750g/túi)</v>
          </cell>
          <cell r="C466" t="str">
            <v>Túi</v>
          </cell>
        </row>
        <row r="467">
          <cell r="A467" t="str">
            <v>BH200037</v>
          </cell>
          <cell r="B467" t="str">
            <v>KT-Nước ngâm rau tiến vua</v>
          </cell>
          <cell r="C467" t="str">
            <v>kg</v>
          </cell>
        </row>
        <row r="468">
          <cell r="A468" t="str">
            <v>BH200038</v>
          </cell>
          <cell r="B468" t="str">
            <v>KT-Rượu đốt</v>
          </cell>
          <cell r="C468" t="str">
            <v>Lít</v>
          </cell>
        </row>
        <row r="469">
          <cell r="A469" t="str">
            <v>BH200039</v>
          </cell>
          <cell r="B469" t="str">
            <v>KT-Sốt bào ngư</v>
          </cell>
          <cell r="C469" t="str">
            <v>kg</v>
          </cell>
        </row>
        <row r="470">
          <cell r="A470" t="str">
            <v>BH200040</v>
          </cell>
          <cell r="B470" t="str">
            <v>KT-Sốt chanh leo</v>
          </cell>
          <cell r="C470" t="str">
            <v>kg</v>
          </cell>
        </row>
        <row r="471">
          <cell r="A471" t="str">
            <v>BH200041</v>
          </cell>
          <cell r="B471" t="str">
            <v>KT-Sốt cháy tỏi</v>
          </cell>
          <cell r="C471" t="str">
            <v>kg</v>
          </cell>
        </row>
        <row r="472">
          <cell r="A472" t="str">
            <v>BH200042</v>
          </cell>
          <cell r="B472" t="str">
            <v>KT-Sốt chấm bò Fuji</v>
          </cell>
          <cell r="C472" t="str">
            <v>kg</v>
          </cell>
        </row>
        <row r="473">
          <cell r="A473" t="str">
            <v>BH200043</v>
          </cell>
          <cell r="B473" t="str">
            <v>KT-Sốt chấm Thái đỏ</v>
          </cell>
          <cell r="C473" t="str">
            <v>kg</v>
          </cell>
        </row>
        <row r="474">
          <cell r="A474" t="str">
            <v>BH200044</v>
          </cell>
          <cell r="B474" t="str">
            <v>KT-Sốt chấm thịt nướng (mới)</v>
          </cell>
          <cell r="C474" t="str">
            <v>kg</v>
          </cell>
        </row>
        <row r="475">
          <cell r="A475" t="str">
            <v>BH200045</v>
          </cell>
          <cell r="B475" t="str">
            <v>KT-Sốt chấm xanh</v>
          </cell>
          <cell r="C475" t="str">
            <v>kg</v>
          </cell>
        </row>
        <row r="476">
          <cell r="A476" t="str">
            <v>BH200046</v>
          </cell>
          <cell r="B476" t="str">
            <v>KT-Sốt gà rang gừng</v>
          </cell>
          <cell r="C476" t="str">
            <v>kg</v>
          </cell>
        </row>
        <row r="477">
          <cell r="A477" t="str">
            <v>BH200047</v>
          </cell>
          <cell r="B477" t="str">
            <v>KT-Sốt hoàng kim</v>
          </cell>
          <cell r="C477" t="str">
            <v>kg</v>
          </cell>
        </row>
        <row r="478">
          <cell r="A478" t="str">
            <v>BH200048</v>
          </cell>
          <cell r="B478" t="str">
            <v>KT-Sốt kim chi</v>
          </cell>
          <cell r="C478" t="str">
            <v>kg</v>
          </cell>
        </row>
        <row r="479">
          <cell r="A479" t="str">
            <v>BH200049</v>
          </cell>
          <cell r="B479" t="str">
            <v>KT-Sốt mắm gà</v>
          </cell>
          <cell r="C479" t="str">
            <v>kg</v>
          </cell>
        </row>
        <row r="480">
          <cell r="A480" t="str">
            <v>BH200050</v>
          </cell>
          <cell r="B480" t="str">
            <v>KT-Sốt muối ớt nướng</v>
          </cell>
          <cell r="C480" t="str">
            <v>kg</v>
          </cell>
        </row>
        <row r="481">
          <cell r="A481" t="str">
            <v>BH200051</v>
          </cell>
          <cell r="B481" t="str">
            <v>KT-Sốt nướng tảng</v>
          </cell>
          <cell r="C481" t="str">
            <v>kg</v>
          </cell>
        </row>
        <row r="482">
          <cell r="A482" t="str">
            <v>BH200052</v>
          </cell>
          <cell r="B482" t="str">
            <v>KT-Sốt Phomai (1kg/túi)</v>
          </cell>
          <cell r="C482" t="str">
            <v>kg</v>
          </cell>
        </row>
        <row r="483">
          <cell r="A483" t="str">
            <v>BH200053</v>
          </cell>
          <cell r="B483" t="str">
            <v>KT-Sốt Salad</v>
          </cell>
          <cell r="C483" t="str">
            <v>kg</v>
          </cell>
        </row>
        <row r="484">
          <cell r="A484" t="str">
            <v>BH200054</v>
          </cell>
          <cell r="B484" t="str">
            <v>KT-Sốt tái chanh</v>
          </cell>
          <cell r="C484" t="str">
            <v>kg</v>
          </cell>
        </row>
        <row r="485">
          <cell r="A485" t="str">
            <v>BH200055</v>
          </cell>
          <cell r="B485" t="str">
            <v>KT-Sốt tiêu đen</v>
          </cell>
          <cell r="C485" t="str">
            <v>kg</v>
          </cell>
        </row>
        <row r="486">
          <cell r="A486" t="str">
            <v>BH200056</v>
          </cell>
          <cell r="B486" t="str">
            <v>KT-Sốt trộn thái (500g/túi)</v>
          </cell>
          <cell r="C486" t="str">
            <v>kg</v>
          </cell>
        </row>
        <row r="487">
          <cell r="A487" t="str">
            <v>BH200057</v>
          </cell>
          <cell r="B487" t="str">
            <v>KT-Sốt ướp bò xông hơi</v>
          </cell>
          <cell r="C487" t="str">
            <v>kg</v>
          </cell>
        </row>
        <row r="488">
          <cell r="A488" t="str">
            <v>BH200058</v>
          </cell>
          <cell r="B488" t="str">
            <v>KT-Sốt Xá Xíu (1kg/túi)</v>
          </cell>
          <cell r="C488" t="str">
            <v>kg</v>
          </cell>
        </row>
        <row r="489">
          <cell r="A489" t="str">
            <v>BH200059</v>
          </cell>
          <cell r="B489" t="str">
            <v>KT-Sốt xào bắp bò (nộm)</v>
          </cell>
          <cell r="C489" t="str">
            <v>kg</v>
          </cell>
        </row>
        <row r="490">
          <cell r="A490" t="str">
            <v>BH200060</v>
          </cell>
          <cell r="B490" t="str">
            <v>KT-Sốt xào rau</v>
          </cell>
          <cell r="C490" t="str">
            <v>kg</v>
          </cell>
        </row>
        <row r="491">
          <cell r="A491" t="str">
            <v>BH200061</v>
          </cell>
          <cell r="B491" t="str">
            <v>KT-Sốt xào sách</v>
          </cell>
          <cell r="C491" t="str">
            <v>kg</v>
          </cell>
        </row>
        <row r="492">
          <cell r="A492" t="str">
            <v>BH200062</v>
          </cell>
          <cell r="B492" t="str">
            <v>KT-Sốt xì dầu</v>
          </cell>
          <cell r="C492" t="str">
            <v>kg</v>
          </cell>
        </row>
        <row r="493">
          <cell r="A493" t="str">
            <v>BH200063</v>
          </cell>
          <cell r="B493" t="str">
            <v>KT-Sốt XO-BT</v>
          </cell>
          <cell r="C493" t="str">
            <v>kg</v>
          </cell>
        </row>
        <row r="494">
          <cell r="A494" t="str">
            <v>BH200064</v>
          </cell>
          <cell r="B494" t="str">
            <v>KT-Thính gạo (200g/túi)</v>
          </cell>
          <cell r="C494" t="str">
            <v>kg</v>
          </cell>
        </row>
        <row r="495">
          <cell r="A495" t="str">
            <v>BH200065</v>
          </cell>
          <cell r="B495" t="str">
            <v>KT-Sốt salad mè rang</v>
          </cell>
          <cell r="C495" t="str">
            <v>kg</v>
          </cell>
        </row>
        <row r="496">
          <cell r="A496" t="str">
            <v>BH200066</v>
          </cell>
          <cell r="B496" t="str">
            <v>KT-Sốt mắm tỏi</v>
          </cell>
          <cell r="C496" t="str">
            <v>kg</v>
          </cell>
        </row>
        <row r="497">
          <cell r="A497" t="str">
            <v>BH200067</v>
          </cell>
          <cell r="B497" t="str">
            <v>KT-Gia vị heo quay</v>
          </cell>
          <cell r="C497" t="str">
            <v>kg</v>
          </cell>
        </row>
        <row r="498">
          <cell r="A498" t="str">
            <v>BH200068</v>
          </cell>
          <cell r="B498" t="str">
            <v>KT-Nước ngâm rau củ quả muối</v>
          </cell>
          <cell r="C498" t="str">
            <v>kg</v>
          </cell>
        </row>
        <row r="499">
          <cell r="A499" t="str">
            <v>BH200069</v>
          </cell>
          <cell r="B499" t="str">
            <v>KT-Sốt chấm gà lu</v>
          </cell>
          <cell r="C499" t="str">
            <v>kg</v>
          </cell>
        </row>
        <row r="500">
          <cell r="A500" t="str">
            <v>BH200070</v>
          </cell>
          <cell r="B500" t="str">
            <v>KT-Nước tắm gà lu</v>
          </cell>
          <cell r="C500" t="str">
            <v>kg</v>
          </cell>
        </row>
        <row r="501">
          <cell r="A501" t="str">
            <v>BH200071</v>
          </cell>
          <cell r="B501" t="str">
            <v>KT-Bột chiên nấm</v>
          </cell>
          <cell r="C501" t="str">
            <v>kg</v>
          </cell>
        </row>
        <row r="502">
          <cell r="A502" t="str">
            <v>BH200072</v>
          </cell>
          <cell r="B502" t="str">
            <v>KT-Xôi nếp nương</v>
          </cell>
          <cell r="C502" t="str">
            <v>kg</v>
          </cell>
        </row>
        <row r="503">
          <cell r="A503" t="str">
            <v>BH200073</v>
          </cell>
          <cell r="B503" t="str">
            <v>KT-Muối vừng</v>
          </cell>
          <cell r="C503" t="str">
            <v>kg</v>
          </cell>
        </row>
        <row r="504">
          <cell r="A504" t="str">
            <v>BH200074</v>
          </cell>
          <cell r="B504" t="str">
            <v>KT-Gia vị nước om chuối đậu</v>
          </cell>
          <cell r="C504" t="str">
            <v>Gói</v>
          </cell>
        </row>
        <row r="505">
          <cell r="A505" t="str">
            <v>BH200075</v>
          </cell>
          <cell r="B505" t="str">
            <v>KT-Nước tiềm óc heo</v>
          </cell>
          <cell r="C505" t="str">
            <v>kg</v>
          </cell>
        </row>
        <row r="506">
          <cell r="A506" t="str">
            <v>BH200076</v>
          </cell>
          <cell r="B506" t="str">
            <v>KT-Combo lẩu lá giang</v>
          </cell>
          <cell r="C506" t="str">
            <v>Túi</v>
          </cell>
        </row>
        <row r="507">
          <cell r="A507" t="str">
            <v>BH200077</v>
          </cell>
          <cell r="B507" t="str">
            <v>KT-Nước cốt lẩu lá giang (1kg/túi)</v>
          </cell>
          <cell r="C507" t="str">
            <v>Túi</v>
          </cell>
        </row>
        <row r="508">
          <cell r="A508" t="str">
            <v>BH200078</v>
          </cell>
          <cell r="B508" t="str">
            <v>KT-Gia vị lẩu lá giang (150g/túi)</v>
          </cell>
          <cell r="C508" t="str">
            <v>Túi</v>
          </cell>
        </row>
        <row r="509">
          <cell r="A509" t="str">
            <v>BH200079</v>
          </cell>
          <cell r="B509" t="str">
            <v>KT-Nước me (150g/túi)</v>
          </cell>
          <cell r="C509" t="str">
            <v>Túi</v>
          </cell>
        </row>
        <row r="510">
          <cell r="A510" t="str">
            <v>BH200080</v>
          </cell>
          <cell r="B510" t="str">
            <v>KT-Gia vị lẩu cua (406g/túi)</v>
          </cell>
          <cell r="C510" t="str">
            <v>Gói</v>
          </cell>
        </row>
        <row r="511">
          <cell r="A511" t="str">
            <v>BH200081</v>
          </cell>
          <cell r="B511" t="str">
            <v>KT-Sốt sa tế</v>
          </cell>
          <cell r="C511" t="str">
            <v>kg</v>
          </cell>
        </row>
        <row r="512">
          <cell r="A512" t="str">
            <v>BH200082</v>
          </cell>
          <cell r="B512" t="str">
            <v>KT-Nước hầm sâm</v>
          </cell>
          <cell r="C512" t="str">
            <v>kg</v>
          </cell>
        </row>
        <row r="513">
          <cell r="A513" t="str">
            <v>BH200083</v>
          </cell>
          <cell r="B513" t="str">
            <v>KT-Nước cốt dừa LW</v>
          </cell>
          <cell r="C513" t="str">
            <v>kg</v>
          </cell>
        </row>
        <row r="514">
          <cell r="A514" t="str">
            <v>BH200084</v>
          </cell>
          <cell r="B514" t="str">
            <v>KT-Cơm lam (12 ống/túi)</v>
          </cell>
          <cell r="C514" t="str">
            <v>Túi</v>
          </cell>
        </row>
        <row r="515">
          <cell r="A515" t="str">
            <v>BH200085</v>
          </cell>
          <cell r="B515" t="str">
            <v>KT-Sốt bánh bao (làm chân gà tàu xì)</v>
          </cell>
          <cell r="C515" t="str">
            <v>kg</v>
          </cell>
        </row>
        <row r="516">
          <cell r="A516" t="str">
            <v>BH200086</v>
          </cell>
          <cell r="B516" t="str">
            <v>KT-Sốt sa tế tôm sò điệp (160g/lọ)</v>
          </cell>
          <cell r="C516" t="str">
            <v>Lọ</v>
          </cell>
        </row>
        <row r="517">
          <cell r="A517" t="str">
            <v>BH200087</v>
          </cell>
          <cell r="B517" t="str">
            <v>KT-Nước tàu hũ trứng HK</v>
          </cell>
          <cell r="C517" t="str">
            <v>kg</v>
          </cell>
        </row>
        <row r="518">
          <cell r="A518" t="str">
            <v>BH200088</v>
          </cell>
          <cell r="B518" t="str">
            <v>KT-Sốt bò cháy tiêu xanh</v>
          </cell>
          <cell r="C518" t="str">
            <v>kg</v>
          </cell>
        </row>
        <row r="519">
          <cell r="A519" t="str">
            <v>BH200089</v>
          </cell>
          <cell r="B519" t="str">
            <v>KT-Nước cốt xương cô đặc</v>
          </cell>
          <cell r="C519" t="str">
            <v>kg</v>
          </cell>
        </row>
        <row r="520">
          <cell r="A520" t="str">
            <v>BH200090</v>
          </cell>
          <cell r="B520" t="str">
            <v>KT-Nước ninh xương</v>
          </cell>
          <cell r="C520" t="str">
            <v>kg</v>
          </cell>
        </row>
        <row r="521">
          <cell r="A521" t="str">
            <v>BH200091</v>
          </cell>
          <cell r="B521" t="str">
            <v>KT-Nước cốt chè sương sa</v>
          </cell>
          <cell r="C521" t="str">
            <v>kg</v>
          </cell>
        </row>
        <row r="522">
          <cell r="A522" t="str">
            <v>BH200092</v>
          </cell>
          <cell r="B522" t="str">
            <v>KT-Gia vị sốt sữa chua</v>
          </cell>
          <cell r="C522" t="str">
            <v>kg</v>
          </cell>
        </row>
        <row r="523">
          <cell r="A523" t="str">
            <v>BH200093</v>
          </cell>
          <cell r="B523" t="str">
            <v>KT-Sốt Teriyaki</v>
          </cell>
          <cell r="C523" t="str">
            <v>kg</v>
          </cell>
        </row>
        <row r="524">
          <cell r="A524" t="str">
            <v>BH200094</v>
          </cell>
          <cell r="B524" t="str">
            <v>KT-Sốt ướp bò lụi sả</v>
          </cell>
          <cell r="C524" t="str">
            <v>kg</v>
          </cell>
        </row>
        <row r="525">
          <cell r="A525" t="str">
            <v>BH200095</v>
          </cell>
          <cell r="B525" t="str">
            <v>KT-Nước xông hơi</v>
          </cell>
          <cell r="C525" t="str">
            <v>kg</v>
          </cell>
        </row>
        <row r="526">
          <cell r="A526" t="str">
            <v>BH200096</v>
          </cell>
          <cell r="B526" t="str">
            <v>KT-Kim chi HS</v>
          </cell>
          <cell r="C526" t="str">
            <v>kg</v>
          </cell>
        </row>
        <row r="527">
          <cell r="A527" t="str">
            <v>BH200097</v>
          </cell>
          <cell r="B527" t="str">
            <v>KT-Gia vị lẩu thảo mộc (Nồi 10L)</v>
          </cell>
          <cell r="C527" t="str">
            <v>Gói</v>
          </cell>
        </row>
        <row r="528">
          <cell r="A528" t="str">
            <v>BH200098</v>
          </cell>
          <cell r="B528" t="str">
            <v>KT-Bột rang muối HK</v>
          </cell>
          <cell r="C528" t="str">
            <v>kg</v>
          </cell>
        </row>
        <row r="529">
          <cell r="A529" t="str">
            <v>BH200099</v>
          </cell>
          <cell r="B529" t="str">
            <v>KT-Sốt nấm</v>
          </cell>
          <cell r="C529" t="str">
            <v>kg</v>
          </cell>
        </row>
        <row r="530">
          <cell r="A530" t="str">
            <v>BH200100</v>
          </cell>
          <cell r="B530" t="str">
            <v>KT-Khoai bổ cau</v>
          </cell>
          <cell r="C530" t="str">
            <v>kg</v>
          </cell>
        </row>
        <row r="531">
          <cell r="A531" t="str">
            <v>BH200101</v>
          </cell>
          <cell r="B531" t="str">
            <v>KT-Sốt me</v>
          </cell>
          <cell r="C531" t="str">
            <v>kg</v>
          </cell>
        </row>
        <row r="532">
          <cell r="A532" t="str">
            <v>BH200102</v>
          </cell>
          <cell r="B532" t="str">
            <v>KT-Ớt xá xíu</v>
          </cell>
          <cell r="C532" t="str">
            <v>kg</v>
          </cell>
        </row>
        <row r="533">
          <cell r="A533" t="str">
            <v>BH200103</v>
          </cell>
          <cell r="B533" t="str">
            <v>KT-Sốt chua ngọt</v>
          </cell>
          <cell r="C533" t="str">
            <v>kg</v>
          </cell>
        </row>
        <row r="534">
          <cell r="A534" t="str">
            <v>BH200104</v>
          </cell>
          <cell r="B534" t="str">
            <v>KT-Sốt bơ chanh</v>
          </cell>
          <cell r="C534" t="str">
            <v>kg</v>
          </cell>
        </row>
        <row r="535">
          <cell r="A535" t="str">
            <v>BH200105</v>
          </cell>
          <cell r="B535" t="str">
            <v>KT-Sốt bò tiêu đen</v>
          </cell>
          <cell r="C535" t="str">
            <v>kg</v>
          </cell>
        </row>
        <row r="536">
          <cell r="A536" t="str">
            <v>BH200106</v>
          </cell>
          <cell r="B536" t="str">
            <v>KT-Sốt cá kho</v>
          </cell>
          <cell r="C536" t="str">
            <v>kg</v>
          </cell>
        </row>
        <row r="537">
          <cell r="A537" t="str">
            <v>BH200107</v>
          </cell>
          <cell r="B537" t="str">
            <v>KT-Sốt cari</v>
          </cell>
          <cell r="C537" t="str">
            <v>kg</v>
          </cell>
        </row>
        <row r="538">
          <cell r="A538" t="str">
            <v>BH200108</v>
          </cell>
          <cell r="B538" t="str">
            <v>KT-Sốt niêu</v>
          </cell>
          <cell r="C538" t="str">
            <v>kg</v>
          </cell>
        </row>
        <row r="539">
          <cell r="A539" t="str">
            <v>BH200109</v>
          </cell>
          <cell r="B539" t="str">
            <v>KT-Nước xá xíu</v>
          </cell>
          <cell r="C539" t="str">
            <v>kg</v>
          </cell>
        </row>
        <row r="540">
          <cell r="A540" t="str">
            <v>BH200110</v>
          </cell>
          <cell r="B540" t="str">
            <v>KT-Nấm xào</v>
          </cell>
          <cell r="C540" t="str">
            <v>kg</v>
          </cell>
        </row>
        <row r="541">
          <cell r="A541" t="str">
            <v>BH200111</v>
          </cell>
          <cell r="B541" t="str">
            <v>KT-Mỡ hành</v>
          </cell>
          <cell r="C541" t="str">
            <v>kg</v>
          </cell>
        </row>
        <row r="542">
          <cell r="A542" t="str">
            <v>BH200112</v>
          </cell>
          <cell r="B542" t="str">
            <v>KT-Mỡ chiên khoai</v>
          </cell>
          <cell r="C542" t="str">
            <v>kg</v>
          </cell>
        </row>
        <row r="543">
          <cell r="A543" t="str">
            <v>BH200113</v>
          </cell>
          <cell r="B543" t="str">
            <v>KT-Hành phi HS</v>
          </cell>
          <cell r="C543" t="str">
            <v>kg</v>
          </cell>
        </row>
        <row r="544">
          <cell r="A544" t="str">
            <v>BH200114</v>
          </cell>
          <cell r="B544" t="str">
            <v>KT-Gia vị bò 9kg</v>
          </cell>
          <cell r="C544" t="str">
            <v>Gói</v>
          </cell>
        </row>
        <row r="545">
          <cell r="A545" t="str">
            <v>BH200115</v>
          </cell>
          <cell r="B545" t="str">
            <v>KT-Gia vị bò 4.5kg</v>
          </cell>
          <cell r="C545" t="str">
            <v>Gói</v>
          </cell>
        </row>
        <row r="546">
          <cell r="A546" t="str">
            <v>BH200116</v>
          </cell>
          <cell r="B546" t="str">
            <v>KT-Gia vị xá xíu 10kg</v>
          </cell>
          <cell r="C546" t="str">
            <v>Gói</v>
          </cell>
        </row>
        <row r="547">
          <cell r="A547" t="str">
            <v>BH200117</v>
          </cell>
          <cell r="B547" t="str">
            <v>KT-Gia vị xá xíu 15kg</v>
          </cell>
          <cell r="C547" t="str">
            <v>Gói</v>
          </cell>
        </row>
        <row r="548">
          <cell r="A548" t="str">
            <v>BH200118</v>
          </cell>
          <cell r="B548" t="str">
            <v>KT-Gia vị gà bơ chanh 8kg</v>
          </cell>
          <cell r="C548" t="str">
            <v>Gói</v>
          </cell>
        </row>
        <row r="549">
          <cell r="A549" t="str">
            <v>BH200119</v>
          </cell>
          <cell r="B549" t="str">
            <v>KT-Gia vị gà bơ chanh 4kg</v>
          </cell>
          <cell r="C549" t="str">
            <v>Gói</v>
          </cell>
        </row>
        <row r="550">
          <cell r="A550" t="str">
            <v>BH200120</v>
          </cell>
          <cell r="B550" t="str">
            <v>KT-Gia vị gà nấm 6kg</v>
          </cell>
          <cell r="C550" t="str">
            <v>Gói</v>
          </cell>
        </row>
        <row r="551">
          <cell r="A551" t="str">
            <v>BH200121</v>
          </cell>
          <cell r="B551" t="str">
            <v>KT-Gia vị gà nấm 4kg</v>
          </cell>
          <cell r="C551" t="str">
            <v>Gói</v>
          </cell>
        </row>
        <row r="552">
          <cell r="A552" t="str">
            <v>BH200122</v>
          </cell>
          <cell r="B552" t="str">
            <v>KT-Gia vị sườn chua ngọt</v>
          </cell>
          <cell r="C552" t="str">
            <v>Gói</v>
          </cell>
        </row>
        <row r="553">
          <cell r="A553" t="str">
            <v>BH200123</v>
          </cell>
          <cell r="B553" t="str">
            <v>KT-Gia vị đùi gà quay 12 cái</v>
          </cell>
          <cell r="C553" t="str">
            <v>Gói</v>
          </cell>
        </row>
        <row r="554">
          <cell r="A554" t="str">
            <v>BH200124</v>
          </cell>
          <cell r="B554" t="str">
            <v>KT-Gia vị sốt bơ chanh</v>
          </cell>
          <cell r="C554" t="str">
            <v>Gói</v>
          </cell>
        </row>
        <row r="555">
          <cell r="A555" t="str">
            <v>BH200125</v>
          </cell>
          <cell r="B555" t="str">
            <v>KT-Sốt xá xíu thành phẩm</v>
          </cell>
          <cell r="C555" t="str">
            <v>kg</v>
          </cell>
        </row>
        <row r="556">
          <cell r="A556" t="str">
            <v>BH200126</v>
          </cell>
          <cell r="B556" t="str">
            <v>KT-Sốt tiêu đen thành phẩm</v>
          </cell>
          <cell r="C556" t="str">
            <v>kg</v>
          </cell>
        </row>
        <row r="557">
          <cell r="A557" t="str">
            <v>BH200127</v>
          </cell>
          <cell r="B557" t="str">
            <v>KT-Sốt đường xoài</v>
          </cell>
          <cell r="C557" t="str">
            <v>kg</v>
          </cell>
        </row>
        <row r="558">
          <cell r="A558" t="str">
            <v>BH200128</v>
          </cell>
          <cell r="B558" t="str">
            <v>KT-Nước ngâm đùi gà táu</v>
          </cell>
          <cell r="C558" t="str">
            <v>kg</v>
          </cell>
        </row>
        <row r="559">
          <cell r="A559" t="str">
            <v>BH200129</v>
          </cell>
          <cell r="B559" t="str">
            <v>KT-Gia vị quẩy</v>
          </cell>
          <cell r="C559" t="str">
            <v>kg</v>
          </cell>
        </row>
        <row r="560">
          <cell r="A560" t="str">
            <v>BH200130</v>
          </cell>
          <cell r="B560" t="str">
            <v>KT-Nước hàng</v>
          </cell>
          <cell r="C560" t="str">
            <v>kg</v>
          </cell>
        </row>
        <row r="561">
          <cell r="A561" t="str">
            <v>BH200131</v>
          </cell>
          <cell r="B561" t="str">
            <v>KT-Dầu điều Hải Sư</v>
          </cell>
          <cell r="C561" t="str">
            <v>kg</v>
          </cell>
        </row>
        <row r="562">
          <cell r="A562" t="str">
            <v>BH200132</v>
          </cell>
          <cell r="B562" t="str">
            <v>KT-Sốt ướp bò tiêu đen</v>
          </cell>
          <cell r="C562" t="str">
            <v>kg</v>
          </cell>
        </row>
        <row r="563">
          <cell r="A563" t="str">
            <v>BH200133</v>
          </cell>
          <cell r="B563" t="str">
            <v>KT-Sốt Teriyaki HS</v>
          </cell>
          <cell r="C563" t="str">
            <v>kg</v>
          </cell>
        </row>
        <row r="564">
          <cell r="A564" t="str">
            <v>BH200134</v>
          </cell>
          <cell r="B564" t="str">
            <v>KT-Sốt xá xíu HS (làm má heo ướp xá xíu)</v>
          </cell>
          <cell r="C564" t="str">
            <v>kg</v>
          </cell>
        </row>
        <row r="565">
          <cell r="A565" t="str">
            <v>BH200135</v>
          </cell>
          <cell r="B565" t="str">
            <v>KT-Sốt ớt xá xíu HS</v>
          </cell>
          <cell r="C565" t="str">
            <v>kg</v>
          </cell>
        </row>
        <row r="566">
          <cell r="A566" t="str">
            <v>BH200136</v>
          </cell>
          <cell r="B566" t="str">
            <v>KT-Sốt xì dầu ớt</v>
          </cell>
          <cell r="C566" t="str">
            <v>kg</v>
          </cell>
        </row>
        <row r="567">
          <cell r="A567" t="str">
            <v>BH200137</v>
          </cell>
          <cell r="B567" t="str">
            <v>KT-Bột phong sa</v>
          </cell>
          <cell r="C567" t="str">
            <v>kg</v>
          </cell>
        </row>
        <row r="568">
          <cell r="A568" t="str">
            <v>BH200138</v>
          </cell>
          <cell r="B568" t="str">
            <v>KT-Gia vị bò sốt vang (332g/gói)</v>
          </cell>
          <cell r="C568" t="str">
            <v>Gói</v>
          </cell>
        </row>
        <row r="569">
          <cell r="A569" t="str">
            <v>BH300001</v>
          </cell>
          <cell r="B569" t="str">
            <v>KT-Bánh bao kim sa</v>
          </cell>
          <cell r="C569" t="str">
            <v>Cái</v>
          </cell>
        </row>
        <row r="570">
          <cell r="A570" t="str">
            <v>BH300002</v>
          </cell>
          <cell r="B570" t="str">
            <v>KT-Bánh bao kim sa online (6 cái/túi)</v>
          </cell>
          <cell r="C570" t="str">
            <v>Túi</v>
          </cell>
        </row>
        <row r="571">
          <cell r="A571" t="str">
            <v>BH300003</v>
          </cell>
          <cell r="B571" t="str">
            <v>KT-Bánh bao nấm</v>
          </cell>
          <cell r="C571" t="str">
            <v>Cái</v>
          </cell>
        </row>
        <row r="572">
          <cell r="A572" t="str">
            <v>BH300004</v>
          </cell>
          <cell r="B572" t="str">
            <v>KT-Bánh bao nấm online (6 cái/túi)</v>
          </cell>
          <cell r="C572" t="str">
            <v>Túi</v>
          </cell>
        </row>
        <row r="573">
          <cell r="A573" t="str">
            <v>BH300005</v>
          </cell>
          <cell r="B573" t="str">
            <v>KT-Bánh bao trà xanh</v>
          </cell>
          <cell r="C573" t="str">
            <v>Cái</v>
          </cell>
        </row>
        <row r="574">
          <cell r="A574" t="str">
            <v>BH300006</v>
          </cell>
          <cell r="B574" t="str">
            <v>KT-Bánh bao trà xanh online (6 cái/túi)</v>
          </cell>
          <cell r="C574" t="str">
            <v>Túi</v>
          </cell>
        </row>
        <row r="575">
          <cell r="A575" t="str">
            <v>BH300007</v>
          </cell>
          <cell r="B575" t="str">
            <v>KT-Đậu hũ phomai online (6 viên/túi)</v>
          </cell>
          <cell r="C575" t="str">
            <v>Túi</v>
          </cell>
        </row>
        <row r="576">
          <cell r="A576" t="str">
            <v>BH300008</v>
          </cell>
          <cell r="B576" t="str">
            <v>KT-Há cảo củ dền</v>
          </cell>
          <cell r="C576" t="str">
            <v>Cái</v>
          </cell>
        </row>
        <row r="577">
          <cell r="A577" t="str">
            <v>BH300009</v>
          </cell>
          <cell r="B577" t="str">
            <v>KT-Há cảo đậu biếc</v>
          </cell>
          <cell r="C577" t="str">
            <v>Cái</v>
          </cell>
        </row>
        <row r="578">
          <cell r="A578" t="str">
            <v>BH300010</v>
          </cell>
          <cell r="B578" t="str">
            <v>KT-Há cảo lá dứa</v>
          </cell>
          <cell r="C578" t="str">
            <v>Cái</v>
          </cell>
        </row>
        <row r="579">
          <cell r="A579" t="str">
            <v>BH300011</v>
          </cell>
          <cell r="B579" t="str">
            <v>KT-Há cảo ngọc bích</v>
          </cell>
          <cell r="C579" t="str">
            <v>Cái</v>
          </cell>
        </row>
        <row r="580">
          <cell r="A580" t="str">
            <v>BH300012</v>
          </cell>
          <cell r="B580" t="str">
            <v>KT-Há cảo ngọc bích online (10 cái/túi)</v>
          </cell>
          <cell r="C580" t="str">
            <v>Túi</v>
          </cell>
        </row>
        <row r="581">
          <cell r="A581" t="str">
            <v>BH300013</v>
          </cell>
          <cell r="B581" t="str">
            <v>KT-Há cảo nhân tôm</v>
          </cell>
          <cell r="C581" t="str">
            <v>Cái</v>
          </cell>
        </row>
        <row r="582">
          <cell r="A582" t="str">
            <v>BH300014</v>
          </cell>
          <cell r="B582" t="str">
            <v>KT-Há cảo nhân tôm online (10 cái/túi)</v>
          </cell>
          <cell r="C582" t="str">
            <v>Túi</v>
          </cell>
        </row>
        <row r="583">
          <cell r="A583" t="str">
            <v>BH300015</v>
          </cell>
          <cell r="B583" t="str">
            <v>KT-Há cảo sò điệp</v>
          </cell>
          <cell r="C583" t="str">
            <v>Cái</v>
          </cell>
        </row>
        <row r="584">
          <cell r="A584" t="str">
            <v>BH300016</v>
          </cell>
          <cell r="B584" t="str">
            <v>KT-Há cảo sò điệp online (10 cái/túi)</v>
          </cell>
          <cell r="C584" t="str">
            <v>Túi</v>
          </cell>
        </row>
        <row r="585">
          <cell r="A585" t="str">
            <v>BH300017</v>
          </cell>
          <cell r="B585" t="str">
            <v>KT-Há cảo than tre nhân tôm</v>
          </cell>
          <cell r="C585" t="str">
            <v>Cái</v>
          </cell>
        </row>
        <row r="586">
          <cell r="A586" t="str">
            <v>BH300018</v>
          </cell>
          <cell r="B586" t="str">
            <v>KT-Há cảo than tre nhân tôm online (10 cái/túi)</v>
          </cell>
          <cell r="C586" t="str">
            <v>Túi</v>
          </cell>
        </row>
        <row r="587">
          <cell r="A587" t="str">
            <v>BH300019</v>
          </cell>
          <cell r="B587" t="str">
            <v>KT-Nhân bánh bao kim sa</v>
          </cell>
          <cell r="C587" t="str">
            <v>kg</v>
          </cell>
        </row>
        <row r="588">
          <cell r="A588" t="str">
            <v>BH300020</v>
          </cell>
          <cell r="B588" t="str">
            <v>KT-Nhân bánh bao nấm</v>
          </cell>
          <cell r="C588" t="str">
            <v>kg</v>
          </cell>
        </row>
        <row r="589">
          <cell r="A589" t="str">
            <v>BH300021</v>
          </cell>
          <cell r="B589" t="str">
            <v>KT-Nhân bánh bao trà xanh</v>
          </cell>
          <cell r="C589" t="str">
            <v>kg</v>
          </cell>
        </row>
        <row r="590">
          <cell r="A590" t="str">
            <v>BH300022</v>
          </cell>
          <cell r="B590" t="str">
            <v>KT-Nhân há cảo ngọc bích</v>
          </cell>
          <cell r="C590" t="str">
            <v>kg</v>
          </cell>
        </row>
        <row r="591">
          <cell r="A591" t="str">
            <v>BH300023</v>
          </cell>
          <cell r="B591" t="str">
            <v>KT-Nhân há cảo sò điệp</v>
          </cell>
          <cell r="C591" t="str">
            <v>kg</v>
          </cell>
        </row>
        <row r="592">
          <cell r="A592" t="str">
            <v>BH300024</v>
          </cell>
          <cell r="B592" t="str">
            <v>KT-Nhân tiểu long bao</v>
          </cell>
          <cell r="C592" t="str">
            <v>kg</v>
          </cell>
        </row>
        <row r="593">
          <cell r="A593" t="str">
            <v>BH300025</v>
          </cell>
          <cell r="B593" t="str">
            <v>KT-Nhân tôm</v>
          </cell>
          <cell r="C593" t="str">
            <v>kg</v>
          </cell>
        </row>
        <row r="594">
          <cell r="A594" t="str">
            <v>BH300026</v>
          </cell>
          <cell r="B594" t="str">
            <v>KT-Sò điệp ướp</v>
          </cell>
          <cell r="C594" t="str">
            <v>kg</v>
          </cell>
        </row>
        <row r="595">
          <cell r="A595" t="str">
            <v>BH300027</v>
          </cell>
          <cell r="B595" t="str">
            <v>KT-Sốt ướp dimsum</v>
          </cell>
          <cell r="C595" t="str">
            <v>kg</v>
          </cell>
        </row>
        <row r="596">
          <cell r="A596" t="str">
            <v>BH300028</v>
          </cell>
          <cell r="B596" t="str">
            <v>KT-Tiểu long bao</v>
          </cell>
          <cell r="C596" t="str">
            <v>Cái</v>
          </cell>
        </row>
        <row r="597">
          <cell r="A597" t="str">
            <v>BH300029</v>
          </cell>
          <cell r="B597" t="str">
            <v>KT-Tiểu long bao online (6 cái/túi)</v>
          </cell>
          <cell r="C597" t="str">
            <v>Túi</v>
          </cell>
        </row>
        <row r="598">
          <cell r="A598" t="str">
            <v>BH300030</v>
          </cell>
          <cell r="B598" t="str">
            <v>KT-Vỏ bánh bao kim sa</v>
          </cell>
          <cell r="C598" t="str">
            <v>kg</v>
          </cell>
        </row>
        <row r="599">
          <cell r="A599" t="str">
            <v>BH300031</v>
          </cell>
          <cell r="B599" t="str">
            <v>KT-Vỏ bánh bao nấm</v>
          </cell>
          <cell r="C599" t="str">
            <v>kg</v>
          </cell>
        </row>
        <row r="600">
          <cell r="A600" t="str">
            <v>BH300032</v>
          </cell>
          <cell r="B600" t="str">
            <v>KT-Vỏ bánh bao trà xanh</v>
          </cell>
          <cell r="C600" t="str">
            <v>kg</v>
          </cell>
        </row>
        <row r="601">
          <cell r="A601" t="str">
            <v>BH300033</v>
          </cell>
          <cell r="B601" t="str">
            <v>KT-Vỏ há cảo củ dền</v>
          </cell>
          <cell r="C601" t="str">
            <v>kg</v>
          </cell>
        </row>
        <row r="602">
          <cell r="A602" t="str">
            <v>BH300034</v>
          </cell>
          <cell r="B602" t="str">
            <v>KT-Vỏ há cảo đậu biếc</v>
          </cell>
          <cell r="C602" t="str">
            <v>kg</v>
          </cell>
        </row>
        <row r="603">
          <cell r="A603" t="str">
            <v>BH300035</v>
          </cell>
          <cell r="B603" t="str">
            <v>KT-Vỏ há cảo lá dứa</v>
          </cell>
          <cell r="C603" t="str">
            <v>kg</v>
          </cell>
        </row>
        <row r="604">
          <cell r="A604" t="str">
            <v>BH300036</v>
          </cell>
          <cell r="B604" t="str">
            <v>KT-Vỏ há cảo ngọc bích</v>
          </cell>
          <cell r="C604" t="str">
            <v>Cái</v>
          </cell>
        </row>
        <row r="605">
          <cell r="A605" t="str">
            <v>BH300037</v>
          </cell>
          <cell r="B605" t="str">
            <v>KT-Vỏ há cảo ngọc bích</v>
          </cell>
          <cell r="C605" t="str">
            <v>kg</v>
          </cell>
        </row>
        <row r="606">
          <cell r="A606" t="str">
            <v>BH300038</v>
          </cell>
          <cell r="B606" t="str">
            <v>KT-Vỏ há cảo nhân tôm</v>
          </cell>
          <cell r="C606" t="str">
            <v>kg</v>
          </cell>
        </row>
        <row r="607">
          <cell r="A607" t="str">
            <v>BH300039</v>
          </cell>
          <cell r="B607" t="str">
            <v>KT-Vỏ há cảo sò điệp</v>
          </cell>
          <cell r="C607" t="str">
            <v>kg</v>
          </cell>
        </row>
        <row r="608">
          <cell r="A608" t="str">
            <v>BH300040</v>
          </cell>
          <cell r="B608" t="str">
            <v>KT-Vỏ há cảo than tre nhân tôm</v>
          </cell>
          <cell r="C608" t="str">
            <v>kg</v>
          </cell>
        </row>
        <row r="609">
          <cell r="A609" t="str">
            <v>BH300041</v>
          </cell>
          <cell r="B609" t="str">
            <v>KT-Vỏ tiểu long bao</v>
          </cell>
          <cell r="C609" t="str">
            <v>kg</v>
          </cell>
        </row>
        <row r="610">
          <cell r="A610" t="str">
            <v>BH300042</v>
          </cell>
          <cell r="B610" t="str">
            <v>KT-Xúc xích phomai online (6 cái/túi)</v>
          </cell>
          <cell r="C610" t="str">
            <v>Túi</v>
          </cell>
        </row>
        <row r="611">
          <cell r="A611" t="str">
            <v>BH300043</v>
          </cell>
          <cell r="B611" t="str">
            <v>KT-Bánh bao bò phô mai</v>
          </cell>
          <cell r="C611" t="str">
            <v>Cái</v>
          </cell>
        </row>
        <row r="612">
          <cell r="A612" t="str">
            <v>BH300044</v>
          </cell>
          <cell r="B612" t="str">
            <v>KT-Nhân bánh bao bò phô mai</v>
          </cell>
          <cell r="C612" t="str">
            <v>kg</v>
          </cell>
        </row>
        <row r="613">
          <cell r="A613" t="str">
            <v>BH300045</v>
          </cell>
          <cell r="B613" t="str">
            <v>KT-Vỏ bánh bao bò phô mai</v>
          </cell>
          <cell r="C613" t="str">
            <v>kg</v>
          </cell>
        </row>
        <row r="614">
          <cell r="A614" t="str">
            <v>BH300046</v>
          </cell>
          <cell r="B614" t="str">
            <v>KT-Bánh bao chay (6 cái/hộp)</v>
          </cell>
          <cell r="C614" t="str">
            <v>Cái</v>
          </cell>
        </row>
        <row r="615">
          <cell r="A615" t="str">
            <v>BH300047</v>
          </cell>
          <cell r="B615" t="str">
            <v>KT-Bánh bao sầu riêng</v>
          </cell>
          <cell r="C615" t="str">
            <v>Cái</v>
          </cell>
        </row>
        <row r="616">
          <cell r="A616" t="str">
            <v>BH300048</v>
          </cell>
          <cell r="B616" t="str">
            <v>KT-Bánh bao khoai môn</v>
          </cell>
          <cell r="C616" t="str">
            <v>Cái</v>
          </cell>
        </row>
        <row r="617">
          <cell r="A617" t="str">
            <v>BH300049</v>
          </cell>
          <cell r="B617" t="str">
            <v>KT-Há cảo kim tiền</v>
          </cell>
          <cell r="C617" t="str">
            <v>Cái</v>
          </cell>
        </row>
        <row r="618">
          <cell r="A618" t="str">
            <v>BH300050</v>
          </cell>
          <cell r="B618" t="str">
            <v>KT-Há cảo triều châu</v>
          </cell>
          <cell r="C618" t="str">
            <v>Cái</v>
          </cell>
        </row>
        <row r="619">
          <cell r="A619" t="str">
            <v>BH300051</v>
          </cell>
          <cell r="B619" t="str">
            <v>KT-Há cảo thanh cua</v>
          </cell>
          <cell r="C619" t="str">
            <v>Cái</v>
          </cell>
        </row>
        <row r="620">
          <cell r="A620" t="str">
            <v>BH300052</v>
          </cell>
          <cell r="B620" t="str">
            <v>KT-Nhân bánh bao sầu riêng</v>
          </cell>
          <cell r="C620" t="str">
            <v>kg</v>
          </cell>
        </row>
        <row r="621">
          <cell r="A621" t="str">
            <v>BH300053</v>
          </cell>
          <cell r="B621" t="str">
            <v>KT-Nhân bánh bao khoai môn</v>
          </cell>
          <cell r="C621" t="str">
            <v>kg</v>
          </cell>
        </row>
        <row r="622">
          <cell r="A622" t="str">
            <v>BH300054</v>
          </cell>
          <cell r="B622" t="str">
            <v>KT-Nhân há cảo thanh cua</v>
          </cell>
          <cell r="C622" t="str">
            <v>kg</v>
          </cell>
        </row>
        <row r="623">
          <cell r="A623" t="str">
            <v>BH300055</v>
          </cell>
          <cell r="B623" t="str">
            <v>KT-Nhân há cảo triều châu</v>
          </cell>
          <cell r="C623" t="str">
            <v>kg</v>
          </cell>
        </row>
        <row r="624">
          <cell r="A624" t="str">
            <v>BH300056</v>
          </cell>
          <cell r="B624" t="str">
            <v>KT-Nhân há cảo kim tiền</v>
          </cell>
          <cell r="C624" t="str">
            <v>kg</v>
          </cell>
        </row>
        <row r="625">
          <cell r="A625" t="str">
            <v>BH300057</v>
          </cell>
          <cell r="B625" t="str">
            <v>KT-Vỏ bánh bao sầu riêng</v>
          </cell>
          <cell r="C625" t="str">
            <v>kg</v>
          </cell>
        </row>
        <row r="626">
          <cell r="A626" t="str">
            <v>BH300058</v>
          </cell>
          <cell r="B626" t="str">
            <v>KT-Vỏ bánh bao khoai môn</v>
          </cell>
          <cell r="C626" t="str">
            <v>kg</v>
          </cell>
        </row>
        <row r="627">
          <cell r="A627" t="str">
            <v>BH300059</v>
          </cell>
          <cell r="B627" t="str">
            <v>KT-Vỏ há cảo thanh cua</v>
          </cell>
          <cell r="C627" t="str">
            <v>kg</v>
          </cell>
        </row>
        <row r="628">
          <cell r="A628" t="str">
            <v>BH300060</v>
          </cell>
          <cell r="B628" t="str">
            <v>KT-Vỏ há cảo triều châu</v>
          </cell>
          <cell r="C628" t="str">
            <v>kg</v>
          </cell>
        </row>
        <row r="629">
          <cell r="A629" t="str">
            <v>BH300061</v>
          </cell>
          <cell r="B629" t="str">
            <v>KT-Vỏ há cảo kim tiền</v>
          </cell>
          <cell r="C629" t="str">
            <v>kg</v>
          </cell>
        </row>
        <row r="630">
          <cell r="A630" t="str">
            <v>BH300062</v>
          </cell>
          <cell r="B630" t="str">
            <v>KT-Nhân sủi cảo tôm</v>
          </cell>
          <cell r="C630" t="str">
            <v>kg</v>
          </cell>
        </row>
        <row r="631">
          <cell r="A631" t="str">
            <v>BH300063</v>
          </cell>
          <cell r="B631" t="str">
            <v>KT-Sủi cảo tứ xuyên</v>
          </cell>
          <cell r="C631" t="str">
            <v>Cái</v>
          </cell>
        </row>
        <row r="632">
          <cell r="A632" t="str">
            <v>BH300064</v>
          </cell>
          <cell r="B632" t="str">
            <v>KT-Sủi cảo tôm hẹ</v>
          </cell>
          <cell r="C632" t="str">
            <v>Cái</v>
          </cell>
        </row>
        <row r="633">
          <cell r="A633" t="str">
            <v>BH300065</v>
          </cell>
          <cell r="B633" t="str">
            <v>KT-Sủi cảo tôm thịt</v>
          </cell>
          <cell r="C633" t="str">
            <v>Cái</v>
          </cell>
        </row>
        <row r="634">
          <cell r="A634" t="str">
            <v>BH300066</v>
          </cell>
          <cell r="B634" t="str">
            <v>KT-Nhân sủi cảo tôm thịt</v>
          </cell>
          <cell r="C634" t="str">
            <v>kg</v>
          </cell>
        </row>
        <row r="635">
          <cell r="A635" t="str">
            <v>BH300067</v>
          </cell>
          <cell r="B635" t="str">
            <v>KT-Mực phỉ thúy</v>
          </cell>
          <cell r="C635" t="str">
            <v>kg</v>
          </cell>
        </row>
        <row r="636">
          <cell r="A636" t="str">
            <v>BH300068</v>
          </cell>
          <cell r="B636" t="str">
            <v>KT-Tôm phỉ thúy</v>
          </cell>
          <cell r="C636" t="str">
            <v>kg</v>
          </cell>
        </row>
        <row r="637">
          <cell r="A637" t="str">
            <v>BHAKN036</v>
          </cell>
          <cell r="B637" t="str">
            <v>Gù bò thêm</v>
          </cell>
          <cell r="C637" t="str">
            <v>phần</v>
          </cell>
        </row>
        <row r="638">
          <cell r="A638" t="str">
            <v>BHAKN037</v>
          </cell>
          <cell r="B638" t="str">
            <v>Bánh đa</v>
          </cell>
          <cell r="C638" t="str">
            <v>phần</v>
          </cell>
        </row>
        <row r="639">
          <cell r="A639" t="str">
            <v>BHAKN038</v>
          </cell>
          <cell r="B639" t="str">
            <v>Cuống tim thêm</v>
          </cell>
          <cell r="C639" t="str">
            <v>phần</v>
          </cell>
        </row>
        <row r="640">
          <cell r="A640" t="str">
            <v>BHAKN039</v>
          </cell>
          <cell r="B640" t="str">
            <v>Xách đen thêm</v>
          </cell>
          <cell r="C640" t="str">
            <v>phần</v>
          </cell>
        </row>
        <row r="641">
          <cell r="A641" t="str">
            <v>BHAKN040</v>
          </cell>
          <cell r="B641" t="str">
            <v>Gân bò thêm</v>
          </cell>
          <cell r="C641" t="str">
            <v>phần</v>
          </cell>
        </row>
        <row r="642">
          <cell r="A642" t="str">
            <v>BHANO011</v>
          </cell>
          <cell r="B642" t="str">
            <v>Xôi chiên phồng (combo)</v>
          </cell>
          <cell r="C642" t="str">
            <v>Suất</v>
          </cell>
        </row>
        <row r="643">
          <cell r="A643" t="str">
            <v>BHANO012</v>
          </cell>
          <cell r="B643" t="str">
            <v>Cơm chiên bò nấm (Combo)</v>
          </cell>
          <cell r="C643" t="str">
            <v>Suất</v>
          </cell>
        </row>
        <row r="644">
          <cell r="A644" t="str">
            <v>BHANO013</v>
          </cell>
          <cell r="B644" t="str">
            <v>Mỳ xào Bò Tươi</v>
          </cell>
          <cell r="C644" t="str">
            <v>Suất</v>
          </cell>
        </row>
        <row r="645">
          <cell r="A645" t="str">
            <v>BHBBE004</v>
          </cell>
          <cell r="B645" t="str">
            <v>Bò nướng lá lốt (Combo)</v>
          </cell>
          <cell r="C645" t="str">
            <v>Suất</v>
          </cell>
        </row>
        <row r="646">
          <cell r="A646" t="str">
            <v>BHBBE005</v>
          </cell>
          <cell r="B646" t="str">
            <v>Bò tơ xông hơi</v>
          </cell>
          <cell r="C646" t="str">
            <v>Suất</v>
          </cell>
        </row>
        <row r="647">
          <cell r="A647" t="str">
            <v>BHBBE006</v>
          </cell>
          <cell r="B647" t="str">
            <v>Bò lúc lắc</v>
          </cell>
          <cell r="C647" t="str">
            <v>Suất</v>
          </cell>
        </row>
        <row r="648">
          <cell r="A648" t="str">
            <v>BHBBE007</v>
          </cell>
          <cell r="B648" t="str">
            <v>Bò cháy tiêu xanh + Bánh bao</v>
          </cell>
          <cell r="C648" t="str">
            <v>Suất</v>
          </cell>
        </row>
        <row r="649">
          <cell r="A649" t="str">
            <v>BHBBE008</v>
          </cell>
          <cell r="B649" t="str">
            <v>Bò tơ sốt vang</v>
          </cell>
          <cell r="C649" t="str">
            <v>Suất</v>
          </cell>
        </row>
        <row r="650">
          <cell r="A650" t="str">
            <v>BHCBO005</v>
          </cell>
          <cell r="B650" t="str">
            <v>COMBO TRƯA  " NĂNG LƯỢNG"</v>
          </cell>
          <cell r="C650" t="str">
            <v>Set</v>
          </cell>
        </row>
        <row r="651">
          <cell r="A651" t="str">
            <v>BHCBO006</v>
          </cell>
          <cell r="B651" t="str">
            <v>COMBO TRƯA " CHỮA LÀNH"</v>
          </cell>
          <cell r="C651" t="str">
            <v>Set</v>
          </cell>
        </row>
        <row r="652">
          <cell r="A652" t="str">
            <v>BHCCX012</v>
          </cell>
          <cell r="B652" t="str">
            <v>Bò tơ cuốn bánh tráng (Combo)</v>
          </cell>
          <cell r="C652" t="str">
            <v>Suất</v>
          </cell>
        </row>
        <row r="653">
          <cell r="A653" t="str">
            <v>BHCCX013</v>
          </cell>
          <cell r="B653" t="str">
            <v>Bánh tráng cuốn heo quay (Combo)</v>
          </cell>
          <cell r="C653" t="str">
            <v>Suất</v>
          </cell>
        </row>
        <row r="654">
          <cell r="A654" t="str">
            <v>BHCCX014</v>
          </cell>
          <cell r="B654" t="str">
            <v>Bò tơ cuốn bánh tráng (Bò 5)</v>
          </cell>
          <cell r="C654" t="str">
            <v>Suất</v>
          </cell>
        </row>
        <row r="655">
          <cell r="A655" t="str">
            <v>BHCCX015</v>
          </cell>
          <cell r="B655" t="str">
            <v>Heo quay cuốn bánh tráng (Bò 5)</v>
          </cell>
          <cell r="C655" t="str">
            <v>Suất</v>
          </cell>
        </row>
        <row r="656">
          <cell r="A656" t="str">
            <v>BHCCX016</v>
          </cell>
          <cell r="B656" t="str">
            <v>Mẹt cuốn đặc biệt</v>
          </cell>
          <cell r="C656" t="str">
            <v>Suất</v>
          </cell>
        </row>
        <row r="657">
          <cell r="A657" t="str">
            <v>BHDQE022</v>
          </cell>
          <cell r="B657" t="str">
            <v>Chả ốc (Combo)</v>
          </cell>
          <cell r="C657" t="str">
            <v>Suất</v>
          </cell>
        </row>
        <row r="658">
          <cell r="A658" t="str">
            <v>BHDQE023</v>
          </cell>
          <cell r="B658" t="str">
            <v>Chả cá tầm</v>
          </cell>
          <cell r="C658" t="str">
            <v>Suất</v>
          </cell>
        </row>
        <row r="659">
          <cell r="A659" t="str">
            <v>BHDVU008</v>
          </cell>
          <cell r="B659" t="str">
            <v>Đơn freeship - 25K</v>
          </cell>
          <cell r="C659" t="str">
            <v>Lần</v>
          </cell>
        </row>
        <row r="660">
          <cell r="A660" t="str">
            <v>BHHAS006</v>
          </cell>
          <cell r="B660" t="str">
            <v>Cá Lăng Nướng Tây Bắc</v>
          </cell>
          <cell r="C660" t="str">
            <v>Suất</v>
          </cell>
        </row>
        <row r="661">
          <cell r="A661" t="str">
            <v>BHKVI009</v>
          </cell>
          <cell r="B661" t="str">
            <v>Tàu Hũ Tôm Tươi Cuộn Nấm</v>
          </cell>
          <cell r="C661" t="str">
            <v>Đĩa</v>
          </cell>
        </row>
        <row r="662">
          <cell r="A662" t="str">
            <v>BHLAU019</v>
          </cell>
          <cell r="B662" t="str">
            <v>Lẩu thảo mộc bò tươi</v>
          </cell>
          <cell r="C662" t="str">
            <v>Nồi</v>
          </cell>
        </row>
        <row r="663">
          <cell r="A663" t="str">
            <v>BHLAU020</v>
          </cell>
          <cell r="B663" t="str">
            <v>Lẩu bò thảo mộc</v>
          </cell>
          <cell r="C663" t="str">
            <v>Nồi</v>
          </cell>
        </row>
        <row r="664">
          <cell r="A664" t="str">
            <v>BHMAKN035</v>
          </cell>
          <cell r="B664" t="str">
            <v>Cuống tim thêm (MV)</v>
          </cell>
          <cell r="C664" t="str">
            <v>Suất</v>
          </cell>
        </row>
        <row r="665">
          <cell r="A665" t="str">
            <v>BHMAKN036</v>
          </cell>
          <cell r="B665" t="str">
            <v>Xách đen thêm (MV)</v>
          </cell>
          <cell r="C665" t="str">
            <v>Suất</v>
          </cell>
        </row>
        <row r="666">
          <cell r="A666" t="str">
            <v>BHMAKN037</v>
          </cell>
          <cell r="B666" t="str">
            <v>Gân bò thêm (MV)</v>
          </cell>
          <cell r="C666" t="str">
            <v>Suất</v>
          </cell>
        </row>
        <row r="667">
          <cell r="A667" t="str">
            <v>BHMAKN038</v>
          </cell>
          <cell r="B667" t="str">
            <v>Bánh đa (MV)</v>
          </cell>
          <cell r="C667" t="str">
            <v>Suất</v>
          </cell>
        </row>
        <row r="668">
          <cell r="A668" t="str">
            <v>BHMAKN039</v>
          </cell>
          <cell r="B668" t="str">
            <v>Mọc heo nấm tươi (MV)</v>
          </cell>
          <cell r="C668" t="str">
            <v>Suất</v>
          </cell>
        </row>
        <row r="669">
          <cell r="A669" t="str">
            <v>BHMBBE004</v>
          </cell>
          <cell r="B669" t="str">
            <v>Bò tơ sốt vang (MV)</v>
          </cell>
          <cell r="C669" t="str">
            <v>Suất</v>
          </cell>
        </row>
        <row r="670">
          <cell r="A670" t="str">
            <v>BHMCCX013</v>
          </cell>
          <cell r="B670" t="str">
            <v>Mẹt cuốn đặc biệt (MV)</v>
          </cell>
          <cell r="C670" t="str">
            <v>phần</v>
          </cell>
        </row>
        <row r="671">
          <cell r="A671" t="str">
            <v>BHMDQE025</v>
          </cell>
          <cell r="B671" t="str">
            <v>Tàu Hũ Tôm Tươi Cuộn Nấm (MV)</v>
          </cell>
          <cell r="C671" t="str">
            <v>Đĩa</v>
          </cell>
        </row>
        <row r="672">
          <cell r="A672" t="str">
            <v>BHMDQE026</v>
          </cell>
          <cell r="B672" t="str">
            <v>Chả cá tầm (MV)</v>
          </cell>
          <cell r="C672" t="str">
            <v>Suất</v>
          </cell>
        </row>
        <row r="673">
          <cell r="A673" t="str">
            <v>BHMKVI009</v>
          </cell>
          <cell r="B673" t="str">
            <v>Set Quà Cát Tường (1kg) (MV)</v>
          </cell>
          <cell r="C673" t="str">
            <v>set</v>
          </cell>
        </row>
        <row r="674">
          <cell r="A674" t="str">
            <v>BHMKVI010</v>
          </cell>
          <cell r="B674" t="str">
            <v>Set Quà Cát Tường (500) (MV)</v>
          </cell>
          <cell r="C674" t="str">
            <v>set</v>
          </cell>
        </row>
        <row r="675">
          <cell r="A675" t="str">
            <v>BHMLAU018</v>
          </cell>
          <cell r="B675" t="str">
            <v>Lẩu Thái Bò đặc biệt (MV)</v>
          </cell>
          <cell r="C675" t="str">
            <v>Nồi</v>
          </cell>
        </row>
        <row r="676">
          <cell r="A676" t="str">
            <v>BHMLAU019</v>
          </cell>
          <cell r="B676" t="str">
            <v>Lẩu Cua Đồng Đặc Biệt 7 Món (MV)</v>
          </cell>
          <cell r="C676" t="str">
            <v>Nồi</v>
          </cell>
        </row>
        <row r="677">
          <cell r="A677" t="str">
            <v>BHMLAU020</v>
          </cell>
          <cell r="B677" t="str">
            <v>Lẩu Thảo Mộc Bò Tươi( MV)</v>
          </cell>
          <cell r="C677" t="str">
            <v>Nồi</v>
          </cell>
        </row>
        <row r="678">
          <cell r="A678" t="str">
            <v>BHMLAU021</v>
          </cell>
          <cell r="B678" t="str">
            <v>Lẩu Bò Thảo Mộc (MV)</v>
          </cell>
          <cell r="C678" t="str">
            <v>Nồi</v>
          </cell>
        </row>
        <row r="679">
          <cell r="A679" t="str">
            <v>BHMRAU013</v>
          </cell>
          <cell r="B679" t="str">
            <v>Rau rừng luộc chấm trứng (MV)</v>
          </cell>
          <cell r="C679" t="str">
            <v>Đĩa</v>
          </cell>
        </row>
        <row r="680">
          <cell r="A680" t="str">
            <v>BHMRAU014</v>
          </cell>
          <cell r="B680" t="str">
            <v>Rau rừng xào tỏi (MV)</v>
          </cell>
          <cell r="C680" t="str">
            <v>Đĩa</v>
          </cell>
        </row>
        <row r="681">
          <cell r="A681" t="str">
            <v>BHNCD009</v>
          </cell>
          <cell r="B681" t="str">
            <v>Cuống tim xào</v>
          </cell>
          <cell r="C681" t="str">
            <v>Suất</v>
          </cell>
        </row>
        <row r="682">
          <cell r="A682" t="str">
            <v>BHRAU013</v>
          </cell>
          <cell r="B682" t="str">
            <v>Rau rừng luộc chấm trứng</v>
          </cell>
          <cell r="C682" t="str">
            <v>Đĩa</v>
          </cell>
        </row>
        <row r="683">
          <cell r="A683" t="str">
            <v>BHRAU014</v>
          </cell>
          <cell r="B683" t="str">
            <v>Rau rừng xào tỏi</v>
          </cell>
          <cell r="C683" t="str">
            <v>Đĩa</v>
          </cell>
        </row>
        <row r="684">
          <cell r="A684" t="str">
            <v>BHRAU015</v>
          </cell>
          <cell r="B684" t="str">
            <v>Salad rau vườn nhiệt đới (Combo)</v>
          </cell>
          <cell r="C684" t="str">
            <v>Đĩa</v>
          </cell>
        </row>
        <row r="685">
          <cell r="A685" t="str">
            <v>BHRAU016</v>
          </cell>
          <cell r="B685" t="str">
            <v>Salad sốt mè rang (Combo)</v>
          </cell>
          <cell r="C685" t="str">
            <v>Đĩa</v>
          </cell>
        </row>
        <row r="686">
          <cell r="A686" t="str">
            <v>BHTAKN001</v>
          </cell>
          <cell r="B686" t="str">
            <v>Bò tươi ăn thêm</v>
          </cell>
          <cell r="C686" t="str">
            <v>phần</v>
          </cell>
        </row>
        <row r="687">
          <cell r="A687" t="str">
            <v>BHTAKN002</v>
          </cell>
          <cell r="B687" t="str">
            <v>Thịt bò tơ</v>
          </cell>
          <cell r="C687" t="str">
            <v>phần</v>
          </cell>
        </row>
        <row r="688">
          <cell r="A688" t="str">
            <v>BHTAKN003</v>
          </cell>
          <cell r="B688" t="str">
            <v>Mọc Tươi</v>
          </cell>
          <cell r="C688" t="str">
            <v>phần</v>
          </cell>
        </row>
        <row r="689">
          <cell r="A689" t="str">
            <v>BHTAKN004</v>
          </cell>
          <cell r="B689" t="str">
            <v>Rau lẩu cà chua ăn thêm</v>
          </cell>
          <cell r="C689" t="str">
            <v>phần</v>
          </cell>
        </row>
        <row r="690">
          <cell r="A690" t="str">
            <v>BHTAKN005</v>
          </cell>
          <cell r="B690" t="str">
            <v>Rau lẩu cua ăn thêm</v>
          </cell>
          <cell r="C690" t="str">
            <v>phần</v>
          </cell>
        </row>
        <row r="691">
          <cell r="A691" t="str">
            <v>BHTAKN006</v>
          </cell>
          <cell r="B691" t="str">
            <v>Set Nấm ăn thêm</v>
          </cell>
          <cell r="C691" t="str">
            <v>phần</v>
          </cell>
        </row>
        <row r="692">
          <cell r="A692" t="str">
            <v>BHTAKN007</v>
          </cell>
          <cell r="B692" t="str">
            <v>Mỳ tôm</v>
          </cell>
          <cell r="C692" t="str">
            <v>phần</v>
          </cell>
        </row>
        <row r="693">
          <cell r="A693" t="str">
            <v>BHTAKN008</v>
          </cell>
          <cell r="B693" t="str">
            <v>Bún</v>
          </cell>
          <cell r="C693" t="str">
            <v>phần</v>
          </cell>
        </row>
        <row r="694">
          <cell r="A694" t="str">
            <v>BHTAKN009</v>
          </cell>
          <cell r="B694" t="str">
            <v>Đậu phụ</v>
          </cell>
          <cell r="C694" t="str">
            <v>phần</v>
          </cell>
        </row>
        <row r="695">
          <cell r="A695" t="str">
            <v>BHTAKN010</v>
          </cell>
          <cell r="B695" t="str">
            <v>Ngô ngọt nhúng lẩu</v>
          </cell>
          <cell r="C695" t="str">
            <v>phần</v>
          </cell>
        </row>
        <row r="696">
          <cell r="A696" t="str">
            <v>BHTAKN011</v>
          </cell>
          <cell r="B696" t="str">
            <v>Kim chi</v>
          </cell>
          <cell r="C696" t="str">
            <v>phần</v>
          </cell>
        </row>
        <row r="697">
          <cell r="A697" t="str">
            <v>BHTAKN012</v>
          </cell>
          <cell r="B697" t="str">
            <v>Củ quả muối</v>
          </cell>
          <cell r="C697" t="str">
            <v>phần</v>
          </cell>
        </row>
        <row r="698">
          <cell r="A698" t="str">
            <v>BHTAKN013</v>
          </cell>
          <cell r="B698" t="str">
            <v>Bánh bao chiên</v>
          </cell>
          <cell r="C698" t="str">
            <v>phần</v>
          </cell>
        </row>
        <row r="699">
          <cell r="A699" t="str">
            <v>BHTAKN014</v>
          </cell>
          <cell r="B699" t="str">
            <v>Phồng tôm thêm</v>
          </cell>
          <cell r="C699" t="str">
            <v>phần</v>
          </cell>
        </row>
        <row r="700">
          <cell r="A700" t="str">
            <v>BHTANO001</v>
          </cell>
          <cell r="B700" t="str">
            <v>Xôi chiên phồng</v>
          </cell>
          <cell r="C700" t="str">
            <v>Đĩa</v>
          </cell>
        </row>
        <row r="701">
          <cell r="A701" t="str">
            <v>BHTANO002</v>
          </cell>
          <cell r="B701" t="str">
            <v>Cơm bò sốt tiêu đen</v>
          </cell>
          <cell r="C701" t="str">
            <v>Đĩa</v>
          </cell>
        </row>
        <row r="702">
          <cell r="A702" t="str">
            <v>BHTANO003</v>
          </cell>
          <cell r="B702" t="str">
            <v>Cơm chiên cá hồi</v>
          </cell>
          <cell r="C702" t="str">
            <v>Suất</v>
          </cell>
        </row>
        <row r="703">
          <cell r="A703" t="str">
            <v>BHTANO004</v>
          </cell>
          <cell r="B703" t="str">
            <v>Cơm chiên hải sản</v>
          </cell>
          <cell r="C703" t="str">
            <v>Suất</v>
          </cell>
        </row>
        <row r="704">
          <cell r="A704" t="str">
            <v>BHTCBO001</v>
          </cell>
          <cell r="B704" t="str">
            <v>COMBO SIÊU TỐC</v>
          </cell>
          <cell r="C704" t="str">
            <v>Set</v>
          </cell>
        </row>
        <row r="705">
          <cell r="A705" t="str">
            <v>BHTCBO002</v>
          </cell>
          <cell r="B705" t="str">
            <v>COMBO VĂN PHÒNG</v>
          </cell>
          <cell r="C705" t="str">
            <v>Set</v>
          </cell>
        </row>
        <row r="706">
          <cell r="A706" t="str">
            <v>BHTCBO003</v>
          </cell>
          <cell r="B706" t="str">
            <v>COMBO SUM HỌP</v>
          </cell>
          <cell r="C706" t="str">
            <v>Set</v>
          </cell>
        </row>
        <row r="707">
          <cell r="A707" t="str">
            <v>BHTCBO004</v>
          </cell>
          <cell r="B707" t="str">
            <v>COMBO THƯỢNG HẠNG</v>
          </cell>
          <cell r="C707" t="str">
            <v>Set</v>
          </cell>
        </row>
        <row r="708">
          <cell r="A708" t="str">
            <v>BHTCCX001</v>
          </cell>
          <cell r="B708" t="str">
            <v>Mẹt bò đặc biệt</v>
          </cell>
          <cell r="C708" t="str">
            <v>Suất</v>
          </cell>
        </row>
        <row r="709">
          <cell r="A709" t="str">
            <v>BHTCCX002</v>
          </cell>
          <cell r="B709" t="str">
            <v>Bánh tráng cuốn heo quay</v>
          </cell>
          <cell r="C709" t="str">
            <v>Suất</v>
          </cell>
        </row>
        <row r="710">
          <cell r="A710" t="str">
            <v>BHTCCX003</v>
          </cell>
          <cell r="B710" t="str">
            <v>Bò tơ cuốn bánh tráng</v>
          </cell>
          <cell r="C710" t="str">
            <v>Suất</v>
          </cell>
        </row>
        <row r="711">
          <cell r="A711" t="str">
            <v>BHTCCX004</v>
          </cell>
          <cell r="B711" t="str">
            <v>Bánh tráng cuốn bò lụi sả</v>
          </cell>
          <cell r="C711" t="str">
            <v>Suất</v>
          </cell>
        </row>
        <row r="712">
          <cell r="A712" t="str">
            <v>BHTCCX005</v>
          </cell>
          <cell r="B712" t="str">
            <v>Bánh tráng cuốn bò lá lốt</v>
          </cell>
          <cell r="C712" t="str">
            <v>Suất</v>
          </cell>
        </row>
        <row r="713">
          <cell r="A713" t="str">
            <v>BHTDQE001</v>
          </cell>
          <cell r="B713" t="str">
            <v>Gà chiên mắm</v>
          </cell>
          <cell r="C713" t="str">
            <v>Đĩa</v>
          </cell>
        </row>
        <row r="714">
          <cell r="A714" t="str">
            <v>BHTDQE002</v>
          </cell>
          <cell r="B714" t="str">
            <v>Má heo nướng</v>
          </cell>
          <cell r="C714" t="str">
            <v>Đĩa</v>
          </cell>
        </row>
        <row r="715">
          <cell r="A715" t="str">
            <v>BHTDQE003</v>
          </cell>
          <cell r="B715" t="str">
            <v>Heo quay bánh hỏi</v>
          </cell>
          <cell r="C715" t="str">
            <v>Suất</v>
          </cell>
        </row>
        <row r="716">
          <cell r="A716" t="str">
            <v>BHTDQE004</v>
          </cell>
          <cell r="B716" t="str">
            <v>Chả cá tầm</v>
          </cell>
          <cell r="C716" t="str">
            <v>Suất</v>
          </cell>
        </row>
        <row r="717">
          <cell r="A717" t="str">
            <v>BHTHAS001</v>
          </cell>
          <cell r="B717" t="str">
            <v>Mực nướng xốt Teayaki</v>
          </cell>
          <cell r="C717" t="str">
            <v>Đĩa</v>
          </cell>
        </row>
        <row r="718">
          <cell r="A718" t="str">
            <v>BHTHAS002</v>
          </cell>
          <cell r="B718" t="str">
            <v>Mực chiên bơ tỏi</v>
          </cell>
          <cell r="C718" t="str">
            <v>Đĩa</v>
          </cell>
        </row>
        <row r="719">
          <cell r="A719" t="str">
            <v>BHTHAS003</v>
          </cell>
          <cell r="B719" t="str">
            <v>Cá hồi nướng sốt Teayaki</v>
          </cell>
          <cell r="C719" t="str">
            <v>Đĩa</v>
          </cell>
        </row>
        <row r="720">
          <cell r="A720" t="str">
            <v>BHTHAS004</v>
          </cell>
          <cell r="B720" t="str">
            <v>Cá hồi áp chảo</v>
          </cell>
          <cell r="C720" t="str">
            <v>Đĩa</v>
          </cell>
        </row>
        <row r="721">
          <cell r="A721" t="str">
            <v>BHTHQU001</v>
          </cell>
          <cell r="B721" t="str">
            <v>Nước ép cam tươi</v>
          </cell>
          <cell r="C721" t="str">
            <v>ly</v>
          </cell>
        </row>
        <row r="722">
          <cell r="A722" t="str">
            <v>BHTHQU002</v>
          </cell>
          <cell r="B722" t="str">
            <v>Nước ép dưa hấu</v>
          </cell>
          <cell r="C722" t="str">
            <v>ly</v>
          </cell>
        </row>
        <row r="723">
          <cell r="A723" t="str">
            <v>BHTHQU003</v>
          </cell>
          <cell r="B723" t="str">
            <v>Trà đào cam sả</v>
          </cell>
          <cell r="C723" t="str">
            <v>ly</v>
          </cell>
        </row>
        <row r="724">
          <cell r="A724" t="str">
            <v>BHTHQU004</v>
          </cell>
          <cell r="B724" t="str">
            <v>Trà ô long cam đào</v>
          </cell>
          <cell r="C724" t="str">
            <v>ly</v>
          </cell>
        </row>
        <row r="725">
          <cell r="A725" t="str">
            <v>BHTHQU005</v>
          </cell>
          <cell r="B725" t="str">
            <v>Trà ổi hồng</v>
          </cell>
          <cell r="C725" t="str">
            <v>ly</v>
          </cell>
        </row>
        <row r="726">
          <cell r="A726" t="str">
            <v>BHTHQU006</v>
          </cell>
          <cell r="B726" t="str">
            <v>Trà dưỡng nhan</v>
          </cell>
          <cell r="C726" t="str">
            <v>ly</v>
          </cell>
        </row>
        <row r="727">
          <cell r="A727" t="str">
            <v>BHTHQU007</v>
          </cell>
          <cell r="B727" t="str">
            <v>Trà trái cây nhiệt đới (Bình)</v>
          </cell>
          <cell r="C727" t="str">
            <v>Bình</v>
          </cell>
        </row>
        <row r="728">
          <cell r="A728" t="str">
            <v>BHTHQU008</v>
          </cell>
          <cell r="B728" t="str">
            <v>Trà trái cây nhiệt đới (Ly)</v>
          </cell>
          <cell r="C728" t="str">
            <v>ly</v>
          </cell>
        </row>
        <row r="729">
          <cell r="A729" t="str">
            <v>BHTKVI001</v>
          </cell>
          <cell r="B729" t="str">
            <v>Khoai tây chiên</v>
          </cell>
          <cell r="C729" t="str">
            <v>Đĩa</v>
          </cell>
        </row>
        <row r="730">
          <cell r="A730" t="str">
            <v>BHTKVI002</v>
          </cell>
          <cell r="B730" t="str">
            <v>Đậu hũ chiên trứng muối</v>
          </cell>
          <cell r="C730" t="str">
            <v>Đĩa</v>
          </cell>
        </row>
        <row r="731">
          <cell r="A731" t="str">
            <v>BHTKVI003</v>
          </cell>
          <cell r="B731" t="str">
            <v>Khô bò mắc khén xé tay</v>
          </cell>
          <cell r="C731" t="str">
            <v>Đĩa</v>
          </cell>
        </row>
        <row r="732">
          <cell r="A732" t="str">
            <v>BHTKVI004</v>
          </cell>
          <cell r="B732" t="str">
            <v>Nem bò nấm</v>
          </cell>
          <cell r="C732" t="str">
            <v>Đĩa</v>
          </cell>
        </row>
        <row r="733">
          <cell r="A733" t="str">
            <v>BHTKVI005</v>
          </cell>
          <cell r="B733" t="str">
            <v>Bò nấm xúc phồng tôm</v>
          </cell>
          <cell r="C733" t="str">
            <v>Đĩa</v>
          </cell>
        </row>
        <row r="734">
          <cell r="A734" t="str">
            <v>BHTLAU001</v>
          </cell>
          <cell r="B734" t="str">
            <v>Lẩu Riêu Cua Bò Tươi đặc biệt (Nồi nhỏ)</v>
          </cell>
          <cell r="C734" t="str">
            <v>Nồi</v>
          </cell>
        </row>
        <row r="735">
          <cell r="A735" t="str">
            <v>BHTLAU002</v>
          </cell>
          <cell r="B735" t="str">
            <v>Lẩu Riêu Cua Bò Tươi đặc biệt (Nồi lớn)</v>
          </cell>
          <cell r="C735" t="str">
            <v>Nồi</v>
          </cell>
        </row>
        <row r="736">
          <cell r="A736" t="str">
            <v>BHTLAU003</v>
          </cell>
          <cell r="B736" t="str">
            <v>Lẩu cà chua đặc biệt (Nồi nhỏ)</v>
          </cell>
          <cell r="C736" t="str">
            <v>Nồi</v>
          </cell>
        </row>
        <row r="737">
          <cell r="A737" t="str">
            <v>BHTLAU004</v>
          </cell>
          <cell r="B737" t="str">
            <v>Lẩu cà chua đặc biệt (Nồi lớn)</v>
          </cell>
          <cell r="C737" t="str">
            <v>Nồi</v>
          </cell>
        </row>
        <row r="738">
          <cell r="A738" t="str">
            <v>BHTMI008</v>
          </cell>
          <cell r="B738" t="str">
            <v>Pana cotta (Tặng khách)</v>
          </cell>
          <cell r="C738" t="str">
            <v>Hũ</v>
          </cell>
        </row>
        <row r="739">
          <cell r="A739" t="str">
            <v>BHTNCD001</v>
          </cell>
          <cell r="B739" t="str">
            <v>Bò Hỏa Diệm Sơn</v>
          </cell>
          <cell r="C739" t="str">
            <v>Suất</v>
          </cell>
        </row>
        <row r="740">
          <cell r="A740" t="str">
            <v>BHTNCD002</v>
          </cell>
          <cell r="B740" t="str">
            <v>Bò cháy tiêu xanh + bánh bao</v>
          </cell>
          <cell r="C740" t="str">
            <v>Suất</v>
          </cell>
        </row>
        <row r="741">
          <cell r="A741" t="str">
            <v>BHTNCD003</v>
          </cell>
          <cell r="B741" t="str">
            <v>Bê chao Mộc Châu</v>
          </cell>
          <cell r="C741" t="str">
            <v>Đĩa</v>
          </cell>
        </row>
        <row r="742">
          <cell r="A742" t="str">
            <v>BHTNCD004</v>
          </cell>
          <cell r="B742" t="str">
            <v>Bò nướng tảng</v>
          </cell>
          <cell r="C742" t="str">
            <v>Đĩa</v>
          </cell>
        </row>
        <row r="743">
          <cell r="A743" t="str">
            <v>BHTNCD005</v>
          </cell>
          <cell r="B743" t="str">
            <v>Dồi bò chiên giòn</v>
          </cell>
          <cell r="C743" t="str">
            <v>Đĩa</v>
          </cell>
        </row>
        <row r="744">
          <cell r="A744" t="str">
            <v>BHTNCD006</v>
          </cell>
          <cell r="B744" t="str">
            <v>Bò lúc lắc</v>
          </cell>
          <cell r="C744" t="str">
            <v>Suất</v>
          </cell>
        </row>
        <row r="745">
          <cell r="A745" t="str">
            <v>BHTNCD007</v>
          </cell>
          <cell r="B745" t="str">
            <v>Bò tơ xông hơi</v>
          </cell>
          <cell r="C745" t="str">
            <v>Suất</v>
          </cell>
        </row>
        <row r="746">
          <cell r="A746" t="str">
            <v>BHTNCD008</v>
          </cell>
          <cell r="B746" t="str">
            <v>Bò nướng lá lốt</v>
          </cell>
          <cell r="C746" t="str">
            <v>Suất</v>
          </cell>
        </row>
        <row r="747">
          <cell r="A747" t="str">
            <v>BHTNCD009</v>
          </cell>
          <cell r="B747" t="str">
            <v>Bò tươi nhúng lá Nồm</v>
          </cell>
          <cell r="C747" t="str">
            <v>Tô</v>
          </cell>
        </row>
        <row r="748">
          <cell r="A748" t="str">
            <v>BHTNCD010</v>
          </cell>
          <cell r="B748" t="str">
            <v>Đuôi bò tiềm sâm củ sen</v>
          </cell>
          <cell r="C748" t="str">
            <v>Suất</v>
          </cell>
        </row>
        <row r="749">
          <cell r="A749" t="str">
            <v>BHTRAU001</v>
          </cell>
          <cell r="B749" t="str">
            <v>Salad bò nướng</v>
          </cell>
          <cell r="C749" t="str">
            <v>Đĩa</v>
          </cell>
        </row>
        <row r="750">
          <cell r="A750" t="str">
            <v>BHTRAU002</v>
          </cell>
          <cell r="B750" t="str">
            <v>Salad hoa quả</v>
          </cell>
          <cell r="C750" t="str">
            <v>Đĩa</v>
          </cell>
        </row>
        <row r="751">
          <cell r="A751" t="str">
            <v>BHTRAU003</v>
          </cell>
          <cell r="B751" t="str">
            <v>Salad rau vườn nhiệt đới</v>
          </cell>
          <cell r="C751" t="str">
            <v>Đĩa</v>
          </cell>
        </row>
        <row r="752">
          <cell r="A752" t="str">
            <v>BHTRAU004</v>
          </cell>
          <cell r="B752" t="str">
            <v>Nộm rau tiến vua bò tươi</v>
          </cell>
          <cell r="C752" t="str">
            <v>Đĩa</v>
          </cell>
        </row>
        <row r="753">
          <cell r="A753" t="str">
            <v>BHTRAU005</v>
          </cell>
          <cell r="B753" t="str">
            <v>Nộm sứa</v>
          </cell>
          <cell r="C753" t="str">
            <v>Đĩa</v>
          </cell>
        </row>
        <row r="754">
          <cell r="A754" t="str">
            <v>BHTRAU006</v>
          </cell>
          <cell r="B754" t="str">
            <v>Nộm đu đủ Heo quay</v>
          </cell>
          <cell r="C754" t="str">
            <v>Đĩa</v>
          </cell>
        </row>
        <row r="755">
          <cell r="A755" t="str">
            <v>BHTRAU007</v>
          </cell>
          <cell r="B755" t="str">
            <v>Nộm bò đu đủ</v>
          </cell>
          <cell r="C755" t="str">
            <v>Đĩa</v>
          </cell>
        </row>
        <row r="756">
          <cell r="A756" t="str">
            <v>BHTTMI001</v>
          </cell>
          <cell r="B756" t="str">
            <v>Chè sương sa</v>
          </cell>
          <cell r="C756" t="str">
            <v>phần</v>
          </cell>
        </row>
        <row r="757">
          <cell r="A757" t="str">
            <v>BHTTMI002</v>
          </cell>
          <cell r="B757" t="str">
            <v>Trái cây theo mùa</v>
          </cell>
          <cell r="C757" t="str">
            <v>phần</v>
          </cell>
        </row>
        <row r="758">
          <cell r="A758" t="str">
            <v>BHTTMI003</v>
          </cell>
          <cell r="B758" t="str">
            <v>Chè sầu</v>
          </cell>
          <cell r="C758" t="str">
            <v>phần</v>
          </cell>
        </row>
        <row r="759">
          <cell r="A759" t="str">
            <v>BS100001</v>
          </cell>
          <cell r="B759" t="str">
            <v>KS-Bê chao ( sơ chế )</v>
          </cell>
          <cell r="C759" t="str">
            <v>Suất</v>
          </cell>
        </row>
        <row r="760">
          <cell r="A760" t="str">
            <v>BS100002</v>
          </cell>
          <cell r="B760" t="str">
            <v>KS-Bò tơ ba chỉ chín (Bò tơ cuốn)</v>
          </cell>
          <cell r="C760" t="str">
            <v>kg</v>
          </cell>
        </row>
        <row r="761">
          <cell r="A761" t="str">
            <v>BS100003</v>
          </cell>
          <cell r="B761" t="str">
            <v>KS-Bò tơ ba chỉ sống xay</v>
          </cell>
          <cell r="C761" t="str">
            <v>kg</v>
          </cell>
        </row>
        <row r="762">
          <cell r="A762" t="str">
            <v>BS100004</v>
          </cell>
          <cell r="B762" t="str">
            <v>KS-Dồi bò (hấp)</v>
          </cell>
          <cell r="C762" t="str">
            <v>Suất</v>
          </cell>
        </row>
        <row r="763">
          <cell r="A763" t="str">
            <v>BS100005</v>
          </cell>
          <cell r="B763" t="str">
            <v>KS-Mỡ phần xay</v>
          </cell>
          <cell r="C763" t="str">
            <v>kg</v>
          </cell>
        </row>
        <row r="764">
          <cell r="A764" t="str">
            <v>BS100006</v>
          </cell>
          <cell r="B764" t="str">
            <v>KS-Tóp mỡ</v>
          </cell>
          <cell r="C764" t="str">
            <v>kg</v>
          </cell>
        </row>
        <row r="765">
          <cell r="A765" t="str">
            <v>BS100007</v>
          </cell>
          <cell r="B765" t="str">
            <v>KS-Viên mọc bò (6 viên/xuất)</v>
          </cell>
          <cell r="C765" t="str">
            <v>Suất</v>
          </cell>
        </row>
        <row r="766">
          <cell r="A766" t="str">
            <v>BS100008</v>
          </cell>
          <cell r="B766" t="str">
            <v>KS-Sườn tàu xì</v>
          </cell>
          <cell r="C766" t="str">
            <v>kg</v>
          </cell>
        </row>
        <row r="767">
          <cell r="A767" t="str">
            <v>BS100009</v>
          </cell>
          <cell r="B767" t="str">
            <v>KS-Chân gà tàu xì</v>
          </cell>
          <cell r="C767" t="str">
            <v>Suất</v>
          </cell>
        </row>
        <row r="768">
          <cell r="A768" t="str">
            <v>BS100010</v>
          </cell>
          <cell r="B768" t="str">
            <v>KS-Ba chỉ bò mỹ cắt khối</v>
          </cell>
          <cell r="C768" t="str">
            <v>kg</v>
          </cell>
        </row>
        <row r="769">
          <cell r="A769" t="str">
            <v>BS100011</v>
          </cell>
          <cell r="B769" t="str">
            <v>KS-Thăn ngoại bò Kobe cắt khối</v>
          </cell>
          <cell r="C769" t="str">
            <v>kg</v>
          </cell>
        </row>
        <row r="770">
          <cell r="A770" t="str">
            <v>BS100012</v>
          </cell>
          <cell r="B770" t="str">
            <v>KS-Bê chao cắt khối</v>
          </cell>
          <cell r="C770" t="str">
            <v>kg</v>
          </cell>
        </row>
        <row r="771">
          <cell r="A771" t="str">
            <v>BS100013</v>
          </cell>
          <cell r="B771" t="str">
            <v>KS-Nước thịt cua (1 nồi/1.3kg)</v>
          </cell>
          <cell r="C771" t="str">
            <v>Gói</v>
          </cell>
        </row>
        <row r="772">
          <cell r="A772" t="str">
            <v>BS100014</v>
          </cell>
          <cell r="B772" t="str">
            <v>KS-Bò vụn chín xay</v>
          </cell>
          <cell r="C772" t="str">
            <v>kg</v>
          </cell>
        </row>
        <row r="773">
          <cell r="A773" t="str">
            <v>BS100015</v>
          </cell>
          <cell r="B773" t="str">
            <v>KS-Đuôi bò tiềm thuốc bắc củ sen</v>
          </cell>
          <cell r="C773" t="str">
            <v>Túi</v>
          </cell>
        </row>
        <row r="774">
          <cell r="A774" t="str">
            <v>BS100016</v>
          </cell>
          <cell r="B774" t="str">
            <v>KS-Thịt heo quay</v>
          </cell>
          <cell r="C774" t="str">
            <v>kg</v>
          </cell>
        </row>
        <row r="775">
          <cell r="A775" t="str">
            <v>BS100017</v>
          </cell>
          <cell r="B775" t="str">
            <v>KS-Gà quay</v>
          </cell>
          <cell r="C775" t="str">
            <v>con</v>
          </cell>
        </row>
        <row r="776">
          <cell r="A776" t="str">
            <v>BS100018</v>
          </cell>
          <cell r="B776" t="str">
            <v>KS-Nhân chả ốc</v>
          </cell>
          <cell r="C776" t="str">
            <v>kg</v>
          </cell>
        </row>
        <row r="777">
          <cell r="A777" t="str">
            <v>BS100019</v>
          </cell>
          <cell r="B777" t="str">
            <v>KS-Viên mọc bò (60 viên/gói)</v>
          </cell>
          <cell r="C777" t="str">
            <v>Gói</v>
          </cell>
        </row>
        <row r="778">
          <cell r="A778" t="str">
            <v>BS100020</v>
          </cell>
          <cell r="B778" t="str">
            <v>KS-Nạc nọng (Má heo) 190-210gr/gói</v>
          </cell>
          <cell r="C778" t="str">
            <v>Gói</v>
          </cell>
        </row>
        <row r="779">
          <cell r="A779" t="str">
            <v>BS100021</v>
          </cell>
          <cell r="B779" t="str">
            <v>KS-Chả ốc (6 viên/Suất)</v>
          </cell>
          <cell r="C779" t="str">
            <v>Gói</v>
          </cell>
        </row>
        <row r="780">
          <cell r="A780" t="str">
            <v>BS100022</v>
          </cell>
          <cell r="B780" t="str">
            <v>KS-Bò lụi sả (12 viên/3 suất)</v>
          </cell>
          <cell r="C780" t="str">
            <v>Gói</v>
          </cell>
        </row>
        <row r="781">
          <cell r="A781" t="str">
            <v>BS100023</v>
          </cell>
          <cell r="B781" t="str">
            <v>KS-Nem bò lụi 90-100g/miếng</v>
          </cell>
          <cell r="C781" t="str">
            <v>Gói</v>
          </cell>
        </row>
        <row r="782">
          <cell r="A782" t="str">
            <v>BS100024</v>
          </cell>
          <cell r="B782" t="str">
            <v>KS-Mực ống Indo sơ chế</v>
          </cell>
          <cell r="C782" t="str">
            <v>kg</v>
          </cell>
        </row>
        <row r="783">
          <cell r="A783" t="str">
            <v>BS100034</v>
          </cell>
          <cell r="B783" t="str">
            <v>KS-Kho quẹt</v>
          </cell>
          <cell r="C783" t="str">
            <v>kg</v>
          </cell>
        </row>
        <row r="784">
          <cell r="A784" t="str">
            <v>BS100035</v>
          </cell>
          <cell r="B784" t="str">
            <v>KS-Nhân tiểu long bao</v>
          </cell>
          <cell r="C784" t="str">
            <v>kg</v>
          </cell>
        </row>
        <row r="785">
          <cell r="A785" t="str">
            <v>BS100036</v>
          </cell>
          <cell r="B785" t="str">
            <v>KS-Bò tơ ba chỉ sống (bò tơ cuộn tròn)</v>
          </cell>
          <cell r="C785" t="str">
            <v>kg</v>
          </cell>
        </row>
        <row r="786">
          <cell r="A786" t="str">
            <v>BS100037</v>
          </cell>
          <cell r="B786" t="str">
            <v>KS-Bò tơ ba chỉ vụn (đầu mẩu chín)</v>
          </cell>
          <cell r="C786" t="str">
            <v>kg</v>
          </cell>
        </row>
        <row r="787">
          <cell r="A787" t="str">
            <v>BS100038</v>
          </cell>
          <cell r="B787" t="str">
            <v>KS-Gù bò cắt khối</v>
          </cell>
          <cell r="C787" t="str">
            <v>kg</v>
          </cell>
        </row>
        <row r="788">
          <cell r="A788" t="str">
            <v>BS100039</v>
          </cell>
          <cell r="B788" t="str">
            <v>KS-Dồi bò (hấp) 200gr</v>
          </cell>
          <cell r="C788" t="str">
            <v>Suất</v>
          </cell>
        </row>
        <row r="789">
          <cell r="A789" t="str">
            <v>BS100040</v>
          </cell>
          <cell r="B789" t="str">
            <v>KS-Nạc nọng (má heo) 150gr/gói</v>
          </cell>
          <cell r="C789" t="str">
            <v>Gói</v>
          </cell>
        </row>
        <row r="790">
          <cell r="A790" t="str">
            <v>BS100041</v>
          </cell>
          <cell r="B790" t="str">
            <v>KS-Nhân nem bò lụi</v>
          </cell>
          <cell r="C790" t="str">
            <v>kg</v>
          </cell>
        </row>
        <row r="791">
          <cell r="A791" t="str">
            <v>BS100042</v>
          </cell>
          <cell r="B791" t="str">
            <v>KS-Lõi vai bò Kobe cắt khối</v>
          </cell>
          <cell r="C791" t="str">
            <v>kg</v>
          </cell>
        </row>
        <row r="792">
          <cell r="A792" t="str">
            <v>BS100043</v>
          </cell>
          <cell r="B792" t="str">
            <v>KS-Tàu hũ tôm tươi cuộn nấm (12 cái/túi)</v>
          </cell>
          <cell r="C792" t="str">
            <v>Gói</v>
          </cell>
        </row>
        <row r="793">
          <cell r="A793" t="str">
            <v>BS100044</v>
          </cell>
          <cell r="B793" t="str">
            <v>KS-Gân bò luộc (0.5kg/gói)</v>
          </cell>
          <cell r="C793" t="str">
            <v>kg</v>
          </cell>
        </row>
        <row r="794">
          <cell r="A794" t="str">
            <v>BS200001</v>
          </cell>
          <cell r="B794" t="str">
            <v>KS-Mắm nêm chế biến</v>
          </cell>
          <cell r="C794" t="str">
            <v>kg</v>
          </cell>
        </row>
        <row r="795">
          <cell r="A795" t="str">
            <v>BS200002</v>
          </cell>
          <cell r="B795" t="str">
            <v>KS-Sốt thái mực</v>
          </cell>
          <cell r="C795" t="str">
            <v>kg</v>
          </cell>
        </row>
        <row r="796">
          <cell r="A796" t="str">
            <v>BS200003</v>
          </cell>
          <cell r="B796" t="str">
            <v>KS-Muối Hồng Kong</v>
          </cell>
          <cell r="C796" t="str">
            <v>kg</v>
          </cell>
        </row>
        <row r="797">
          <cell r="A797" t="str">
            <v>BS200004</v>
          </cell>
          <cell r="B797" t="str">
            <v>KS-Sốt xào sách</v>
          </cell>
          <cell r="C797" t="str">
            <v>kg</v>
          </cell>
        </row>
        <row r="798">
          <cell r="A798" t="str">
            <v>BS200005</v>
          </cell>
          <cell r="B798" t="str">
            <v>KS-Sốt chấm chao</v>
          </cell>
          <cell r="C798" t="str">
            <v>kg</v>
          </cell>
        </row>
        <row r="799">
          <cell r="A799" t="str">
            <v>BS200006</v>
          </cell>
          <cell r="B799" t="str">
            <v>KS-Sốt tái chanh</v>
          </cell>
          <cell r="C799" t="str">
            <v>kg</v>
          </cell>
        </row>
        <row r="800">
          <cell r="A800" t="str">
            <v>BS200007</v>
          </cell>
          <cell r="B800" t="str">
            <v>KS-Sốt má heo</v>
          </cell>
          <cell r="C800" t="str">
            <v>kg</v>
          </cell>
        </row>
        <row r="801">
          <cell r="A801" t="str">
            <v>BS200008</v>
          </cell>
          <cell r="B801" t="str">
            <v>KS-Sốt xào rau</v>
          </cell>
          <cell r="C801" t="str">
            <v>kg</v>
          </cell>
        </row>
        <row r="802">
          <cell r="A802" t="str">
            <v>BS200009</v>
          </cell>
          <cell r="B802" t="str">
            <v>KS-Sốt chấm thịt nướng (mới)</v>
          </cell>
          <cell r="C802" t="str">
            <v>kg</v>
          </cell>
        </row>
        <row r="803">
          <cell r="A803" t="str">
            <v>BS200010</v>
          </cell>
          <cell r="B803" t="str">
            <v>KS-Bột tổng hợp</v>
          </cell>
          <cell r="C803" t="str">
            <v>kg</v>
          </cell>
        </row>
        <row r="804">
          <cell r="A804" t="str">
            <v>BS200011</v>
          </cell>
          <cell r="B804" t="str">
            <v>KS-Gia vị lẩu cua 10L mới</v>
          </cell>
          <cell r="C804" t="str">
            <v>Túi</v>
          </cell>
        </row>
        <row r="805">
          <cell r="A805" t="str">
            <v>BS200012</v>
          </cell>
          <cell r="B805" t="str">
            <v>KS-Sốt mắm gà</v>
          </cell>
          <cell r="C805" t="str">
            <v>kg</v>
          </cell>
        </row>
        <row r="806">
          <cell r="A806" t="str">
            <v>BS200013</v>
          </cell>
          <cell r="B806" t="str">
            <v>KS-Sốt chanh dây ( sốt chanh leo )</v>
          </cell>
          <cell r="C806" t="str">
            <v>kg</v>
          </cell>
        </row>
        <row r="807">
          <cell r="A807" t="str">
            <v>BS200014</v>
          </cell>
          <cell r="B807" t="str">
            <v>KS-Bột xóc tỏi (500gr/túi)</v>
          </cell>
          <cell r="C807" t="str">
            <v>kg</v>
          </cell>
        </row>
        <row r="808">
          <cell r="A808" t="str">
            <v>BS200015</v>
          </cell>
          <cell r="B808" t="str">
            <v>KS-Sốt Thái (1kg/túi)</v>
          </cell>
          <cell r="C808" t="str">
            <v>kg</v>
          </cell>
        </row>
        <row r="809">
          <cell r="A809" t="str">
            <v>BS200016</v>
          </cell>
          <cell r="B809" t="str">
            <v>KS-Sốt Phomai (1kg/túi)</v>
          </cell>
          <cell r="C809" t="str">
            <v>kg</v>
          </cell>
        </row>
        <row r="810">
          <cell r="A810" t="str">
            <v>BS200017</v>
          </cell>
          <cell r="B810" t="str">
            <v>KS-Sốt xào bắp bò (nộm)</v>
          </cell>
          <cell r="C810" t="str">
            <v>kg</v>
          </cell>
        </row>
        <row r="811">
          <cell r="A811" t="str">
            <v>BS200018</v>
          </cell>
          <cell r="B811" t="str">
            <v>KS-Sốt Xá Xíu (1kg/túi)</v>
          </cell>
          <cell r="C811" t="str">
            <v>kg</v>
          </cell>
        </row>
        <row r="812">
          <cell r="A812" t="str">
            <v>BS200019</v>
          </cell>
          <cell r="B812" t="str">
            <v>KS-Sốt Salad (Chấm nem)</v>
          </cell>
          <cell r="C812" t="str">
            <v>kg</v>
          </cell>
        </row>
        <row r="813">
          <cell r="A813" t="str">
            <v>BS200020</v>
          </cell>
          <cell r="B813" t="str">
            <v>KS-Sốt bào ngư</v>
          </cell>
          <cell r="C813" t="str">
            <v>kg</v>
          </cell>
        </row>
        <row r="814">
          <cell r="A814" t="str">
            <v>BS200021</v>
          </cell>
          <cell r="B814" t="str">
            <v>KS-Sốt XO-BT</v>
          </cell>
          <cell r="C814" t="str">
            <v>kg</v>
          </cell>
        </row>
        <row r="815">
          <cell r="A815" t="str">
            <v>BS200022</v>
          </cell>
          <cell r="B815" t="str">
            <v>KS-Chẩm chéo</v>
          </cell>
          <cell r="C815" t="str">
            <v>kg</v>
          </cell>
        </row>
        <row r="816">
          <cell r="A816" t="str">
            <v>BS200023</v>
          </cell>
          <cell r="B816" t="str">
            <v>KS-Gia vị lẩu bò tiêu xanh</v>
          </cell>
          <cell r="C816" t="str">
            <v>Gói</v>
          </cell>
        </row>
        <row r="817">
          <cell r="A817" t="str">
            <v>BS200024</v>
          </cell>
          <cell r="B817" t="str">
            <v>KS-Nước nộm salad (nước nộm)</v>
          </cell>
          <cell r="C817" t="str">
            <v>kg</v>
          </cell>
        </row>
        <row r="818">
          <cell r="A818" t="str">
            <v>BS200025</v>
          </cell>
          <cell r="B818" t="str">
            <v>KS-Sốt tiêu đen</v>
          </cell>
          <cell r="C818" t="str">
            <v>kg</v>
          </cell>
        </row>
        <row r="819">
          <cell r="A819" t="str">
            <v>BS200026</v>
          </cell>
          <cell r="B819" t="str">
            <v>KS-Sốt mắm tỏi</v>
          </cell>
          <cell r="C819" t="str">
            <v>kg</v>
          </cell>
        </row>
        <row r="820">
          <cell r="A820" t="str">
            <v>BS200027</v>
          </cell>
          <cell r="B820" t="str">
            <v>KS-Sốt bách hợp</v>
          </cell>
          <cell r="C820" t="str">
            <v>kg</v>
          </cell>
        </row>
        <row r="821">
          <cell r="A821" t="str">
            <v>BS200028</v>
          </cell>
          <cell r="B821" t="str">
            <v>KS-Muối chấm gà</v>
          </cell>
          <cell r="C821" t="str">
            <v>kg</v>
          </cell>
        </row>
        <row r="822">
          <cell r="A822" t="str">
            <v>BS200029</v>
          </cell>
          <cell r="B822" t="str">
            <v>KS-Nước chấm cá</v>
          </cell>
          <cell r="C822" t="str">
            <v>kg</v>
          </cell>
        </row>
        <row r="823">
          <cell r="A823" t="str">
            <v>BS200030</v>
          </cell>
          <cell r="B823" t="str">
            <v>KS-Sốt nướng tảng</v>
          </cell>
          <cell r="C823" t="str">
            <v>kg</v>
          </cell>
        </row>
        <row r="824">
          <cell r="A824" t="str">
            <v>BS200031</v>
          </cell>
          <cell r="B824" t="str">
            <v>KS-Sốt cháy tỏi</v>
          </cell>
          <cell r="C824" t="str">
            <v>kg</v>
          </cell>
        </row>
        <row r="825">
          <cell r="A825" t="str">
            <v>BS200032</v>
          </cell>
          <cell r="B825" t="str">
            <v>KS-Gia vị pha nước lẩu ăn thêm</v>
          </cell>
          <cell r="C825" t="str">
            <v>Gói</v>
          </cell>
        </row>
        <row r="826">
          <cell r="A826" t="str">
            <v>BS200033</v>
          </cell>
          <cell r="B826" t="str">
            <v>KS-Sốt chấm bò Fuji</v>
          </cell>
          <cell r="C826" t="str">
            <v>kg</v>
          </cell>
        </row>
        <row r="827">
          <cell r="A827" t="str">
            <v>BS200034</v>
          </cell>
          <cell r="B827" t="str">
            <v>KS-Sốt ướp bò xông hơi</v>
          </cell>
          <cell r="C827" t="str">
            <v>kg</v>
          </cell>
        </row>
        <row r="828">
          <cell r="A828" t="str">
            <v>BS200035</v>
          </cell>
          <cell r="B828" t="str">
            <v>KS-Sốt thái cay</v>
          </cell>
          <cell r="C828" t="str">
            <v>kg</v>
          </cell>
        </row>
        <row r="829">
          <cell r="A829" t="str">
            <v>BS200036</v>
          </cell>
          <cell r="B829" t="str">
            <v>KS-Muối ướp gà</v>
          </cell>
          <cell r="C829" t="str">
            <v>kg</v>
          </cell>
        </row>
        <row r="830">
          <cell r="A830" t="str">
            <v>BS200037</v>
          </cell>
          <cell r="B830" t="str">
            <v>KS-Sốt chấm Thái đỏ</v>
          </cell>
          <cell r="C830" t="str">
            <v>kg</v>
          </cell>
        </row>
        <row r="831">
          <cell r="A831" t="str">
            <v>BS200038</v>
          </cell>
          <cell r="B831" t="str">
            <v>KS-Sốt chấm xanh</v>
          </cell>
          <cell r="C831" t="str">
            <v>kg</v>
          </cell>
        </row>
        <row r="832">
          <cell r="A832" t="str">
            <v>BS200039</v>
          </cell>
          <cell r="B832" t="str">
            <v>KS-Sốt xì dầu</v>
          </cell>
          <cell r="C832" t="str">
            <v>kg</v>
          </cell>
        </row>
        <row r="833">
          <cell r="A833" t="str">
            <v>BS200040</v>
          </cell>
          <cell r="B833" t="str">
            <v>KS-Sốt muối ớt nướng</v>
          </cell>
          <cell r="C833" t="str">
            <v>kg</v>
          </cell>
        </row>
        <row r="834">
          <cell r="A834" t="str">
            <v>BS200041</v>
          </cell>
          <cell r="B834" t="str">
            <v>KS-Nước dùng( pha lẩu ăn thêm )</v>
          </cell>
          <cell r="C834" t="str">
            <v>kg</v>
          </cell>
        </row>
        <row r="835">
          <cell r="A835" t="str">
            <v>BS200042</v>
          </cell>
          <cell r="B835" t="str">
            <v>KS-Nước lẩu thái cô đặc (750g/túi)</v>
          </cell>
          <cell r="C835" t="str">
            <v>Túi</v>
          </cell>
        </row>
        <row r="836">
          <cell r="A836" t="str">
            <v>BS200043</v>
          </cell>
          <cell r="B836" t="str">
            <v>KS-Combo lẩu nấm cô đặc</v>
          </cell>
          <cell r="C836" t="str">
            <v>Túi</v>
          </cell>
        </row>
        <row r="837">
          <cell r="A837" t="str">
            <v>BS200044</v>
          </cell>
          <cell r="B837" t="str">
            <v>KS-Combo lẩu thái cô đặc</v>
          </cell>
          <cell r="C837" t="str">
            <v>Túi</v>
          </cell>
        </row>
        <row r="838">
          <cell r="A838" t="str">
            <v>BS200045</v>
          </cell>
          <cell r="B838" t="str">
            <v>KS - Sốt mắm tỏi ( bỏ không dùng)</v>
          </cell>
          <cell r="C838" t="str">
            <v>kg</v>
          </cell>
        </row>
        <row r="839">
          <cell r="A839" t="str">
            <v>BS200046</v>
          </cell>
          <cell r="B839" t="str">
            <v>KS-Sốt sa tế</v>
          </cell>
          <cell r="C839" t="str">
            <v>kg</v>
          </cell>
        </row>
        <row r="840">
          <cell r="A840" t="str">
            <v>BS200047</v>
          </cell>
          <cell r="B840" t="str">
            <v>Nước cốt lẩu nấm cô đặc (1kg/túi)</v>
          </cell>
          <cell r="C840" t="str">
            <v>Túi</v>
          </cell>
        </row>
        <row r="841">
          <cell r="A841" t="str">
            <v>BS200048</v>
          </cell>
          <cell r="B841" t="str">
            <v>KS-Muối ướp thịt quay 1kg/gói</v>
          </cell>
          <cell r="C841" t="str">
            <v>Gói</v>
          </cell>
        </row>
        <row r="842">
          <cell r="A842" t="str">
            <v>BS200049</v>
          </cell>
          <cell r="B842" t="str">
            <v>Lá Sủi Cảo (100 lá/ tập)</v>
          </cell>
          <cell r="C842" t="str">
            <v>Tập</v>
          </cell>
        </row>
        <row r="843">
          <cell r="A843" t="str">
            <v>BS200050</v>
          </cell>
          <cell r="B843" t="str">
            <v>KS-Dấm soda (Tắm gà)</v>
          </cell>
          <cell r="C843" t="str">
            <v>kg</v>
          </cell>
        </row>
        <row r="844">
          <cell r="A844" t="str">
            <v>BS200051</v>
          </cell>
          <cell r="B844" t="str">
            <v>KS-Cơm lam (1 suất/phần)</v>
          </cell>
          <cell r="C844" t="str">
            <v>Suất</v>
          </cell>
        </row>
        <row r="845">
          <cell r="A845" t="str">
            <v>BS200052</v>
          </cell>
          <cell r="B845" t="str">
            <v>KS-Sốt Salad mè rang</v>
          </cell>
          <cell r="C845" t="str">
            <v>kg</v>
          </cell>
        </row>
        <row r="846">
          <cell r="A846" t="str">
            <v>BS200053</v>
          </cell>
          <cell r="B846" t="str">
            <v>KS-Nước ngâm rau củ muối</v>
          </cell>
          <cell r="C846" t="str">
            <v>kg</v>
          </cell>
        </row>
        <row r="847">
          <cell r="A847" t="str">
            <v>BS200054</v>
          </cell>
          <cell r="B847" t="str">
            <v>KS-Muối vừng</v>
          </cell>
          <cell r="C847" t="str">
            <v>kg</v>
          </cell>
        </row>
        <row r="848">
          <cell r="A848" t="str">
            <v>BS200055</v>
          </cell>
          <cell r="B848" t="str">
            <v>KS-Bột chiên nấm</v>
          </cell>
          <cell r="C848" t="str">
            <v>kg</v>
          </cell>
        </row>
        <row r="849">
          <cell r="A849" t="str">
            <v>BS200056</v>
          </cell>
          <cell r="B849" t="str">
            <v>KS-Nước chấm ốc</v>
          </cell>
          <cell r="C849" t="str">
            <v>kg</v>
          </cell>
        </row>
        <row r="850">
          <cell r="A850" t="str">
            <v>BS200057</v>
          </cell>
          <cell r="B850" t="str">
            <v>KS-Gia vị om chuối đậu</v>
          </cell>
          <cell r="C850" t="str">
            <v>Gói</v>
          </cell>
        </row>
        <row r="851">
          <cell r="A851" t="str">
            <v>BS200058</v>
          </cell>
          <cell r="B851" t="str">
            <v>KS-Gia vị lẩu lá giang(Nồi 10L)</v>
          </cell>
          <cell r="C851" t="str">
            <v>Gói</v>
          </cell>
        </row>
        <row r="852">
          <cell r="A852" t="str">
            <v>BS200060</v>
          </cell>
          <cell r="B852" t="str">
            <v>KS-Nước tắm gà lu</v>
          </cell>
          <cell r="C852" t="str">
            <v>kg</v>
          </cell>
        </row>
        <row r="853">
          <cell r="A853" t="str">
            <v>BS200061</v>
          </cell>
          <cell r="B853" t="str">
            <v>KS-Sốt ướp bò lụi</v>
          </cell>
          <cell r="C853" t="str">
            <v>kg</v>
          </cell>
        </row>
        <row r="854">
          <cell r="A854" t="str">
            <v>BS200062</v>
          </cell>
          <cell r="B854" t="str">
            <v>KS-Nước mắm chua ngọt chay</v>
          </cell>
          <cell r="C854" t="str">
            <v>kg</v>
          </cell>
        </row>
        <row r="855">
          <cell r="A855" t="str">
            <v>BS200063</v>
          </cell>
          <cell r="B855" t="str">
            <v>KS-Sốt xào chay</v>
          </cell>
          <cell r="C855" t="str">
            <v>kg</v>
          </cell>
        </row>
        <row r="856">
          <cell r="A856" t="str">
            <v>BS200064</v>
          </cell>
          <cell r="B856" t="str">
            <v>KS-Mắm nêm chay</v>
          </cell>
          <cell r="C856" t="str">
            <v>kg</v>
          </cell>
        </row>
        <row r="857">
          <cell r="A857" t="str">
            <v>BS200065</v>
          </cell>
          <cell r="B857" t="str">
            <v>KS-Sốt bánh cuốn</v>
          </cell>
          <cell r="C857" t="str">
            <v>kg</v>
          </cell>
        </row>
        <row r="858">
          <cell r="A858" t="str">
            <v>BS200066</v>
          </cell>
          <cell r="B858" t="str">
            <v>KS-Sốt bò cháy tiêu xanh (1kg/gói)</v>
          </cell>
          <cell r="C858" t="str">
            <v>kg</v>
          </cell>
        </row>
        <row r="859">
          <cell r="A859" t="str">
            <v>BS200067</v>
          </cell>
          <cell r="B859" t="str">
            <v>KS-Nước dùng xương</v>
          </cell>
          <cell r="C859" t="str">
            <v>kg</v>
          </cell>
        </row>
        <row r="860">
          <cell r="A860" t="str">
            <v>BS200068</v>
          </cell>
          <cell r="B860" t="str">
            <v>KS-Nước cốt xương cô đặc</v>
          </cell>
          <cell r="C860" t="str">
            <v>kg</v>
          </cell>
        </row>
        <row r="861">
          <cell r="A861" t="str">
            <v>BS200069</v>
          </cell>
          <cell r="B861" t="str">
            <v>KS-Sốt Teriyaki</v>
          </cell>
          <cell r="C861" t="str">
            <v>kg</v>
          </cell>
        </row>
        <row r="862">
          <cell r="A862" t="str">
            <v>BS200070</v>
          </cell>
          <cell r="B862" t="str">
            <v>KS-Gia vị sốt sữa chua</v>
          </cell>
          <cell r="C862" t="str">
            <v>kg</v>
          </cell>
        </row>
        <row r="863">
          <cell r="A863" t="str">
            <v>BS200071</v>
          </cell>
          <cell r="B863" t="str">
            <v>KS-Nước hấp xông hơi</v>
          </cell>
          <cell r="C863" t="str">
            <v>kg</v>
          </cell>
        </row>
        <row r="864">
          <cell r="A864" t="str">
            <v>BS200072</v>
          </cell>
          <cell r="B864" t="str">
            <v>KS-Gia vị lẩu nấm 10L</v>
          </cell>
          <cell r="C864" t="str">
            <v>Gói</v>
          </cell>
        </row>
        <row r="865">
          <cell r="A865" t="str">
            <v>BS200073</v>
          </cell>
          <cell r="B865" t="str">
            <v>KS-Sốt bào ngư (mới)</v>
          </cell>
          <cell r="C865" t="str">
            <v>kg</v>
          </cell>
        </row>
        <row r="866">
          <cell r="A866" t="str">
            <v>BS200074</v>
          </cell>
          <cell r="B866" t="str">
            <v>KS-Gia vị bò sốt vang (332g/gói)</v>
          </cell>
          <cell r="C866" t="str">
            <v>Gói</v>
          </cell>
        </row>
        <row r="867">
          <cell r="A867" t="str">
            <v>BS200075</v>
          </cell>
          <cell r="B867" t="str">
            <v>KS-Gia vị lẩu thảo mộc (Nồi 10L)</v>
          </cell>
          <cell r="C867" t="str">
            <v>Gói</v>
          </cell>
        </row>
        <row r="868">
          <cell r="A868" t="str">
            <v>BS200076</v>
          </cell>
          <cell r="B868" t="str">
            <v>KS-Baking soda (100gr/gói)</v>
          </cell>
          <cell r="C868" t="str">
            <v>Gói</v>
          </cell>
        </row>
        <row r="869">
          <cell r="A869" t="str">
            <v>BS200077</v>
          </cell>
          <cell r="B869" t="str">
            <v>KS-Mắm mặn Hà Nội (1kg/gói)</v>
          </cell>
          <cell r="C869" t="str">
            <v>kg</v>
          </cell>
        </row>
        <row r="870">
          <cell r="A870" t="str">
            <v>BS200078</v>
          </cell>
          <cell r="B870" t="str">
            <v>KS-Sốt xào bắp bò nộm (Mới)</v>
          </cell>
          <cell r="C870" t="str">
            <v>kg</v>
          </cell>
        </row>
        <row r="871">
          <cell r="A871" t="str">
            <v>BS300001</v>
          </cell>
          <cell r="B871" t="str">
            <v>KS-Bánh Bao Nấm ( 6 cái/hộp)</v>
          </cell>
          <cell r="C871" t="str">
            <v>Cái</v>
          </cell>
        </row>
        <row r="872">
          <cell r="A872" t="str">
            <v>BS300002</v>
          </cell>
          <cell r="B872" t="str">
            <v>KS-Tiểu Long Bao (12 cái/hộp)</v>
          </cell>
          <cell r="C872" t="str">
            <v>Cái</v>
          </cell>
        </row>
        <row r="873">
          <cell r="A873" t="str">
            <v>BS300003</v>
          </cell>
          <cell r="B873" t="str">
            <v>KS-Bánh bao trà xanh (6 cái/hộp)</v>
          </cell>
          <cell r="C873" t="str">
            <v>Cái</v>
          </cell>
        </row>
        <row r="874">
          <cell r="A874" t="str">
            <v>BS300004</v>
          </cell>
          <cell r="B874" t="str">
            <v>KS-Há cảo nhân tôm (30 cái/hộp)</v>
          </cell>
          <cell r="C874" t="str">
            <v>Cái</v>
          </cell>
        </row>
        <row r="875">
          <cell r="A875" t="str">
            <v>BS300005</v>
          </cell>
          <cell r="B875" t="str">
            <v>KS-Há cảo than tre nhân tôm (20 cái/hộp)</v>
          </cell>
          <cell r="C875" t="str">
            <v>Cái</v>
          </cell>
        </row>
        <row r="876">
          <cell r="A876" t="str">
            <v>BS300006</v>
          </cell>
          <cell r="B876" t="str">
            <v>KS-Bánh bao kim sa (6 cái/hộp)</v>
          </cell>
          <cell r="C876" t="str">
            <v>Cái</v>
          </cell>
        </row>
        <row r="877">
          <cell r="A877" t="str">
            <v>BS300007</v>
          </cell>
          <cell r="B877" t="str">
            <v>KS-Há cảo sò điệp (30 cái/gói)</v>
          </cell>
          <cell r="C877" t="str">
            <v>Cái</v>
          </cell>
        </row>
        <row r="878">
          <cell r="A878" t="str">
            <v>BS300008</v>
          </cell>
          <cell r="B878" t="str">
            <v>KS-Há cảo ngọc bích (30 cái/hộp)</v>
          </cell>
          <cell r="C878" t="str">
            <v>Cái</v>
          </cell>
        </row>
        <row r="879">
          <cell r="A879" t="str">
            <v>BS300009</v>
          </cell>
          <cell r="B879" t="str">
            <v>KS-Nhân há cảo tôm</v>
          </cell>
          <cell r="C879" t="str">
            <v>kg</v>
          </cell>
        </row>
        <row r="880">
          <cell r="A880" t="str">
            <v>BS300010</v>
          </cell>
          <cell r="B880" t="str">
            <v>KS-Nhân xíu mại tôm thịt</v>
          </cell>
          <cell r="C880" t="str">
            <v>kg</v>
          </cell>
        </row>
        <row r="881">
          <cell r="A881" t="str">
            <v>BS300011</v>
          </cell>
          <cell r="B881" t="str">
            <v>KS-Xíu mại</v>
          </cell>
          <cell r="C881" t="str">
            <v>Cái</v>
          </cell>
        </row>
        <row r="882">
          <cell r="A882" t="str">
            <v>BS300012</v>
          </cell>
          <cell r="B882" t="str">
            <v>KS-Bánh bao sầu riêng (6 cái/hộp)</v>
          </cell>
          <cell r="C882" t="str">
            <v>Cái</v>
          </cell>
        </row>
        <row r="883">
          <cell r="A883" t="str">
            <v>BS300013</v>
          </cell>
          <cell r="B883" t="str">
            <v>KS-Bánh bao khoai môn (6 cái/hộp)</v>
          </cell>
          <cell r="C883" t="str">
            <v>Cái</v>
          </cell>
        </row>
        <row r="884">
          <cell r="A884" t="str">
            <v>BS300014</v>
          </cell>
          <cell r="B884" t="str">
            <v>KS-Nhân tôm viên phô mai</v>
          </cell>
          <cell r="C884" t="str">
            <v>kg</v>
          </cell>
        </row>
        <row r="885">
          <cell r="A885" t="str">
            <v>BS300015</v>
          </cell>
          <cell r="B885" t="str">
            <v>KS-Há cảo hồng bao (30 cái/hộp)</v>
          </cell>
          <cell r="C885" t="str">
            <v>Cái</v>
          </cell>
        </row>
        <row r="886">
          <cell r="A886" t="str">
            <v>BS300016</v>
          </cell>
          <cell r="B886" t="str">
            <v>KS-Hoành thánh tôm</v>
          </cell>
          <cell r="C886" t="str">
            <v>Cái</v>
          </cell>
        </row>
        <row r="887">
          <cell r="A887" t="str">
            <v>BSAKN001</v>
          </cell>
          <cell r="B887" t="str">
            <v>Gầu bò</v>
          </cell>
          <cell r="C887" t="str">
            <v>Phần</v>
          </cell>
        </row>
        <row r="888">
          <cell r="A888" t="str">
            <v>BSAKN002</v>
          </cell>
          <cell r="B888" t="str">
            <v>Bò Tươi nhúng lẩu</v>
          </cell>
          <cell r="C888" t="str">
            <v>Phần</v>
          </cell>
        </row>
        <row r="889">
          <cell r="A889" t="str">
            <v>BSAKN003</v>
          </cell>
          <cell r="B889" t="str">
            <v>Mỳ Tôm Thêm</v>
          </cell>
          <cell r="C889" t="str">
            <v>Gói</v>
          </cell>
        </row>
        <row r="890">
          <cell r="A890" t="str">
            <v>BSAKN004</v>
          </cell>
          <cell r="B890" t="str">
            <v>Bún Thêm</v>
          </cell>
          <cell r="C890" t="str">
            <v>Phần</v>
          </cell>
        </row>
        <row r="891">
          <cell r="A891" t="str">
            <v>BSAKN005</v>
          </cell>
          <cell r="B891" t="str">
            <v>Thịt Ba Chỉ Bò Tơ Nhúng Lẩu</v>
          </cell>
          <cell r="C891" t="str">
            <v>Phần</v>
          </cell>
        </row>
        <row r="892">
          <cell r="A892" t="str">
            <v>BSAKN006</v>
          </cell>
          <cell r="B892" t="str">
            <v>Đậu Phụ Nhúng Lẩu</v>
          </cell>
          <cell r="C892" t="str">
            <v>Phần</v>
          </cell>
        </row>
        <row r="893">
          <cell r="A893" t="str">
            <v>BSAKN007</v>
          </cell>
          <cell r="B893" t="str">
            <v>Tim bò</v>
          </cell>
          <cell r="C893" t="str">
            <v>Phần</v>
          </cell>
        </row>
        <row r="894">
          <cell r="A894" t="str">
            <v>BSAKN008</v>
          </cell>
          <cell r="B894" t="str">
            <v>Gân bò</v>
          </cell>
          <cell r="C894" t="str">
            <v>Phần</v>
          </cell>
        </row>
        <row r="895">
          <cell r="A895" t="str">
            <v>BSAKN009</v>
          </cell>
          <cell r="B895" t="str">
            <v>Gà tươi cả con</v>
          </cell>
          <cell r="C895" t="str">
            <v>Phần</v>
          </cell>
        </row>
        <row r="896">
          <cell r="A896" t="str">
            <v>BSAKN010</v>
          </cell>
          <cell r="B896" t="str">
            <v>Ba Chỉ Bò Mỹ Nhúng Lẩu</v>
          </cell>
          <cell r="C896" t="str">
            <v>Phần</v>
          </cell>
        </row>
        <row r="897">
          <cell r="A897" t="str">
            <v>BSAKN011</v>
          </cell>
          <cell r="B897" t="str">
            <v>Bò Viên Nhúng Lẩu</v>
          </cell>
          <cell r="C897" t="str">
            <v>Phần</v>
          </cell>
        </row>
        <row r="898">
          <cell r="A898" t="str">
            <v>BSAKN012</v>
          </cell>
          <cell r="B898" t="str">
            <v>Sách đen nhúng lẩu</v>
          </cell>
          <cell r="C898" t="str">
            <v>Phần</v>
          </cell>
        </row>
        <row r="899">
          <cell r="A899" t="str">
            <v>BSAKN013</v>
          </cell>
          <cell r="B899" t="str">
            <v>Nấm Kim Châm Nhúng Lẩu</v>
          </cell>
          <cell r="C899" t="str">
            <v>Phần</v>
          </cell>
        </row>
        <row r="900">
          <cell r="A900" t="str">
            <v>BSAKN014</v>
          </cell>
          <cell r="B900" t="str">
            <v>Nấm tuyết nhĩ nhúng lẩu</v>
          </cell>
          <cell r="C900" t="str">
            <v>Phần</v>
          </cell>
        </row>
        <row r="901">
          <cell r="A901" t="str">
            <v>BSAKN015</v>
          </cell>
          <cell r="B901" t="str">
            <v>Váng đậu chiên nhúng lẩu</v>
          </cell>
          <cell r="C901" t="str">
            <v>Phần</v>
          </cell>
        </row>
        <row r="902">
          <cell r="A902" t="str">
            <v>BSAKN016</v>
          </cell>
          <cell r="B902" t="str">
            <v>Cải xanh nhúng lẩu</v>
          </cell>
          <cell r="C902" t="str">
            <v>Phần</v>
          </cell>
        </row>
        <row r="903">
          <cell r="A903" t="str">
            <v>BSAKN017</v>
          </cell>
          <cell r="B903" t="str">
            <v>Rau Lẩu Cua</v>
          </cell>
          <cell r="C903" t="str">
            <v>Phần</v>
          </cell>
        </row>
        <row r="904">
          <cell r="A904" t="str">
            <v>BSAKN018</v>
          </cell>
          <cell r="B904" t="str">
            <v>Hoa Chuối Nhúng Lẩu</v>
          </cell>
          <cell r="C904" t="str">
            <v>Phần</v>
          </cell>
        </row>
        <row r="905">
          <cell r="A905" t="str">
            <v>BSAKN019</v>
          </cell>
          <cell r="B905" t="str">
            <v>Ngô ngọt nhúng lẩu</v>
          </cell>
          <cell r="C905" t="str">
            <v>Phần</v>
          </cell>
        </row>
        <row r="906">
          <cell r="A906" t="str">
            <v>BSAKN020</v>
          </cell>
          <cell r="B906" t="str">
            <v>Cải Thảo Nhúng Lẩu</v>
          </cell>
          <cell r="C906" t="str">
            <v>Phần</v>
          </cell>
        </row>
        <row r="907">
          <cell r="A907" t="str">
            <v>BSAKN022</v>
          </cell>
          <cell r="B907" t="str">
            <v>Nấm tươi nhúng lẩu</v>
          </cell>
          <cell r="C907" t="str">
            <v>Phần</v>
          </cell>
        </row>
        <row r="908">
          <cell r="A908" t="str">
            <v>BSAKN023</v>
          </cell>
          <cell r="B908" t="str">
            <v>Kim Chi Gọi Thêm</v>
          </cell>
          <cell r="C908" t="str">
            <v>Phần</v>
          </cell>
        </row>
        <row r="909">
          <cell r="A909" t="str">
            <v>BSAKN024</v>
          </cell>
          <cell r="B909" t="str">
            <v>Đậu hũ pho mai</v>
          </cell>
          <cell r="C909" t="str">
            <v>Phần</v>
          </cell>
        </row>
        <row r="910">
          <cell r="A910" t="str">
            <v>BSAKN025</v>
          </cell>
          <cell r="B910" t="str">
            <v>Viên tôm hùm</v>
          </cell>
          <cell r="C910" t="str">
            <v>Phần</v>
          </cell>
        </row>
        <row r="911">
          <cell r="A911" t="str">
            <v>BSAKN026</v>
          </cell>
          <cell r="B911" t="str">
            <v>Thanh cua</v>
          </cell>
          <cell r="C911" t="str">
            <v>Phần</v>
          </cell>
        </row>
        <row r="912">
          <cell r="A912" t="str">
            <v>BSAKN028</v>
          </cell>
          <cell r="B912" t="str">
            <v>Gạch Cua Thêm</v>
          </cell>
          <cell r="C912" t="str">
            <v>Phần</v>
          </cell>
        </row>
        <row r="913">
          <cell r="A913" t="str">
            <v>BSAKN029</v>
          </cell>
          <cell r="B913" t="str">
            <v>Rau miền tây nhúng lẩu</v>
          </cell>
          <cell r="C913" t="str">
            <v>Phần</v>
          </cell>
        </row>
        <row r="914">
          <cell r="A914" t="str">
            <v>BSAKN030</v>
          </cell>
          <cell r="B914" t="str">
            <v>Trứng Thêm</v>
          </cell>
          <cell r="C914" t="str">
            <v>Phần</v>
          </cell>
        </row>
        <row r="915">
          <cell r="A915" t="str">
            <v>BSAKN031</v>
          </cell>
          <cell r="B915" t="str">
            <v>Củ Quả Muối</v>
          </cell>
          <cell r="C915" t="str">
            <v>Phần</v>
          </cell>
        </row>
        <row r="916">
          <cell r="A916" t="str">
            <v>BSAKN032</v>
          </cell>
          <cell r="B916" t="str">
            <v>Ba Chỉ Bò Cuộn Nấm</v>
          </cell>
          <cell r="C916" t="str">
            <v>Phần</v>
          </cell>
        </row>
        <row r="917">
          <cell r="A917" t="str">
            <v>BSAKN033</v>
          </cell>
          <cell r="B917" t="str">
            <v>Phồng Tôm Thêm</v>
          </cell>
          <cell r="C917" t="str">
            <v>Phần</v>
          </cell>
        </row>
        <row r="918">
          <cell r="A918" t="str">
            <v>BSAKN034</v>
          </cell>
          <cell r="B918" t="str">
            <v>Nấm Hải Sản Nhúng Lẩu</v>
          </cell>
          <cell r="C918" t="str">
            <v>Phần</v>
          </cell>
        </row>
        <row r="919">
          <cell r="A919" t="str">
            <v>BSAKN042</v>
          </cell>
          <cell r="B919" t="str">
            <v>Mọc Bò Nấm Tươi</v>
          </cell>
          <cell r="C919" t="str">
            <v>Phần</v>
          </cell>
        </row>
        <row r="920">
          <cell r="A920" t="str">
            <v>BSAKN043</v>
          </cell>
          <cell r="B920" t="str">
            <v>Gù Bò Thêm</v>
          </cell>
          <cell r="C920" t="str">
            <v>Phần</v>
          </cell>
        </row>
        <row r="921">
          <cell r="A921" t="str">
            <v>BSAKN044</v>
          </cell>
          <cell r="B921" t="str">
            <v>Bánh đa</v>
          </cell>
          <cell r="C921" t="str">
            <v>Phần</v>
          </cell>
        </row>
        <row r="922">
          <cell r="A922" t="str">
            <v>BSAKO001</v>
          </cell>
          <cell r="B922" t="str">
            <v>Khoai tây chiên (1s-CB)</v>
          </cell>
          <cell r="C922" t="str">
            <v>Phần</v>
          </cell>
        </row>
        <row r="923">
          <cell r="A923" t="str">
            <v>BSAKO002</v>
          </cell>
          <cell r="B923" t="str">
            <v>Nem bò nấm (4c-CB)</v>
          </cell>
          <cell r="C923" t="str">
            <v>Phần</v>
          </cell>
        </row>
        <row r="924">
          <cell r="A924" t="str">
            <v>BSAKO003</v>
          </cell>
          <cell r="B924" t="str">
            <v>Xôi chiên phồng (4c-CB )</v>
          </cell>
          <cell r="C924" t="str">
            <v>Phần</v>
          </cell>
        </row>
        <row r="925">
          <cell r="A925" t="str">
            <v>BSAKO004</v>
          </cell>
          <cell r="B925" t="str">
            <v>Viên mọc sốt tiêu đen (CB )</v>
          </cell>
          <cell r="C925" t="str">
            <v>Phần</v>
          </cell>
        </row>
        <row r="926">
          <cell r="A926" t="str">
            <v>BSAKO005</v>
          </cell>
          <cell r="B926" t="str">
            <v>Cuốn bánh tráng (4c-CB đặc biệt)</v>
          </cell>
          <cell r="C926" t="str">
            <v>Phần</v>
          </cell>
        </row>
        <row r="927">
          <cell r="A927" t="str">
            <v>BSAKO006</v>
          </cell>
          <cell r="B927" t="str">
            <v>Cuốn bánh tráng (6c-CB mỹ vị sài thành)</v>
          </cell>
          <cell r="C927" t="str">
            <v>Phần</v>
          </cell>
        </row>
        <row r="928">
          <cell r="A928" t="str">
            <v>BSAKO007</v>
          </cell>
          <cell r="B928" t="str">
            <v>Nộm rau tiền vua (1/2s-CB)</v>
          </cell>
          <cell r="C928" t="str">
            <v>Phần</v>
          </cell>
        </row>
        <row r="929">
          <cell r="A929" t="str">
            <v>BSAKO008</v>
          </cell>
          <cell r="B929" t="str">
            <v>Nem bò nấm (6c-CB)</v>
          </cell>
          <cell r="C929" t="str">
            <v>Phần</v>
          </cell>
        </row>
        <row r="930">
          <cell r="A930" t="str">
            <v>BSAKO009</v>
          </cell>
          <cell r="B930" t="str">
            <v>Bò tơ tái chanh (1/2s-CB)</v>
          </cell>
          <cell r="C930" t="str">
            <v>Phần</v>
          </cell>
        </row>
        <row r="931">
          <cell r="A931" t="str">
            <v>BSAKO010</v>
          </cell>
          <cell r="B931" t="str">
            <v>Lườn ngỗng</v>
          </cell>
          <cell r="C931" t="str">
            <v>Phần</v>
          </cell>
        </row>
        <row r="932">
          <cell r="A932" t="str">
            <v>BSAKO011</v>
          </cell>
          <cell r="B932" t="str">
            <v>Gà Quay Mắm Nhĩ (1/2 Con)</v>
          </cell>
          <cell r="C932" t="str">
            <v>Phần</v>
          </cell>
        </row>
        <row r="933">
          <cell r="A933" t="str">
            <v>BSANO001</v>
          </cell>
          <cell r="B933" t="str">
            <v>Cháo bò</v>
          </cell>
          <cell r="C933" t="str">
            <v>Phần</v>
          </cell>
        </row>
        <row r="934">
          <cell r="A934" t="str">
            <v>BSANO002</v>
          </cell>
          <cell r="B934" t="str">
            <v>Xôi Chiên Phồng</v>
          </cell>
          <cell r="C934" t="str">
            <v>Phần</v>
          </cell>
        </row>
        <row r="935">
          <cell r="A935" t="str">
            <v>BSANO003</v>
          </cell>
          <cell r="B935" t="str">
            <v>Bò Xốt Tiêu Đen + Bánh Bao</v>
          </cell>
          <cell r="C935" t="str">
            <v>Phần</v>
          </cell>
        </row>
        <row r="936">
          <cell r="A936" t="str">
            <v>BSANO004</v>
          </cell>
          <cell r="B936" t="str">
            <v>Bánh Bao Chiên</v>
          </cell>
          <cell r="C936" t="str">
            <v>Phần</v>
          </cell>
        </row>
        <row r="937">
          <cell r="A937" t="str">
            <v>BSANO005</v>
          </cell>
          <cell r="B937" t="str">
            <v>Cơm Trắng</v>
          </cell>
          <cell r="C937" t="str">
            <v>phần</v>
          </cell>
        </row>
        <row r="938">
          <cell r="A938" t="str">
            <v>BSANO006</v>
          </cell>
          <cell r="B938" t="str">
            <v>Cơm bò sốt tiêu đen</v>
          </cell>
          <cell r="C938" t="str">
            <v>Phần</v>
          </cell>
        </row>
        <row r="939">
          <cell r="A939" t="str">
            <v>BSANO007</v>
          </cell>
          <cell r="B939" t="str">
            <v>Cơm Rang Dưa Bò</v>
          </cell>
          <cell r="C939" t="str">
            <v>Phần</v>
          </cell>
        </row>
        <row r="940">
          <cell r="A940" t="str">
            <v>BSANO008</v>
          </cell>
          <cell r="B940" t="str">
            <v>Cơm Chiên Hải Sản</v>
          </cell>
          <cell r="C940" t="str">
            <v>Phần</v>
          </cell>
        </row>
        <row r="941">
          <cell r="A941" t="str">
            <v>BSANO009</v>
          </cell>
          <cell r="B941" t="str">
            <v>Cơm Chiên Tôm Dứa</v>
          </cell>
          <cell r="C941" t="str">
            <v>Phần</v>
          </cell>
        </row>
        <row r="942">
          <cell r="A942" t="str">
            <v>BSANO010</v>
          </cell>
          <cell r="B942" t="str">
            <v>Cơm lam</v>
          </cell>
          <cell r="C942" t="str">
            <v>Phần</v>
          </cell>
        </row>
        <row r="943">
          <cell r="A943" t="str">
            <v>BSANO011</v>
          </cell>
          <cell r="B943" t="str">
            <v>Mỳ Xào Hải Sản</v>
          </cell>
          <cell r="C943" t="str">
            <v>Phần</v>
          </cell>
        </row>
        <row r="944">
          <cell r="A944" t="str">
            <v>BSANO012</v>
          </cell>
          <cell r="B944" t="str">
            <v>Hến Xúc Phồng Tôm</v>
          </cell>
          <cell r="C944" t="str">
            <v>Phần</v>
          </cell>
        </row>
        <row r="945">
          <cell r="A945" t="str">
            <v>BSANO013</v>
          </cell>
          <cell r="B945" t="str">
            <v>Bò Nấm Xúc Phồng Tôm</v>
          </cell>
          <cell r="C945" t="str">
            <v>Phần</v>
          </cell>
        </row>
        <row r="946">
          <cell r="A946" t="str">
            <v>BSBIA001</v>
          </cell>
          <cell r="B946" t="str">
            <v>Bia tươi Hefeweizen (Cốc)</v>
          </cell>
          <cell r="C946" t="str">
            <v>Cốc</v>
          </cell>
        </row>
        <row r="947">
          <cell r="A947" t="str">
            <v>BSBIA002</v>
          </cell>
          <cell r="B947" t="str">
            <v>Bia tươi Hefeweizen (Tháp)</v>
          </cell>
          <cell r="C947" t="str">
            <v>Tháp</v>
          </cell>
        </row>
        <row r="948">
          <cell r="A948" t="str">
            <v>BSBIA003</v>
          </cell>
          <cell r="B948" t="str">
            <v>Bia tươi Golden Ale (Cốc)</v>
          </cell>
          <cell r="C948" t="str">
            <v>Cốc</v>
          </cell>
        </row>
        <row r="949">
          <cell r="A949" t="str">
            <v>BSBIA004</v>
          </cell>
          <cell r="B949" t="str">
            <v>Bia tươi Golden Ale (Tháp)</v>
          </cell>
          <cell r="C949" t="str">
            <v>Tháp</v>
          </cell>
        </row>
        <row r="950">
          <cell r="A950" t="str">
            <v>BSBIA005</v>
          </cell>
          <cell r="B950" t="str">
            <v>Bia tươi Bubweiser (Cốc)</v>
          </cell>
          <cell r="C950" t="str">
            <v>Cốc</v>
          </cell>
        </row>
        <row r="951">
          <cell r="A951" t="str">
            <v>BSBIA006</v>
          </cell>
          <cell r="B951" t="str">
            <v>Bia tươi Bubweiser (Tháp)</v>
          </cell>
          <cell r="C951" t="str">
            <v>Tháp</v>
          </cell>
        </row>
        <row r="952">
          <cell r="A952" t="str">
            <v>BSBIA007</v>
          </cell>
          <cell r="B952" t="str">
            <v>Bia tươi Hoegaarden (Cốc)</v>
          </cell>
          <cell r="C952" t="str">
            <v>Cốc</v>
          </cell>
        </row>
        <row r="953">
          <cell r="A953" t="str">
            <v>BSBIA008</v>
          </cell>
          <cell r="B953" t="str">
            <v>Bia tươi Hoegaarden (Tháp)</v>
          </cell>
          <cell r="C953" t="str">
            <v>Tháp</v>
          </cell>
        </row>
        <row r="954">
          <cell r="A954" t="str">
            <v>BSCBO001</v>
          </cell>
          <cell r="B954" t="str">
            <v>Mẹt Bò Đặc Biệt</v>
          </cell>
          <cell r="C954" t="str">
            <v>Mẹt</v>
          </cell>
        </row>
        <row r="955">
          <cell r="A955" t="str">
            <v>BSCBO002</v>
          </cell>
          <cell r="B955" t="str">
            <v>Set Tiệc 3</v>
          </cell>
          <cell r="C955" t="str">
            <v>Set</v>
          </cell>
        </row>
        <row r="956">
          <cell r="A956" t="str">
            <v>BSCBO003</v>
          </cell>
          <cell r="B956" t="str">
            <v>Set Tiệc 1</v>
          </cell>
          <cell r="C956" t="str">
            <v>Set</v>
          </cell>
        </row>
        <row r="957">
          <cell r="A957" t="str">
            <v>BSCBO004</v>
          </cell>
          <cell r="B957" t="str">
            <v>Set Tiệc 2</v>
          </cell>
          <cell r="C957" t="str">
            <v>Set</v>
          </cell>
        </row>
        <row r="958">
          <cell r="A958" t="str">
            <v>BSCBO005</v>
          </cell>
          <cell r="B958" t="str">
            <v>Combo Thượng Hạng</v>
          </cell>
          <cell r="C958" t="str">
            <v>Set</v>
          </cell>
        </row>
        <row r="959">
          <cell r="A959" t="str">
            <v>BSCBO006</v>
          </cell>
          <cell r="B959" t="str">
            <v>Combo Mồi bia thượng hạng</v>
          </cell>
          <cell r="C959" t="str">
            <v>Mẹt</v>
          </cell>
        </row>
        <row r="960">
          <cell r="A960" t="str">
            <v>BSCBO007</v>
          </cell>
          <cell r="B960" t="str">
            <v>Combo Thượng Hạng</v>
          </cell>
          <cell r="C960" t="str">
            <v>Set</v>
          </cell>
        </row>
        <row r="961">
          <cell r="A961" t="str">
            <v>BSCBO008</v>
          </cell>
          <cell r="B961" t="str">
            <v>Set Quà Như Ý (1 Kg)</v>
          </cell>
          <cell r="C961" t="str">
            <v>set</v>
          </cell>
        </row>
        <row r="962">
          <cell r="A962" t="str">
            <v>BSCBO009</v>
          </cell>
          <cell r="B962" t="str">
            <v>Set Quà Như Ý (500gr)</v>
          </cell>
          <cell r="C962" t="str">
            <v>set</v>
          </cell>
        </row>
        <row r="963">
          <cell r="A963" t="str">
            <v>BSCBO010</v>
          </cell>
          <cell r="B963" t="str">
            <v>Set Quà Cát Tường (1 Kg)</v>
          </cell>
          <cell r="C963" t="str">
            <v>set</v>
          </cell>
        </row>
        <row r="964">
          <cell r="A964" t="str">
            <v>BSCBO011</v>
          </cell>
          <cell r="B964" t="str">
            <v>Set Quà Cát Tường (500gr)</v>
          </cell>
          <cell r="C964" t="str">
            <v>set</v>
          </cell>
        </row>
        <row r="965">
          <cell r="A965" t="str">
            <v>BSCCX001</v>
          </cell>
          <cell r="B965" t="str">
            <v>Bò Tơ Xông Hơi</v>
          </cell>
          <cell r="C965" t="str">
            <v>Phần</v>
          </cell>
        </row>
        <row r="966">
          <cell r="A966" t="str">
            <v>BSCCX002</v>
          </cell>
          <cell r="B966" t="str">
            <v>Bò Tơ Tái Chanh</v>
          </cell>
          <cell r="C966" t="str">
            <v>Phần</v>
          </cell>
        </row>
        <row r="967">
          <cell r="A967" t="str">
            <v>BSCCX003</v>
          </cell>
          <cell r="B967" t="str">
            <v>Bò Tơ Cuốn Bánh Tráng</v>
          </cell>
          <cell r="C967" t="str">
            <v>Phần</v>
          </cell>
        </row>
        <row r="968">
          <cell r="A968" t="str">
            <v>BSCCX004</v>
          </cell>
          <cell r="B968" t="str">
            <v>Dẻ sườn hấp nấm</v>
          </cell>
          <cell r="C968" t="str">
            <v>Phần</v>
          </cell>
        </row>
        <row r="969">
          <cell r="A969" t="str">
            <v>BSCCX005</v>
          </cell>
          <cell r="B969" t="str">
            <v>Bò tơ cuốn bánh tráng 0đ</v>
          </cell>
          <cell r="C969" t="str">
            <v>Phần</v>
          </cell>
        </row>
        <row r="970">
          <cell r="A970" t="str">
            <v>BSCCX006</v>
          </cell>
          <cell r="B970" t="str">
            <v>Bò Nướng Lá Lốt Cuốn Bánh Tráng</v>
          </cell>
          <cell r="C970" t="str">
            <v>Phần</v>
          </cell>
        </row>
        <row r="971">
          <cell r="A971" t="str">
            <v>BSCCX007</v>
          </cell>
          <cell r="B971" t="str">
            <v>Bò Tơ Nhúng</v>
          </cell>
          <cell r="C971" t="str">
            <v>Phần</v>
          </cell>
        </row>
        <row r="972">
          <cell r="A972" t="str">
            <v>BSCCX008</v>
          </cell>
          <cell r="B972" t="str">
            <v>Gầu bò nhúng</v>
          </cell>
          <cell r="C972" t="str">
            <v>Phần</v>
          </cell>
        </row>
        <row r="973">
          <cell r="A973" t="str">
            <v>BSCCX009</v>
          </cell>
          <cell r="B973" t="str">
            <v>Thăn Tươi Nhúng</v>
          </cell>
          <cell r="C973" t="str">
            <v>Phần</v>
          </cell>
        </row>
        <row r="974">
          <cell r="A974" t="str">
            <v>BSCCX010</v>
          </cell>
          <cell r="B974" t="str">
            <v>Canh Thái Tom Yum</v>
          </cell>
          <cell r="C974" t="str">
            <v>Phần</v>
          </cell>
        </row>
        <row r="975">
          <cell r="A975" t="str">
            <v>BSCCX011</v>
          </cell>
          <cell r="B975" t="str">
            <v>Sách đen xào khế</v>
          </cell>
          <cell r="C975" t="str">
            <v>Phần</v>
          </cell>
        </row>
        <row r="976">
          <cell r="A976" t="str">
            <v>BSCCX012</v>
          </cell>
          <cell r="B976" t="str">
            <v>Bắp bò xào măng trúc</v>
          </cell>
          <cell r="C976" t="str">
            <v>Phần</v>
          </cell>
        </row>
        <row r="977">
          <cell r="A977" t="str">
            <v>BSCCX013</v>
          </cell>
          <cell r="B977" t="str">
            <v>Bánh Tráng Cuốn Heo Quay</v>
          </cell>
          <cell r="C977" t="str">
            <v>Phần</v>
          </cell>
        </row>
        <row r="978">
          <cell r="A978" t="str">
            <v>BSCCX014</v>
          </cell>
          <cell r="B978" t="str">
            <v>Đuôi Bò Tiềm Thuốc Bắc Củ Sen</v>
          </cell>
          <cell r="C978" t="str">
            <v>phần</v>
          </cell>
        </row>
        <row r="979">
          <cell r="A979" t="str">
            <v>BSCCX015</v>
          </cell>
          <cell r="B979" t="str">
            <v>Bánh Tráng Cuốn Bò Lụi Sả Nướng</v>
          </cell>
          <cell r="C979" t="str">
            <v>phần</v>
          </cell>
        </row>
        <row r="980">
          <cell r="A980" t="str">
            <v>BSCCX016</v>
          </cell>
          <cell r="B980" t="str">
            <v>Mẹt Bánh Tráng Đặc Biệt</v>
          </cell>
          <cell r="C980" t="str">
            <v>phần</v>
          </cell>
        </row>
        <row r="981">
          <cell r="A981" t="str">
            <v>BSCHA001</v>
          </cell>
          <cell r="B981" t="str">
            <v>Mẹt Cuốn Ngũ Sắc</v>
          </cell>
          <cell r="C981" t="str">
            <v>Phần</v>
          </cell>
        </row>
        <row r="982">
          <cell r="A982" t="str">
            <v>BSCHA002</v>
          </cell>
          <cell r="B982" t="str">
            <v>Mì Xào Thanh Vị</v>
          </cell>
          <cell r="C982" t="str">
            <v>Phần</v>
          </cell>
        </row>
        <row r="983">
          <cell r="A983" t="str">
            <v>BSCHA003</v>
          </cell>
          <cell r="B983" t="str">
            <v>Chả Giò An Lạc</v>
          </cell>
          <cell r="C983" t="str">
            <v>Phần</v>
          </cell>
        </row>
        <row r="984">
          <cell r="A984" t="str">
            <v>BSCHA004</v>
          </cell>
          <cell r="B984" t="str">
            <v>Nấm Thập Vị Thanh Lành</v>
          </cell>
          <cell r="C984" t="str">
            <v>Phần</v>
          </cell>
        </row>
        <row r="985">
          <cell r="A985" t="str">
            <v>BSCHA005</v>
          </cell>
          <cell r="B985" t="str">
            <v>Nấm Xào Rau Củ Thập Cẩm</v>
          </cell>
          <cell r="C985" t="str">
            <v>Phần</v>
          </cell>
        </row>
        <row r="986">
          <cell r="A986" t="str">
            <v>BSDVU001</v>
          </cell>
          <cell r="B986" t="str">
            <v>Đơn freeship</v>
          </cell>
          <cell r="C986" t="str">
            <v>Lần</v>
          </cell>
        </row>
        <row r="987">
          <cell r="A987" t="str">
            <v>BSDVU002</v>
          </cell>
          <cell r="B987" t="str">
            <v>Phí rượu quê</v>
          </cell>
          <cell r="C987" t="str">
            <v>Lít</v>
          </cell>
        </row>
        <row r="988">
          <cell r="A988" t="str">
            <v>BSDVU003</v>
          </cell>
          <cell r="B988" t="str">
            <v>Phí rượu Vang ngoại</v>
          </cell>
          <cell r="C988" t="str">
            <v>chai</v>
          </cell>
        </row>
        <row r="989">
          <cell r="A989" t="str">
            <v>BSDVU004</v>
          </cell>
          <cell r="B989" t="str">
            <v>Phí rượu mạnh ngoại</v>
          </cell>
          <cell r="C989" t="str">
            <v>chai</v>
          </cell>
        </row>
        <row r="990">
          <cell r="A990" t="str">
            <v>BSDVU005</v>
          </cell>
          <cell r="B990" t="str">
            <v>Phí đồ ăn</v>
          </cell>
          <cell r="C990" t="str">
            <v>Đĩa</v>
          </cell>
        </row>
        <row r="991">
          <cell r="A991" t="str">
            <v>BSDVU006</v>
          </cell>
          <cell r="B991" t="str">
            <v>Phí thuê loa đài tổ chức sự kiện</v>
          </cell>
          <cell r="C991" t="str">
            <v>Lần</v>
          </cell>
        </row>
        <row r="992">
          <cell r="A992" t="str">
            <v>BSDVU007</v>
          </cell>
          <cell r="B992" t="str">
            <v>Phí thuê máy chiếu</v>
          </cell>
          <cell r="C992" t="str">
            <v>Lần</v>
          </cell>
        </row>
        <row r="993">
          <cell r="A993" t="str">
            <v>BSDVU008</v>
          </cell>
          <cell r="B993" t="str">
            <v>Gói trang trí tổ chức sự kiện/sinh nhật</v>
          </cell>
          <cell r="C993" t="str">
            <v>Lần</v>
          </cell>
        </row>
        <row r="994">
          <cell r="A994" t="str">
            <v>BSDVU009</v>
          </cell>
          <cell r="B994" t="str">
            <v>Khăn lạnh</v>
          </cell>
          <cell r="C994" t="str">
            <v>Chiếc</v>
          </cell>
        </row>
        <row r="995">
          <cell r="A995" t="str">
            <v>BSHAS001</v>
          </cell>
          <cell r="B995" t="str">
            <v>Mực Ống Chiên Bơ Tỏi</v>
          </cell>
          <cell r="C995" t="str">
            <v>Phần</v>
          </cell>
        </row>
        <row r="996">
          <cell r="A996" t="str">
            <v>BSHAS002</v>
          </cell>
          <cell r="B996" t="str">
            <v>Mực Nướng muối ớt</v>
          </cell>
          <cell r="C996" t="str">
            <v>Phần</v>
          </cell>
        </row>
        <row r="997">
          <cell r="A997" t="str">
            <v>BSHAS003</v>
          </cell>
          <cell r="B997" t="str">
            <v>Mực Ống Xốt Thái</v>
          </cell>
          <cell r="C997" t="str">
            <v>Phần</v>
          </cell>
        </row>
        <row r="998">
          <cell r="A998" t="str">
            <v>BSHAS004</v>
          </cell>
          <cell r="B998" t="str">
            <v>Tôm Rang Muối Phong Sa</v>
          </cell>
          <cell r="C998" t="str">
            <v>Phần</v>
          </cell>
        </row>
        <row r="999">
          <cell r="A999" t="str">
            <v>BSHAS005</v>
          </cell>
          <cell r="B999" t="str">
            <v>Tôm Nướng Muối Ớt</v>
          </cell>
          <cell r="C999" t="str">
            <v>Phần</v>
          </cell>
        </row>
        <row r="1000">
          <cell r="A1000" t="str">
            <v>BSHAS006</v>
          </cell>
          <cell r="B1000" t="str">
            <v>Tôm Sú Xốt Phô Mai</v>
          </cell>
          <cell r="C1000" t="str">
            <v>Phần</v>
          </cell>
        </row>
        <row r="1001">
          <cell r="A1001" t="str">
            <v>BSHAS007</v>
          </cell>
          <cell r="B1001" t="str">
            <v>Cá Saba nướng Nhật Bản</v>
          </cell>
          <cell r="C1001" t="str">
            <v>Phần</v>
          </cell>
        </row>
        <row r="1002">
          <cell r="A1002" t="str">
            <v>BSHAS008</v>
          </cell>
          <cell r="B1002" t="str">
            <v>Chả Ốc Tây Hồ</v>
          </cell>
          <cell r="C1002" t="str">
            <v>Phần</v>
          </cell>
        </row>
        <row r="1003">
          <cell r="A1003" t="str">
            <v>BSHAS009</v>
          </cell>
          <cell r="B1003" t="str">
            <v>Chả Cá Thát Lát Nướng Muối Ớt</v>
          </cell>
          <cell r="C1003" t="str">
            <v>Phần</v>
          </cell>
        </row>
        <row r="1004">
          <cell r="A1004" t="str">
            <v>BSHGC001</v>
          </cell>
          <cell r="B1004" t="str">
            <v>Gà tre Quay Mắm Nhĩ</v>
          </cell>
          <cell r="C1004" t="str">
            <v>Con</v>
          </cell>
        </row>
        <row r="1005">
          <cell r="A1005" t="str">
            <v>BSHGC002</v>
          </cell>
          <cell r="B1005" t="str">
            <v>Gà Ri Nướng Mắc Khén</v>
          </cell>
          <cell r="C1005" t="str">
            <v>Con</v>
          </cell>
        </row>
        <row r="1006">
          <cell r="A1006" t="str">
            <v>BSHGC003</v>
          </cell>
          <cell r="B1006" t="str">
            <v>Gà ri chiên mắm (cả con)</v>
          </cell>
          <cell r="C1006" t="str">
            <v>Con</v>
          </cell>
        </row>
        <row r="1007">
          <cell r="A1007" t="str">
            <v>BSHGC004</v>
          </cell>
          <cell r="B1007" t="str">
            <v>Gà ri chiên mắm (1/2 con)</v>
          </cell>
          <cell r="C1007" t="str">
            <v>Con</v>
          </cell>
        </row>
        <row r="1008">
          <cell r="A1008" t="str">
            <v>BSHGC005</v>
          </cell>
          <cell r="B1008" t="str">
            <v>Má Heo Nướng</v>
          </cell>
          <cell r="C1008" t="str">
            <v>Phần</v>
          </cell>
        </row>
        <row r="1009">
          <cell r="A1009" t="str">
            <v>BSHGC006</v>
          </cell>
          <cell r="B1009" t="str">
            <v>Má Heo Trộn Thính Kiểu Thái</v>
          </cell>
          <cell r="C1009" t="str">
            <v>Phần</v>
          </cell>
        </row>
        <row r="1010">
          <cell r="A1010" t="str">
            <v>BSHGC007</v>
          </cell>
          <cell r="B1010" t="str">
            <v>Gà quay Mắm Nhĩ 1/2 con</v>
          </cell>
          <cell r="C1010" t="str">
            <v>Con</v>
          </cell>
        </row>
        <row r="1011">
          <cell r="A1011" t="str">
            <v>BSHGC008</v>
          </cell>
          <cell r="B1011" t="str">
            <v>Gà Quay Lu</v>
          </cell>
          <cell r="C1011" t="str">
            <v>Phần</v>
          </cell>
        </row>
        <row r="1012">
          <cell r="A1012" t="str">
            <v>BSHGC009</v>
          </cell>
          <cell r="B1012" t="str">
            <v>Dạ Dày Tiềm Tiêu Xanh</v>
          </cell>
          <cell r="C1012" t="str">
            <v>phần</v>
          </cell>
        </row>
        <row r="1013">
          <cell r="A1013" t="str">
            <v>BSHGC010</v>
          </cell>
          <cell r="B1013" t="str">
            <v>Ba Chỉ Heo Nướng Lu</v>
          </cell>
          <cell r="C1013" t="str">
            <v>phần</v>
          </cell>
        </row>
        <row r="1014">
          <cell r="A1014" t="str">
            <v>BSHGC011</v>
          </cell>
          <cell r="B1014" t="str">
            <v>Gà Quay Lu (1/2 con)</v>
          </cell>
          <cell r="C1014" t="str">
            <v>Phần</v>
          </cell>
        </row>
        <row r="1015">
          <cell r="A1015" t="str">
            <v>BSHQU001</v>
          </cell>
          <cell r="B1015" t="str">
            <v>Nước Chanh Tươi</v>
          </cell>
          <cell r="C1015" t="str">
            <v>Ly</v>
          </cell>
        </row>
        <row r="1016">
          <cell r="A1016" t="str">
            <v>BSHQU002</v>
          </cell>
          <cell r="B1016" t="str">
            <v>Trà Đào Cam Sả</v>
          </cell>
          <cell r="C1016" t="str">
            <v>Ly</v>
          </cell>
        </row>
        <row r="1017">
          <cell r="A1017" t="str">
            <v>BSHQU003</v>
          </cell>
          <cell r="B1017" t="str">
            <v>Trà Táo Đỏ Tứ Quý</v>
          </cell>
          <cell r="C1017" t="str">
            <v>Ly</v>
          </cell>
        </row>
        <row r="1018">
          <cell r="A1018" t="str">
            <v>BSHQU004</v>
          </cell>
          <cell r="B1018" t="str">
            <v>Nước Ép Cam Tươi</v>
          </cell>
          <cell r="C1018" t="str">
            <v>Ly</v>
          </cell>
        </row>
        <row r="1019">
          <cell r="A1019" t="str">
            <v>BSHQU005</v>
          </cell>
          <cell r="B1019" t="str">
            <v>Nước ép thơm</v>
          </cell>
          <cell r="C1019" t="str">
            <v>Ly</v>
          </cell>
        </row>
        <row r="1020">
          <cell r="A1020" t="str">
            <v>BSHQU006</v>
          </cell>
          <cell r="B1020" t="str">
            <v>Nước ép ổi</v>
          </cell>
          <cell r="C1020" t="str">
            <v>Ly</v>
          </cell>
        </row>
        <row r="1021">
          <cell r="A1021" t="str">
            <v>BSHQU007</v>
          </cell>
          <cell r="B1021" t="str">
            <v>Nước ép thơm cà rốt</v>
          </cell>
          <cell r="C1021" t="str">
            <v>Ly</v>
          </cell>
        </row>
        <row r="1022">
          <cell r="A1022" t="str">
            <v>BSHQU008</v>
          </cell>
          <cell r="B1022" t="str">
            <v>Nước ép  cam cà rốt</v>
          </cell>
          <cell r="C1022" t="str">
            <v>Ly</v>
          </cell>
        </row>
        <row r="1023">
          <cell r="A1023" t="str">
            <v>BSHQU009</v>
          </cell>
          <cell r="B1023" t="str">
            <v>Nước Ép Dưa Hấu</v>
          </cell>
          <cell r="C1023" t="str">
            <v>Ly</v>
          </cell>
        </row>
        <row r="1024">
          <cell r="A1024" t="str">
            <v>BSHQU010</v>
          </cell>
          <cell r="B1024" t="str">
            <v>Nước Chanh Dây Tươi</v>
          </cell>
          <cell r="C1024" t="str">
            <v>Ly</v>
          </cell>
        </row>
        <row r="1025">
          <cell r="A1025" t="str">
            <v>BSHQU011</v>
          </cell>
          <cell r="B1025" t="str">
            <v>Trà Dưỡng Tâm</v>
          </cell>
          <cell r="C1025" t="str">
            <v>Ly</v>
          </cell>
        </row>
        <row r="1026">
          <cell r="A1026" t="str">
            <v>BSHQU012</v>
          </cell>
          <cell r="B1026" t="str">
            <v>Trà Ổi Hồng</v>
          </cell>
          <cell r="C1026" t="str">
            <v>Ly</v>
          </cell>
        </row>
        <row r="1027">
          <cell r="A1027" t="str">
            <v>BSKVI001</v>
          </cell>
          <cell r="B1027" t="str">
            <v>Nem Bò Nấm</v>
          </cell>
          <cell r="C1027" t="str">
            <v>Phần</v>
          </cell>
        </row>
        <row r="1028">
          <cell r="A1028" t="str">
            <v>BSKVI002</v>
          </cell>
          <cell r="B1028" t="str">
            <v>Khoai Lang Kén</v>
          </cell>
          <cell r="C1028" t="str">
            <v>Phần</v>
          </cell>
        </row>
        <row r="1029">
          <cell r="A1029" t="str">
            <v>BSKVI003</v>
          </cell>
          <cell r="B1029" t="str">
            <v>Khoai Tây Lắc Phô Mai</v>
          </cell>
          <cell r="C1029" t="str">
            <v>Phần</v>
          </cell>
        </row>
        <row r="1030">
          <cell r="A1030" t="str">
            <v>BSKVI004</v>
          </cell>
          <cell r="B1030" t="str">
            <v>Khô Bò Mắc Khén Xé Tay</v>
          </cell>
          <cell r="C1030" t="str">
            <v>Gói</v>
          </cell>
        </row>
        <row r="1031">
          <cell r="A1031" t="str">
            <v>BSKVI005</v>
          </cell>
          <cell r="B1031" t="str">
            <v>Đậu Hũ Chiên Trứng Muối</v>
          </cell>
          <cell r="C1031" t="str">
            <v>Phần</v>
          </cell>
        </row>
        <row r="1032">
          <cell r="A1032" t="str">
            <v>BSKVI006</v>
          </cell>
          <cell r="B1032" t="str">
            <v>Tóp mỡ mắm tỏi</v>
          </cell>
          <cell r="C1032" t="str">
            <v>Phần</v>
          </cell>
        </row>
        <row r="1033">
          <cell r="A1033" t="str">
            <v>BSKVI007</v>
          </cell>
          <cell r="B1033" t="str">
            <v>Đậu phộng cá cơm</v>
          </cell>
          <cell r="C1033" t="str">
            <v>Phần</v>
          </cell>
        </row>
        <row r="1034">
          <cell r="A1034" t="str">
            <v>BSKVI008</v>
          </cell>
          <cell r="B1034" t="str">
            <v>Nấm Hải Sản Chiên Giòn</v>
          </cell>
          <cell r="C1034" t="str">
            <v>Phần</v>
          </cell>
        </row>
        <row r="1035">
          <cell r="A1035" t="str">
            <v>BSKVI009</v>
          </cell>
          <cell r="B1035" t="str">
            <v>Tàu Hũ Tôm Tươi Cuộn Nấm</v>
          </cell>
          <cell r="C1035" t="str">
            <v>Phần</v>
          </cell>
        </row>
        <row r="1036">
          <cell r="A1036" t="str">
            <v>BSLAU001</v>
          </cell>
          <cell r="B1036" t="str">
            <v>Lẩu riêu cua đặc biệt</v>
          </cell>
          <cell r="C1036" t="str">
            <v>Nồi</v>
          </cell>
        </row>
        <row r="1037">
          <cell r="A1037" t="str">
            <v>BSLAU002</v>
          </cell>
          <cell r="B1037" t="str">
            <v>Lẩu bò miền Tây thập cẩm</v>
          </cell>
          <cell r="C1037" t="str">
            <v>Nồi</v>
          </cell>
        </row>
        <row r="1038">
          <cell r="A1038" t="str">
            <v>BSLAU003</v>
          </cell>
          <cell r="B1038" t="str">
            <v>Lẩu bò nấm</v>
          </cell>
          <cell r="C1038" t="str">
            <v>Nồi</v>
          </cell>
        </row>
        <row r="1039">
          <cell r="A1039" t="str">
            <v>BSLAU004</v>
          </cell>
          <cell r="B1039" t="str">
            <v>Lẩu Thái bò đặc biệt</v>
          </cell>
          <cell r="C1039" t="str">
            <v>Nồi</v>
          </cell>
        </row>
        <row r="1040">
          <cell r="A1040" t="str">
            <v>BSLAU005</v>
          </cell>
          <cell r="B1040" t="str">
            <v>Lẩu riêu cua Bò Tươi đặc Biệt</v>
          </cell>
          <cell r="C1040" t="str">
            <v>Nồi</v>
          </cell>
        </row>
        <row r="1041">
          <cell r="A1041" t="str">
            <v>BSLAU006</v>
          </cell>
          <cell r="B1041" t="str">
            <v>Lẩu Thái Bò Tơ</v>
          </cell>
          <cell r="C1041" t="str">
            <v>Nồi</v>
          </cell>
        </row>
        <row r="1042">
          <cell r="A1042" t="str">
            <v>BSLAU007</v>
          </cell>
          <cell r="B1042" t="str">
            <v>Lẩu Cua Đồng Bò Tơ</v>
          </cell>
          <cell r="C1042" t="str">
            <v>Nồi</v>
          </cell>
        </row>
        <row r="1043">
          <cell r="A1043" t="str">
            <v>BSLAU008</v>
          </cell>
          <cell r="B1043" t="str">
            <v>Lẩu Thái Thập Cẩm</v>
          </cell>
          <cell r="C1043" t="str">
            <v>Nồi</v>
          </cell>
        </row>
        <row r="1044">
          <cell r="A1044" t="str">
            <v>BSLAU009</v>
          </cell>
          <cell r="B1044" t="str">
            <v>Lẩu bò tảng</v>
          </cell>
          <cell r="C1044" t="str">
            <v>Nồi</v>
          </cell>
        </row>
        <row r="1045">
          <cell r="A1045" t="str">
            <v>BSLAU010</v>
          </cell>
          <cell r="B1045" t="str">
            <v>Lẩu bò tảng đặc biệt</v>
          </cell>
          <cell r="C1045" t="str">
            <v>Nồi</v>
          </cell>
        </row>
        <row r="1046">
          <cell r="A1046" t="str">
            <v>BSLAU011</v>
          </cell>
          <cell r="B1046" t="str">
            <v>Lẩu Cua Đồng Gà Ri</v>
          </cell>
          <cell r="C1046" t="str">
            <v>Phần</v>
          </cell>
        </row>
        <row r="1047">
          <cell r="A1047" t="str">
            <v>BSLAU012</v>
          </cell>
          <cell r="B1047" t="str">
            <v>Lẩu Thái Cốt Bề Bề Đặc Biệt</v>
          </cell>
          <cell r="C1047" t="str">
            <v>Nồi</v>
          </cell>
        </row>
        <row r="1048">
          <cell r="A1048" t="str">
            <v>BSLAU013</v>
          </cell>
          <cell r="B1048" t="str">
            <v>Lẩu Thái Hải Sản</v>
          </cell>
          <cell r="C1048" t="str">
            <v>Nồi</v>
          </cell>
        </row>
        <row r="1049">
          <cell r="A1049" t="str">
            <v>BSLAU014</v>
          </cell>
          <cell r="B1049" t="str">
            <v>Lẩu Bò Lá Giang</v>
          </cell>
          <cell r="C1049" t="str">
            <v>Nồi</v>
          </cell>
        </row>
        <row r="1050">
          <cell r="A1050" t="str">
            <v>BSLAU015</v>
          </cell>
          <cell r="B1050" t="str">
            <v>Lẩu Gà Lá Giang (1/2 Con)</v>
          </cell>
          <cell r="C1050" t="str">
            <v>Nồi</v>
          </cell>
        </row>
        <row r="1051">
          <cell r="A1051" t="str">
            <v>BSLAU016</v>
          </cell>
          <cell r="B1051" t="str">
            <v>Lẩu Gà Lá Giang (1 Con)</v>
          </cell>
          <cell r="C1051" t="str">
            <v>Nồi</v>
          </cell>
        </row>
        <row r="1052">
          <cell r="A1052" t="str">
            <v>BSLAU017</v>
          </cell>
          <cell r="B1052" t="str">
            <v>Lẩu Riêu Cua Đặc Biệt (Size S)</v>
          </cell>
          <cell r="C1052" t="str">
            <v>Nồi</v>
          </cell>
        </row>
        <row r="1053">
          <cell r="A1053" t="str">
            <v>BSLAU018</v>
          </cell>
          <cell r="B1053" t="str">
            <v>Lẩu Cua Đồng Gà Ri (1/2 Con)</v>
          </cell>
          <cell r="C1053" t="str">
            <v>Nồi</v>
          </cell>
        </row>
        <row r="1054">
          <cell r="A1054" t="str">
            <v>BSLAU019</v>
          </cell>
          <cell r="B1054" t="str">
            <v>Lẩu Bò Thảo Mộc</v>
          </cell>
          <cell r="C1054" t="str">
            <v>Nồi</v>
          </cell>
        </row>
        <row r="1055">
          <cell r="A1055" t="str">
            <v>BSMAKN001</v>
          </cell>
          <cell r="B1055" t="str">
            <v>Ba Chỉ Bò Mỹ (MV)</v>
          </cell>
          <cell r="C1055" t="str">
            <v>Đĩa</v>
          </cell>
        </row>
        <row r="1056">
          <cell r="A1056" t="str">
            <v>BSMAKN002</v>
          </cell>
          <cell r="B1056" t="str">
            <v>Gầu Bò (MV)</v>
          </cell>
          <cell r="C1056" t="str">
            <v>Đĩa</v>
          </cell>
        </row>
        <row r="1057">
          <cell r="A1057" t="str">
            <v>BSMAKN003</v>
          </cell>
          <cell r="B1057" t="str">
            <v>Thịt Ba Chỉ Bò Tơ (MV)</v>
          </cell>
          <cell r="C1057" t="str">
            <v>phần</v>
          </cell>
        </row>
        <row r="1058">
          <cell r="A1058" t="str">
            <v>BSMAKN004</v>
          </cell>
          <cell r="B1058" t="str">
            <v>Bò tươi nhúng lẩu (MV)</v>
          </cell>
          <cell r="C1058" t="str">
            <v>Đĩa</v>
          </cell>
        </row>
        <row r="1059">
          <cell r="A1059" t="str">
            <v>BSMAKN005</v>
          </cell>
          <cell r="B1059" t="str">
            <v>Tim Bò (MV)</v>
          </cell>
          <cell r="C1059" t="str">
            <v>Đĩa</v>
          </cell>
        </row>
        <row r="1060">
          <cell r="A1060" t="str">
            <v>BSMAKN006</v>
          </cell>
          <cell r="B1060" t="str">
            <v>Gân Bò (MV)</v>
          </cell>
          <cell r="C1060" t="str">
            <v>Đĩa</v>
          </cell>
        </row>
        <row r="1061">
          <cell r="A1061" t="str">
            <v>BSMAKN007</v>
          </cell>
          <cell r="B1061" t="str">
            <v>Bò Viên Nhúng Lẩu (MV)</v>
          </cell>
          <cell r="C1061" t="str">
            <v>Đĩa</v>
          </cell>
        </row>
        <row r="1062">
          <cell r="A1062" t="str">
            <v>BSMAKN008</v>
          </cell>
          <cell r="B1062" t="str">
            <v>Nấm Kim Châm Nhúng Lẩu (MV)</v>
          </cell>
          <cell r="C1062" t="str">
            <v>Đĩa</v>
          </cell>
        </row>
        <row r="1063">
          <cell r="A1063" t="str">
            <v>BSMAKN009</v>
          </cell>
          <cell r="B1063" t="str">
            <v>Nấm Tuyết Nhĩ (MV)</v>
          </cell>
          <cell r="C1063" t="str">
            <v>Đĩa</v>
          </cell>
        </row>
        <row r="1064">
          <cell r="A1064" t="str">
            <v>BSMAKN010</v>
          </cell>
          <cell r="B1064" t="str">
            <v>Váng Đậu Chiên (MV)</v>
          </cell>
          <cell r="C1064" t="str">
            <v>Đĩa</v>
          </cell>
        </row>
        <row r="1065">
          <cell r="A1065" t="str">
            <v>BSMAKN011</v>
          </cell>
          <cell r="B1065" t="str">
            <v>Mỳ Tôm Thêm (MV)</v>
          </cell>
          <cell r="C1065" t="str">
            <v>Gói</v>
          </cell>
        </row>
        <row r="1066">
          <cell r="A1066" t="str">
            <v>BSMAKN012</v>
          </cell>
          <cell r="B1066" t="str">
            <v>Bún Thêm (MV)</v>
          </cell>
          <cell r="C1066" t="str">
            <v>Đĩa</v>
          </cell>
        </row>
        <row r="1067">
          <cell r="A1067" t="str">
            <v>BSMAKN013</v>
          </cell>
          <cell r="B1067" t="str">
            <v>Cải Thảo Nhúng Lẩu (MV)</v>
          </cell>
          <cell r="C1067" t="str">
            <v>Đĩa</v>
          </cell>
        </row>
        <row r="1068">
          <cell r="A1068" t="str">
            <v>BSMAKN014</v>
          </cell>
          <cell r="B1068" t="str">
            <v>Cải Xanh Nhúng Lẩu (MV)</v>
          </cell>
          <cell r="C1068" t="str">
            <v>Đĩa</v>
          </cell>
        </row>
        <row r="1069">
          <cell r="A1069" t="str">
            <v>BSMAKN015</v>
          </cell>
          <cell r="B1069" t="str">
            <v>Rau Lẩu Cua (MV)</v>
          </cell>
          <cell r="C1069" t="str">
            <v>Đĩa</v>
          </cell>
        </row>
        <row r="1070">
          <cell r="A1070" t="str">
            <v>BSMAKN016</v>
          </cell>
          <cell r="B1070" t="str">
            <v>Hoa Chuối Thái Nhúng Lẩu (MV)</v>
          </cell>
          <cell r="C1070" t="str">
            <v>Đĩa</v>
          </cell>
        </row>
        <row r="1071">
          <cell r="A1071" t="str">
            <v>BSMAKN017</v>
          </cell>
          <cell r="B1071" t="str">
            <v>Đậu Phụ Thêm (MV)</v>
          </cell>
          <cell r="C1071" t="str">
            <v>Đĩa</v>
          </cell>
        </row>
        <row r="1072">
          <cell r="A1072" t="str">
            <v>BSMAKN018</v>
          </cell>
          <cell r="B1072" t="str">
            <v>Ngô Ngọt Nhúng Lẩu (MV)</v>
          </cell>
          <cell r="C1072" t="str">
            <v>Đĩa</v>
          </cell>
        </row>
        <row r="1073">
          <cell r="A1073" t="str">
            <v>BSMAKN019</v>
          </cell>
          <cell r="B1073" t="str">
            <v>Đậu Hũ Pho Mai (MV)</v>
          </cell>
          <cell r="C1073" t="str">
            <v>Đĩa</v>
          </cell>
        </row>
        <row r="1074">
          <cell r="A1074" t="str">
            <v>BSMAKN020</v>
          </cell>
          <cell r="B1074" t="str">
            <v>Thanh Cua (MV)</v>
          </cell>
          <cell r="C1074" t="str">
            <v>Đĩa</v>
          </cell>
        </row>
        <row r="1075">
          <cell r="A1075" t="str">
            <v>BSMAKN021</v>
          </cell>
          <cell r="B1075" t="str">
            <v>Viên Tôm Hùm (MV)</v>
          </cell>
          <cell r="C1075" t="str">
            <v>Đĩa</v>
          </cell>
        </row>
        <row r="1076">
          <cell r="A1076" t="str">
            <v>BSMAKN022</v>
          </cell>
          <cell r="B1076" t="str">
            <v>Rau miền tây (MV)</v>
          </cell>
          <cell r="C1076" t="str">
            <v>Đĩa</v>
          </cell>
        </row>
        <row r="1077">
          <cell r="A1077" t="str">
            <v>BSMAKN023</v>
          </cell>
          <cell r="B1077" t="str">
            <v>Nấm Tươi Nhúng Lẩu (MV)</v>
          </cell>
          <cell r="C1077" t="str">
            <v>Đĩa</v>
          </cell>
        </row>
        <row r="1078">
          <cell r="A1078" t="str">
            <v>BSMAKN024</v>
          </cell>
          <cell r="B1078" t="str">
            <v>Sách đen nhúng lẩu (MV)</v>
          </cell>
          <cell r="C1078" t="str">
            <v>Đĩa</v>
          </cell>
        </row>
        <row r="1079">
          <cell r="A1079" t="str">
            <v>BSMAKN025</v>
          </cell>
          <cell r="B1079" t="str">
            <v>Rau Mồng Tơi Nhúng Lẩu (MV)</v>
          </cell>
          <cell r="C1079" t="str">
            <v>Đĩa</v>
          </cell>
        </row>
        <row r="1080">
          <cell r="A1080" t="str">
            <v>BSMAKN026</v>
          </cell>
          <cell r="B1080" t="str">
            <v>Rau Muống Chẻ Nhúng Lẩu (MV)</v>
          </cell>
          <cell r="C1080" t="str">
            <v>Đĩa</v>
          </cell>
        </row>
        <row r="1081">
          <cell r="A1081" t="str">
            <v>BSMAKN027</v>
          </cell>
          <cell r="B1081" t="str">
            <v>Rau Dền Nhúng Lẩu (MV)</v>
          </cell>
          <cell r="C1081" t="str">
            <v>Đĩa</v>
          </cell>
        </row>
        <row r="1082">
          <cell r="A1082" t="str">
            <v>BSMAKN028</v>
          </cell>
          <cell r="B1082" t="str">
            <v>Gạch Cua Thêm (MV)</v>
          </cell>
          <cell r="C1082" t="str">
            <v>Đĩa</v>
          </cell>
        </row>
        <row r="1083">
          <cell r="A1083" t="str">
            <v>BSMAKN029</v>
          </cell>
          <cell r="B1083" t="str">
            <v>Gà Tươi Cả Con (MV)</v>
          </cell>
          <cell r="C1083" t="str">
            <v>phần</v>
          </cell>
        </row>
        <row r="1084">
          <cell r="A1084" t="str">
            <v>BSMAKN030</v>
          </cell>
          <cell r="B1084" t="str">
            <v>Củ Quả Muối (MV)</v>
          </cell>
          <cell r="C1084" t="str">
            <v>Đĩa</v>
          </cell>
        </row>
        <row r="1085">
          <cell r="A1085" t="str">
            <v>BSMAKN031</v>
          </cell>
          <cell r="B1085" t="str">
            <v>Ba Chỉ Bò Cuộn Nấm Kim Châm (MV)</v>
          </cell>
          <cell r="C1085" t="str">
            <v>Đĩa</v>
          </cell>
        </row>
        <row r="1086">
          <cell r="A1086" t="str">
            <v>BSMAKN032</v>
          </cell>
          <cell r="B1086" t="str">
            <v>Phồng Tôm Thêm (MV)</v>
          </cell>
          <cell r="C1086" t="str">
            <v>Đĩa</v>
          </cell>
        </row>
        <row r="1087">
          <cell r="A1087" t="str">
            <v>BSMAKN033</v>
          </cell>
          <cell r="B1087" t="str">
            <v>Nấm Hải Sản Nhúng Lẩu (MV)</v>
          </cell>
          <cell r="C1087" t="str">
            <v>Đĩa</v>
          </cell>
        </row>
        <row r="1088">
          <cell r="A1088" t="str">
            <v>BSMAKN034</v>
          </cell>
          <cell r="B1088" t="str">
            <v>Cuốn bánh tráng (4c-CB đặc biệt) (MV)</v>
          </cell>
          <cell r="C1088" t="str">
            <v>phần</v>
          </cell>
        </row>
        <row r="1089">
          <cell r="A1089" t="str">
            <v>BSMAKN035</v>
          </cell>
          <cell r="B1089" t="str">
            <v>Nem bò nấm (4c-CB) (MV)</v>
          </cell>
          <cell r="C1089" t="str">
            <v>phần</v>
          </cell>
        </row>
        <row r="1090">
          <cell r="A1090" t="str">
            <v>BSMAKN036</v>
          </cell>
          <cell r="B1090" t="str">
            <v>Xôi chiên phồng (4c-CB) (MV)</v>
          </cell>
          <cell r="C1090" t="str">
            <v>phần</v>
          </cell>
        </row>
        <row r="1091">
          <cell r="A1091" t="str">
            <v>BSMAKN037</v>
          </cell>
          <cell r="B1091" t="str">
            <v>Bò tơ tái chanh (1/2s-CB) (MV)</v>
          </cell>
          <cell r="C1091" t="str">
            <v>phần</v>
          </cell>
        </row>
        <row r="1092">
          <cell r="A1092" t="str">
            <v>BSMAKN038</v>
          </cell>
          <cell r="B1092" t="str">
            <v>Nộm rau tiến vua bò tươi MV (1/2s-CB)</v>
          </cell>
          <cell r="C1092" t="str">
            <v>phần</v>
          </cell>
        </row>
        <row r="1093">
          <cell r="A1093" t="str">
            <v>BSMAKN039</v>
          </cell>
          <cell r="B1093" t="str">
            <v>Cuốn bánh tráng (6c-CB mỹ vị sài thành) (MV)</v>
          </cell>
          <cell r="C1093" t="str">
            <v>phần</v>
          </cell>
        </row>
        <row r="1094">
          <cell r="A1094" t="str">
            <v>BSMAKN040</v>
          </cell>
          <cell r="B1094" t="str">
            <v>Nem bò nấm (6c-CB) (MV)</v>
          </cell>
          <cell r="C1094" t="str">
            <v>phần</v>
          </cell>
        </row>
        <row r="1095">
          <cell r="A1095" t="str">
            <v>BSMAKN041</v>
          </cell>
          <cell r="B1095" t="str">
            <v>Trứng Thêm (MV)</v>
          </cell>
          <cell r="C1095" t="str">
            <v>Quả</v>
          </cell>
        </row>
        <row r="1096">
          <cell r="A1096" t="str">
            <v>BSMAKN042</v>
          </cell>
          <cell r="B1096" t="str">
            <v>Kim Chi (MV)</v>
          </cell>
          <cell r="C1096" t="str">
            <v>phần</v>
          </cell>
        </row>
        <row r="1097">
          <cell r="A1097" t="str">
            <v>BSMAKN043</v>
          </cell>
          <cell r="B1097" t="str">
            <v>Mọc bò nấm tươi (MV)</v>
          </cell>
          <cell r="C1097" t="str">
            <v>phần</v>
          </cell>
        </row>
        <row r="1098">
          <cell r="A1098" t="str">
            <v>BSMAKN044</v>
          </cell>
          <cell r="B1098" t="str">
            <v>Set Quà Như Ý (1 Kg)  (MV)</v>
          </cell>
          <cell r="C1098" t="str">
            <v>set</v>
          </cell>
        </row>
        <row r="1099">
          <cell r="A1099" t="str">
            <v>BSMAKN045</v>
          </cell>
          <cell r="B1099" t="str">
            <v>Set Quà Như Ý (500gr) (MV)</v>
          </cell>
          <cell r="C1099" t="str">
            <v>set</v>
          </cell>
        </row>
        <row r="1100">
          <cell r="A1100" t="str">
            <v>BSMAKN046</v>
          </cell>
          <cell r="B1100" t="str">
            <v>Set Quà Cát Tường (1 Kg) (MV)</v>
          </cell>
          <cell r="C1100" t="str">
            <v>set</v>
          </cell>
        </row>
        <row r="1101">
          <cell r="A1101" t="str">
            <v>BSMAKN047</v>
          </cell>
          <cell r="B1101" t="str">
            <v>Set Quà Cát Tường (500gr) (MV)</v>
          </cell>
          <cell r="C1101" t="str">
            <v>set</v>
          </cell>
        </row>
        <row r="1102">
          <cell r="A1102" t="str">
            <v>BSMAKN048</v>
          </cell>
          <cell r="B1102" t="str">
            <v>Gù Bò Thêm (MV)</v>
          </cell>
          <cell r="C1102" t="str">
            <v>Phần</v>
          </cell>
        </row>
        <row r="1103">
          <cell r="A1103" t="str">
            <v>BSMAKN049</v>
          </cell>
          <cell r="B1103" t="str">
            <v>Bánh đa (MV)</v>
          </cell>
          <cell r="C1103" t="str">
            <v>Phần</v>
          </cell>
        </row>
        <row r="1104">
          <cell r="A1104" t="str">
            <v>BSMAKO001</v>
          </cell>
          <cell r="B1104" t="str">
            <v>Khoai tây chiên (1s-CB) (MV)</v>
          </cell>
          <cell r="C1104" t="str">
            <v>Phần</v>
          </cell>
        </row>
        <row r="1105">
          <cell r="A1105" t="str">
            <v>BSMAKO002</v>
          </cell>
          <cell r="B1105" t="str">
            <v>Nem bò nấm (4c-CB) (MV)</v>
          </cell>
          <cell r="C1105" t="str">
            <v>Phần</v>
          </cell>
        </row>
        <row r="1106">
          <cell r="A1106" t="str">
            <v>BSMAKO003</v>
          </cell>
          <cell r="B1106" t="str">
            <v>Xôi chiên phồng (4c-CB ) (MV)</v>
          </cell>
          <cell r="C1106" t="str">
            <v>Phần</v>
          </cell>
        </row>
        <row r="1107">
          <cell r="A1107" t="str">
            <v>BSMAKO004</v>
          </cell>
          <cell r="B1107" t="str">
            <v>Viên mọc sốt tiêu đen (CB ) (MV)</v>
          </cell>
          <cell r="C1107" t="str">
            <v>Phần</v>
          </cell>
        </row>
        <row r="1108">
          <cell r="A1108" t="str">
            <v>BSMAKO005</v>
          </cell>
          <cell r="B1108" t="str">
            <v>Cuốn bánh tráng (4c-CB đặc biệt) (MV)</v>
          </cell>
          <cell r="C1108" t="str">
            <v>Phần</v>
          </cell>
        </row>
        <row r="1109">
          <cell r="A1109" t="str">
            <v>BSMAKO006</v>
          </cell>
          <cell r="B1109" t="str">
            <v>Cuốn bánh tráng (6c-CB mỹ vị sài thành) (MV)</v>
          </cell>
          <cell r="C1109" t="str">
            <v>Phần</v>
          </cell>
        </row>
        <row r="1110">
          <cell r="A1110" t="str">
            <v>BSMAKO007</v>
          </cell>
          <cell r="B1110" t="str">
            <v>Nộm rau tiền vua (1/2s-CB) (MV)</v>
          </cell>
          <cell r="C1110" t="str">
            <v>Phần</v>
          </cell>
        </row>
        <row r="1111">
          <cell r="A1111" t="str">
            <v>BSMAKO008</v>
          </cell>
          <cell r="B1111" t="str">
            <v>Nem bò nấm (6c-CB) (MV)</v>
          </cell>
          <cell r="C1111" t="str">
            <v>Phần</v>
          </cell>
        </row>
        <row r="1112">
          <cell r="A1112" t="str">
            <v>BSMAKO009</v>
          </cell>
          <cell r="B1112" t="str">
            <v>Bò tơ tái chanh (1/2s-CB) (MV)</v>
          </cell>
          <cell r="C1112" t="str">
            <v>Phần</v>
          </cell>
        </row>
        <row r="1113">
          <cell r="A1113" t="str">
            <v>BSMAKO010</v>
          </cell>
          <cell r="B1113" t="str">
            <v>Gà Quay Mắm Nhĩ (1/2 Con) (MV)</v>
          </cell>
          <cell r="C1113" t="str">
            <v>Phần</v>
          </cell>
        </row>
        <row r="1114">
          <cell r="A1114" t="str">
            <v>BSMANO001</v>
          </cell>
          <cell r="B1114" t="str">
            <v>Xôi Chiên Phồng (MV)</v>
          </cell>
          <cell r="C1114" t="str">
            <v>Phần</v>
          </cell>
        </row>
        <row r="1115">
          <cell r="A1115" t="str">
            <v>BSMANO002</v>
          </cell>
          <cell r="B1115" t="str">
            <v>Bò Xốt Tiêu Đen + Bánh Bao (MV)</v>
          </cell>
          <cell r="C1115" t="str">
            <v>Phần</v>
          </cell>
        </row>
        <row r="1116">
          <cell r="A1116" t="str">
            <v>BSMANO003</v>
          </cell>
          <cell r="B1116" t="str">
            <v>Bánh bao chiên (MV)</v>
          </cell>
          <cell r="C1116" t="str">
            <v>Phần</v>
          </cell>
        </row>
        <row r="1117">
          <cell r="A1117" t="str">
            <v>BSMANO004</v>
          </cell>
          <cell r="B1117" t="str">
            <v>Cơm Rang Dưa Bò (MV)</v>
          </cell>
          <cell r="C1117" t="str">
            <v>Phần</v>
          </cell>
        </row>
        <row r="1118">
          <cell r="A1118" t="str">
            <v>BSMANO005</v>
          </cell>
          <cell r="B1118" t="str">
            <v>Cơm Chiên Tôm Dứa (MV)</v>
          </cell>
          <cell r="C1118" t="str">
            <v>Phần</v>
          </cell>
        </row>
        <row r="1119">
          <cell r="A1119" t="str">
            <v>BSMANO006</v>
          </cell>
          <cell r="B1119" t="str">
            <v>Cơm bò sốt tiêu đen (MV)</v>
          </cell>
          <cell r="C1119" t="str">
            <v>Phần</v>
          </cell>
        </row>
        <row r="1120">
          <cell r="A1120" t="str">
            <v>BSMANO007</v>
          </cell>
          <cell r="B1120" t="str">
            <v>Cơm bò nướng lá lốt (MV)</v>
          </cell>
          <cell r="C1120" t="str">
            <v>Phần</v>
          </cell>
        </row>
        <row r="1121">
          <cell r="A1121" t="str">
            <v>BSMANO008</v>
          </cell>
          <cell r="B1121" t="str">
            <v>Cháo Bò (MV)</v>
          </cell>
          <cell r="C1121" t="str">
            <v>Phần</v>
          </cell>
        </row>
        <row r="1122">
          <cell r="A1122" t="str">
            <v>BSMANO009</v>
          </cell>
          <cell r="B1122" t="str">
            <v>Mỳ Xào Hải Sản( MV)</v>
          </cell>
          <cell r="C1122" t="str">
            <v>Phần</v>
          </cell>
        </row>
        <row r="1123">
          <cell r="A1123" t="str">
            <v>BSMANO010</v>
          </cell>
          <cell r="B1123" t="str">
            <v>Hến xúc phồng tôm (MV)</v>
          </cell>
          <cell r="C1123" t="str">
            <v>Phần</v>
          </cell>
        </row>
        <row r="1124">
          <cell r="A1124" t="str">
            <v>BSMANO011</v>
          </cell>
          <cell r="B1124" t="str">
            <v>Cơm lam (MV)</v>
          </cell>
          <cell r="C1124" t="str">
            <v>Phần</v>
          </cell>
        </row>
        <row r="1125">
          <cell r="A1125" t="str">
            <v>BSMANO012</v>
          </cell>
          <cell r="B1125" t="str">
            <v>Bò Nấm Xúc Phồng Tôm (MV)</v>
          </cell>
          <cell r="C1125" t="str">
            <v>Phần</v>
          </cell>
        </row>
        <row r="1126">
          <cell r="A1126" t="str">
            <v>BSMCBO001</v>
          </cell>
          <cell r="B1126" t="str">
            <v>Combo Bò Ngon (MV)</v>
          </cell>
          <cell r="C1126" t="str">
            <v>Set</v>
          </cell>
        </row>
        <row r="1127">
          <cell r="A1127" t="str">
            <v>BSMCBO002</v>
          </cell>
          <cell r="B1127" t="str">
            <v>Set Bò Đặc Biệt (MV)</v>
          </cell>
          <cell r="C1127" t="str">
            <v>Set</v>
          </cell>
        </row>
        <row r="1128">
          <cell r="A1128" t="str">
            <v>BSMCBO003</v>
          </cell>
          <cell r="B1128" t="str">
            <v>Set Mỹ Vị Sài Thành (MV)</v>
          </cell>
          <cell r="C1128" t="str">
            <v>Set</v>
          </cell>
        </row>
        <row r="1129">
          <cell r="A1129" t="str">
            <v>BSMCBO004</v>
          </cell>
          <cell r="B1129" t="str">
            <v>Combo Bò Cuốn + Trà Đào (App Shopee)</v>
          </cell>
          <cell r="C1129" t="str">
            <v>Set</v>
          </cell>
        </row>
        <row r="1130">
          <cell r="A1130" t="str">
            <v>BSMCBO005</v>
          </cell>
          <cell r="B1130" t="str">
            <v>Combo Lẩu cua nhỏ + 2Pepsi (App Shopee)</v>
          </cell>
          <cell r="C1130" t="str">
            <v>Set</v>
          </cell>
        </row>
        <row r="1131">
          <cell r="A1131" t="str">
            <v>BSMCBO006</v>
          </cell>
          <cell r="B1131" t="str">
            <v>Combo Mỹ Vị (Mang về)</v>
          </cell>
          <cell r="C1131" t="str">
            <v>Set</v>
          </cell>
        </row>
        <row r="1132">
          <cell r="A1132" t="str">
            <v>BSMCBO007</v>
          </cell>
          <cell r="B1132" t="str">
            <v>Combo Sum Vầy (Mang về)</v>
          </cell>
          <cell r="C1132" t="str">
            <v>Set</v>
          </cell>
        </row>
        <row r="1133">
          <cell r="A1133" t="str">
            <v>BSMCBO008</v>
          </cell>
          <cell r="B1133" t="str">
            <v>Combo Thượng Hạng (Mang về)</v>
          </cell>
          <cell r="C1133" t="str">
            <v>Set</v>
          </cell>
        </row>
        <row r="1134">
          <cell r="A1134" t="str">
            <v>BSMCBO009</v>
          </cell>
          <cell r="B1134" t="str">
            <v>Combo Truyền Thống (Mang về)</v>
          </cell>
          <cell r="C1134" t="str">
            <v>Set</v>
          </cell>
        </row>
        <row r="1135">
          <cell r="A1135" t="str">
            <v>BSMCBO010</v>
          </cell>
          <cell r="B1135" t="str">
            <v>Set tiệc 2 (MV)</v>
          </cell>
          <cell r="C1135" t="str">
            <v>Set</v>
          </cell>
        </row>
        <row r="1136">
          <cell r="A1136" t="str">
            <v>BSMCBO011</v>
          </cell>
          <cell r="B1136" t="str">
            <v>Set tiệc 3 (MV)</v>
          </cell>
          <cell r="C1136" t="str">
            <v>Set</v>
          </cell>
        </row>
        <row r="1137">
          <cell r="A1137" t="str">
            <v>BSMCBO012</v>
          </cell>
          <cell r="B1137" t="str">
            <v>Set tiệc 1 (MV)</v>
          </cell>
          <cell r="C1137" t="str">
            <v>Set</v>
          </cell>
        </row>
        <row r="1138">
          <cell r="A1138" t="str">
            <v>BSMCCX001</v>
          </cell>
          <cell r="B1138" t="str">
            <v>Bò Tơ Tái Chanh (MV)</v>
          </cell>
          <cell r="C1138" t="str">
            <v>Đĩa</v>
          </cell>
        </row>
        <row r="1139">
          <cell r="A1139" t="str">
            <v>BSMCCX002</v>
          </cell>
          <cell r="B1139" t="str">
            <v>Bò Tơ Cuốn Bánh Tráng (MV)</v>
          </cell>
          <cell r="C1139" t="str">
            <v>Phần</v>
          </cell>
        </row>
        <row r="1140">
          <cell r="A1140" t="str">
            <v>BSMCCX003</v>
          </cell>
          <cell r="B1140" t="str">
            <v>Bò Nướng Lá Lốt Cuốn Bánh Tráng (MV)</v>
          </cell>
          <cell r="C1140" t="str">
            <v>Phần</v>
          </cell>
        </row>
        <row r="1141">
          <cell r="A1141" t="str">
            <v>BSMCCX004</v>
          </cell>
          <cell r="B1141" t="str">
            <v>Bò tơ cuốn bánh tráng 1 người (SHOPEE)</v>
          </cell>
          <cell r="C1141" t="str">
            <v>Phần</v>
          </cell>
        </row>
        <row r="1142">
          <cell r="A1142" t="str">
            <v>BSMCCX005</v>
          </cell>
          <cell r="B1142" t="str">
            <v>Bò Tơ Nhúng (MV)</v>
          </cell>
          <cell r="C1142" t="str">
            <v>Phần</v>
          </cell>
        </row>
        <row r="1143">
          <cell r="A1143" t="str">
            <v>BSMCCX006</v>
          </cell>
          <cell r="B1143" t="str">
            <v>Gầu Bò Nhúng (MV)</v>
          </cell>
          <cell r="C1143" t="str">
            <v>Phần</v>
          </cell>
        </row>
        <row r="1144">
          <cell r="A1144" t="str">
            <v>BSMCCX007</v>
          </cell>
          <cell r="B1144" t="str">
            <v>Bắp Bò Nhúng (MV)</v>
          </cell>
          <cell r="C1144" t="str">
            <v>Phần</v>
          </cell>
        </row>
        <row r="1145">
          <cell r="A1145" t="str">
            <v>BSMCCX008</v>
          </cell>
          <cell r="B1145" t="str">
            <v>Bắp Bò Xào Măng Trúc (MV)</v>
          </cell>
          <cell r="C1145" t="str">
            <v>Phần</v>
          </cell>
        </row>
        <row r="1146">
          <cell r="A1146" t="str">
            <v>BSMCCX009</v>
          </cell>
          <cell r="B1146" t="str">
            <v>Sách đen xào khế (MV)</v>
          </cell>
          <cell r="C1146" t="str">
            <v>Phần</v>
          </cell>
        </row>
        <row r="1147">
          <cell r="A1147" t="str">
            <v>BSMCCX010</v>
          </cell>
          <cell r="B1147" t="str">
            <v>Bánh Tráng Cuốn Heo Quay (MV)</v>
          </cell>
          <cell r="C1147" t="str">
            <v>Phần</v>
          </cell>
        </row>
        <row r="1148">
          <cell r="A1148" t="str">
            <v>BSMCCX011</v>
          </cell>
          <cell r="B1148" t="str">
            <v>Bánh Tráng Cuốn Bò Lụi Sả Nướng (MV)</v>
          </cell>
          <cell r="C1148" t="str">
            <v>Phần</v>
          </cell>
        </row>
        <row r="1149">
          <cell r="A1149" t="str">
            <v>BSMCCX012</v>
          </cell>
          <cell r="B1149" t="str">
            <v>Mẹt Bánh Tráng Đặc Biệt (MV)</v>
          </cell>
          <cell r="C1149" t="str">
            <v>Phần</v>
          </cell>
        </row>
        <row r="1150">
          <cell r="A1150" t="str">
            <v>BSMCCX013</v>
          </cell>
          <cell r="B1150" t="str">
            <v>Thăn Tươi Nhúng (MV)</v>
          </cell>
          <cell r="C1150" t="str">
            <v>Phần</v>
          </cell>
        </row>
        <row r="1151">
          <cell r="A1151" t="str">
            <v>BSMCCX014</v>
          </cell>
          <cell r="B1151" t="str">
            <v>Đuôi Bò Tiềm Thuốc Bắc Củ Sen (MV)</v>
          </cell>
          <cell r="C1151" t="str">
            <v>Phần</v>
          </cell>
        </row>
        <row r="1152">
          <cell r="A1152" t="str">
            <v>BSMCHA001</v>
          </cell>
          <cell r="B1152" t="str">
            <v>Mẹt Cuốn Ngũ Sắc (MV)</v>
          </cell>
          <cell r="C1152" t="str">
            <v>Phần</v>
          </cell>
        </row>
        <row r="1153">
          <cell r="A1153" t="str">
            <v>BSMCHA002</v>
          </cell>
          <cell r="B1153" t="str">
            <v>Mì Xào Thanh Vị (MV)</v>
          </cell>
          <cell r="C1153" t="str">
            <v>Phần</v>
          </cell>
        </row>
        <row r="1154">
          <cell r="A1154" t="str">
            <v>BSMCHA003</v>
          </cell>
          <cell r="B1154" t="str">
            <v>Chả Giò An Lạc (MV)</v>
          </cell>
          <cell r="C1154" t="str">
            <v>Phần</v>
          </cell>
        </row>
        <row r="1155">
          <cell r="A1155" t="str">
            <v>BSMCHA004</v>
          </cell>
          <cell r="B1155" t="str">
            <v>Nấm Thập Vị Thanh Lành (MV)</v>
          </cell>
          <cell r="C1155" t="str">
            <v>Phần</v>
          </cell>
        </row>
        <row r="1156">
          <cell r="A1156" t="str">
            <v>BSMCHA005</v>
          </cell>
          <cell r="B1156" t="str">
            <v>Nấm Xào Rau Củ Thập Cẩm (MV)</v>
          </cell>
          <cell r="C1156" t="str">
            <v>Phần</v>
          </cell>
        </row>
        <row r="1157">
          <cell r="A1157" t="str">
            <v>BSMDVU001</v>
          </cell>
          <cell r="B1157" t="str">
            <v>Khăn lạnh (MV)</v>
          </cell>
          <cell r="C1157" t="str">
            <v>Chiếc</v>
          </cell>
        </row>
        <row r="1158">
          <cell r="A1158" t="str">
            <v>BSMHAS001</v>
          </cell>
          <cell r="B1158" t="str">
            <v>Mực Ống Chiên Bơ (MV)</v>
          </cell>
          <cell r="C1158" t="str">
            <v>Phần</v>
          </cell>
        </row>
        <row r="1159">
          <cell r="A1159" t="str">
            <v>BSMHAS002</v>
          </cell>
          <cell r="B1159" t="str">
            <v>Mực Ống Xốt Thái (MV)</v>
          </cell>
          <cell r="C1159" t="str">
            <v>Phần</v>
          </cell>
        </row>
        <row r="1160">
          <cell r="A1160" t="str">
            <v>BSMHAS003</v>
          </cell>
          <cell r="B1160" t="str">
            <v>Tôm Rang Muối Phong Sa (MV)</v>
          </cell>
          <cell r="C1160" t="str">
            <v>Phần</v>
          </cell>
        </row>
        <row r="1161">
          <cell r="A1161" t="str">
            <v>BSMHAS004</v>
          </cell>
          <cell r="B1161" t="str">
            <v>Tôm Nướng Muối Ớt (MV)</v>
          </cell>
          <cell r="C1161" t="str">
            <v>Phần</v>
          </cell>
        </row>
        <row r="1162">
          <cell r="A1162" t="str">
            <v>BSMHAS005</v>
          </cell>
          <cell r="B1162" t="str">
            <v>Tôm sú xóc tỏi (MV)</v>
          </cell>
          <cell r="C1162" t="str">
            <v>Phần</v>
          </cell>
        </row>
        <row r="1163">
          <cell r="A1163" t="str">
            <v>BSMHAS006</v>
          </cell>
          <cell r="B1163" t="str">
            <v>Tôm sú sốt PhoMai (MV)</v>
          </cell>
          <cell r="C1163" t="str">
            <v>Phần</v>
          </cell>
        </row>
        <row r="1164">
          <cell r="A1164" t="str">
            <v>BSMHAS007</v>
          </cell>
          <cell r="B1164" t="str">
            <v>Mực nướng muối ớt (MV)</v>
          </cell>
          <cell r="C1164" t="str">
            <v>Phần</v>
          </cell>
        </row>
        <row r="1165">
          <cell r="A1165" t="str">
            <v>BSMHGC001</v>
          </cell>
          <cell r="B1165" t="str">
            <v>Gà Quay Mắm Nhĩ (MV)</v>
          </cell>
          <cell r="C1165" t="str">
            <v>Con</v>
          </cell>
        </row>
        <row r="1166">
          <cell r="A1166" t="str">
            <v>BSMHGC002</v>
          </cell>
          <cell r="B1166" t="str">
            <v>Gà Ri Nướng Mắc Khén (MV)</v>
          </cell>
          <cell r="C1166" t="str">
            <v>Con</v>
          </cell>
        </row>
        <row r="1167">
          <cell r="A1167" t="str">
            <v>BSMHGC003</v>
          </cell>
          <cell r="B1167" t="str">
            <v>Gà Ri Chiên Mắm Cả Con (MV)</v>
          </cell>
          <cell r="C1167" t="str">
            <v>Con</v>
          </cell>
        </row>
        <row r="1168">
          <cell r="A1168" t="str">
            <v>BSMHGC004</v>
          </cell>
          <cell r="B1168" t="str">
            <v>Gà Ri Chiên Mắm 1/2con (MV)</v>
          </cell>
          <cell r="C1168" t="str">
            <v>Con</v>
          </cell>
        </row>
        <row r="1169">
          <cell r="A1169" t="str">
            <v>BSMHGC005</v>
          </cell>
          <cell r="B1169" t="str">
            <v>Má Heo Nướng (MV)</v>
          </cell>
          <cell r="C1169" t="str">
            <v>Đĩa</v>
          </cell>
        </row>
        <row r="1170">
          <cell r="A1170" t="str">
            <v>BSMHGC006</v>
          </cell>
          <cell r="B1170" t="str">
            <v>Má Heo Trộn Thính Kiểu Thái (MV)</v>
          </cell>
          <cell r="C1170" t="str">
            <v>Đĩa</v>
          </cell>
        </row>
        <row r="1171">
          <cell r="A1171" t="str">
            <v>BSMHGC007</v>
          </cell>
          <cell r="B1171" t="str">
            <v>Gà tre Quay Mắm Nhĩ 1/2 con (MV)</v>
          </cell>
          <cell r="C1171" t="str">
            <v>Con</v>
          </cell>
        </row>
        <row r="1172">
          <cell r="A1172" t="str">
            <v>BSMHGC008</v>
          </cell>
          <cell r="B1172" t="str">
            <v>Gà Nướng Lu (MV)</v>
          </cell>
          <cell r="C1172" t="str">
            <v>Con</v>
          </cell>
        </row>
        <row r="1173">
          <cell r="A1173" t="str">
            <v>BSMHGC009</v>
          </cell>
          <cell r="B1173" t="str">
            <v>Ba chỉ heo nướng lu (MV)</v>
          </cell>
          <cell r="C1173" t="str">
            <v>Đĩa</v>
          </cell>
        </row>
        <row r="1174">
          <cell r="A1174" t="str">
            <v>BSMHGC010</v>
          </cell>
          <cell r="B1174" t="str">
            <v>Gà Quay Mắm Nhĩ (1/2 Con) (MV)</v>
          </cell>
          <cell r="C1174" t="str">
            <v>con</v>
          </cell>
        </row>
        <row r="1175">
          <cell r="A1175" t="str">
            <v>BSMHGC011</v>
          </cell>
          <cell r="B1175" t="str">
            <v>Gà Quay Lu (1/2 Con) (MV)</v>
          </cell>
          <cell r="C1175" t="str">
            <v>con</v>
          </cell>
        </row>
        <row r="1176">
          <cell r="A1176" t="str">
            <v>BSMHGC012</v>
          </cell>
          <cell r="B1176" t="str">
            <v>Chả Cá Thát Lát Nướng Muối Ớt (MV)</v>
          </cell>
          <cell r="C1176" t="str">
            <v>Phần</v>
          </cell>
        </row>
        <row r="1177">
          <cell r="A1177" t="str">
            <v>BSMHQU001</v>
          </cell>
          <cell r="B1177" t="str">
            <v>Nước chanh tươi (MV)</v>
          </cell>
          <cell r="C1177" t="str">
            <v>Ly</v>
          </cell>
        </row>
        <row r="1178">
          <cell r="A1178" t="str">
            <v>BSMHQU002</v>
          </cell>
          <cell r="B1178" t="str">
            <v>Trà Đào Cam Sả (MV)</v>
          </cell>
          <cell r="C1178" t="str">
            <v>Ly</v>
          </cell>
        </row>
        <row r="1179">
          <cell r="A1179" t="str">
            <v>BSMHQU003</v>
          </cell>
          <cell r="B1179" t="str">
            <v>Trà Táo Đỏ Tứ Quý (MV)</v>
          </cell>
          <cell r="C1179" t="str">
            <v>Ly</v>
          </cell>
        </row>
        <row r="1180">
          <cell r="A1180" t="str">
            <v>BSMHQU004</v>
          </cell>
          <cell r="B1180" t="str">
            <v>Nước Ép Cam Tươi (MV)</v>
          </cell>
          <cell r="C1180" t="str">
            <v>Ly</v>
          </cell>
        </row>
        <row r="1181">
          <cell r="A1181" t="str">
            <v>BSMHQU005</v>
          </cell>
          <cell r="B1181" t="str">
            <v>Nước Ép Thơm (MV)</v>
          </cell>
          <cell r="C1181" t="str">
            <v>Ly</v>
          </cell>
        </row>
        <row r="1182">
          <cell r="A1182" t="str">
            <v>BSMHQU006</v>
          </cell>
          <cell r="B1182" t="str">
            <v>Nước Ép Ổi (MV)</v>
          </cell>
          <cell r="C1182" t="str">
            <v>Ly</v>
          </cell>
        </row>
        <row r="1183">
          <cell r="A1183" t="str">
            <v>BSMHQU007</v>
          </cell>
          <cell r="B1183" t="str">
            <v>Nước Ép Thơm Cà Rốt (MV)</v>
          </cell>
          <cell r="C1183" t="str">
            <v>Ly</v>
          </cell>
        </row>
        <row r="1184">
          <cell r="A1184" t="str">
            <v>BSMHQU008</v>
          </cell>
          <cell r="B1184" t="str">
            <v>Nước Ép Cam Cà Rốt (MV)</v>
          </cell>
          <cell r="C1184" t="str">
            <v>Ly</v>
          </cell>
        </row>
        <row r="1185">
          <cell r="A1185" t="str">
            <v>BSMHQU009</v>
          </cell>
          <cell r="B1185" t="str">
            <v>Nước Ép Dưa Hấu (MV)</v>
          </cell>
          <cell r="C1185" t="str">
            <v>Ly</v>
          </cell>
        </row>
        <row r="1186">
          <cell r="A1186" t="str">
            <v>BSMHQU010</v>
          </cell>
          <cell r="B1186" t="str">
            <v>Nước Chanh Dây Tươi (MV)</v>
          </cell>
          <cell r="C1186" t="str">
            <v>Ly</v>
          </cell>
        </row>
        <row r="1187">
          <cell r="A1187" t="str">
            <v>BSMHQU011</v>
          </cell>
          <cell r="B1187" t="str">
            <v>Trà Dưỡng Tâm (MV)</v>
          </cell>
          <cell r="C1187" t="str">
            <v>Ly</v>
          </cell>
        </row>
        <row r="1188">
          <cell r="A1188" t="str">
            <v>BSMHQU012</v>
          </cell>
          <cell r="B1188" t="str">
            <v>Trà Ổi Hồng (MV)</v>
          </cell>
          <cell r="C1188" t="str">
            <v>Ly</v>
          </cell>
        </row>
        <row r="1189">
          <cell r="A1189" t="str">
            <v>BSMKVI001</v>
          </cell>
          <cell r="B1189" t="str">
            <v>Nem Bò Nấm (MV)</v>
          </cell>
          <cell r="C1189" t="str">
            <v>Đĩa</v>
          </cell>
        </row>
        <row r="1190">
          <cell r="A1190" t="str">
            <v>BSMKVI002</v>
          </cell>
          <cell r="B1190" t="str">
            <v>Nem bò nấm 1 cái (MV)</v>
          </cell>
          <cell r="C1190" t="str">
            <v>Cái</v>
          </cell>
        </row>
        <row r="1191">
          <cell r="A1191" t="str">
            <v>BSMKVI003</v>
          </cell>
          <cell r="B1191" t="str">
            <v>Khoai Lang Kén (MV)</v>
          </cell>
          <cell r="C1191" t="str">
            <v>Đĩa</v>
          </cell>
        </row>
        <row r="1192">
          <cell r="A1192" t="str">
            <v>BSMKVI004</v>
          </cell>
          <cell r="B1192" t="str">
            <v>Khoai Tây Lắc Phô Mai (MV)</v>
          </cell>
          <cell r="C1192" t="str">
            <v>Đĩa</v>
          </cell>
        </row>
        <row r="1193">
          <cell r="A1193" t="str">
            <v>BSMKVI005</v>
          </cell>
          <cell r="B1193" t="str">
            <v>Khô Bò Mắc Khén Xé Tay (MV)</v>
          </cell>
          <cell r="C1193" t="str">
            <v>Gói</v>
          </cell>
        </row>
        <row r="1194">
          <cell r="A1194" t="str">
            <v>BSMKVI006</v>
          </cell>
          <cell r="B1194" t="str">
            <v>Đậu Hũ Chiên Trứng Muối (MV)</v>
          </cell>
          <cell r="C1194" t="str">
            <v>Phần</v>
          </cell>
        </row>
        <row r="1195">
          <cell r="A1195" t="str">
            <v>BSMKVI007</v>
          </cell>
          <cell r="B1195" t="str">
            <v>Tóp Mỡ Mắm Tỏi (MV)</v>
          </cell>
          <cell r="C1195" t="str">
            <v>Phần</v>
          </cell>
        </row>
        <row r="1196">
          <cell r="A1196" t="str">
            <v>BSMKVI008</v>
          </cell>
          <cell r="B1196" t="str">
            <v>Đậu Phộng Cá Cơm (MV)</v>
          </cell>
          <cell r="C1196" t="str">
            <v>Phần</v>
          </cell>
        </row>
        <row r="1197">
          <cell r="A1197" t="str">
            <v>BSMKVI009</v>
          </cell>
          <cell r="B1197" t="str">
            <v>Nấm Hải Sản Chiên Giòn (MV)</v>
          </cell>
          <cell r="C1197" t="str">
            <v>Đĩa</v>
          </cell>
        </row>
        <row r="1198">
          <cell r="A1198" t="str">
            <v>BSMKVI010</v>
          </cell>
          <cell r="B1198" t="str">
            <v>Tàu Hũ Tôm Tươi Cuộn Nấm (MV)</v>
          </cell>
          <cell r="C1198" t="str">
            <v>Phần</v>
          </cell>
        </row>
        <row r="1199">
          <cell r="A1199" t="str">
            <v>BSMLAU001</v>
          </cell>
          <cell r="B1199" t="str">
            <v>Lẩu Thái Bò Đặc Biệt Size Nhỏ (MV)</v>
          </cell>
          <cell r="C1199" t="str">
            <v>Nồi</v>
          </cell>
        </row>
        <row r="1200">
          <cell r="A1200" t="str">
            <v>BSMLAU002</v>
          </cell>
          <cell r="B1200" t="str">
            <v>Lẩu Thái Cốt Bề Bề Size Vừa (MV)</v>
          </cell>
          <cell r="C1200" t="str">
            <v>Nồi</v>
          </cell>
        </row>
        <row r="1201">
          <cell r="A1201" t="str">
            <v>BSMLAU003</v>
          </cell>
          <cell r="B1201" t="str">
            <v>Lẩu Thái Bò Đặc Biệt (MV)</v>
          </cell>
          <cell r="C1201" t="str">
            <v>Nồi</v>
          </cell>
        </row>
        <row r="1202">
          <cell r="A1202" t="str">
            <v>BSMLAU004</v>
          </cell>
          <cell r="B1202" t="str">
            <v>Lẩu riêu cua bò đặc biệt size nhỏ (MV)</v>
          </cell>
          <cell r="C1202" t="str">
            <v>Nồi</v>
          </cell>
        </row>
        <row r="1203">
          <cell r="A1203" t="str">
            <v>BSMLAU005</v>
          </cell>
          <cell r="B1203" t="str">
            <v>Lẩu Riêu Cua Bò Size Vừa (MV)</v>
          </cell>
          <cell r="C1203" t="str">
            <v>Nồi</v>
          </cell>
        </row>
        <row r="1204">
          <cell r="A1204" t="str">
            <v>BSMLAU006</v>
          </cell>
          <cell r="B1204" t="str">
            <v>Lẩu Riêu Cua Bò Đặc Biệt (MV)</v>
          </cell>
          <cell r="C1204" t="str">
            <v>Nồi</v>
          </cell>
        </row>
        <row r="1205">
          <cell r="A1205" t="str">
            <v>BSMLAU007</v>
          </cell>
          <cell r="B1205" t="str">
            <v>Lẩu Bò Nấm Size Nhỏ (MV)</v>
          </cell>
          <cell r="C1205" t="str">
            <v>Nồi</v>
          </cell>
        </row>
        <row r="1206">
          <cell r="A1206" t="str">
            <v>BSMLAU008</v>
          </cell>
          <cell r="B1206" t="str">
            <v>Lẩu Bò Nấm Size Vừa (MV)</v>
          </cell>
          <cell r="C1206" t="str">
            <v>Nồi</v>
          </cell>
        </row>
        <row r="1207">
          <cell r="A1207" t="str">
            <v>BSMLAU009</v>
          </cell>
          <cell r="B1207" t="str">
            <v>Lẩu Bò Nấm Đặc Biệt (MV)</v>
          </cell>
          <cell r="C1207" t="str">
            <v>Nồi</v>
          </cell>
        </row>
        <row r="1208">
          <cell r="A1208" t="str">
            <v>BSMLAU010</v>
          </cell>
          <cell r="B1208" t="str">
            <v>Lẩu Thái Bò Đặc Biệt (MV)</v>
          </cell>
          <cell r="C1208" t="str">
            <v>Nồi</v>
          </cell>
        </row>
        <row r="1209">
          <cell r="A1209" t="str">
            <v>BSMLAU011</v>
          </cell>
          <cell r="B1209" t="str">
            <v>Lẩu Cua Đồng Đặc Biệt (MV)</v>
          </cell>
          <cell r="C1209" t="str">
            <v>Nồi</v>
          </cell>
        </row>
        <row r="1210">
          <cell r="A1210" t="str">
            <v>BSMLAU012</v>
          </cell>
          <cell r="B1210" t="str">
            <v>Lẩu Bò Miền Tây Thập Cẩm (MV)</v>
          </cell>
          <cell r="C1210" t="str">
            <v>Nồi</v>
          </cell>
        </row>
        <row r="1211">
          <cell r="A1211" t="str">
            <v>BSMLAU013</v>
          </cell>
          <cell r="B1211" t="str">
            <v>Lẩu Bò Tảng size nhỏ (MV)</v>
          </cell>
          <cell r="C1211" t="str">
            <v>Nồi</v>
          </cell>
        </row>
        <row r="1212">
          <cell r="A1212" t="str">
            <v>BSMLAU014</v>
          </cell>
          <cell r="B1212" t="str">
            <v>Lẩu Bò Tảng Đặc Biệt (MV)</v>
          </cell>
          <cell r="C1212" t="str">
            <v>Nồi</v>
          </cell>
        </row>
        <row r="1213">
          <cell r="A1213" t="str">
            <v>BSMLAU015</v>
          </cell>
          <cell r="B1213" t="str">
            <v>Lẩu Cua Đồng Gà Ri (MV)</v>
          </cell>
          <cell r="C1213" t="str">
            <v>Nồi</v>
          </cell>
        </row>
        <row r="1214">
          <cell r="A1214" t="str">
            <v>BSMLAU016</v>
          </cell>
          <cell r="B1214" t="str">
            <v>Lẩu Thái Cốt Bề Bề Đặc Biệt( MV)</v>
          </cell>
          <cell r="C1214" t="str">
            <v>Nồi</v>
          </cell>
        </row>
        <row r="1215">
          <cell r="A1215" t="str">
            <v>BSMLAU017</v>
          </cell>
          <cell r="B1215" t="str">
            <v>Lẩu Cua Đồng Thập Cẩm( MV)</v>
          </cell>
          <cell r="C1215" t="str">
            <v>Nồi</v>
          </cell>
        </row>
        <row r="1216">
          <cell r="A1216" t="str">
            <v>BSMLAU018</v>
          </cell>
          <cell r="B1216" t="str">
            <v>Lẩu Bò Lá Giang (MV)</v>
          </cell>
          <cell r="C1216" t="str">
            <v>Nồi</v>
          </cell>
        </row>
        <row r="1217">
          <cell r="A1217" t="str">
            <v>BSMLAU019</v>
          </cell>
          <cell r="B1217" t="str">
            <v>Lẩu Gà Lá Giang (1/2 Con) (MV)</v>
          </cell>
          <cell r="C1217" t="str">
            <v>Nồi</v>
          </cell>
        </row>
        <row r="1218">
          <cell r="A1218" t="str">
            <v>BSMLAU020</v>
          </cell>
          <cell r="B1218" t="str">
            <v>Lẩu Gà Lá Giang (1 Con) (MV)</v>
          </cell>
          <cell r="C1218" t="str">
            <v>Nồi</v>
          </cell>
        </row>
        <row r="1219">
          <cell r="A1219" t="str">
            <v>BSMLAU021</v>
          </cell>
          <cell r="B1219" t="str">
            <v>Lẩu Thái Hải Sản (MV)</v>
          </cell>
          <cell r="C1219" t="str">
            <v>Nồi</v>
          </cell>
        </row>
        <row r="1220">
          <cell r="A1220" t="str">
            <v>BSMLAU022</v>
          </cell>
          <cell r="B1220" t="str">
            <v>Lẩu Riêu Cua Đặc Biệt (MV)</v>
          </cell>
          <cell r="C1220" t="str">
            <v>Nồi</v>
          </cell>
        </row>
        <row r="1221">
          <cell r="A1221" t="str">
            <v>BSMLAU023</v>
          </cell>
          <cell r="B1221" t="str">
            <v>Lẩu Riêu Cua Bò Tươi Đặc Biệt (MV)</v>
          </cell>
          <cell r="C1221" t="str">
            <v>Nồi</v>
          </cell>
        </row>
        <row r="1222">
          <cell r="A1222" t="str">
            <v>BSMLAU024</v>
          </cell>
          <cell r="B1222" t="str">
            <v>Lẩu Cua Đồng Bò Tơ (MV)</v>
          </cell>
          <cell r="C1222" t="str">
            <v>Nồi</v>
          </cell>
        </row>
        <row r="1223">
          <cell r="A1223" t="str">
            <v>BSMLAU025</v>
          </cell>
          <cell r="B1223" t="str">
            <v>Lẩu Riêu Cua Đặc Biệt (Size S) (MV)</v>
          </cell>
          <cell r="C1223" t="str">
            <v>Nồi</v>
          </cell>
        </row>
        <row r="1224">
          <cell r="A1224" t="str">
            <v>BSMLAU026</v>
          </cell>
          <cell r="B1224" t="str">
            <v>Lẩu Cua Đồng Gà Ri (1/2 Con) (MV)</v>
          </cell>
          <cell r="C1224" t="str">
            <v>Nồi</v>
          </cell>
        </row>
        <row r="1225">
          <cell r="A1225" t="str">
            <v>BSMLAU027</v>
          </cell>
          <cell r="B1225" t="str">
            <v>Lẩu Cua Đồng Đặc Biệt 7 Món (MV)</v>
          </cell>
          <cell r="C1225" t="str">
            <v>Nồi</v>
          </cell>
        </row>
        <row r="1226">
          <cell r="A1226" t="str">
            <v>BSMLAU028</v>
          </cell>
          <cell r="B1226" t="str">
            <v>Lẩu Bò Thảo Mộc (MV)</v>
          </cell>
          <cell r="C1226" t="str">
            <v>Nồi</v>
          </cell>
        </row>
        <row r="1227">
          <cell r="A1227" t="str">
            <v>BSMNCD001</v>
          </cell>
          <cell r="B1227" t="str">
            <v>Dồi Bò Chiên Giòn (MV)</v>
          </cell>
          <cell r="C1227" t="str">
            <v>Đĩa</v>
          </cell>
        </row>
        <row r="1228">
          <cell r="A1228" t="str">
            <v>BSMNCD002</v>
          </cell>
          <cell r="B1228" t="str">
            <v>Bò Tơ Cháy Tỏi (MV)</v>
          </cell>
          <cell r="C1228" t="str">
            <v>Đĩa</v>
          </cell>
        </row>
        <row r="1229">
          <cell r="A1229" t="str">
            <v>BSMNCD003</v>
          </cell>
          <cell r="B1229" t="str">
            <v>Bê Chao Mộc Châu (MV)</v>
          </cell>
          <cell r="C1229" t="str">
            <v>Đĩa</v>
          </cell>
        </row>
        <row r="1230">
          <cell r="A1230" t="str">
            <v>BSMNCD004</v>
          </cell>
          <cell r="B1230" t="str">
            <v>Bò Nướng Tảng (MV)</v>
          </cell>
          <cell r="C1230" t="str">
            <v>Phần</v>
          </cell>
        </row>
        <row r="1231">
          <cell r="A1231" t="str">
            <v>BSMNCD005</v>
          </cell>
          <cell r="B1231" t="str">
            <v>Thăn Nội Bò Tơ Xiên Nướng Muối (MV)</v>
          </cell>
          <cell r="C1231" t="str">
            <v>Phần</v>
          </cell>
        </row>
        <row r="1232">
          <cell r="A1232" t="str">
            <v>BSMNCD006</v>
          </cell>
          <cell r="B1232" t="str">
            <v>Thăn Nội Bò Tơ Pha Lóc Nướng (MV)</v>
          </cell>
          <cell r="C1232" t="str">
            <v>Phần</v>
          </cell>
        </row>
        <row r="1233">
          <cell r="A1233" t="str">
            <v>BSMNCD007</v>
          </cell>
          <cell r="B1233" t="str">
            <v>Cá Saba Nhật Bản Nướng (MV)</v>
          </cell>
          <cell r="C1233" t="str">
            <v>Suất</v>
          </cell>
        </row>
        <row r="1234">
          <cell r="A1234" t="str">
            <v>BSMNCD008</v>
          </cell>
          <cell r="B1234" t="str">
            <v>Dẻ Sườn Nướng (MV)</v>
          </cell>
          <cell r="C1234" t="str">
            <v>Phần</v>
          </cell>
        </row>
        <row r="1235">
          <cell r="A1235" t="str">
            <v>BSMNCD009</v>
          </cell>
          <cell r="B1235" t="str">
            <v>Lườn Ngỗng Xông Khói (MV)</v>
          </cell>
          <cell r="C1235" t="str">
            <v>Phần</v>
          </cell>
        </row>
        <row r="1236">
          <cell r="A1236" t="str">
            <v>BSMNCD010</v>
          </cell>
          <cell r="B1236" t="str">
            <v>Bò nướng lá lốt (MV)</v>
          </cell>
          <cell r="C1236" t="str">
            <v>Phần</v>
          </cell>
        </row>
        <row r="1237">
          <cell r="A1237" t="str">
            <v>BSMNCD011</v>
          </cell>
          <cell r="B1237" t="str">
            <v>Bò Nướng Lụi Sả (MV)</v>
          </cell>
          <cell r="C1237" t="str">
            <v>Phần</v>
          </cell>
        </row>
        <row r="1238">
          <cell r="A1238" t="str">
            <v>BSMNCD012</v>
          </cell>
          <cell r="B1238" t="str">
            <v>Chả Ốc Tây Hồ (MV)</v>
          </cell>
          <cell r="C1238" t="str">
            <v>Phần</v>
          </cell>
        </row>
        <row r="1239">
          <cell r="A1239" t="str">
            <v>BSMNCD013</v>
          </cell>
          <cell r="B1239" t="str">
            <v>Bò Cháy Tiêu Xanh + Bánh Bao (MV)</v>
          </cell>
          <cell r="C1239" t="str">
            <v>Phần</v>
          </cell>
        </row>
        <row r="1240">
          <cell r="A1240" t="str">
            <v>BSMNCD014</v>
          </cell>
          <cell r="B1240" t="str">
            <v>Bò Lúc Lắc (MV)</v>
          </cell>
          <cell r="C1240" t="str">
            <v>Phần</v>
          </cell>
        </row>
        <row r="1241">
          <cell r="A1241" t="str">
            <v>BSMNCD015</v>
          </cell>
          <cell r="B1241" t="str">
            <v>Cuống Tim Xào (MV)</v>
          </cell>
          <cell r="C1241" t="str">
            <v>Phần</v>
          </cell>
        </row>
        <row r="1242">
          <cell r="A1242" t="str">
            <v>BSMNCD016</v>
          </cell>
          <cell r="B1242" t="str">
            <v>Bò Tơ Xốt Vang (MV)</v>
          </cell>
          <cell r="C1242" t="str">
            <v>Phần</v>
          </cell>
        </row>
        <row r="1243">
          <cell r="A1243" t="str">
            <v>BSMRAU001</v>
          </cell>
          <cell r="B1243" t="str">
            <v>Măng Trúc Yên Tử Xào Nấm (MV)</v>
          </cell>
          <cell r="C1243" t="str">
            <v>Đĩa</v>
          </cell>
        </row>
        <row r="1244">
          <cell r="A1244" t="str">
            <v>BSMRAU002</v>
          </cell>
          <cell r="B1244" t="str">
            <v>Nộm Rau Tiến Vua Bò Tươi (MV)</v>
          </cell>
          <cell r="C1244" t="str">
            <v>Đĩa</v>
          </cell>
        </row>
        <row r="1245">
          <cell r="A1245" t="str">
            <v>BSMRAU003</v>
          </cell>
          <cell r="B1245" t="str">
            <v>Nộm Rau Càng Cua Bò Tươi (MV)</v>
          </cell>
          <cell r="C1245" t="str">
            <v>Đĩa</v>
          </cell>
        </row>
        <row r="1246">
          <cell r="A1246" t="str">
            <v>BSMRAU004</v>
          </cell>
          <cell r="B1246" t="str">
            <v>Salad Rau Xanh Xốt Chanh Leo (MV)</v>
          </cell>
          <cell r="C1246" t="str">
            <v>Đĩa</v>
          </cell>
        </row>
        <row r="1247">
          <cell r="A1247" t="str">
            <v>BSMRAU005</v>
          </cell>
          <cell r="B1247" t="str">
            <v>Rau Củ Quả Luộc Chấm Kho Quẹt (MV)</v>
          </cell>
          <cell r="C1247" t="str">
            <v>Đĩa</v>
          </cell>
        </row>
        <row r="1248">
          <cell r="A1248" t="str">
            <v>BSMRAU006</v>
          </cell>
          <cell r="B1248" t="str">
            <v>Salad Rau Xanh Xốt Mè Rang (MV)</v>
          </cell>
          <cell r="C1248" t="str">
            <v>Đĩa</v>
          </cell>
        </row>
        <row r="1249">
          <cell r="A1249" t="str">
            <v>BSMRAU007</v>
          </cell>
          <cell r="B1249" t="str">
            <v>Nộm Đu Đủ Heo Quay (MV)</v>
          </cell>
          <cell r="C1249" t="str">
            <v>Đĩa</v>
          </cell>
        </row>
        <row r="1250">
          <cell r="A1250" t="str">
            <v>BSMRAU008</v>
          </cell>
          <cell r="B1250" t="str">
            <v>Nộm Bò Đu Đủ (MV)</v>
          </cell>
          <cell r="C1250" t="str">
            <v>Phần</v>
          </cell>
        </row>
        <row r="1251">
          <cell r="A1251" t="str">
            <v>BSNCD001</v>
          </cell>
          <cell r="B1251" t="str">
            <v>Dồi Bò Chiên Giòn</v>
          </cell>
          <cell r="C1251" t="str">
            <v>Phần</v>
          </cell>
        </row>
        <row r="1252">
          <cell r="A1252" t="str">
            <v>BSNCD002</v>
          </cell>
          <cell r="B1252" t="str">
            <v>Bò Tơ Cháy Tỏi</v>
          </cell>
          <cell r="C1252" t="str">
            <v>Phần</v>
          </cell>
        </row>
        <row r="1253">
          <cell r="A1253" t="str">
            <v>BSNCD003</v>
          </cell>
          <cell r="B1253" t="str">
            <v>Bê Chao Mộc Châu</v>
          </cell>
          <cell r="C1253" t="str">
            <v>Phần</v>
          </cell>
        </row>
        <row r="1254">
          <cell r="A1254" t="str">
            <v>BSNCD004</v>
          </cell>
          <cell r="B1254" t="str">
            <v>Bò Hỏa Diệm Sơn</v>
          </cell>
          <cell r="C1254" t="str">
            <v>Phần</v>
          </cell>
        </row>
        <row r="1255">
          <cell r="A1255" t="str">
            <v>BSNCD005</v>
          </cell>
          <cell r="B1255" t="str">
            <v>Dẻ sườn nướng</v>
          </cell>
          <cell r="C1255" t="str">
            <v>Phần</v>
          </cell>
        </row>
        <row r="1256">
          <cell r="A1256" t="str">
            <v>BSNCD006</v>
          </cell>
          <cell r="B1256" t="str">
            <v>Bò Nướng Tảng</v>
          </cell>
          <cell r="C1256" t="str">
            <v>Phần</v>
          </cell>
        </row>
        <row r="1257">
          <cell r="A1257" t="str">
            <v>BSNCD007</v>
          </cell>
          <cell r="B1257" t="str">
            <v>Sườn Tảng Nướng Than Hồng</v>
          </cell>
          <cell r="C1257" t="str">
            <v>Phần</v>
          </cell>
        </row>
        <row r="1258">
          <cell r="A1258" t="str">
            <v>BSNCD008</v>
          </cell>
          <cell r="B1258" t="str">
            <v>Bò nướng lá lốt</v>
          </cell>
          <cell r="C1258" t="str">
            <v>Phần</v>
          </cell>
        </row>
        <row r="1259">
          <cell r="A1259" t="str">
            <v>BSNCD009</v>
          </cell>
          <cell r="B1259" t="str">
            <v>Thăn nội bò tơ xiên nướng muối</v>
          </cell>
          <cell r="C1259" t="str">
            <v>Phần</v>
          </cell>
        </row>
        <row r="1260">
          <cell r="A1260" t="str">
            <v>BSNCD010</v>
          </cell>
          <cell r="B1260" t="str">
            <v>Thăn nội bò tơ pha lóc nướng</v>
          </cell>
          <cell r="C1260" t="str">
            <v>Phần</v>
          </cell>
        </row>
        <row r="1261">
          <cell r="A1261" t="str">
            <v>BSNCD011</v>
          </cell>
          <cell r="B1261" t="str">
            <v>Lườn Ngỗng Xông Khói</v>
          </cell>
          <cell r="C1261" t="str">
            <v>Phần</v>
          </cell>
        </row>
        <row r="1262">
          <cell r="A1262" t="str">
            <v>BSNCD012</v>
          </cell>
          <cell r="B1262" t="str">
            <v>Bò Nướng Lá Lốt</v>
          </cell>
          <cell r="C1262" t="str">
            <v>Phần</v>
          </cell>
        </row>
        <row r="1263">
          <cell r="A1263" t="str">
            <v>BSNCD013</v>
          </cell>
          <cell r="B1263" t="str">
            <v>Bò Nướng Xiên</v>
          </cell>
          <cell r="C1263" t="str">
            <v>phần</v>
          </cell>
        </row>
        <row r="1264">
          <cell r="A1264" t="str">
            <v>BSNCD014</v>
          </cell>
          <cell r="B1264" t="str">
            <v>Bò Nướng Lụi Sả</v>
          </cell>
          <cell r="C1264" t="str">
            <v>phần</v>
          </cell>
        </row>
        <row r="1265">
          <cell r="A1265" t="str">
            <v>BSNCD015</v>
          </cell>
          <cell r="B1265" t="str">
            <v>Bò Cháy Tiêu Xanh + Bánh Bao</v>
          </cell>
          <cell r="C1265" t="str">
            <v>phần</v>
          </cell>
        </row>
        <row r="1266">
          <cell r="A1266" t="str">
            <v>BSNCD016</v>
          </cell>
          <cell r="B1266" t="str">
            <v>Bò Lúc Lắc</v>
          </cell>
          <cell r="C1266" t="str">
            <v>phần</v>
          </cell>
        </row>
        <row r="1267">
          <cell r="A1267" t="str">
            <v>BSNCD017</v>
          </cell>
          <cell r="B1267" t="str">
            <v>Cuống Tim Xào</v>
          </cell>
          <cell r="C1267" t="str">
            <v>Phần</v>
          </cell>
        </row>
        <row r="1268">
          <cell r="A1268" t="str">
            <v>BSNCD018</v>
          </cell>
          <cell r="B1268" t="str">
            <v>Bò Tơ Xốt Vang</v>
          </cell>
          <cell r="C1268" t="str">
            <v>Phần</v>
          </cell>
        </row>
        <row r="1269">
          <cell r="A1269" t="str">
            <v>BSRAU001</v>
          </cell>
          <cell r="B1269" t="str">
            <v>Rau Củ quả luộc chấm kho quẹt</v>
          </cell>
          <cell r="C1269" t="str">
            <v>Phần</v>
          </cell>
        </row>
        <row r="1270">
          <cell r="A1270" t="str">
            <v>BSRAU002</v>
          </cell>
          <cell r="B1270" t="str">
            <v>Măng Trúc Yên Tử Xào Nấm</v>
          </cell>
          <cell r="C1270" t="str">
            <v>Phần</v>
          </cell>
        </row>
        <row r="1271">
          <cell r="A1271" t="str">
            <v>BSRAU003</v>
          </cell>
          <cell r="B1271" t="str">
            <v>Nộm Rau Tiến Vua Bò Tươi</v>
          </cell>
          <cell r="C1271" t="str">
            <v>Phần</v>
          </cell>
        </row>
        <row r="1272">
          <cell r="A1272" t="str">
            <v>BSRAU004</v>
          </cell>
          <cell r="B1272" t="str">
            <v>Nộm Rau Càng Cua Bò Tươi</v>
          </cell>
          <cell r="C1272" t="str">
            <v>Phần</v>
          </cell>
        </row>
        <row r="1273">
          <cell r="A1273" t="str">
            <v>BSRAU005</v>
          </cell>
          <cell r="B1273" t="str">
            <v>Salad Rau Vườn Nhiệt Đới</v>
          </cell>
          <cell r="C1273" t="str">
            <v>Phần</v>
          </cell>
        </row>
        <row r="1274">
          <cell r="A1274" t="str">
            <v>BSRAU006</v>
          </cell>
          <cell r="B1274" t="str">
            <v>Ngồng Cải Luộc Chấm Trứng</v>
          </cell>
          <cell r="C1274" t="str">
            <v>phần</v>
          </cell>
        </row>
        <row r="1275">
          <cell r="A1275" t="str">
            <v>BSRAU007</v>
          </cell>
          <cell r="B1275" t="str">
            <v>Nộm Đu Đủ Heo Quay</v>
          </cell>
          <cell r="C1275" t="str">
            <v>phần</v>
          </cell>
        </row>
        <row r="1276">
          <cell r="A1276" t="str">
            <v>BSRAU008</v>
          </cell>
          <cell r="B1276" t="str">
            <v>Salad Rau Xanh Xốt Mè Rang</v>
          </cell>
          <cell r="C1276" t="str">
            <v>phần</v>
          </cell>
        </row>
        <row r="1277">
          <cell r="A1277" t="str">
            <v>BSRAU009</v>
          </cell>
          <cell r="B1277" t="str">
            <v>Nộm Bò Đu Đủ</v>
          </cell>
          <cell r="C1277" t="str">
            <v>Phần</v>
          </cell>
        </row>
        <row r="1278">
          <cell r="A1278" t="str">
            <v>BSTAKN001</v>
          </cell>
          <cell r="B1278" t="str">
            <v>Bò Tươi Ăn Thêm</v>
          </cell>
          <cell r="C1278" t="str">
            <v>Phần</v>
          </cell>
        </row>
        <row r="1279">
          <cell r="A1279" t="str">
            <v>BSTAKN002</v>
          </cell>
          <cell r="B1279" t="str">
            <v>Thịt Bò Tơ</v>
          </cell>
          <cell r="C1279" t="str">
            <v>Phần</v>
          </cell>
        </row>
        <row r="1280">
          <cell r="A1280" t="str">
            <v>BSTAKN003</v>
          </cell>
          <cell r="B1280" t="str">
            <v>Mọc Tươi</v>
          </cell>
          <cell r="C1280" t="str">
            <v>Phần</v>
          </cell>
        </row>
        <row r="1281">
          <cell r="A1281" t="str">
            <v>BSTAKN004</v>
          </cell>
          <cell r="B1281" t="str">
            <v>Rau Lẩu Cà Chua Ăn Thêm</v>
          </cell>
          <cell r="C1281" t="str">
            <v>Phần</v>
          </cell>
        </row>
        <row r="1282">
          <cell r="A1282" t="str">
            <v>BSTAKN005</v>
          </cell>
          <cell r="B1282" t="str">
            <v>Rau Lẩu Cua Ăn Thêm</v>
          </cell>
          <cell r="C1282" t="str">
            <v>Phần</v>
          </cell>
        </row>
        <row r="1283">
          <cell r="A1283" t="str">
            <v>BSTAKN006</v>
          </cell>
          <cell r="B1283" t="str">
            <v>Set Nấm Ăn Thêm</v>
          </cell>
          <cell r="C1283" t="str">
            <v>Phần</v>
          </cell>
        </row>
        <row r="1284">
          <cell r="A1284" t="str">
            <v>BSTAKN007</v>
          </cell>
          <cell r="B1284" t="str">
            <v>Mỳ Tôm</v>
          </cell>
          <cell r="C1284" t="str">
            <v>Phần</v>
          </cell>
        </row>
        <row r="1285">
          <cell r="A1285" t="str">
            <v>BSTAKN008</v>
          </cell>
          <cell r="B1285" t="str">
            <v>Bún</v>
          </cell>
          <cell r="C1285" t="str">
            <v>Phần</v>
          </cell>
        </row>
        <row r="1286">
          <cell r="A1286" t="str">
            <v>BSTAKN009</v>
          </cell>
          <cell r="B1286" t="str">
            <v>Đậu Phụ</v>
          </cell>
          <cell r="C1286" t="str">
            <v>Phần</v>
          </cell>
        </row>
        <row r="1287">
          <cell r="A1287" t="str">
            <v>BSTAKN010</v>
          </cell>
          <cell r="B1287" t="str">
            <v>Ngô Ngọt Nhúng Lẩu</v>
          </cell>
          <cell r="C1287" t="str">
            <v>Phần</v>
          </cell>
        </row>
        <row r="1288">
          <cell r="A1288" t="str">
            <v>BSTAKN011</v>
          </cell>
          <cell r="B1288" t="str">
            <v>Kim Chi</v>
          </cell>
          <cell r="C1288" t="str">
            <v>Phần</v>
          </cell>
        </row>
        <row r="1289">
          <cell r="A1289" t="str">
            <v>BSTAKN012</v>
          </cell>
          <cell r="B1289" t="str">
            <v>Củ Quả Muối</v>
          </cell>
          <cell r="C1289" t="str">
            <v>Phần</v>
          </cell>
        </row>
        <row r="1290">
          <cell r="A1290" t="str">
            <v>BSTAKN013</v>
          </cell>
          <cell r="B1290" t="str">
            <v>Bánh Bao Chiên</v>
          </cell>
          <cell r="C1290" t="str">
            <v>Phần</v>
          </cell>
        </row>
        <row r="1291">
          <cell r="A1291" t="str">
            <v>BSTAKN014</v>
          </cell>
          <cell r="B1291" t="str">
            <v>Phồng Tôm Thêm</v>
          </cell>
          <cell r="C1291" t="str">
            <v>Phần</v>
          </cell>
        </row>
        <row r="1292">
          <cell r="A1292" t="str">
            <v>BSTAKN015</v>
          </cell>
          <cell r="B1292" t="str">
            <v>Gù Bò Thêm</v>
          </cell>
          <cell r="C1292" t="str">
            <v>Phần</v>
          </cell>
        </row>
        <row r="1293">
          <cell r="A1293" t="str">
            <v>BSTAKN016</v>
          </cell>
          <cell r="B1293" t="str">
            <v>Bánh Đa</v>
          </cell>
          <cell r="C1293" t="str">
            <v>Phần</v>
          </cell>
        </row>
        <row r="1294">
          <cell r="A1294" t="str">
            <v>BSTANO001</v>
          </cell>
          <cell r="B1294" t="str">
            <v>Xôi Chiên Phồng</v>
          </cell>
          <cell r="C1294" t="str">
            <v>Phần</v>
          </cell>
        </row>
        <row r="1295">
          <cell r="A1295" t="str">
            <v>BSTANO002</v>
          </cell>
          <cell r="B1295" t="str">
            <v>Cơm Bò Xốt Tiêu Đen</v>
          </cell>
          <cell r="C1295" t="str">
            <v>Phần</v>
          </cell>
        </row>
        <row r="1296">
          <cell r="A1296" t="str">
            <v>BSTANO003</v>
          </cell>
          <cell r="B1296" t="str">
            <v>Cơm Chiên Cá Hồi</v>
          </cell>
          <cell r="C1296" t="str">
            <v>Phần</v>
          </cell>
        </row>
        <row r="1297">
          <cell r="A1297" t="str">
            <v>BSTANO004</v>
          </cell>
          <cell r="B1297" t="str">
            <v>Cơm Chiên Hải Sản</v>
          </cell>
          <cell r="C1297" t="str">
            <v>Phần</v>
          </cell>
        </row>
        <row r="1298">
          <cell r="A1298" t="str">
            <v>BSTCBO001</v>
          </cell>
          <cell r="B1298" t="str">
            <v>Combo Siêu Tốc</v>
          </cell>
          <cell r="C1298" t="str">
            <v>Set</v>
          </cell>
        </row>
        <row r="1299">
          <cell r="A1299" t="str">
            <v>BSTCBO002</v>
          </cell>
          <cell r="B1299" t="str">
            <v>Combo Năng Lượng</v>
          </cell>
          <cell r="C1299" t="str">
            <v>Set</v>
          </cell>
        </row>
        <row r="1300">
          <cell r="A1300" t="str">
            <v>BSTCBO003</v>
          </cell>
          <cell r="B1300" t="str">
            <v>Combo Sum Họp</v>
          </cell>
          <cell r="C1300" t="str">
            <v>Set</v>
          </cell>
        </row>
        <row r="1301">
          <cell r="A1301" t="str">
            <v>BSTCBO004</v>
          </cell>
          <cell r="B1301" t="str">
            <v>Combo Thượng Hạng</v>
          </cell>
          <cell r="C1301" t="str">
            <v>Set</v>
          </cell>
        </row>
        <row r="1302">
          <cell r="A1302" t="str">
            <v>BSTCBO005</v>
          </cell>
          <cell r="B1302" t="str">
            <v>Set Quà Như Ý (1 Kg)</v>
          </cell>
          <cell r="C1302" t="str">
            <v>set</v>
          </cell>
        </row>
        <row r="1303">
          <cell r="A1303" t="str">
            <v>BSTCBO006</v>
          </cell>
          <cell r="B1303" t="str">
            <v>Set Quà Như Ý (500gr)</v>
          </cell>
          <cell r="C1303" t="str">
            <v>set</v>
          </cell>
        </row>
        <row r="1304">
          <cell r="A1304" t="str">
            <v>BSTCBO007</v>
          </cell>
          <cell r="B1304" t="str">
            <v>Set Quà Cát Tường (1 Kg)</v>
          </cell>
          <cell r="C1304" t="str">
            <v>set</v>
          </cell>
        </row>
        <row r="1305">
          <cell r="A1305" t="str">
            <v>BSTCBO008</v>
          </cell>
          <cell r="B1305" t="str">
            <v>Set Quà Cát Tường (500gr)</v>
          </cell>
          <cell r="C1305" t="str">
            <v>set</v>
          </cell>
        </row>
        <row r="1306">
          <cell r="A1306" t="str">
            <v>BSTCCX001</v>
          </cell>
          <cell r="B1306" t="str">
            <v>Mẹt Bò Cuốn Đặc Biệt</v>
          </cell>
          <cell r="C1306" t="str">
            <v>Phần</v>
          </cell>
        </row>
        <row r="1307">
          <cell r="A1307" t="str">
            <v>BSTCCX002</v>
          </cell>
          <cell r="B1307" t="str">
            <v>Bánh Tráng Cuốn Heo Quay</v>
          </cell>
          <cell r="C1307" t="str">
            <v>Phần</v>
          </cell>
        </row>
        <row r="1308">
          <cell r="A1308" t="str">
            <v>BSTCCX003</v>
          </cell>
          <cell r="B1308" t="str">
            <v>Bò Tơ Cuốn Bánh Tráng</v>
          </cell>
          <cell r="C1308" t="str">
            <v>Phần</v>
          </cell>
        </row>
        <row r="1309">
          <cell r="A1309" t="str">
            <v>BSTCCX004</v>
          </cell>
          <cell r="B1309" t="str">
            <v>Bánh Tráng Cuốn Bò Lụi Sả</v>
          </cell>
          <cell r="C1309" t="str">
            <v>Phần</v>
          </cell>
        </row>
        <row r="1310">
          <cell r="A1310" t="str">
            <v>BSTCCX005</v>
          </cell>
          <cell r="B1310" t="str">
            <v>Bánh Tráng Cuốn Bò Lá Lốt</v>
          </cell>
          <cell r="C1310" t="str">
            <v>Phần</v>
          </cell>
        </row>
        <row r="1311">
          <cell r="A1311" t="str">
            <v>BSTHAS001</v>
          </cell>
          <cell r="B1311" t="str">
            <v>Mực Nướng Xốt Teriyaki</v>
          </cell>
          <cell r="C1311" t="str">
            <v>Phần</v>
          </cell>
        </row>
        <row r="1312">
          <cell r="A1312" t="str">
            <v>BSTHAS002</v>
          </cell>
          <cell r="B1312" t="str">
            <v>Mực Chiên Bơ Tỏi</v>
          </cell>
          <cell r="C1312" t="str">
            <v>Phần</v>
          </cell>
        </row>
        <row r="1313">
          <cell r="A1313" t="str">
            <v>BSTHAS003</v>
          </cell>
          <cell r="B1313" t="str">
            <v>Cá Hồi Nướng Xốt Teriyaki</v>
          </cell>
          <cell r="C1313" t="str">
            <v>Phần</v>
          </cell>
        </row>
        <row r="1314">
          <cell r="A1314" t="str">
            <v>BSTHAS004</v>
          </cell>
          <cell r="B1314" t="str">
            <v>Cá Hồi Áp Chảo</v>
          </cell>
          <cell r="C1314" t="str">
            <v>Phần</v>
          </cell>
        </row>
        <row r="1315">
          <cell r="A1315" t="str">
            <v>BSTHGC001</v>
          </cell>
          <cell r="B1315" t="str">
            <v>Gà Chiên Mắm</v>
          </cell>
          <cell r="C1315" t="str">
            <v>Phần</v>
          </cell>
        </row>
        <row r="1316">
          <cell r="A1316" t="str">
            <v>BSTHGC002</v>
          </cell>
          <cell r="B1316" t="str">
            <v>Má Heo Nướng</v>
          </cell>
          <cell r="C1316" t="str">
            <v>Phần</v>
          </cell>
        </row>
        <row r="1317">
          <cell r="A1317" t="str">
            <v>BSTHGC003</v>
          </cell>
          <cell r="B1317" t="str">
            <v>Heo Quay Bánh Hỏi</v>
          </cell>
          <cell r="C1317" t="str">
            <v>Phần</v>
          </cell>
        </row>
        <row r="1318">
          <cell r="A1318" t="str">
            <v>BSTHGC004</v>
          </cell>
          <cell r="B1318" t="str">
            <v>Chả Ốc Tây Hồ</v>
          </cell>
          <cell r="C1318" t="str">
            <v>Phần</v>
          </cell>
        </row>
        <row r="1319">
          <cell r="A1319" t="str">
            <v>BSTHQU001</v>
          </cell>
          <cell r="B1319" t="str">
            <v>Nước Ép Cam Tươi</v>
          </cell>
          <cell r="C1319" t="str">
            <v>Ly</v>
          </cell>
        </row>
        <row r="1320">
          <cell r="A1320" t="str">
            <v>BSTHQU002</v>
          </cell>
          <cell r="B1320" t="str">
            <v>Nước Ép Dưa Hấu</v>
          </cell>
          <cell r="C1320" t="str">
            <v>Ly</v>
          </cell>
        </row>
        <row r="1321">
          <cell r="A1321" t="str">
            <v>BSTHQU003</v>
          </cell>
          <cell r="B1321" t="str">
            <v>Nước Ép Ổi</v>
          </cell>
          <cell r="C1321" t="str">
            <v>Ly</v>
          </cell>
        </row>
        <row r="1322">
          <cell r="A1322" t="str">
            <v>BSTHQU004</v>
          </cell>
          <cell r="B1322" t="str">
            <v>Nước Ép Thơm</v>
          </cell>
          <cell r="C1322" t="str">
            <v>Ly</v>
          </cell>
        </row>
        <row r="1323">
          <cell r="A1323" t="str">
            <v>BSTHQU005</v>
          </cell>
          <cell r="B1323" t="str">
            <v>Trà Đào Cam Sả</v>
          </cell>
          <cell r="C1323" t="str">
            <v>Ly</v>
          </cell>
        </row>
        <row r="1324">
          <cell r="A1324" t="str">
            <v>BSTHQU006</v>
          </cell>
          <cell r="B1324" t="str">
            <v>Trà Ô Long Cam Đào</v>
          </cell>
          <cell r="C1324" t="str">
            <v>Ly</v>
          </cell>
        </row>
        <row r="1325">
          <cell r="A1325" t="str">
            <v>BSTHQU007</v>
          </cell>
          <cell r="B1325" t="str">
            <v>Trà Ổi Hồng</v>
          </cell>
          <cell r="C1325" t="str">
            <v>Ly</v>
          </cell>
        </row>
        <row r="1326">
          <cell r="A1326" t="str">
            <v>BSTHQU008</v>
          </cell>
          <cell r="B1326" t="str">
            <v>Trà Dưỡng Nhan</v>
          </cell>
          <cell r="C1326" t="str">
            <v>Ly</v>
          </cell>
        </row>
        <row r="1327">
          <cell r="A1327" t="str">
            <v>BSTHQU009</v>
          </cell>
          <cell r="B1327" t="str">
            <v>Trà Trái Cây Nhiệt Đới (Bình)</v>
          </cell>
          <cell r="C1327" t="str">
            <v>Bình</v>
          </cell>
        </row>
        <row r="1328">
          <cell r="A1328" t="str">
            <v>BSTHQU010</v>
          </cell>
          <cell r="B1328" t="str">
            <v>Trà Trái Cây Nhiệt Đới</v>
          </cell>
          <cell r="C1328" t="str">
            <v>ly</v>
          </cell>
        </row>
        <row r="1329">
          <cell r="A1329" t="str">
            <v>BSTKVI001</v>
          </cell>
          <cell r="B1329" t="str">
            <v>Khoai Tây Chiên</v>
          </cell>
          <cell r="C1329" t="str">
            <v>Phần</v>
          </cell>
        </row>
        <row r="1330">
          <cell r="A1330" t="str">
            <v>BSTKVI002</v>
          </cell>
          <cell r="B1330" t="str">
            <v>Đậu Hũ Chiên Trứng Muối</v>
          </cell>
          <cell r="C1330" t="str">
            <v>Phần</v>
          </cell>
        </row>
        <row r="1331">
          <cell r="A1331" t="str">
            <v>BSTKVI003</v>
          </cell>
          <cell r="B1331" t="str">
            <v>Khô Bò Mắc Khén Xé Tay</v>
          </cell>
          <cell r="C1331" t="str">
            <v>Phần</v>
          </cell>
        </row>
        <row r="1332">
          <cell r="A1332" t="str">
            <v>BSTKVI004</v>
          </cell>
          <cell r="B1332" t="str">
            <v>Nem Bò Nấm</v>
          </cell>
          <cell r="C1332" t="str">
            <v>Phần</v>
          </cell>
        </row>
        <row r="1333">
          <cell r="A1333" t="str">
            <v>BSTKVI005</v>
          </cell>
          <cell r="B1333" t="str">
            <v>Bò Nấm Xúc Phồng Tôm</v>
          </cell>
          <cell r="C1333" t="str">
            <v>Phần</v>
          </cell>
        </row>
        <row r="1334">
          <cell r="A1334" t="str">
            <v>BSTLAU001</v>
          </cell>
          <cell r="B1334" t="str">
            <v>Lẩu Riêu Cua Bò Tươi Đặc Biệt (Nhỏ)</v>
          </cell>
          <cell r="C1334" t="str">
            <v>Nồi</v>
          </cell>
        </row>
        <row r="1335">
          <cell r="A1335" t="str">
            <v>BSTLAU002</v>
          </cell>
          <cell r="B1335" t="str">
            <v>Lẩu Riêu Cua Bò Tươi Đặc Biệt (Lớn)</v>
          </cell>
          <cell r="C1335" t="str">
            <v>Nồi</v>
          </cell>
        </row>
        <row r="1336">
          <cell r="A1336" t="str">
            <v>BSTLAU003</v>
          </cell>
          <cell r="B1336" t="str">
            <v>Lẩu Cà Chua Đặc Biệt (Nhỏ)</v>
          </cell>
          <cell r="C1336" t="str">
            <v>Nồi</v>
          </cell>
        </row>
        <row r="1337">
          <cell r="A1337" t="str">
            <v>BSTLAU004</v>
          </cell>
          <cell r="B1337" t="str">
            <v>Lẩu Cà Chua Đặc Biệt (Lớn)</v>
          </cell>
          <cell r="C1337" t="str">
            <v>Nồi</v>
          </cell>
        </row>
        <row r="1338">
          <cell r="A1338" t="str">
            <v>BSTMI001</v>
          </cell>
          <cell r="B1338" t="str">
            <v>Trái cây nhiệt đới</v>
          </cell>
          <cell r="C1338" t="str">
            <v>Đĩa</v>
          </cell>
        </row>
        <row r="1339">
          <cell r="A1339" t="str">
            <v>BSTMI002</v>
          </cell>
          <cell r="B1339" t="str">
            <v>Sữa Chua Hand Made</v>
          </cell>
          <cell r="C1339" t="str">
            <v>Hũ</v>
          </cell>
        </row>
        <row r="1340">
          <cell r="A1340" t="str">
            <v>BSTMI003</v>
          </cell>
          <cell r="B1340" t="str">
            <v>Panna Cotta (Tặng Khách Hàng)</v>
          </cell>
          <cell r="C1340" t="str">
            <v>Hũ</v>
          </cell>
        </row>
        <row r="1341">
          <cell r="A1341" t="str">
            <v>BSTMI004</v>
          </cell>
          <cell r="B1341" t="str">
            <v>Trái Cây Tráng Miệng Thập Cẩm</v>
          </cell>
          <cell r="C1341" t="str">
            <v>Phần</v>
          </cell>
        </row>
        <row r="1342">
          <cell r="A1342" t="str">
            <v>BSTMI005</v>
          </cell>
          <cell r="B1342" t="str">
            <v>Bưởi Da Xanh</v>
          </cell>
          <cell r="C1342" t="str">
            <v>Phần</v>
          </cell>
        </row>
        <row r="1343">
          <cell r="A1343" t="str">
            <v>BSTNCD001</v>
          </cell>
          <cell r="B1343" t="str">
            <v>Bò Hỏa Diệm Sơn</v>
          </cell>
          <cell r="C1343" t="str">
            <v>Phần</v>
          </cell>
        </row>
        <row r="1344">
          <cell r="A1344" t="str">
            <v>BSTNCD002</v>
          </cell>
          <cell r="B1344" t="str">
            <v>Bò Cháy Tiêu Xanh + Bánh Bao</v>
          </cell>
          <cell r="C1344" t="str">
            <v>Phần</v>
          </cell>
        </row>
        <row r="1345">
          <cell r="A1345" t="str">
            <v>BSTNCD003</v>
          </cell>
          <cell r="B1345" t="str">
            <v>Bê Chao Mộc Châu</v>
          </cell>
          <cell r="C1345" t="str">
            <v>Phần</v>
          </cell>
        </row>
        <row r="1346">
          <cell r="A1346" t="str">
            <v>BSTNCD004</v>
          </cell>
          <cell r="B1346" t="str">
            <v>Bò Nướng Tảng</v>
          </cell>
          <cell r="C1346" t="str">
            <v>Phần</v>
          </cell>
        </row>
        <row r="1347">
          <cell r="A1347" t="str">
            <v>BSTNCD005</v>
          </cell>
          <cell r="B1347" t="str">
            <v>Dồi Bò Chiên Giòn</v>
          </cell>
          <cell r="C1347" t="str">
            <v>Phần</v>
          </cell>
        </row>
        <row r="1348">
          <cell r="A1348" t="str">
            <v>BSTNCD006</v>
          </cell>
          <cell r="B1348" t="str">
            <v>Bò Lúc Lắc</v>
          </cell>
          <cell r="C1348" t="str">
            <v>Phần</v>
          </cell>
        </row>
        <row r="1349">
          <cell r="A1349" t="str">
            <v>BSTNCD007</v>
          </cell>
          <cell r="B1349" t="str">
            <v>Bò Tơ Xông Hơi</v>
          </cell>
          <cell r="C1349" t="str">
            <v>Phần</v>
          </cell>
        </row>
        <row r="1350">
          <cell r="A1350" t="str">
            <v>BSTNCD008</v>
          </cell>
          <cell r="B1350" t="str">
            <v>Bò Nướng Lá Lốt</v>
          </cell>
          <cell r="C1350" t="str">
            <v>Phần</v>
          </cell>
        </row>
        <row r="1351">
          <cell r="A1351" t="str">
            <v>BSTNCD009</v>
          </cell>
          <cell r="B1351" t="str">
            <v>Bò Tươi Nhúng Lá Giang</v>
          </cell>
          <cell r="C1351" t="str">
            <v>Phần</v>
          </cell>
        </row>
        <row r="1352">
          <cell r="A1352" t="str">
            <v>BSTNCD010</v>
          </cell>
          <cell r="B1352" t="str">
            <v>Đuôi Bò Tiềm Sâm Củ Sen</v>
          </cell>
          <cell r="C1352" t="str">
            <v>Phần</v>
          </cell>
        </row>
        <row r="1353">
          <cell r="A1353" t="str">
            <v>BSTRAU001</v>
          </cell>
          <cell r="B1353" t="str">
            <v>Salad Bò Nướng</v>
          </cell>
          <cell r="C1353" t="str">
            <v>Phần</v>
          </cell>
        </row>
        <row r="1354">
          <cell r="A1354" t="str">
            <v>BSTRAU002</v>
          </cell>
          <cell r="B1354" t="str">
            <v>Salad Trái Cây</v>
          </cell>
          <cell r="C1354" t="str">
            <v>Phần</v>
          </cell>
        </row>
        <row r="1355">
          <cell r="A1355" t="str">
            <v>BSTRAU003</v>
          </cell>
          <cell r="B1355" t="str">
            <v>Salad Rau Vườn Nhiệt Đới</v>
          </cell>
          <cell r="C1355" t="str">
            <v>Phần</v>
          </cell>
        </row>
        <row r="1356">
          <cell r="A1356" t="str">
            <v>BSTRAU004</v>
          </cell>
          <cell r="B1356" t="str">
            <v>Nộm Rau Tiến Vua Bò Tươi</v>
          </cell>
          <cell r="C1356" t="str">
            <v>Phần</v>
          </cell>
        </row>
        <row r="1357">
          <cell r="A1357" t="str">
            <v>BSTRAU005</v>
          </cell>
          <cell r="B1357" t="str">
            <v>Nộm Sứa</v>
          </cell>
          <cell r="C1357" t="str">
            <v>Phần</v>
          </cell>
        </row>
        <row r="1358">
          <cell r="A1358" t="str">
            <v>BSTRAU006</v>
          </cell>
          <cell r="B1358" t="str">
            <v>Nộm Đu Đủ Heo Quay</v>
          </cell>
          <cell r="C1358" t="str">
            <v>Phần</v>
          </cell>
        </row>
        <row r="1359">
          <cell r="A1359" t="str">
            <v>BSTRAU007</v>
          </cell>
          <cell r="B1359" t="str">
            <v>Nộm Bò Đu Đủ</v>
          </cell>
          <cell r="C1359" t="str">
            <v>Phần</v>
          </cell>
        </row>
        <row r="1360">
          <cell r="A1360" t="str">
            <v>BSTRAU008</v>
          </cell>
          <cell r="B1360" t="str">
            <v>Salad Bốn Mùa</v>
          </cell>
          <cell r="C1360" t="str">
            <v>Nồi</v>
          </cell>
        </row>
        <row r="1361">
          <cell r="A1361" t="str">
            <v>BSTTMI001</v>
          </cell>
          <cell r="B1361" t="str">
            <v>Chè Sương Sa</v>
          </cell>
          <cell r="C1361" t="str">
            <v>Phần</v>
          </cell>
        </row>
        <row r="1362">
          <cell r="A1362" t="str">
            <v>BSTTMI002</v>
          </cell>
          <cell r="B1362" t="str">
            <v>Trái Cây Theo Mùa</v>
          </cell>
          <cell r="C1362" t="str">
            <v>Phần</v>
          </cell>
        </row>
        <row r="1363">
          <cell r="A1363" t="str">
            <v>BSTTMI003</v>
          </cell>
          <cell r="B1363" t="str">
            <v>Chè Sầu Riêng</v>
          </cell>
          <cell r="C1363" t="str">
            <v>Phần</v>
          </cell>
        </row>
        <row r="1364">
          <cell r="A1364" t="str">
            <v>BSTTMI004</v>
          </cell>
          <cell r="B1364" t="str">
            <v>Panna Cotta</v>
          </cell>
          <cell r="C1364" t="str">
            <v>Phần</v>
          </cell>
        </row>
        <row r="1365">
          <cell r="A1365" t="str">
            <v>BYAKN013</v>
          </cell>
          <cell r="B1365" t="str">
            <v>Kim chi ăn thêm</v>
          </cell>
          <cell r="C1365" t="str">
            <v>Đĩa</v>
          </cell>
        </row>
        <row r="1366">
          <cell r="A1366" t="str">
            <v>BYAKN014</v>
          </cell>
          <cell r="B1366" t="str">
            <v>Rau lẩu cà chua</v>
          </cell>
          <cell r="C1366" t="str">
            <v>Đĩa</v>
          </cell>
        </row>
        <row r="1367">
          <cell r="A1367" t="str">
            <v>BYANO005</v>
          </cell>
          <cell r="B1367" t="str">
            <v>Xôi chiên phồng (Combo)</v>
          </cell>
          <cell r="C1367" t="str">
            <v>Suất</v>
          </cell>
        </row>
        <row r="1368">
          <cell r="A1368" t="str">
            <v>BYANO006</v>
          </cell>
          <cell r="B1368" t="str">
            <v>Cơm chiên bò nấm (Combo)</v>
          </cell>
          <cell r="C1368" t="str">
            <v>Suất</v>
          </cell>
        </row>
        <row r="1369">
          <cell r="A1369" t="str">
            <v>BYBBE010</v>
          </cell>
          <cell r="B1369" t="str">
            <v>Bò nướng lá lốt (Combo)</v>
          </cell>
          <cell r="C1369" t="str">
            <v>Suất</v>
          </cell>
        </row>
        <row r="1370">
          <cell r="A1370" t="str">
            <v>BYCBO005</v>
          </cell>
          <cell r="B1370" t="str">
            <v>Combo trưa "Năng lượng"</v>
          </cell>
          <cell r="C1370" t="str">
            <v>Set</v>
          </cell>
        </row>
        <row r="1371">
          <cell r="A1371" t="str">
            <v>BYCBO006</v>
          </cell>
          <cell r="B1371" t="str">
            <v>Combo trưa "Chữa lành"</v>
          </cell>
          <cell r="C1371" t="str">
            <v>Set</v>
          </cell>
        </row>
        <row r="1372">
          <cell r="A1372" t="str">
            <v>BYCCX002</v>
          </cell>
          <cell r="B1372" t="str">
            <v>Bò tơ cuốn bánh tráng (Combo)</v>
          </cell>
          <cell r="C1372" t="str">
            <v>Suất</v>
          </cell>
        </row>
        <row r="1373">
          <cell r="A1373" t="str">
            <v>BYHQU007</v>
          </cell>
          <cell r="B1373" t="str">
            <v>Nước ép dưa hấu</v>
          </cell>
          <cell r="C1373" t="str">
            <v>Cốc</v>
          </cell>
        </row>
        <row r="1374">
          <cell r="A1374" t="str">
            <v>BYKVI006</v>
          </cell>
          <cell r="B1374" t="str">
            <v>Nem bò nấm (Combo)</v>
          </cell>
          <cell r="C1374" t="str">
            <v>Đĩa</v>
          </cell>
        </row>
        <row r="1375">
          <cell r="A1375" t="str">
            <v>BYLAU004</v>
          </cell>
          <cell r="B1375" t="str">
            <v>Lẩu cà chua đặc biệt</v>
          </cell>
          <cell r="C1375" t="str">
            <v>Nồi</v>
          </cell>
        </row>
        <row r="1376">
          <cell r="A1376" t="str">
            <v>BYRAU007</v>
          </cell>
          <cell r="B1376" t="str">
            <v>Rau rừng luộc chấm trứng</v>
          </cell>
          <cell r="C1376" t="str">
            <v>Đĩa</v>
          </cell>
        </row>
        <row r="1377">
          <cell r="A1377" t="str">
            <v>BYRAU008</v>
          </cell>
          <cell r="B1377" t="str">
            <v>Rau rừng xào tỏi</v>
          </cell>
          <cell r="C1377" t="str">
            <v>Đĩa</v>
          </cell>
        </row>
        <row r="1378">
          <cell r="A1378" t="str">
            <v>BYRAU009</v>
          </cell>
          <cell r="B1378" t="str">
            <v>Salad rau vườn nhiệt đới (Combo)</v>
          </cell>
          <cell r="C1378" t="str">
            <v>Đĩa</v>
          </cell>
        </row>
        <row r="1379">
          <cell r="A1379" t="str">
            <v>BYRAU010</v>
          </cell>
          <cell r="B1379" t="str">
            <v>Salad sốt mè rang (Combo)</v>
          </cell>
          <cell r="C1379" t="str">
            <v>Suất</v>
          </cell>
        </row>
        <row r="1380">
          <cell r="A1380" t="str">
            <v>C1000001</v>
          </cell>
          <cell r="B1380" t="str">
            <v>Bàn mát 2 cánh inox 1m5</v>
          </cell>
          <cell r="C1380" t="str">
            <v>Cái</v>
          </cell>
        </row>
        <row r="1381">
          <cell r="A1381" t="str">
            <v>C1000002</v>
          </cell>
          <cell r="B1381" t="str">
            <v>Bàn mát 2 cánh inox 1m8</v>
          </cell>
          <cell r="C1381" t="str">
            <v>Cái</v>
          </cell>
        </row>
        <row r="1382">
          <cell r="A1382" t="str">
            <v>C1000003</v>
          </cell>
          <cell r="B1382" t="str">
            <v>Bếp chiên nhúng gas đôi</v>
          </cell>
          <cell r="C1382" t="str">
            <v>Cái</v>
          </cell>
        </row>
        <row r="1383">
          <cell r="A1383" t="str">
            <v>C1000004</v>
          </cell>
          <cell r="B1383" t="str">
            <v>Bếp điện (phụ kiện nồi lẩu hơi loại sứ)</v>
          </cell>
          <cell r="C1383" t="str">
            <v>Chiếc</v>
          </cell>
        </row>
        <row r="1384">
          <cell r="A1384" t="str">
            <v>C1000005</v>
          </cell>
          <cell r="B1384" t="str">
            <v>Bếp gas du lịch</v>
          </cell>
          <cell r="C1384" t="str">
            <v>Chiếc</v>
          </cell>
        </row>
        <row r="1385">
          <cell r="A1385" t="str">
            <v>C1000006</v>
          </cell>
          <cell r="B1385" t="str">
            <v>Bếp lẩu hơi</v>
          </cell>
          <cell r="C1385" t="str">
            <v>Chiếc</v>
          </cell>
        </row>
        <row r="1386">
          <cell r="A1386" t="str">
            <v>C1000007</v>
          </cell>
          <cell r="B1386" t="str">
            <v>Bếp nướng than hoa</v>
          </cell>
          <cell r="C1386" t="str">
            <v>Chiếc</v>
          </cell>
        </row>
        <row r="1387">
          <cell r="A1387" t="str">
            <v>C1000008</v>
          </cell>
          <cell r="B1387" t="str">
            <v>Bếp từ lẩu âm bàn tròn</v>
          </cell>
          <cell r="C1387" t="str">
            <v>Chiếc</v>
          </cell>
        </row>
        <row r="1388">
          <cell r="A1388" t="str">
            <v>C1000009</v>
          </cell>
          <cell r="B1388" t="str">
            <v>Bếp từ công nghiệp</v>
          </cell>
          <cell r="C1388" t="str">
            <v>Chiếc</v>
          </cell>
        </row>
        <row r="1389">
          <cell r="A1389" t="str">
            <v>C1000010</v>
          </cell>
          <cell r="B1389" t="str">
            <v>Bộ đàm</v>
          </cell>
          <cell r="C1389" t="str">
            <v>Bộ</v>
          </cell>
        </row>
        <row r="1390">
          <cell r="A1390" t="str">
            <v>C1000011</v>
          </cell>
          <cell r="B1390" t="str">
            <v>Chuột không dây Logitech M221</v>
          </cell>
          <cell r="C1390" t="str">
            <v>Cái</v>
          </cell>
        </row>
        <row r="1391">
          <cell r="A1391" t="str">
            <v>C1000012</v>
          </cell>
          <cell r="B1391" t="str">
            <v>Điện thoại hotline</v>
          </cell>
          <cell r="C1391" t="str">
            <v>Cái</v>
          </cell>
        </row>
        <row r="1392">
          <cell r="A1392" t="str">
            <v>C1000013</v>
          </cell>
          <cell r="B1392" t="str">
            <v>Đồng hồ treo tường</v>
          </cell>
          <cell r="C1392" t="str">
            <v>Cái</v>
          </cell>
        </row>
        <row r="1393">
          <cell r="A1393" t="str">
            <v>C1000014</v>
          </cell>
          <cell r="B1393" t="str">
            <v>Két sắt</v>
          </cell>
          <cell r="C1393" t="str">
            <v>Cái</v>
          </cell>
        </row>
        <row r="1394">
          <cell r="A1394" t="str">
            <v>C1000015</v>
          </cell>
          <cell r="B1394" t="str">
            <v>Két đựng tiền</v>
          </cell>
          <cell r="C1394" t="str">
            <v>Cái</v>
          </cell>
        </row>
        <row r="1395">
          <cell r="A1395" t="str">
            <v>C1000016</v>
          </cell>
          <cell r="B1395" t="str">
            <v>Loa Bluetooth kèm mic M3201</v>
          </cell>
          <cell r="C1395" t="str">
            <v>Cái</v>
          </cell>
        </row>
        <row r="1396">
          <cell r="A1396" t="str">
            <v>C1000017</v>
          </cell>
          <cell r="B1396" t="str">
            <v>Loa kéo</v>
          </cell>
          <cell r="C1396" t="str">
            <v>Cái</v>
          </cell>
        </row>
        <row r="1397">
          <cell r="A1397" t="str">
            <v>C1000018</v>
          </cell>
          <cell r="B1397" t="str">
            <v>Loa kéo mini ( đọc order)</v>
          </cell>
          <cell r="C1397" t="str">
            <v>Cái</v>
          </cell>
        </row>
        <row r="1398">
          <cell r="A1398" t="str">
            <v>C1000019</v>
          </cell>
          <cell r="B1398" t="str">
            <v>Lò vi sóng Sharp</v>
          </cell>
          <cell r="C1398" t="str">
            <v>Chiếc</v>
          </cell>
        </row>
        <row r="1399">
          <cell r="A1399" t="str">
            <v>C1000020</v>
          </cell>
          <cell r="B1399" t="str">
            <v>Máy cán cắt sợi mỳ FKR200 inox</v>
          </cell>
          <cell r="C1399" t="str">
            <v>Cái</v>
          </cell>
        </row>
        <row r="1400">
          <cell r="A1400" t="str">
            <v>C1000021</v>
          </cell>
          <cell r="B1400" t="str">
            <v>Máy ép trái cây</v>
          </cell>
          <cell r="C1400" t="str">
            <v>Cái</v>
          </cell>
        </row>
        <row r="1401">
          <cell r="A1401" t="str">
            <v>C1000022</v>
          </cell>
          <cell r="B1401" t="str">
            <v>Máy in Canon</v>
          </cell>
          <cell r="C1401" t="str">
            <v>Cái</v>
          </cell>
        </row>
        <row r="1402">
          <cell r="A1402" t="str">
            <v>C1000023</v>
          </cell>
          <cell r="B1402" t="str">
            <v>Máy rửa chén dĩa</v>
          </cell>
          <cell r="C1402" t="str">
            <v>Cái</v>
          </cell>
        </row>
        <row r="1403">
          <cell r="A1403" t="str">
            <v>C1000024</v>
          </cell>
          <cell r="B1403" t="str">
            <v>Máy say sinh tố</v>
          </cell>
          <cell r="C1403" t="str">
            <v>Chiếc</v>
          </cell>
        </row>
        <row r="1404">
          <cell r="A1404" t="str">
            <v>C1000025</v>
          </cell>
          <cell r="B1404" t="str">
            <v>Máy tăng áp ( rửa xe mini)</v>
          </cell>
          <cell r="C1404" t="str">
            <v>Cái</v>
          </cell>
        </row>
        <row r="1405">
          <cell r="A1405" t="str">
            <v>C1000026</v>
          </cell>
          <cell r="B1405" t="str">
            <v>Máy thái thịt ES300</v>
          </cell>
          <cell r="C1405" t="str">
            <v>Cái</v>
          </cell>
        </row>
        <row r="1406">
          <cell r="A1406" t="str">
            <v>C1000027</v>
          </cell>
          <cell r="B1406" t="str">
            <v>Máy trộn bột 10L</v>
          </cell>
          <cell r="C1406" t="str">
            <v>Cái</v>
          </cell>
        </row>
        <row r="1407">
          <cell r="A1407" t="str">
            <v>C1000028</v>
          </cell>
          <cell r="B1407" t="str">
            <v>Máy trộn bột 20L</v>
          </cell>
          <cell r="C1407" t="str">
            <v>Cái</v>
          </cell>
        </row>
        <row r="1408">
          <cell r="A1408" t="str">
            <v>C1000029</v>
          </cell>
          <cell r="B1408" t="str">
            <v>Nồi cơm điện Sharp 1.8 lít</v>
          </cell>
          <cell r="C1408" t="str">
            <v>Chiếc</v>
          </cell>
        </row>
        <row r="1409">
          <cell r="A1409" t="str">
            <v>C1000030</v>
          </cell>
          <cell r="B1409" t="str">
            <v>Nồi cơm điện Sharp 1010 10L</v>
          </cell>
          <cell r="C1409" t="str">
            <v>Chiếc</v>
          </cell>
        </row>
        <row r="1410">
          <cell r="A1410" t="str">
            <v>C1000031</v>
          </cell>
          <cell r="B1410" t="str">
            <v>Quạt Asia Xám</v>
          </cell>
          <cell r="C1410" t="str">
            <v>Chiếc</v>
          </cell>
        </row>
        <row r="1411">
          <cell r="A1411" t="str">
            <v>C1000032</v>
          </cell>
          <cell r="B1411" t="str">
            <v>Máy sấy tay có khay nước</v>
          </cell>
          <cell r="C1411" t="str">
            <v>Cái</v>
          </cell>
        </row>
        <row r="1412">
          <cell r="A1412" t="str">
            <v>C1000033</v>
          </cell>
          <cell r="B1412" t="str">
            <v>Bộ Máy tính bàn thu ngân</v>
          </cell>
          <cell r="C1412" t="str">
            <v>Bộ</v>
          </cell>
        </row>
        <row r="1413">
          <cell r="A1413" t="str">
            <v>C1000034</v>
          </cell>
          <cell r="B1413" t="str">
            <v>Máy tính bảng</v>
          </cell>
          <cell r="C1413" t="str">
            <v>Cái</v>
          </cell>
        </row>
        <row r="1414">
          <cell r="A1414" t="str">
            <v>C1000035</v>
          </cell>
          <cell r="B1414" t="str">
            <v>Tivi TCL Led 32S5400A</v>
          </cell>
          <cell r="C1414" t="str">
            <v>Cái</v>
          </cell>
        </row>
        <row r="1415">
          <cell r="A1415" t="str">
            <v>C1000036</v>
          </cell>
          <cell r="B1415" t="str">
            <v>Tủ đông 4 cánh inox</v>
          </cell>
          <cell r="C1415" t="str">
            <v>Cái</v>
          </cell>
        </row>
        <row r="1416">
          <cell r="A1416" t="str">
            <v>C1000037</v>
          </cell>
          <cell r="B1416" t="str">
            <v>Tủ Mát 1 Cánh Alaska</v>
          </cell>
          <cell r="C1416" t="str">
            <v>Cái</v>
          </cell>
        </row>
        <row r="1417">
          <cell r="A1417" t="str">
            <v>C1000038</v>
          </cell>
          <cell r="B1417" t="str">
            <v>Tủ mát 2 cánh inox</v>
          </cell>
          <cell r="C1417" t="str">
            <v>Cái</v>
          </cell>
        </row>
        <row r="1418">
          <cell r="A1418" t="str">
            <v>C1000039</v>
          </cell>
          <cell r="B1418" t="str">
            <v>Tủ mát Sanaky</v>
          </cell>
          <cell r="C1418" t="str">
            <v>Cái</v>
          </cell>
        </row>
        <row r="1419">
          <cell r="A1419" t="str">
            <v>C1000040</v>
          </cell>
          <cell r="B1419" t="str">
            <v>Tủ sắt locker 18 ngăn cánh</v>
          </cell>
          <cell r="C1419" t="str">
            <v>Cái</v>
          </cell>
        </row>
        <row r="1420">
          <cell r="A1420" t="str">
            <v>C1000041</v>
          </cell>
          <cell r="B1420" t="str">
            <v>Tủ sắt locker 24 ngăn cánh</v>
          </cell>
          <cell r="C1420" t="str">
            <v>Cái</v>
          </cell>
        </row>
        <row r="1421">
          <cell r="A1421" t="str">
            <v>C1000042</v>
          </cell>
          <cell r="B1421" t="str">
            <v>Máy vắt cam</v>
          </cell>
          <cell r="C1421" t="str">
            <v>Cái</v>
          </cell>
        </row>
        <row r="1422">
          <cell r="A1422" t="str">
            <v>C1000043</v>
          </cell>
          <cell r="B1422" t="str">
            <v>Xe đẩy thu dọn inox XB1500</v>
          </cell>
          <cell r="C1422" t="str">
            <v>Cái</v>
          </cell>
        </row>
        <row r="1423">
          <cell r="A1423" t="str">
            <v>C1000044</v>
          </cell>
          <cell r="B1423" t="str">
            <v>Xe đẩy đa năng 3 tầng (Kèm khay bán nguyệt)</v>
          </cell>
          <cell r="C1423" t="str">
            <v>Cái</v>
          </cell>
        </row>
        <row r="1424">
          <cell r="A1424" t="str">
            <v>C1000045</v>
          </cell>
          <cell r="B1424" t="str">
            <v>Xe đẩy hàng</v>
          </cell>
          <cell r="C1424" t="str">
            <v>Cái</v>
          </cell>
        </row>
        <row r="1425">
          <cell r="A1425" t="str">
            <v>C1000046</v>
          </cell>
          <cell r="B1425" t="str">
            <v>Xe vắt móp đơn 36L</v>
          </cell>
          <cell r="C1425" t="str">
            <v>Cái</v>
          </cell>
        </row>
        <row r="1426">
          <cell r="A1426" t="str">
            <v>C1000047</v>
          </cell>
          <cell r="B1426" t="str">
            <v>Máy in nhiệt</v>
          </cell>
          <cell r="C1426" t="str">
            <v>Cái</v>
          </cell>
        </row>
        <row r="1427">
          <cell r="A1427" t="str">
            <v>C1000048</v>
          </cell>
          <cell r="B1427" t="str">
            <v>Ấm siêu tốc</v>
          </cell>
          <cell r="C1427" t="str">
            <v>Cái</v>
          </cell>
        </row>
        <row r="1428">
          <cell r="A1428" t="str">
            <v>C1000049</v>
          </cell>
          <cell r="B1428" t="str">
            <v>Máy in nhãn Brother TD-2020</v>
          </cell>
          <cell r="C1428" t="str">
            <v>Cái</v>
          </cell>
        </row>
        <row r="1429">
          <cell r="A1429" t="str">
            <v>C1000050</v>
          </cell>
          <cell r="B1429" t="str">
            <v>Tủ sắt locker 4 ngăn cánh</v>
          </cell>
          <cell r="C1429" t="str">
            <v>Cái</v>
          </cell>
        </row>
        <row r="1430">
          <cell r="A1430" t="str">
            <v>C1000051</v>
          </cell>
          <cell r="B1430" t="str">
            <v>Tủ sắt locker 12 ngăn cánh</v>
          </cell>
          <cell r="C1430" t="str">
            <v>Cái</v>
          </cell>
        </row>
        <row r="1431">
          <cell r="A1431" t="str">
            <v>C1000052</v>
          </cell>
          <cell r="B1431" t="str">
            <v>Máy khúc xạ đo độ ngọt</v>
          </cell>
          <cell r="C1431" t="str">
            <v>Cái</v>
          </cell>
        </row>
        <row r="1432">
          <cell r="A1432" t="str">
            <v>C1000053</v>
          </cell>
          <cell r="B1432" t="str">
            <v>Máy hàn miệng túi</v>
          </cell>
          <cell r="C1432" t="str">
            <v>Cái</v>
          </cell>
        </row>
        <row r="1433">
          <cell r="A1433" t="str">
            <v>C1000054</v>
          </cell>
          <cell r="B1433" t="str">
            <v>Máy trộn thịt inox</v>
          </cell>
          <cell r="C1433" t="str">
            <v>Cái</v>
          </cell>
        </row>
        <row r="1434">
          <cell r="A1434" t="str">
            <v>C1000055</v>
          </cell>
          <cell r="B1434" t="str">
            <v>Máy đóng gói chân không DZ (Q) 600 (vỏ inox)</v>
          </cell>
          <cell r="C1434" t="str">
            <v>Cái</v>
          </cell>
        </row>
        <row r="1435">
          <cell r="A1435" t="str">
            <v>C1000056</v>
          </cell>
          <cell r="B1435" t="str">
            <v>Máy cưa xương</v>
          </cell>
          <cell r="C1435" t="str">
            <v>Cái</v>
          </cell>
        </row>
        <row r="1436">
          <cell r="A1436" t="str">
            <v>C1000057</v>
          </cell>
          <cell r="B1436" t="str">
            <v>Máy trộn dimsum</v>
          </cell>
          <cell r="C1436" t="str">
            <v>Cái</v>
          </cell>
        </row>
        <row r="1437">
          <cell r="A1437" t="str">
            <v>C1000058</v>
          </cell>
          <cell r="B1437" t="str">
            <v>Xe đẩy đa năng 3 tầng màu xanh ống tròn 103</v>
          </cell>
          <cell r="C1437" t="str">
            <v>Cái</v>
          </cell>
        </row>
        <row r="1438">
          <cell r="A1438" t="str">
            <v>C1000059</v>
          </cell>
          <cell r="B1438" t="str">
            <v>Xe đẩy thu dọn 3 tầng AF08162A (kèm 2 xô 2 bên)</v>
          </cell>
          <cell r="C1438" t="str">
            <v>Cái</v>
          </cell>
        </row>
        <row r="1439">
          <cell r="A1439" t="str">
            <v>C1000060</v>
          </cell>
          <cell r="B1439" t="str">
            <v>Xe đẩy thu dọn 3 tầng AF08162A (không kèm 2 xô 2 bên)</v>
          </cell>
          <cell r="C1439" t="str">
            <v>Cái</v>
          </cell>
        </row>
        <row r="1440">
          <cell r="A1440" t="str">
            <v>C1000061</v>
          </cell>
          <cell r="B1440" t="str">
            <v>Bộ bếp lẩu hơi</v>
          </cell>
          <cell r="C1440" t="str">
            <v>bộ</v>
          </cell>
        </row>
        <row r="1441">
          <cell r="A1441" t="str">
            <v>C1000062</v>
          </cell>
          <cell r="B1441" t="str">
            <v>Máy tạo vỏ há cảo</v>
          </cell>
          <cell r="C1441" t="str">
            <v>Cái</v>
          </cell>
        </row>
        <row r="1442">
          <cell r="A1442" t="str">
            <v>C1000063</v>
          </cell>
          <cell r="B1442" t="str">
            <v>Quạt treo 2 dây Senko</v>
          </cell>
          <cell r="C1442" t="str">
            <v>Cái</v>
          </cell>
        </row>
        <row r="1443">
          <cell r="A1443" t="str">
            <v>C1000064</v>
          </cell>
          <cell r="B1443" t="str">
            <v>Quạt sàn CN chân rút IS22M1</v>
          </cell>
          <cell r="C1443" t="str">
            <v>Cái</v>
          </cell>
        </row>
        <row r="1444">
          <cell r="A1444" t="str">
            <v>C1000065</v>
          </cell>
          <cell r="B1444" t="str">
            <v>Quạt sàn IT18M2 Hatari</v>
          </cell>
          <cell r="C1444" t="str">
            <v>Cái</v>
          </cell>
        </row>
        <row r="1445">
          <cell r="A1445" t="str">
            <v>C1000066</v>
          </cell>
          <cell r="B1445" t="str">
            <v>Lu quay phi 90 dùng than có kính</v>
          </cell>
          <cell r="C1445" t="str">
            <v>Cái</v>
          </cell>
        </row>
        <row r="1446">
          <cell r="A1446" t="str">
            <v>C1000067</v>
          </cell>
          <cell r="B1446" t="str">
            <v>Quạt hơi nước NF-80</v>
          </cell>
          <cell r="C1446" t="str">
            <v>Cái</v>
          </cell>
        </row>
        <row r="1447">
          <cell r="A1447" t="str">
            <v>C1000068</v>
          </cell>
          <cell r="B1447" t="str">
            <v>Lò nướng Salamanda điện nhỏ E</v>
          </cell>
          <cell r="C1447" t="str">
            <v>Cái</v>
          </cell>
        </row>
        <row r="1448">
          <cell r="A1448" t="str">
            <v>C1000069</v>
          </cell>
          <cell r="B1448" t="str">
            <v>Quạt sàn asia VY616990-55W</v>
          </cell>
          <cell r="C1448" t="str">
            <v>Cái</v>
          </cell>
        </row>
        <row r="1449">
          <cell r="A1449" t="str">
            <v>C1000070</v>
          </cell>
          <cell r="B1449" t="str">
            <v>Máy xay đa năng</v>
          </cell>
          <cell r="C1449" t="str">
            <v>Cái</v>
          </cell>
        </row>
        <row r="1450">
          <cell r="A1450" t="str">
            <v>C1000071</v>
          </cell>
          <cell r="B1450" t="str">
            <v>Máy cán 30cm 2200W</v>
          </cell>
          <cell r="C1450" t="str">
            <v>Cái</v>
          </cell>
        </row>
        <row r="1451">
          <cell r="A1451" t="str">
            <v>C1000072</v>
          </cell>
          <cell r="B1451" t="str">
            <v>Tủ hấp VN 6 khay điện inox 304</v>
          </cell>
          <cell r="C1451" t="str">
            <v>Cái</v>
          </cell>
        </row>
        <row r="1452">
          <cell r="A1452" t="str">
            <v>C1000073</v>
          </cell>
          <cell r="B1452" t="str">
            <v>Tủ điều khiển nhiệt độ thời gian tủ hấp</v>
          </cell>
          <cell r="C1452" t="str">
            <v>Cái</v>
          </cell>
        </row>
        <row r="1453">
          <cell r="A1453" t="str">
            <v>C1000074</v>
          </cell>
          <cell r="B1453" t="str">
            <v>Vòi phun tráng T&amp;S 5PR-2S00-H</v>
          </cell>
          <cell r="C1453" t="str">
            <v>Cái</v>
          </cell>
        </row>
        <row r="1454">
          <cell r="A1454" t="str">
            <v>C1000075</v>
          </cell>
          <cell r="B1454" t="str">
            <v>Quạt treo 7 cánh TC1622 Senko</v>
          </cell>
          <cell r="C1454" t="str">
            <v>Cái</v>
          </cell>
        </row>
        <row r="1455">
          <cell r="A1455" t="str">
            <v>C1000076</v>
          </cell>
          <cell r="B1455" t="str">
            <v>Xe đẩy đa năng 3 tầng màu đen ống tròn 99</v>
          </cell>
          <cell r="C1455" t="str">
            <v>Cái</v>
          </cell>
        </row>
        <row r="1456">
          <cell r="A1456" t="str">
            <v>C1000077</v>
          </cell>
          <cell r="B1456" t="str">
            <v>Xe vắt móp đơn 24L màu vàng</v>
          </cell>
          <cell r="C1456" t="str">
            <v>Cái</v>
          </cell>
        </row>
        <row r="1457">
          <cell r="A1457" t="str">
            <v>C1000078</v>
          </cell>
          <cell r="B1457" t="str">
            <v>Bếp từ để bàn</v>
          </cell>
          <cell r="C1457" t="str">
            <v>Cái</v>
          </cell>
        </row>
        <row r="1458">
          <cell r="A1458" t="str">
            <v>C1000079</v>
          </cell>
          <cell r="B1458" t="str">
            <v>Nồi cơm điện G2000-5.8</v>
          </cell>
          <cell r="C1458" t="str">
            <v>Cái</v>
          </cell>
        </row>
        <row r="1459">
          <cell r="A1459" t="str">
            <v>C1000080</v>
          </cell>
          <cell r="B1459" t="str">
            <v>Tủ sắt locker 30 ngăn cánh</v>
          </cell>
          <cell r="C1459" t="str">
            <v>Cái</v>
          </cell>
        </row>
        <row r="1460">
          <cell r="A1460" t="str">
            <v>C1000081</v>
          </cell>
          <cell r="B1460" t="str">
            <v>Xe nâng tay AC25</v>
          </cell>
          <cell r="C1460" t="str">
            <v>chiếc</v>
          </cell>
        </row>
        <row r="1461">
          <cell r="A1461" t="str">
            <v>C1000082</v>
          </cell>
          <cell r="B1461" t="str">
            <v>Máy xay giò 30kg 7.5 HP (380V)</v>
          </cell>
          <cell r="C1461" t="str">
            <v>chiếc</v>
          </cell>
        </row>
        <row r="1462">
          <cell r="A1462" t="str">
            <v>C1000083</v>
          </cell>
          <cell r="B1462" t="str">
            <v>Bếp gas inox to</v>
          </cell>
          <cell r="C1462" t="str">
            <v>Cái</v>
          </cell>
        </row>
        <row r="1463">
          <cell r="A1463" t="str">
            <v>C1000084</v>
          </cell>
          <cell r="B1463" t="str">
            <v>Bếp gas khè đơn bán công nghiệp</v>
          </cell>
          <cell r="C1463" t="str">
            <v>Cái</v>
          </cell>
        </row>
        <row r="1464">
          <cell r="A1464" t="str">
            <v>C1000085</v>
          </cell>
          <cell r="B1464" t="str">
            <v>Xe lẩu điện di động</v>
          </cell>
          <cell r="C1464" t="str">
            <v>Cái</v>
          </cell>
        </row>
        <row r="1465">
          <cell r="A1465" t="str">
            <v>C1000086</v>
          </cell>
          <cell r="B1465" t="str">
            <v>Máy cán khô mực</v>
          </cell>
          <cell r="C1465" t="str">
            <v>Cái</v>
          </cell>
        </row>
        <row r="1466">
          <cell r="A1466" t="str">
            <v>C1000087</v>
          </cell>
          <cell r="B1466" t="str">
            <v>Máy sản xuất bánh bao F99-BB24</v>
          </cell>
          <cell r="C1466" t="str">
            <v>Cái</v>
          </cell>
        </row>
        <row r="1467">
          <cell r="A1467" t="str">
            <v>C1000088</v>
          </cell>
          <cell r="B1467" t="str">
            <v>Tủ hấp 12 khay bản đẩy xe</v>
          </cell>
          <cell r="C1467" t="str">
            <v>Cái</v>
          </cell>
        </row>
        <row r="1468">
          <cell r="A1468" t="str">
            <v>C1000089</v>
          </cell>
          <cell r="B1468" t="str">
            <v>Cối trộn bột 12kg</v>
          </cell>
          <cell r="C1468" t="str">
            <v>Cái</v>
          </cell>
        </row>
        <row r="1469">
          <cell r="A1469" t="str">
            <v>C1000090</v>
          </cell>
          <cell r="B1469" t="str">
            <v>Tủ giữ nóng thức ăn 601</v>
          </cell>
          <cell r="C1469" t="str">
            <v>Cái</v>
          </cell>
        </row>
        <row r="1470">
          <cell r="A1470" t="str">
            <v>C1000091</v>
          </cell>
          <cell r="B1470" t="str">
            <v>Bếp nướng than nhân tạo Berjaya CRB2B-17</v>
          </cell>
          <cell r="C1470" t="str">
            <v>Cái</v>
          </cell>
        </row>
        <row r="1471">
          <cell r="A1471" t="str">
            <v>C1000092</v>
          </cell>
          <cell r="B1471" t="str">
            <v>Bếp chiên nhúng điện đôi 9x2 SDF12D</v>
          </cell>
          <cell r="C1471" t="str">
            <v>Cái</v>
          </cell>
        </row>
        <row r="1472">
          <cell r="A1472" t="str">
            <v>C1000093</v>
          </cell>
          <cell r="B1472" t="str">
            <v>Sim số đẹp</v>
          </cell>
          <cell r="C1472" t="str">
            <v>Cái</v>
          </cell>
        </row>
        <row r="1473">
          <cell r="A1473" t="str">
            <v>C1000094</v>
          </cell>
          <cell r="B1473" t="str">
            <v>Xe đẩy KT 460x610x1210mm</v>
          </cell>
          <cell r="C1473" t="str">
            <v>chiếc</v>
          </cell>
        </row>
        <row r="1474">
          <cell r="A1474" t="str">
            <v>C1000095</v>
          </cell>
          <cell r="B1474" t="str">
            <v>Xe đẩy KT 665x820x1700mm</v>
          </cell>
          <cell r="C1474" t="str">
            <v>chiếc</v>
          </cell>
        </row>
        <row r="1475">
          <cell r="A1475" t="str">
            <v>C1000096</v>
          </cell>
          <cell r="B1475" t="str">
            <v>Tấm inox KT 490x200x50mm</v>
          </cell>
          <cell r="C1475" t="str">
            <v>chiếc</v>
          </cell>
        </row>
        <row r="1476">
          <cell r="A1476" t="str">
            <v>C1110024</v>
          </cell>
          <cell r="B1476" t="str">
            <v>Máy xay sinh tố công nghiệp 3A30L</v>
          </cell>
          <cell r="C1476" t="str">
            <v>Cái</v>
          </cell>
        </row>
        <row r="1477">
          <cell r="A1477" t="str">
            <v>C2000001</v>
          </cell>
          <cell r="B1477" t="str">
            <v>Bình đá 20L</v>
          </cell>
          <cell r="C1477" t="str">
            <v>Chiếc</v>
          </cell>
        </row>
        <row r="1478">
          <cell r="A1478" t="str">
            <v>C2000002</v>
          </cell>
          <cell r="B1478" t="str">
            <v>Bình khí Sapporo</v>
          </cell>
          <cell r="C1478" t="str">
            <v>Bình</v>
          </cell>
        </row>
        <row r="1479">
          <cell r="A1479" t="str">
            <v>C2000003</v>
          </cell>
          <cell r="B1479" t="str">
            <v>Bình lắc inox 550 ml</v>
          </cell>
          <cell r="C1479" t="str">
            <v>Cái</v>
          </cell>
        </row>
        <row r="1480">
          <cell r="A1480" t="str">
            <v>C2000004</v>
          </cell>
          <cell r="B1480" t="str">
            <v>Bình lắc inox 750 ml</v>
          </cell>
          <cell r="C1480" t="str">
            <v>Cái</v>
          </cell>
        </row>
        <row r="1481">
          <cell r="A1481" t="str">
            <v>C2000005</v>
          </cell>
          <cell r="B1481" t="str">
            <v>Bình trà màu đen</v>
          </cell>
          <cell r="C1481" t="str">
            <v>Bình</v>
          </cell>
        </row>
        <row r="1482">
          <cell r="A1482" t="str">
            <v>C2000006</v>
          </cell>
          <cell r="B1482" t="str">
            <v>Bình ủ trà 10L</v>
          </cell>
          <cell r="C1482" t="str">
            <v>Bình</v>
          </cell>
        </row>
        <row r="1483">
          <cell r="A1483" t="str">
            <v>C2000007</v>
          </cell>
          <cell r="B1483" t="str">
            <v>Bộ chổi lau nhà 360</v>
          </cell>
          <cell r="C1483" t="str">
            <v>Bộ</v>
          </cell>
        </row>
        <row r="1484">
          <cell r="A1484" t="str">
            <v>C2000008</v>
          </cell>
          <cell r="B1484" t="str">
            <v>Bộ kê muôi sứ</v>
          </cell>
          <cell r="C1484" t="str">
            <v>Bộ</v>
          </cell>
        </row>
        <row r="1485">
          <cell r="A1485" t="str">
            <v>C2000009</v>
          </cell>
          <cell r="B1485" t="str">
            <v>Bộ muôi lẩu cán khấc (đặc+lỗ)</v>
          </cell>
          <cell r="C1485" t="str">
            <v>Bộ</v>
          </cell>
        </row>
        <row r="1486">
          <cell r="A1486" t="str">
            <v>C2000010</v>
          </cell>
          <cell r="B1486" t="str">
            <v>Bộ muôi lẩu xoắn</v>
          </cell>
          <cell r="C1486" t="str">
            <v>Bộ</v>
          </cell>
        </row>
        <row r="1487">
          <cell r="A1487" t="str">
            <v>C2000011</v>
          </cell>
          <cell r="B1487" t="str">
            <v>Búa đập thịt</v>
          </cell>
          <cell r="C1487" t="str">
            <v>Cái</v>
          </cell>
        </row>
        <row r="1488">
          <cell r="A1488" t="str">
            <v>C2000012</v>
          </cell>
          <cell r="B1488" t="str">
            <v>Ca đong 5L</v>
          </cell>
          <cell r="C1488" t="str">
            <v>Chiếc</v>
          </cell>
        </row>
        <row r="1489">
          <cell r="A1489" t="str">
            <v>C2000013</v>
          </cell>
          <cell r="B1489" t="str">
            <v>Ca đong 500ml</v>
          </cell>
          <cell r="C1489" t="str">
            <v>Chiếc</v>
          </cell>
        </row>
        <row r="1490">
          <cell r="A1490" t="str">
            <v>C2000014</v>
          </cell>
          <cell r="B1490" t="str">
            <v>Ca đong 2L</v>
          </cell>
          <cell r="C1490" t="str">
            <v>Cái</v>
          </cell>
        </row>
        <row r="1491">
          <cell r="A1491" t="str">
            <v>C2000015</v>
          </cell>
          <cell r="B1491" t="str">
            <v>Ca đong 250ml</v>
          </cell>
          <cell r="C1491" t="str">
            <v>Chiếc</v>
          </cell>
        </row>
        <row r="1492">
          <cell r="A1492" t="str">
            <v>C2000016</v>
          </cell>
          <cell r="B1492" t="str">
            <v>Ca đong 100ml</v>
          </cell>
          <cell r="C1492" t="str">
            <v>Chiếc</v>
          </cell>
        </row>
        <row r="1493">
          <cell r="A1493" t="str">
            <v>C2000017</v>
          </cell>
          <cell r="B1493" t="str">
            <v>Ca inox 1L</v>
          </cell>
          <cell r="C1493" t="str">
            <v>Chiếc</v>
          </cell>
        </row>
        <row r="1494">
          <cell r="A1494" t="str">
            <v>C2000018</v>
          </cell>
          <cell r="B1494" t="str">
            <v>Cây gỗ cán bột</v>
          </cell>
          <cell r="C1494" t="str">
            <v>Cái</v>
          </cell>
        </row>
        <row r="1495">
          <cell r="A1495" t="str">
            <v>C2000019</v>
          </cell>
          <cell r="B1495" t="str">
            <v>Cân chỉ</v>
          </cell>
          <cell r="C1495" t="str">
            <v>Chiếc</v>
          </cell>
        </row>
        <row r="1496">
          <cell r="A1496" t="str">
            <v>C2000020</v>
          </cell>
          <cell r="B1496" t="str">
            <v>Cân điện tử 2kg</v>
          </cell>
          <cell r="C1496" t="str">
            <v>Chiếc</v>
          </cell>
        </row>
        <row r="1497">
          <cell r="A1497" t="str">
            <v>C2000021</v>
          </cell>
          <cell r="B1497" t="str">
            <v>Cân điện tử 30kg</v>
          </cell>
          <cell r="C1497" t="str">
            <v>Chiếc</v>
          </cell>
        </row>
        <row r="1498">
          <cell r="A1498" t="str">
            <v>C2000022</v>
          </cell>
          <cell r="B1498" t="str">
            <v>Cân điện tử 5kg</v>
          </cell>
          <cell r="C1498" t="str">
            <v>Chiếc</v>
          </cell>
        </row>
        <row r="1499">
          <cell r="A1499" t="str">
            <v>C2000023</v>
          </cell>
          <cell r="B1499" t="str">
            <v>Bảng cảnh báo chống trơn trợt</v>
          </cell>
          <cell r="C1499" t="str">
            <v>Cái</v>
          </cell>
        </row>
        <row r="1500">
          <cell r="A1500" t="str">
            <v>C2000024</v>
          </cell>
          <cell r="B1500" t="str">
            <v>Cân lượng</v>
          </cell>
          <cell r="C1500" t="str">
            <v>Chiếc</v>
          </cell>
        </row>
        <row r="1501">
          <cell r="A1501" t="str">
            <v>C2000025</v>
          </cell>
          <cell r="B1501" t="str">
            <v>Cân Nhơn Hòa 2kg</v>
          </cell>
          <cell r="C1501" t="str">
            <v>Chiếc</v>
          </cell>
        </row>
        <row r="1502">
          <cell r="A1502" t="str">
            <v>C2000026</v>
          </cell>
          <cell r="B1502" t="str">
            <v>Cân Nhơn Hòa 5kg</v>
          </cell>
          <cell r="C1502" t="str">
            <v>Chiếc</v>
          </cell>
        </row>
        <row r="1503">
          <cell r="A1503" t="str">
            <v>C2000027</v>
          </cell>
          <cell r="B1503" t="str">
            <v>Cân Nhơn Hòa 60kg</v>
          </cell>
          <cell r="C1503" t="str">
            <v>Chiếc</v>
          </cell>
        </row>
        <row r="1504">
          <cell r="A1504" t="str">
            <v>C2000028</v>
          </cell>
          <cell r="B1504" t="str">
            <v>Cân tiểu ly</v>
          </cell>
          <cell r="C1504" t="str">
            <v>Chiếc</v>
          </cell>
        </row>
        <row r="1505">
          <cell r="A1505" t="str">
            <v>C2000029</v>
          </cell>
          <cell r="B1505" t="str">
            <v>Miếng nhựa cắt bột</v>
          </cell>
          <cell r="C1505" t="str">
            <v>Cái</v>
          </cell>
        </row>
        <row r="1506">
          <cell r="A1506" t="str">
            <v>C2000030</v>
          </cell>
          <cell r="B1506" t="str">
            <v>Cây Lăn Bánh</v>
          </cell>
          <cell r="C1506" t="str">
            <v>Chiếc</v>
          </cell>
        </row>
        <row r="1507">
          <cell r="A1507" t="str">
            <v>C2000032</v>
          </cell>
          <cell r="B1507" t="str">
            <v>Chân để xô đá</v>
          </cell>
          <cell r="C1507" t="str">
            <v>Chiếc</v>
          </cell>
        </row>
        <row r="1508">
          <cell r="A1508" t="str">
            <v>C2000033</v>
          </cell>
          <cell r="B1508" t="str">
            <v>Chảo đá phi 28</v>
          </cell>
          <cell r="C1508" t="str">
            <v>Chiếc</v>
          </cell>
        </row>
        <row r="1509">
          <cell r="A1509" t="str">
            <v>C2000034</v>
          </cell>
          <cell r="B1509" t="str">
            <v>Chao Lỳ (phi 30)</v>
          </cell>
          <cell r="C1509" t="str">
            <v>Chiếc</v>
          </cell>
        </row>
        <row r="1510">
          <cell r="A1510" t="str">
            <v>C2000035</v>
          </cell>
          <cell r="B1510" t="str">
            <v>Chảo nhôm P20</v>
          </cell>
          <cell r="C1510" t="str">
            <v>Cái</v>
          </cell>
        </row>
        <row r="1511">
          <cell r="A1511" t="str">
            <v>C2000036</v>
          </cell>
          <cell r="B1511" t="str">
            <v>Chảo nhôm P45</v>
          </cell>
          <cell r="C1511" t="str">
            <v>Cái</v>
          </cell>
        </row>
        <row r="1512">
          <cell r="A1512" t="str">
            <v>C2000037</v>
          </cell>
          <cell r="B1512" t="str">
            <v>Chảo nhôm P50</v>
          </cell>
          <cell r="C1512" t="str">
            <v>Cái</v>
          </cell>
        </row>
        <row r="1513">
          <cell r="A1513" t="str">
            <v>C2000038</v>
          </cell>
          <cell r="B1513" t="str">
            <v>Chảo nhôm P80</v>
          </cell>
          <cell r="C1513" t="str">
            <v>Cái</v>
          </cell>
        </row>
        <row r="1514">
          <cell r="A1514" t="str">
            <v>C2000039</v>
          </cell>
          <cell r="B1514" t="str">
            <v>Chảo thép P50</v>
          </cell>
          <cell r="C1514" t="str">
            <v>Cái</v>
          </cell>
        </row>
        <row r="1515">
          <cell r="A1515" t="str">
            <v>C2000040</v>
          </cell>
          <cell r="B1515" t="str">
            <v>Chao xương P30</v>
          </cell>
          <cell r="C1515" t="str">
            <v>Chiếc</v>
          </cell>
        </row>
        <row r="1516">
          <cell r="A1516" t="str">
            <v>C2000041</v>
          </cell>
          <cell r="B1516" t="str">
            <v>Chao xương cán gỗ</v>
          </cell>
          <cell r="C1516" t="str">
            <v>Chiếc</v>
          </cell>
        </row>
        <row r="1517">
          <cell r="A1517" t="str">
            <v>C2000042</v>
          </cell>
          <cell r="B1517" t="str">
            <v>Chậu inox P40</v>
          </cell>
          <cell r="C1517" t="str">
            <v>Cái</v>
          </cell>
        </row>
        <row r="1518">
          <cell r="A1518" t="str">
            <v>C2000043</v>
          </cell>
          <cell r="B1518" t="str">
            <v>Chậu inox P60</v>
          </cell>
          <cell r="C1518" t="str">
            <v>Cái</v>
          </cell>
        </row>
        <row r="1519">
          <cell r="A1519" t="str">
            <v>C2000044</v>
          </cell>
          <cell r="B1519" t="str">
            <v>Chày dầm trái cây pha chế</v>
          </cell>
          <cell r="C1519" t="str">
            <v>Cái</v>
          </cell>
        </row>
        <row r="1520">
          <cell r="A1520" t="str">
            <v>C2000045</v>
          </cell>
          <cell r="B1520" t="str">
            <v>Chén 4.3 (BV111-4.3) Melamine</v>
          </cell>
          <cell r="C1520" t="str">
            <v>Cái</v>
          </cell>
        </row>
        <row r="1521">
          <cell r="A1521" t="str">
            <v>C2000046</v>
          </cell>
          <cell r="B1521" t="str">
            <v>Chén chấm DV147-3</v>
          </cell>
          <cell r="C1521" t="str">
            <v>Chiếc</v>
          </cell>
        </row>
        <row r="1522">
          <cell r="A1522" t="str">
            <v>C2000047</v>
          </cell>
          <cell r="B1522" t="str">
            <v>Chén chấm trắng vuông CC38</v>
          </cell>
          <cell r="C1522" t="str">
            <v>Chiếc</v>
          </cell>
        </row>
        <row r="1523">
          <cell r="A1523" t="str">
            <v>C2000048</v>
          </cell>
          <cell r="B1523" t="str">
            <v>Chén chấm vuông CV32- Horeca</v>
          </cell>
          <cell r="C1523" t="str">
            <v>Chiếc</v>
          </cell>
        </row>
        <row r="1524">
          <cell r="A1524" t="str">
            <v>C2000049</v>
          </cell>
          <cell r="B1524" t="str">
            <v>Chén Cơm CO02 Xanh</v>
          </cell>
          <cell r="C1524" t="str">
            <v>Cái</v>
          </cell>
        </row>
        <row r="1525">
          <cell r="A1525" t="str">
            <v>C2000050</v>
          </cell>
          <cell r="B1525" t="str">
            <v>Chén cơm 4.8 (BV072-4.8)(Plain+C)</v>
          </cell>
          <cell r="C1525" t="str">
            <v>Chiếc</v>
          </cell>
        </row>
        <row r="1526">
          <cell r="A1526" t="str">
            <v>C2000051</v>
          </cell>
          <cell r="B1526" t="str">
            <v>Chén cơm có vân 5 (BV041-5)(Plain+C)</v>
          </cell>
          <cell r="C1526" t="str">
            <v>Chiếc</v>
          </cell>
        </row>
        <row r="1527">
          <cell r="A1527" t="str">
            <v>C2000052</v>
          </cell>
          <cell r="B1527" t="str">
            <v>Chén sốt inox trắng</v>
          </cell>
          <cell r="C1527" t="str">
            <v>Cái</v>
          </cell>
        </row>
        <row r="1528">
          <cell r="A1528" t="str">
            <v>C2000053</v>
          </cell>
          <cell r="B1528" t="str">
            <v>Chén rượu nhỏ</v>
          </cell>
          <cell r="C1528" t="str">
            <v>Bộ</v>
          </cell>
        </row>
        <row r="1529">
          <cell r="A1529" t="str">
            <v>C2000054</v>
          </cell>
          <cell r="B1529" t="str">
            <v>Chén uống rượu</v>
          </cell>
          <cell r="C1529" t="str">
            <v>Chiếc</v>
          </cell>
        </row>
        <row r="1530">
          <cell r="A1530" t="str">
            <v>C2000055</v>
          </cell>
          <cell r="B1530" t="str">
            <v>Chè Inox xoắn đặc LL1188</v>
          </cell>
          <cell r="C1530" t="str">
            <v>Cái</v>
          </cell>
        </row>
        <row r="1531">
          <cell r="A1531" t="str">
            <v>C2000056</v>
          </cell>
          <cell r="B1531" t="str">
            <v>Chè Inox xoắn lỗ LL1188</v>
          </cell>
          <cell r="C1531" t="str">
            <v>Cái</v>
          </cell>
        </row>
        <row r="1532">
          <cell r="A1532" t="str">
            <v>C2000057</v>
          </cell>
          <cell r="B1532" t="str">
            <v>Chổi chít quét nhà</v>
          </cell>
          <cell r="C1532" t="str">
            <v>Cái</v>
          </cell>
        </row>
        <row r="1533">
          <cell r="A1533" t="str">
            <v>C2000058</v>
          </cell>
          <cell r="B1533" t="str">
            <v>Chổi cọ bồn cầu</v>
          </cell>
          <cell r="C1533" t="str">
            <v>Chiếc</v>
          </cell>
        </row>
        <row r="1534">
          <cell r="A1534" t="str">
            <v>C2000059</v>
          </cell>
          <cell r="B1534" t="str">
            <v>Chổi cọ chảo</v>
          </cell>
          <cell r="C1534" t="str">
            <v>Chiếc</v>
          </cell>
        </row>
        <row r="1535">
          <cell r="A1535" t="str">
            <v>C2000060</v>
          </cell>
          <cell r="B1535" t="str">
            <v>Chổi lau nhà 360</v>
          </cell>
          <cell r="C1535" t="str">
            <v>Chiếc</v>
          </cell>
        </row>
        <row r="1536">
          <cell r="A1536" t="str">
            <v>C2000061</v>
          </cell>
          <cell r="B1536" t="str">
            <v>Chổi nhựa cước</v>
          </cell>
          <cell r="C1536" t="str">
            <v>Cái</v>
          </cell>
        </row>
        <row r="1537">
          <cell r="A1537" t="str">
            <v>C2000062</v>
          </cell>
          <cell r="B1537" t="str">
            <v>Chổi Silicon</v>
          </cell>
          <cell r="C1537" t="str">
            <v>Cái</v>
          </cell>
        </row>
        <row r="1538">
          <cell r="A1538" t="str">
            <v>C2000063</v>
          </cell>
          <cell r="B1538" t="str">
            <v>Chổi sương cá</v>
          </cell>
          <cell r="C1538" t="str">
            <v>Chiếc</v>
          </cell>
        </row>
        <row r="1539">
          <cell r="A1539" t="str">
            <v>C2000064</v>
          </cell>
          <cell r="B1539" t="str">
            <v>Chuông inox</v>
          </cell>
          <cell r="C1539" t="str">
            <v>Cái</v>
          </cell>
        </row>
        <row r="1540">
          <cell r="A1540" t="str">
            <v>C2000068</v>
          </cell>
          <cell r="B1540" t="str">
            <v>Cốc trà đá</v>
          </cell>
          <cell r="C1540" t="str">
            <v>Cái</v>
          </cell>
        </row>
        <row r="1541">
          <cell r="A1541" t="str">
            <v>C2000069</v>
          </cell>
          <cell r="B1541" t="str">
            <v>Công 10L ( Thùng nhựa )</v>
          </cell>
          <cell r="C1541" t="str">
            <v>Cái</v>
          </cell>
        </row>
        <row r="1542">
          <cell r="A1542" t="str">
            <v>C2000070</v>
          </cell>
          <cell r="B1542" t="str">
            <v>Công 120L</v>
          </cell>
          <cell r="C1542" t="str">
            <v>Chiếc</v>
          </cell>
        </row>
        <row r="1543">
          <cell r="A1543" t="str">
            <v>C2000071</v>
          </cell>
          <cell r="B1543" t="str">
            <v>Công 15L ( Thùng nhựa )</v>
          </cell>
          <cell r="C1543" t="str">
            <v>Cái</v>
          </cell>
        </row>
        <row r="1544">
          <cell r="A1544" t="str">
            <v>C2000072</v>
          </cell>
          <cell r="B1544" t="str">
            <v>Công 20L ( Thùng nhựa )</v>
          </cell>
          <cell r="C1544" t="str">
            <v>Cái</v>
          </cell>
        </row>
        <row r="1545">
          <cell r="A1545" t="str">
            <v>C2000073</v>
          </cell>
          <cell r="B1545" t="str">
            <v>Công 2 tấc rỗng</v>
          </cell>
          <cell r="C1545" t="str">
            <v>Chiếc</v>
          </cell>
        </row>
        <row r="1546">
          <cell r="A1546" t="str">
            <v>C2000074</v>
          </cell>
          <cell r="B1546" t="str">
            <v>Công 30L ( Thùng nhựa )</v>
          </cell>
          <cell r="C1546" t="str">
            <v>Cái</v>
          </cell>
        </row>
        <row r="1547">
          <cell r="A1547" t="str">
            <v>C2000075</v>
          </cell>
          <cell r="B1547" t="str">
            <v>Công 4 tấc</v>
          </cell>
          <cell r="C1547" t="str">
            <v>Chiếc</v>
          </cell>
        </row>
        <row r="1548">
          <cell r="A1548" t="str">
            <v>C2000076</v>
          </cell>
          <cell r="B1548" t="str">
            <v>Công 55L</v>
          </cell>
          <cell r="C1548" t="str">
            <v>Chiếc</v>
          </cell>
        </row>
        <row r="1549">
          <cell r="A1549" t="str">
            <v>C2000077</v>
          </cell>
          <cell r="B1549" t="str">
            <v>Công 5L ( Thùng nhựa )</v>
          </cell>
          <cell r="C1549" t="str">
            <v>Cái</v>
          </cell>
        </row>
        <row r="1550">
          <cell r="A1550" t="str">
            <v>C2000078</v>
          </cell>
          <cell r="B1550" t="str">
            <v>Công 90L</v>
          </cell>
          <cell r="C1550" t="str">
            <v>Chiếc</v>
          </cell>
        </row>
        <row r="1551">
          <cell r="A1551" t="str">
            <v>C2000079</v>
          </cell>
          <cell r="B1551" t="str">
            <v>Công đựng cốc (Rack 25 + Nối 25)</v>
          </cell>
          <cell r="C1551" t="str">
            <v>Bộ</v>
          </cell>
        </row>
        <row r="1552">
          <cell r="A1552" t="str">
            <v>C2000080</v>
          </cell>
          <cell r="B1552" t="str">
            <v>Coong vàng (đựng sốt bò hoả diệm sơn)</v>
          </cell>
          <cell r="C1552" t="str">
            <v>Chiếc</v>
          </cell>
        </row>
        <row r="1553">
          <cell r="A1553" t="str">
            <v>C2000081</v>
          </cell>
          <cell r="B1553" t="str">
            <v>Đá mài</v>
          </cell>
          <cell r="C1553" t="str">
            <v>Chiếc</v>
          </cell>
        </row>
        <row r="1554">
          <cell r="A1554" t="str">
            <v>C2000082</v>
          </cell>
          <cell r="B1554" t="str">
            <v>Đá mài dao to</v>
          </cell>
          <cell r="C1554" t="str">
            <v>Chiếc</v>
          </cell>
        </row>
        <row r="1555">
          <cell r="A1555" t="str">
            <v>C2000083</v>
          </cell>
          <cell r="B1555" t="str">
            <v>Đánh vảy cá</v>
          </cell>
          <cell r="C1555" t="str">
            <v>Cái</v>
          </cell>
        </row>
        <row r="1556">
          <cell r="A1556" t="str">
            <v>C2000084</v>
          </cell>
          <cell r="B1556" t="str">
            <v>Dao 21 loại 1</v>
          </cell>
          <cell r="C1556" t="str">
            <v>Chiếc</v>
          </cell>
        </row>
        <row r="1557">
          <cell r="A1557" t="str">
            <v>C2000085</v>
          </cell>
          <cell r="B1557" t="str">
            <v>Dao thái 477</v>
          </cell>
          <cell r="C1557" t="str">
            <v>Cái</v>
          </cell>
        </row>
        <row r="1558">
          <cell r="A1558" t="str">
            <v>C2000086</v>
          </cell>
          <cell r="B1558" t="str">
            <v>Dao thái 479</v>
          </cell>
          <cell r="C1558" t="str">
            <v>Cái</v>
          </cell>
        </row>
        <row r="1559">
          <cell r="A1559" t="str">
            <v>C2000087</v>
          </cell>
          <cell r="B1559" t="str">
            <v>Dao thái 812</v>
          </cell>
          <cell r="C1559" t="str">
            <v>Cái</v>
          </cell>
        </row>
        <row r="1560">
          <cell r="A1560" t="str">
            <v>C2000088</v>
          </cell>
          <cell r="B1560" t="str">
            <v>Dao bài</v>
          </cell>
          <cell r="C1560" t="str">
            <v>Chiếc</v>
          </cell>
        </row>
        <row r="1561">
          <cell r="A1561" t="str">
            <v>C2000089</v>
          </cell>
          <cell r="B1561" t="str">
            <v>Dao bào</v>
          </cell>
          <cell r="C1561" t="str">
            <v>Cái</v>
          </cell>
        </row>
        <row r="1562">
          <cell r="A1562" t="str">
            <v>C2000090</v>
          </cell>
          <cell r="B1562" t="str">
            <v>Dao cắt thịt</v>
          </cell>
          <cell r="C1562" t="str">
            <v>Cái</v>
          </cell>
        </row>
        <row r="1563">
          <cell r="A1563" t="str">
            <v>C2000091</v>
          </cell>
          <cell r="B1563" t="str">
            <v>Dao chặt Phúc Sen bản 10</v>
          </cell>
          <cell r="C1563" t="str">
            <v>Chiếc</v>
          </cell>
        </row>
        <row r="1564">
          <cell r="A1564" t="str">
            <v>C2000092</v>
          </cell>
          <cell r="B1564" t="str">
            <v>Dao chẻ hành</v>
          </cell>
          <cell r="C1564" t="str">
            <v>Cái</v>
          </cell>
        </row>
        <row r="1565">
          <cell r="A1565" t="str">
            <v>C2000093</v>
          </cell>
          <cell r="B1565" t="str">
            <v>Dao tách hàu</v>
          </cell>
          <cell r="C1565" t="str">
            <v>Chiếc</v>
          </cell>
        </row>
        <row r="1566">
          <cell r="A1566" t="str">
            <v>C2000094</v>
          </cell>
          <cell r="B1566" t="str">
            <v>Dao inox KN8 cán 6 màu</v>
          </cell>
          <cell r="C1566" t="str">
            <v>Cái</v>
          </cell>
        </row>
        <row r="1567">
          <cell r="A1567" t="str">
            <v>C2000095</v>
          </cell>
          <cell r="B1567" t="str">
            <v>Dao sấn</v>
          </cell>
          <cell r="C1567" t="str">
            <v>Chiếc</v>
          </cell>
        </row>
        <row r="1568">
          <cell r="A1568" t="str">
            <v>C2000096</v>
          </cell>
          <cell r="B1568" t="str">
            <v>Dao tán da</v>
          </cell>
          <cell r="C1568" t="str">
            <v>Cái</v>
          </cell>
        </row>
        <row r="1569">
          <cell r="A1569" t="str">
            <v>C2000097</v>
          </cell>
          <cell r="B1569" t="str">
            <v>Dao thái</v>
          </cell>
          <cell r="C1569" t="str">
            <v>Chiếc</v>
          </cell>
        </row>
        <row r="1570">
          <cell r="A1570" t="str">
            <v>C2000098</v>
          </cell>
          <cell r="B1570" t="str">
            <v>Dao thái Phúc Sen bản 10</v>
          </cell>
          <cell r="C1570" t="str">
            <v>Chiếc</v>
          </cell>
        </row>
        <row r="1571">
          <cell r="A1571" t="str">
            <v>C2000099</v>
          </cell>
          <cell r="B1571" t="str">
            <v>Dao tỉa</v>
          </cell>
          <cell r="C1571" t="str">
            <v>Chiếc</v>
          </cell>
        </row>
        <row r="1572">
          <cell r="A1572" t="str">
            <v>C2000100</v>
          </cell>
          <cell r="B1572" t="str">
            <v>Đầu phun (phụ kiện nồi lẩu hơi loại sứ)</v>
          </cell>
          <cell r="C1572" t="str">
            <v>Chiếc</v>
          </cell>
        </row>
        <row r="1573">
          <cell r="A1573" t="str">
            <v>C2000101</v>
          </cell>
          <cell r="B1573" t="str">
            <v>Đá xông hơi</v>
          </cell>
          <cell r="C1573" t="str">
            <v>kg</v>
          </cell>
        </row>
        <row r="1574">
          <cell r="A1574" t="str">
            <v>C2000102</v>
          </cell>
          <cell r="B1574" t="str">
            <v>Đèn đốt tinh dầu</v>
          </cell>
          <cell r="C1574" t="str">
            <v>Cái</v>
          </cell>
        </row>
        <row r="1575">
          <cell r="A1575" t="str">
            <v>C2000103</v>
          </cell>
          <cell r="B1575" t="str">
            <v>Đĩa chữ nhật 12 F7025 - GC, màu trắng</v>
          </cell>
          <cell r="C1575" t="str">
            <v>Cái</v>
          </cell>
        </row>
        <row r="1576">
          <cell r="A1576" t="str">
            <v>C2000104</v>
          </cell>
          <cell r="B1576" t="str">
            <v>Dĩa chữ nhật 10 (PV047-10) Melamine</v>
          </cell>
          <cell r="C1576" t="str">
            <v>Cái</v>
          </cell>
        </row>
        <row r="1577">
          <cell r="A1577" t="str">
            <v>C2000105</v>
          </cell>
          <cell r="B1577" t="str">
            <v>Dĩa dày hình chữ nhật 12.75 Melamine</v>
          </cell>
          <cell r="C1577" t="str">
            <v>Cái</v>
          </cell>
        </row>
        <row r="1578">
          <cell r="A1578" t="str">
            <v>C2000106</v>
          </cell>
          <cell r="B1578" t="str">
            <v>Dĩa chữ nhật Thái</v>
          </cell>
          <cell r="C1578" t="str">
            <v>Cái</v>
          </cell>
        </row>
        <row r="1579">
          <cell r="A1579" t="str">
            <v>C2000107</v>
          </cell>
          <cell r="B1579" t="str">
            <v>Dĩa sâu lòng 23cm</v>
          </cell>
          <cell r="C1579" t="str">
            <v>Cái</v>
          </cell>
        </row>
        <row r="1580">
          <cell r="A1580" t="str">
            <v>C2000108</v>
          </cell>
          <cell r="B1580" t="str">
            <v>Dĩa sâu lòng 25cm</v>
          </cell>
          <cell r="C1580" t="str">
            <v>Cái</v>
          </cell>
        </row>
        <row r="1581">
          <cell r="A1581" t="str">
            <v>C2000109</v>
          </cell>
          <cell r="B1581" t="str">
            <v>Dĩa DCN 79 - HRC</v>
          </cell>
          <cell r="C1581" t="str">
            <v>Cái</v>
          </cell>
        </row>
        <row r="1582">
          <cell r="A1582" t="str">
            <v>C2000110</v>
          </cell>
          <cell r="B1582" t="str">
            <v>Đĩa đen BV088-10</v>
          </cell>
          <cell r="C1582" t="str">
            <v>Cái</v>
          </cell>
        </row>
        <row r="1583">
          <cell r="A1583" t="str">
            <v>C2000111</v>
          </cell>
          <cell r="B1583" t="str">
            <v>Đĩa đen chữ nhật 012</v>
          </cell>
          <cell r="C1583" t="str">
            <v>Cái</v>
          </cell>
        </row>
        <row r="1584">
          <cell r="A1584" t="str">
            <v>C2000112</v>
          </cell>
          <cell r="B1584" t="str">
            <v>Đĩa DOV 88 HRC trắng</v>
          </cell>
          <cell r="C1584" t="str">
            <v>Cái</v>
          </cell>
        </row>
        <row r="1585">
          <cell r="A1585" t="str">
            <v>C2000113</v>
          </cell>
          <cell r="B1585" t="str">
            <v>Đĩa tròn phi 180 ( gỗ )</v>
          </cell>
          <cell r="C1585" t="str">
            <v>Cái</v>
          </cell>
        </row>
        <row r="1586">
          <cell r="A1586" t="str">
            <v>C2000114</v>
          </cell>
          <cell r="B1586" t="str">
            <v>Đĩa tròn phi 200 ( gỗ )</v>
          </cell>
          <cell r="C1586" t="str">
            <v>Cái</v>
          </cell>
        </row>
        <row r="1587">
          <cell r="A1587" t="str">
            <v>C2000115</v>
          </cell>
          <cell r="B1587" t="str">
            <v>Đĩa lá 10 trắng</v>
          </cell>
          <cell r="C1587" t="str">
            <v>Cái</v>
          </cell>
        </row>
        <row r="1588">
          <cell r="A1588" t="str">
            <v>C2000116</v>
          </cell>
          <cell r="B1588" t="str">
            <v>Đĩa P18</v>
          </cell>
          <cell r="C1588" t="str">
            <v>Chiếc</v>
          </cell>
        </row>
        <row r="1589">
          <cell r="A1589" t="str">
            <v>C2000117</v>
          </cell>
          <cell r="B1589" t="str">
            <v>Đĩa P20</v>
          </cell>
          <cell r="C1589" t="str">
            <v>Chiếc</v>
          </cell>
        </row>
        <row r="1590">
          <cell r="A1590" t="str">
            <v>C2000118</v>
          </cell>
          <cell r="B1590" t="str">
            <v>Đĩa P24</v>
          </cell>
          <cell r="C1590" t="str">
            <v>Chiếc</v>
          </cell>
        </row>
        <row r="1591">
          <cell r="A1591" t="str">
            <v>C2000119</v>
          </cell>
          <cell r="B1591" t="str">
            <v>Đĩa P31 (Đĩa P30)</v>
          </cell>
          <cell r="C1591" t="str">
            <v>Chiếc</v>
          </cell>
        </row>
        <row r="1592">
          <cell r="A1592" t="str">
            <v>C2000120</v>
          </cell>
          <cell r="B1592" t="str">
            <v>Đĩa sâu 6 (PV137-6)(Plain+C)</v>
          </cell>
          <cell r="C1592" t="str">
            <v>Chiếc</v>
          </cell>
        </row>
        <row r="1593">
          <cell r="A1593" t="str">
            <v>C2000121</v>
          </cell>
          <cell r="B1593" t="str">
            <v>Đĩa sứ chữ nhật 26x10 - Trắng</v>
          </cell>
          <cell r="C1593" t="str">
            <v>Cái</v>
          </cell>
        </row>
        <row r="1594">
          <cell r="A1594" t="str">
            <v>C2000122</v>
          </cell>
          <cell r="B1594" t="str">
            <v>Đĩa sứ chữ nhật 40*25 - Trắng</v>
          </cell>
          <cell r="C1594" t="str">
            <v>Cái</v>
          </cell>
        </row>
        <row r="1595">
          <cell r="A1595" t="str">
            <v>C2000123</v>
          </cell>
          <cell r="B1595" t="str">
            <v>Dĩa tròn dày vành nhỏ 12.2 Melamine</v>
          </cell>
          <cell r="C1595" t="str">
            <v>Cái</v>
          </cell>
        </row>
        <row r="1596">
          <cell r="A1596" t="str">
            <v>C2000124</v>
          </cell>
          <cell r="B1596" t="str">
            <v>Dĩa tròn cạn Âu 6.5 (PV164-6.5)</v>
          </cell>
          <cell r="C1596" t="str">
            <v>Cái</v>
          </cell>
        </row>
        <row r="1597">
          <cell r="A1597" t="str">
            <v>C2000125</v>
          </cell>
          <cell r="B1597" t="str">
            <v>Đĩa tròn trắng PV253-7.5</v>
          </cell>
          <cell r="C1597" t="str">
            <v>Cái</v>
          </cell>
        </row>
        <row r="1598">
          <cell r="A1598" t="str">
            <v>C2000126</v>
          </cell>
          <cell r="B1598" t="str">
            <v>Dĩa tròn có vân 8 (PV056-8) Melamine</v>
          </cell>
          <cell r="C1598" t="str">
            <v>Cái</v>
          </cell>
        </row>
        <row r="1599">
          <cell r="A1599" t="str">
            <v>C2000127</v>
          </cell>
          <cell r="B1599" t="str">
            <v>Đĩa thuyền sứ lớn trắng 26*16*4</v>
          </cell>
          <cell r="C1599" t="str">
            <v>Cái</v>
          </cell>
        </row>
        <row r="1600">
          <cell r="A1600" t="str">
            <v>C2000128</v>
          </cell>
          <cell r="B1600" t="str">
            <v>Đĩa thuyền sứ nhỏ trắng 13*9</v>
          </cell>
          <cell r="C1600" t="str">
            <v>Cái</v>
          </cell>
        </row>
        <row r="1601">
          <cell r="A1601" t="str">
            <v>C2000129</v>
          </cell>
          <cell r="B1601" t="str">
            <v>Đĩa tương 2 ngăn 3.5 (DV188-3.5)(Plain+C)</v>
          </cell>
          <cell r="C1601" t="str">
            <v>Chiếc</v>
          </cell>
        </row>
        <row r="1602">
          <cell r="A1602" t="str">
            <v>C2000130</v>
          </cell>
          <cell r="B1602" t="str">
            <v>Đĩa tương nhám 3 ngăn 7.5 (DV036-7.5)(Plain+C)</v>
          </cell>
          <cell r="C1602" t="str">
            <v>Chiếc</v>
          </cell>
        </row>
        <row r="1603">
          <cell r="A1603" t="str">
            <v>C2000131</v>
          </cell>
          <cell r="B1603" t="str">
            <v>Đĩa vuông 8.5 (EX850-8.5)(Plain+C)</v>
          </cell>
          <cell r="C1603" t="str">
            <v>Chiếc</v>
          </cell>
        </row>
        <row r="1604">
          <cell r="A1604" t="str">
            <v>C2000132</v>
          </cell>
          <cell r="B1604" t="str">
            <v>Đĩa vuông có vân 7 (PV050-7)(Plain+C)</v>
          </cell>
          <cell r="C1604" t="str">
            <v>Chiếc</v>
          </cell>
        </row>
        <row r="1605">
          <cell r="A1605" t="str">
            <v>C2000133</v>
          </cell>
          <cell r="B1605" t="str">
            <v>Vỉ đũa hoa đào</v>
          </cell>
          <cell r="C1605" t="str">
            <v>Vỉ</v>
          </cell>
        </row>
        <row r="1606">
          <cell r="A1606" t="str">
            <v>C2000134</v>
          </cell>
          <cell r="B1606" t="str">
            <v>Đũa xanh nhân viên (NV)</v>
          </cell>
          <cell r="C1606" t="str">
            <v>Vỉ</v>
          </cell>
        </row>
        <row r="1607">
          <cell r="A1607" t="str">
            <v>C2000135</v>
          </cell>
          <cell r="B1607" t="str">
            <v>Ép vắt chanh inox</v>
          </cell>
          <cell r="C1607" t="str">
            <v>Cái</v>
          </cell>
        </row>
        <row r="1608">
          <cell r="A1608" t="str">
            <v>C2000136</v>
          </cell>
          <cell r="B1608" t="str">
            <v>Gáo múc nước lẩu cán xanh</v>
          </cell>
          <cell r="C1608" t="str">
            <v>Chiếc</v>
          </cell>
        </row>
        <row r="1609">
          <cell r="A1609" t="str">
            <v>C2000137</v>
          </cell>
          <cell r="B1609" t="str">
            <v>Gáo múc rượu</v>
          </cell>
          <cell r="C1609" t="str">
            <v>Chiếc</v>
          </cell>
        </row>
        <row r="1610">
          <cell r="A1610" t="str">
            <v>C2000138</v>
          </cell>
          <cell r="B1610" t="str">
            <v>Gắp đá bé</v>
          </cell>
          <cell r="C1610" t="str">
            <v>Chiếc</v>
          </cell>
        </row>
        <row r="1611">
          <cell r="A1611" t="str">
            <v>C2000139</v>
          </cell>
          <cell r="B1611" t="str">
            <v>Gạt kính</v>
          </cell>
          <cell r="C1611" t="str">
            <v>Cái</v>
          </cell>
        </row>
        <row r="1612">
          <cell r="A1612" t="str">
            <v>C2000140</v>
          </cell>
          <cell r="B1612" t="str">
            <v>Gạt nước 55cm</v>
          </cell>
          <cell r="C1612" t="str">
            <v>Cái</v>
          </cell>
        </row>
        <row r="1613">
          <cell r="A1613" t="str">
            <v>C2000141</v>
          </cell>
          <cell r="B1613" t="str">
            <v>Gạt sàn</v>
          </cell>
          <cell r="C1613" t="str">
            <v>Cái</v>
          </cell>
        </row>
        <row r="1614">
          <cell r="A1614" t="str">
            <v>C2000142</v>
          </cell>
          <cell r="B1614" t="str">
            <v>Ghế đôn nhựa đỏ</v>
          </cell>
          <cell r="C1614" t="str">
            <v>Cái</v>
          </cell>
        </row>
        <row r="1615">
          <cell r="A1615" t="str">
            <v>C2000143</v>
          </cell>
          <cell r="B1615" t="str">
            <v>Ghế nhựa CN bé</v>
          </cell>
          <cell r="C1615" t="str">
            <v>Cái</v>
          </cell>
        </row>
        <row r="1616">
          <cell r="A1616" t="str">
            <v>C2000144</v>
          </cell>
          <cell r="B1616" t="str">
            <v>Ghế trẻ em</v>
          </cell>
          <cell r="C1616" t="str">
            <v>Cái</v>
          </cell>
        </row>
        <row r="1617">
          <cell r="A1617" t="str">
            <v>C2000145</v>
          </cell>
          <cell r="B1617" t="str">
            <v>Giá để dao</v>
          </cell>
          <cell r="C1617" t="str">
            <v>Chiếc</v>
          </cell>
        </row>
        <row r="1618">
          <cell r="A1618" t="str">
            <v>C2000146</v>
          </cell>
          <cell r="B1618" t="str">
            <v>Giá lẩu inox 5 tầng</v>
          </cell>
          <cell r="C1618" t="str">
            <v>Chiếc</v>
          </cell>
        </row>
        <row r="1619">
          <cell r="A1619" t="str">
            <v>C2000147</v>
          </cell>
          <cell r="B1619" t="str">
            <v>Gioăng cao su (phụ kiện nồi lẩu hơi loại sứ)</v>
          </cell>
          <cell r="C1619" t="str">
            <v>Chiếc</v>
          </cell>
        </row>
        <row r="1620">
          <cell r="A1620" t="str">
            <v>C2000148</v>
          </cell>
          <cell r="B1620" t="str">
            <v>Hộp nhựa 1 Kg ( bỏ )</v>
          </cell>
          <cell r="C1620" t="str">
            <v>kg</v>
          </cell>
        </row>
        <row r="1621">
          <cell r="A1621" t="str">
            <v>C2000149</v>
          </cell>
          <cell r="B1621" t="str">
            <v>Hộp nhựa 10 Kg ( bỏ )</v>
          </cell>
          <cell r="C1621" t="str">
            <v>kg</v>
          </cell>
        </row>
        <row r="1622">
          <cell r="A1622" t="str">
            <v>C2000150</v>
          </cell>
          <cell r="B1622" t="str">
            <v>Hộp nhựa 2 Kg ( bỏ )</v>
          </cell>
          <cell r="C1622" t="str">
            <v>kg</v>
          </cell>
        </row>
        <row r="1623">
          <cell r="A1623" t="str">
            <v>C2000151</v>
          </cell>
          <cell r="B1623" t="str">
            <v>Hộp nhựa 5 Kg ( bỏ )</v>
          </cell>
          <cell r="C1623" t="str">
            <v>kg</v>
          </cell>
        </row>
        <row r="1624">
          <cell r="A1624" t="str">
            <v>C2000152</v>
          </cell>
          <cell r="B1624" t="str">
            <v>Hộp đa năng 03 đục</v>
          </cell>
          <cell r="C1624" t="str">
            <v>cuộn</v>
          </cell>
        </row>
        <row r="1625">
          <cell r="A1625" t="str">
            <v>C2000153</v>
          </cell>
          <cell r="B1625" t="str">
            <v>Hộp đũa ngăn kéo TO Mới</v>
          </cell>
          <cell r="C1625" t="str">
            <v>Chiếc</v>
          </cell>
        </row>
        <row r="1626">
          <cell r="A1626" t="str">
            <v>C2000154</v>
          </cell>
          <cell r="B1626" t="str">
            <v>Hộp đựng đũa</v>
          </cell>
          <cell r="C1626" t="str">
            <v>Chiếc</v>
          </cell>
        </row>
        <row r="1627">
          <cell r="A1627" t="str">
            <v>C2000155</v>
          </cell>
          <cell r="B1627" t="str">
            <v>Hộp đựng giấy ăn</v>
          </cell>
          <cell r="C1627" t="str">
            <v>Chiếc</v>
          </cell>
        </row>
        <row r="1628">
          <cell r="A1628" t="str">
            <v>C2000156</v>
          </cell>
          <cell r="B1628" t="str">
            <v>Hộp lạnh 10L (486)</v>
          </cell>
          <cell r="C1628" t="str">
            <v>Chiếc</v>
          </cell>
        </row>
        <row r="1629">
          <cell r="A1629" t="str">
            <v>C2000157</v>
          </cell>
          <cell r="B1629" t="str">
            <v>Hộp lạnh 15L (347)</v>
          </cell>
          <cell r="C1629" t="str">
            <v>Chiếc</v>
          </cell>
        </row>
        <row r="1630">
          <cell r="A1630" t="str">
            <v>C2000158</v>
          </cell>
          <cell r="B1630" t="str">
            <v>Hộp lạnh 20L</v>
          </cell>
          <cell r="C1630" t="str">
            <v>Chiếc</v>
          </cell>
        </row>
        <row r="1631">
          <cell r="A1631" t="str">
            <v>C2000159</v>
          </cell>
          <cell r="B1631" t="str">
            <v>Hộp lạnh 5L (2222-1)</v>
          </cell>
          <cell r="C1631" t="str">
            <v>Chiếc</v>
          </cell>
        </row>
        <row r="1632">
          <cell r="A1632" t="str">
            <v>C2000160</v>
          </cell>
          <cell r="B1632" t="str">
            <v>Hộp đựng giấy vệ sinh</v>
          </cell>
          <cell r="C1632" t="str">
            <v>Cái</v>
          </cell>
        </row>
        <row r="1633">
          <cell r="A1633" t="str">
            <v>C2000161</v>
          </cell>
          <cell r="B1633" t="str">
            <v>Hộp lưu mẫu TP</v>
          </cell>
          <cell r="C1633" t="str">
            <v>Chiếc</v>
          </cell>
        </row>
        <row r="1634">
          <cell r="A1634" t="str">
            <v>C2000162</v>
          </cell>
          <cell r="B1634" t="str">
            <v>Hộp nhựa 222-1</v>
          </cell>
          <cell r="C1634" t="str">
            <v>Chiếc</v>
          </cell>
        </row>
        <row r="1635">
          <cell r="A1635" t="str">
            <v>C2000163</v>
          </cell>
          <cell r="B1635" t="str">
            <v>Bình đựng nước rửa tay</v>
          </cell>
          <cell r="C1635" t="str">
            <v>Cái</v>
          </cell>
        </row>
        <row r="1636">
          <cell r="A1636" t="str">
            <v>C2000164</v>
          </cell>
          <cell r="B1636" t="str">
            <v>Hộp vuông 550ml</v>
          </cell>
          <cell r="C1636" t="str">
            <v>Dây</v>
          </cell>
        </row>
        <row r="1637">
          <cell r="A1637" t="str">
            <v>C2000165</v>
          </cell>
          <cell r="B1637" t="str">
            <v>Hót rác</v>
          </cell>
          <cell r="C1637" t="str">
            <v>Chiếc</v>
          </cell>
        </row>
        <row r="1638">
          <cell r="A1638" t="str">
            <v>C2000166</v>
          </cell>
          <cell r="B1638" t="str">
            <v>Hũ sữa chua</v>
          </cell>
          <cell r="C1638" t="str">
            <v>Hũ</v>
          </cell>
        </row>
        <row r="1639">
          <cell r="A1639" t="str">
            <v>C2000167</v>
          </cell>
          <cell r="B1639" t="str">
            <v>Hủ tăm nhựa</v>
          </cell>
          <cell r="C1639" t="str">
            <v>Chiếc</v>
          </cell>
        </row>
        <row r="1640">
          <cell r="A1640" t="str">
            <v>C2000168</v>
          </cell>
          <cell r="B1640" t="str">
            <v>Kệ để dĩa</v>
          </cell>
          <cell r="C1640" t="str">
            <v>Cái</v>
          </cell>
        </row>
        <row r="1641">
          <cell r="A1641" t="str">
            <v>C2000169</v>
          </cell>
          <cell r="B1641" t="str">
            <v>Kệ kho tháo lắp</v>
          </cell>
          <cell r="C1641" t="str">
            <v>Cái</v>
          </cell>
        </row>
        <row r="1642">
          <cell r="A1642" t="str">
            <v>C2000170</v>
          </cell>
          <cell r="B1642" t="str">
            <v>Kéo lệch Z-6</v>
          </cell>
          <cell r="C1642" t="str">
            <v>Cái</v>
          </cell>
        </row>
        <row r="1643">
          <cell r="A1643" t="str">
            <v>C2000171</v>
          </cell>
          <cell r="B1643" t="str">
            <v>Kéo sắt</v>
          </cell>
          <cell r="C1643" t="str">
            <v>Chiếc</v>
          </cell>
        </row>
        <row r="1644">
          <cell r="A1644" t="str">
            <v>C2000172</v>
          </cell>
          <cell r="B1644" t="str">
            <v>Kéo SK5 bé</v>
          </cell>
          <cell r="C1644" t="str">
            <v>Chiếc</v>
          </cell>
        </row>
        <row r="1645">
          <cell r="A1645" t="str">
            <v>C2000173</v>
          </cell>
          <cell r="B1645" t="str">
            <v>Kẹp thịt nướng 27cm</v>
          </cell>
          <cell r="C1645" t="str">
            <v>Cái</v>
          </cell>
        </row>
        <row r="1646">
          <cell r="A1646" t="str">
            <v>C2000174</v>
          </cell>
          <cell r="B1646" t="str">
            <v>Kẹp gắp 31cm</v>
          </cell>
          <cell r="C1646" t="str">
            <v>Cái</v>
          </cell>
        </row>
        <row r="1647">
          <cell r="A1647" t="str">
            <v>C2000175</v>
          </cell>
          <cell r="B1647" t="str">
            <v>Kẹp gắp 45cm</v>
          </cell>
          <cell r="C1647" t="str">
            <v>Cái</v>
          </cell>
        </row>
        <row r="1648">
          <cell r="A1648" t="str">
            <v>C2000176</v>
          </cell>
          <cell r="B1648" t="str">
            <v>Thanh kẹp bill</v>
          </cell>
          <cell r="C1648" t="str">
            <v>Cái</v>
          </cell>
        </row>
        <row r="1649">
          <cell r="A1649" t="str">
            <v>C2000177</v>
          </cell>
          <cell r="B1649" t="str">
            <v>Kẹp chả bè 30x30</v>
          </cell>
          <cell r="C1649" t="str">
            <v>Chiếc</v>
          </cell>
        </row>
        <row r="1650">
          <cell r="A1650" t="str">
            <v>C2000178</v>
          </cell>
          <cell r="B1650" t="str">
            <v>Kẹp hải sản</v>
          </cell>
          <cell r="C1650" t="str">
            <v>Cái</v>
          </cell>
        </row>
        <row r="1651">
          <cell r="A1651" t="str">
            <v>C2000179</v>
          </cell>
          <cell r="B1651" t="str">
            <v>Kẹp gắp bát đĩa nóng</v>
          </cell>
          <cell r="C1651" t="str">
            <v>Chiếc</v>
          </cell>
        </row>
        <row r="1652">
          <cell r="A1652" t="str">
            <v>C2000180</v>
          </cell>
          <cell r="B1652" t="str">
            <v>Kệ để thớt inox 6 ngăn</v>
          </cell>
          <cell r="C1652" t="str">
            <v>Cái</v>
          </cell>
        </row>
        <row r="1653">
          <cell r="A1653" t="str">
            <v>C2000181</v>
          </cell>
          <cell r="B1653" t="str">
            <v>Kệ để thùng đá</v>
          </cell>
          <cell r="C1653" t="str">
            <v>Chiếc</v>
          </cell>
        </row>
        <row r="1654">
          <cell r="A1654" t="str">
            <v>C2000182</v>
          </cell>
          <cell r="B1654" t="str">
            <v>Kệ trung tải H2000 x W600 x L2000 (4 sàn)</v>
          </cell>
          <cell r="C1654" t="str">
            <v>Bộ</v>
          </cell>
        </row>
        <row r="1655">
          <cell r="A1655" t="str">
            <v>C2000183</v>
          </cell>
          <cell r="B1655" t="str">
            <v>Khăn trắng 40x40</v>
          </cell>
          <cell r="C1655" t="str">
            <v>Chiếc</v>
          </cell>
        </row>
        <row r="1656">
          <cell r="A1656" t="str">
            <v>C2000184</v>
          </cell>
          <cell r="B1656" t="str">
            <v>Khăn Dimsum</v>
          </cell>
          <cell r="C1656" t="str">
            <v>Cái</v>
          </cell>
        </row>
        <row r="1657">
          <cell r="A1657" t="str">
            <v>C2000185</v>
          </cell>
          <cell r="B1657" t="str">
            <v>Khăn lau (màu nâu)</v>
          </cell>
          <cell r="C1657" t="str">
            <v>Chiếc</v>
          </cell>
        </row>
        <row r="1658">
          <cell r="A1658" t="str">
            <v>C2000186</v>
          </cell>
          <cell r="B1658" t="str">
            <v>Khăn lau bàn</v>
          </cell>
          <cell r="C1658" t="str">
            <v>kg</v>
          </cell>
        </row>
        <row r="1659">
          <cell r="A1659" t="str">
            <v>C2000187</v>
          </cell>
          <cell r="B1659" t="str">
            <v>Khăn tắm to (màu trắng)</v>
          </cell>
          <cell r="C1659" t="str">
            <v>Chiếc</v>
          </cell>
        </row>
        <row r="1660">
          <cell r="A1660" t="str">
            <v>C2000188</v>
          </cell>
          <cell r="B1660" t="str">
            <v>Khăn thanh lý</v>
          </cell>
          <cell r="C1660" t="str">
            <v>kg</v>
          </cell>
        </row>
        <row r="1661">
          <cell r="A1661" t="str">
            <v>C2000189</v>
          </cell>
          <cell r="B1661" t="str">
            <v>Khay chữ nhật 1/2 sâu 20cm</v>
          </cell>
          <cell r="C1661" t="str">
            <v>Cái</v>
          </cell>
        </row>
        <row r="1662">
          <cell r="A1662" t="str">
            <v>C2000190</v>
          </cell>
          <cell r="B1662" t="str">
            <v>Khay chữ nhật 1/2 sâu 20cm ( có lỗ )</v>
          </cell>
          <cell r="C1662" t="str">
            <v>Cái</v>
          </cell>
        </row>
        <row r="1663">
          <cell r="A1663" t="str">
            <v>C2000191</v>
          </cell>
          <cell r="B1663" t="str">
            <v>Khay chữ nhật 1/2 sâu 40cm ( có lỗ )</v>
          </cell>
          <cell r="C1663" t="str">
            <v>Cái</v>
          </cell>
        </row>
        <row r="1664">
          <cell r="A1664" t="str">
            <v>C2000192</v>
          </cell>
          <cell r="B1664" t="str">
            <v>Khay chữ nhật 1/3 sâu 15cm</v>
          </cell>
          <cell r="C1664" t="str">
            <v>Cái</v>
          </cell>
        </row>
        <row r="1665">
          <cell r="A1665" t="str">
            <v>C2000193</v>
          </cell>
          <cell r="B1665" t="str">
            <v>Khay chữ nhật 1/6 sâu 10cm</v>
          </cell>
          <cell r="C1665" t="str">
            <v>Cái</v>
          </cell>
        </row>
        <row r="1666">
          <cell r="A1666" t="str">
            <v>C2000194</v>
          </cell>
          <cell r="B1666" t="str">
            <v>Khay chữ nhật 26x40 cm</v>
          </cell>
          <cell r="C1666" t="str">
            <v>Cái</v>
          </cell>
        </row>
        <row r="1667">
          <cell r="A1667" t="str">
            <v>C2000196</v>
          </cell>
          <cell r="B1667" t="str">
            <v>Khay bê đồ chữ nhật 1622 40x55 ( chống trượt)</v>
          </cell>
          <cell r="C1667" t="str">
            <v>Chiếc</v>
          </cell>
        </row>
        <row r="1668">
          <cell r="A1668" t="str">
            <v>C2000197</v>
          </cell>
          <cell r="B1668" t="str">
            <v>Khay chữ nhật</v>
          </cell>
          <cell r="C1668" t="str">
            <v>Chiếc</v>
          </cell>
        </row>
        <row r="1669">
          <cell r="A1669" t="str">
            <v>C2000198</v>
          </cell>
          <cell r="B1669" t="str">
            <v>Khay chữ nhật 1/2 sâu 10cm</v>
          </cell>
          <cell r="C1669" t="str">
            <v>Cái</v>
          </cell>
        </row>
        <row r="1670">
          <cell r="A1670" t="str">
            <v>C2000199</v>
          </cell>
          <cell r="B1670" t="str">
            <v>Khay bê đồ tròn 25cm (chống trượt)</v>
          </cell>
          <cell r="C1670" t="str">
            <v>Chiếc</v>
          </cell>
        </row>
        <row r="1671">
          <cell r="A1671" t="str">
            <v>C2000200</v>
          </cell>
          <cell r="B1671" t="str">
            <v>Khay bê đồ tròn 40cm ( chống trượt )</v>
          </cell>
          <cell r="C1671" t="str">
            <v>Cái</v>
          </cell>
        </row>
        <row r="1672">
          <cell r="A1672" t="str">
            <v>C2000201</v>
          </cell>
          <cell r="B1672" t="str">
            <v>Khay bê đồ 1520 40x50 ( chống trượt)</v>
          </cell>
          <cell r="C1672" t="str">
            <v>Chiếc</v>
          </cell>
        </row>
        <row r="1673">
          <cell r="A1673" t="str">
            <v>C2000203</v>
          </cell>
          <cell r="B1673" t="str">
            <v>Khay nhỏ dọn bàn</v>
          </cell>
          <cell r="C1673" t="str">
            <v>Cái</v>
          </cell>
        </row>
        <row r="1674">
          <cell r="A1674" t="str">
            <v>C2000204</v>
          </cell>
          <cell r="B1674" t="str">
            <v>Khay gang 18x27 (Bản gang nướng tảng)</v>
          </cell>
          <cell r="C1674" t="str">
            <v>Chiếc</v>
          </cell>
        </row>
        <row r="1675">
          <cell r="A1675" t="str">
            <v>C2000205</v>
          </cell>
          <cell r="B1675" t="str">
            <v>Khay gỗ tròn P40</v>
          </cell>
          <cell r="C1675" t="str">
            <v>Chiếc</v>
          </cell>
        </row>
        <row r="1676">
          <cell r="A1676" t="str">
            <v>C2000206</v>
          </cell>
          <cell r="B1676" t="str">
            <v>Khay inox 40*60 cạn</v>
          </cell>
          <cell r="C1676" t="str">
            <v>Cái</v>
          </cell>
        </row>
        <row r="1677">
          <cell r="A1677" t="str">
            <v>C2000207</v>
          </cell>
          <cell r="B1677" t="str">
            <v>Khay inox 40*60 sâu</v>
          </cell>
          <cell r="C1677" t="str">
            <v>Cái</v>
          </cell>
        </row>
        <row r="1678">
          <cell r="A1678" t="str">
            <v>C2000208</v>
          </cell>
          <cell r="B1678" t="str">
            <v>Khay inox 4 ô</v>
          </cell>
          <cell r="C1678" t="str">
            <v>Cái</v>
          </cell>
        </row>
        <row r="1679">
          <cell r="A1679" t="str">
            <v>C2000209</v>
          </cell>
          <cell r="B1679" t="str">
            <v>Khay inox 6 ô</v>
          </cell>
          <cell r="C1679" t="str">
            <v>Cái</v>
          </cell>
        </row>
        <row r="1680">
          <cell r="A1680" t="str">
            <v>C2000210</v>
          </cell>
          <cell r="B1680" t="str">
            <v>Khay inox tròn lỗ P20</v>
          </cell>
          <cell r="C1680" t="str">
            <v>Chiếc</v>
          </cell>
        </row>
        <row r="1681">
          <cell r="A1681" t="str">
            <v>C2000211</v>
          </cell>
          <cell r="B1681" t="str">
            <v>Khay nhỏ dùng cho xe thu gom</v>
          </cell>
          <cell r="C1681" t="str">
            <v>Cái</v>
          </cell>
        </row>
        <row r="1682">
          <cell r="A1682" t="str">
            <v>C2000212</v>
          </cell>
          <cell r="B1682" t="str">
            <v>Khay to dùng cho xe thu gom</v>
          </cell>
          <cell r="C1682" t="str">
            <v>Cái</v>
          </cell>
        </row>
        <row r="1683">
          <cell r="A1683" t="str">
            <v>C2000213</v>
          </cell>
          <cell r="B1683" t="str">
            <v>Khay đựng dụng cụ vệ sinh 2 ngăn</v>
          </cell>
          <cell r="C1683" t="str">
            <v>Chiếc</v>
          </cell>
        </row>
        <row r="1684">
          <cell r="A1684" t="str">
            <v>C2000214</v>
          </cell>
          <cell r="B1684" t="str">
            <v>Khuấy HS</v>
          </cell>
          <cell r="C1684" t="str">
            <v>Chiếc</v>
          </cell>
        </row>
        <row r="1685">
          <cell r="A1685" t="str">
            <v>C2000215</v>
          </cell>
          <cell r="B1685" t="str">
            <v>Liếc dao dẹp</v>
          </cell>
          <cell r="C1685" t="str">
            <v>Cái</v>
          </cell>
        </row>
        <row r="1686">
          <cell r="A1686" t="str">
            <v>C2000216</v>
          </cell>
          <cell r="B1686" t="str">
            <v>Vợt lọc dầu</v>
          </cell>
          <cell r="C1686" t="str">
            <v>Chiếc</v>
          </cell>
        </row>
        <row r="1687">
          <cell r="A1687" t="str">
            <v>C2000217</v>
          </cell>
          <cell r="B1687" t="str">
            <v>Lọ keo 10L</v>
          </cell>
          <cell r="C1687" t="str">
            <v>Chiếc</v>
          </cell>
        </row>
        <row r="1688">
          <cell r="A1688" t="str">
            <v>C2000218</v>
          </cell>
          <cell r="B1688" t="str">
            <v>Lọ keo 2kg</v>
          </cell>
          <cell r="C1688" t="str">
            <v>Chiếc</v>
          </cell>
        </row>
        <row r="1689">
          <cell r="A1689" t="str">
            <v>C2000219</v>
          </cell>
          <cell r="B1689" t="str">
            <v>Lọ keo 5kg</v>
          </cell>
          <cell r="C1689" t="str">
            <v>Chiếc</v>
          </cell>
        </row>
        <row r="1690">
          <cell r="A1690" t="str">
            <v>C2000220</v>
          </cell>
          <cell r="B1690" t="str">
            <v>Lọ keo 5L</v>
          </cell>
          <cell r="C1690" t="str">
            <v>Chiếc</v>
          </cell>
        </row>
        <row r="1691">
          <cell r="A1691" t="str">
            <v>C2000221</v>
          </cell>
          <cell r="B1691" t="str">
            <v>Lót ly nhựa dẻo</v>
          </cell>
          <cell r="C1691" t="str">
            <v>Cái</v>
          </cell>
        </row>
        <row r="1692">
          <cell r="A1692" t="str">
            <v>C2000222</v>
          </cell>
          <cell r="B1692" t="str">
            <v>Tấm lót sàn nhựa 40*40</v>
          </cell>
          <cell r="C1692" t="str">
            <v>Cái</v>
          </cell>
        </row>
        <row r="1693">
          <cell r="A1693" t="str">
            <v>C2000224</v>
          </cell>
          <cell r="B1693" t="str">
            <v>Ly nhựa đen</v>
          </cell>
          <cell r="C1693" t="str">
            <v>Cái</v>
          </cell>
        </row>
        <row r="1694">
          <cell r="A1694" t="str">
            <v>C2000227</v>
          </cell>
          <cell r="B1694" t="str">
            <v>Ly rượu Soju</v>
          </cell>
          <cell r="C1694" t="str">
            <v>Chiếc</v>
          </cell>
        </row>
        <row r="1695">
          <cell r="A1695" t="str">
            <v>C2000228</v>
          </cell>
          <cell r="B1695" t="str">
            <v>Ly thủy tinh eo 500ml</v>
          </cell>
          <cell r="C1695" t="str">
            <v>Cái</v>
          </cell>
        </row>
        <row r="1696">
          <cell r="A1696" t="str">
            <v>C2000229</v>
          </cell>
          <cell r="B1696" t="str">
            <v>Ly thủy tinh 380ml</v>
          </cell>
          <cell r="C1696" t="str">
            <v>Cái</v>
          </cell>
        </row>
        <row r="1697">
          <cell r="A1697" t="str">
            <v>C2000230</v>
          </cell>
          <cell r="B1697" t="str">
            <v>Ly vang</v>
          </cell>
          <cell r="C1697" t="str">
            <v>Cái</v>
          </cell>
        </row>
        <row r="1698">
          <cell r="A1698" t="str">
            <v>C2000231</v>
          </cell>
          <cell r="B1698" t="str">
            <v>Mặt kính (phụ kiện nồi lẩu hơi loại sứ)</v>
          </cell>
          <cell r="C1698" t="str">
            <v>Chiếc</v>
          </cell>
        </row>
        <row r="1699">
          <cell r="A1699" t="str">
            <v>C2000232</v>
          </cell>
          <cell r="B1699" t="str">
            <v>Menu gỗ Bò tơ để bàn A5</v>
          </cell>
          <cell r="C1699" t="str">
            <v>Chiếc</v>
          </cell>
        </row>
        <row r="1700">
          <cell r="A1700" t="str">
            <v>C2000234</v>
          </cell>
          <cell r="B1700" t="str">
            <v>Mở Bia</v>
          </cell>
          <cell r="C1700" t="str">
            <v>Cái</v>
          </cell>
        </row>
        <row r="1701">
          <cell r="A1701" t="str">
            <v>C2000235</v>
          </cell>
          <cell r="B1701" t="str">
            <v>Môi số 12 to</v>
          </cell>
          <cell r="C1701" t="str">
            <v>Cái</v>
          </cell>
        </row>
        <row r="1702">
          <cell r="A1702" t="str">
            <v>C2000236</v>
          </cell>
          <cell r="B1702" t="str">
            <v>Môi 12 thủng Loe</v>
          </cell>
          <cell r="C1702" t="str">
            <v>Cái</v>
          </cell>
        </row>
        <row r="1703">
          <cell r="A1703" t="str">
            <v>C2000237</v>
          </cell>
          <cell r="B1703" t="str">
            <v>Môi bè</v>
          </cell>
          <cell r="C1703" t="str">
            <v>Chiếc</v>
          </cell>
        </row>
        <row r="1704">
          <cell r="A1704" t="str">
            <v>C2000238</v>
          </cell>
          <cell r="B1704" t="str">
            <v>Môi lành P12</v>
          </cell>
          <cell r="C1704" t="str">
            <v>Chiếc</v>
          </cell>
        </row>
        <row r="1705">
          <cell r="A1705" t="str">
            <v>C2000239</v>
          </cell>
          <cell r="B1705" t="str">
            <v>Muôi lẩu cán ngắn ( vá 7 lùn)</v>
          </cell>
          <cell r="C1705" t="str">
            <v>Chiếc</v>
          </cell>
        </row>
        <row r="1706">
          <cell r="A1706" t="str">
            <v>C2000240</v>
          </cell>
          <cell r="B1706" t="str">
            <v>Muôi canh nhân viên (NV)</v>
          </cell>
          <cell r="C1706" t="str">
            <v>Chiếc</v>
          </cell>
        </row>
        <row r="1707">
          <cell r="A1707" t="str">
            <v>C2000241</v>
          </cell>
          <cell r="B1707" t="str">
            <v>Muôi thủng</v>
          </cell>
          <cell r="C1707" t="str">
            <v>Cái</v>
          </cell>
        </row>
        <row r="1708">
          <cell r="A1708" t="str">
            <v>C2000242</v>
          </cell>
          <cell r="B1708" t="str">
            <v>Muôi xào bè 16</v>
          </cell>
          <cell r="C1708" t="str">
            <v>Chiếc</v>
          </cell>
        </row>
        <row r="1709">
          <cell r="A1709" t="str">
            <v>C2000243</v>
          </cell>
          <cell r="B1709" t="str">
            <v>Muỗng (SP303)(Plain+C)</v>
          </cell>
          <cell r="C1709" t="str">
            <v>Chiếc</v>
          </cell>
        </row>
        <row r="1710">
          <cell r="A1710" t="str">
            <v>C2000244</v>
          </cell>
          <cell r="B1710" t="str">
            <v>Muỗng inox sữa chua</v>
          </cell>
          <cell r="C1710" t="str">
            <v>Cái</v>
          </cell>
        </row>
        <row r="1711">
          <cell r="A1711" t="str">
            <v>C2000245</v>
          </cell>
          <cell r="B1711" t="str">
            <v>Muỗng khuấy nhựa dài</v>
          </cell>
          <cell r="C1711" t="str">
            <v>Chiếc</v>
          </cell>
        </row>
        <row r="1712">
          <cell r="A1712" t="str">
            <v>C2000246</v>
          </cell>
          <cell r="B1712" t="str">
            <v>Nạo đa năng trắng</v>
          </cell>
          <cell r="C1712" t="str">
            <v>Chiếc</v>
          </cell>
        </row>
        <row r="1713">
          <cell r="A1713" t="str">
            <v>C2000247</v>
          </cell>
          <cell r="B1713" t="str">
            <v>Nạo đa năng xịn</v>
          </cell>
          <cell r="C1713" t="str">
            <v>Chiếc</v>
          </cell>
        </row>
        <row r="1714">
          <cell r="A1714" t="str">
            <v>C2000248</v>
          </cell>
          <cell r="B1714" t="str">
            <v>Nạo vỏ đỏ</v>
          </cell>
          <cell r="C1714" t="str">
            <v>Chiếc</v>
          </cell>
        </row>
        <row r="1715">
          <cell r="A1715" t="str">
            <v>C2000251</v>
          </cell>
          <cell r="B1715" t="str">
            <v>Nắp nồi (phụ kiện nồi lẩu hơi loại sứ)</v>
          </cell>
          <cell r="C1715" t="str">
            <v>Chiếc</v>
          </cell>
        </row>
        <row r="1716">
          <cell r="A1716" t="str">
            <v>C2000252</v>
          </cell>
          <cell r="B1716" t="str">
            <v>Nắp tô 1000</v>
          </cell>
          <cell r="C1716" t="str">
            <v>Cái</v>
          </cell>
        </row>
        <row r="1717">
          <cell r="A1717" t="str">
            <v>C2000253</v>
          </cell>
          <cell r="B1717" t="str">
            <v>Nhíp nhổ xương cá</v>
          </cell>
          <cell r="C1717" t="str">
            <v>Cái</v>
          </cell>
        </row>
        <row r="1718">
          <cell r="A1718" t="str">
            <v>C2000254</v>
          </cell>
          <cell r="B1718" t="str">
            <v>Nĩa inox 3 chia ( Dĩa ăn )</v>
          </cell>
          <cell r="C1718" t="str">
            <v>cái</v>
          </cell>
        </row>
        <row r="1719">
          <cell r="A1719" t="str">
            <v>C2000255</v>
          </cell>
          <cell r="B1719" t="str">
            <v>Nồi đất 0.5L</v>
          </cell>
          <cell r="C1719" t="str">
            <v>Chiếc</v>
          </cell>
        </row>
        <row r="1720">
          <cell r="A1720" t="str">
            <v>C2000256</v>
          </cell>
          <cell r="B1720" t="str">
            <v>Nồi đất 7ing</v>
          </cell>
          <cell r="C1720" t="str">
            <v>Chiếc</v>
          </cell>
        </row>
        <row r="1721">
          <cell r="A1721" t="str">
            <v>C2000257</v>
          </cell>
          <cell r="B1721" t="str">
            <v>Nồi gang 30L</v>
          </cell>
          <cell r="C1721" t="str">
            <v>Chiếc</v>
          </cell>
        </row>
        <row r="1722">
          <cell r="A1722" t="str">
            <v>C2000258</v>
          </cell>
          <cell r="B1722" t="str">
            <v>Nồi gang 10L</v>
          </cell>
          <cell r="C1722" t="str">
            <v>Chiếc</v>
          </cell>
        </row>
        <row r="1723">
          <cell r="A1723" t="str">
            <v>C2000259</v>
          </cell>
          <cell r="B1723" t="str">
            <v>Nồi gang 70L</v>
          </cell>
          <cell r="C1723" t="str">
            <v>Chiếc</v>
          </cell>
        </row>
        <row r="1724">
          <cell r="A1724" t="str">
            <v>C2000260</v>
          </cell>
          <cell r="B1724" t="str">
            <v>Nồi inox 10L</v>
          </cell>
          <cell r="C1724" t="str">
            <v>Chiếc</v>
          </cell>
        </row>
        <row r="1725">
          <cell r="A1725" t="str">
            <v>C2000261</v>
          </cell>
          <cell r="B1725" t="str">
            <v>Nồi inox 20L</v>
          </cell>
          <cell r="C1725" t="str">
            <v>Chiếc</v>
          </cell>
        </row>
        <row r="1726">
          <cell r="A1726" t="str">
            <v>C2000262</v>
          </cell>
          <cell r="B1726" t="str">
            <v>Nồi lẩu inox P24</v>
          </cell>
          <cell r="C1726" t="str">
            <v>Cái</v>
          </cell>
        </row>
        <row r="1727">
          <cell r="A1727" t="str">
            <v>C2000263</v>
          </cell>
          <cell r="B1727" t="str">
            <v>Nồi inox 40L</v>
          </cell>
          <cell r="C1727" t="str">
            <v>Chiếc</v>
          </cell>
        </row>
        <row r="1728">
          <cell r="A1728" t="str">
            <v>C2000264</v>
          </cell>
          <cell r="B1728" t="str">
            <v>Nồi lẩu</v>
          </cell>
          <cell r="C1728" t="str">
            <v>Cái</v>
          </cell>
        </row>
        <row r="1729">
          <cell r="A1729" t="str">
            <v>C2000265</v>
          </cell>
          <cell r="B1729" t="str">
            <v>Nồi lẩu hơi (loại sứ)</v>
          </cell>
          <cell r="C1729" t="str">
            <v>Chiếc</v>
          </cell>
        </row>
        <row r="1730">
          <cell r="A1730" t="str">
            <v>C2000266</v>
          </cell>
          <cell r="B1730" t="str">
            <v>Nồi lẩu inox P26</v>
          </cell>
          <cell r="C1730" t="str">
            <v>Cái</v>
          </cell>
        </row>
        <row r="1731">
          <cell r="A1731" t="str">
            <v>C2000267</v>
          </cell>
          <cell r="B1731" t="str">
            <v>Nồi lẩu hơi (loại sứ) công suất 2800W</v>
          </cell>
          <cell r="C1731" t="str">
            <v>Cái</v>
          </cell>
        </row>
        <row r="1732">
          <cell r="A1732" t="str">
            <v>C2000268</v>
          </cell>
          <cell r="B1732" t="str">
            <v>Nồi nhôm 10L</v>
          </cell>
          <cell r="C1732" t="str">
            <v>Chiếc</v>
          </cell>
        </row>
        <row r="1733">
          <cell r="A1733" t="str">
            <v>C2000269</v>
          </cell>
          <cell r="B1733" t="str">
            <v>Nồi nhôm 20L</v>
          </cell>
          <cell r="C1733" t="str">
            <v>Chiếc</v>
          </cell>
        </row>
        <row r="1734">
          <cell r="A1734" t="str">
            <v>C2000270</v>
          </cell>
          <cell r="B1734" t="str">
            <v>Nồi nhôm 30L</v>
          </cell>
          <cell r="C1734" t="str">
            <v>Chiếc</v>
          </cell>
        </row>
        <row r="1735">
          <cell r="A1735" t="str">
            <v>C2000271</v>
          </cell>
          <cell r="B1735" t="str">
            <v>Nồi nhôm 60L dày</v>
          </cell>
          <cell r="C1735" t="str">
            <v>Chiếc</v>
          </cell>
        </row>
        <row r="1736">
          <cell r="A1736" t="str">
            <v>C2000272</v>
          </cell>
          <cell r="B1736" t="str">
            <v>Nồi sứ ( phụ kiện nồi lẩu hơi loại sứ)</v>
          </cell>
          <cell r="C1736" t="str">
            <v>Chiếc</v>
          </cell>
        </row>
        <row r="1737">
          <cell r="A1737" t="str">
            <v>C2000273</v>
          </cell>
          <cell r="B1737" t="str">
            <v>Nồi gang đen nắp kính P18</v>
          </cell>
          <cell r="C1737" t="str">
            <v>Chiếc</v>
          </cell>
        </row>
        <row r="1738">
          <cell r="A1738" t="str">
            <v>C2000274</v>
          </cell>
          <cell r="B1738" t="str">
            <v>Thố gang trắng nắp thủy tinh (Nồi xông hơi phi 19</v>
          </cell>
          <cell r="C1738" t="str">
            <v>Chiếc</v>
          </cell>
        </row>
        <row r="1739">
          <cell r="A1739" t="str">
            <v>C2000275</v>
          </cell>
          <cell r="B1739" t="str">
            <v>Ô cầm tay LongWang</v>
          </cell>
          <cell r="C1739" t="str">
            <v>Cái</v>
          </cell>
        </row>
        <row r="1740">
          <cell r="A1740" t="str">
            <v>C2000276</v>
          </cell>
          <cell r="B1740" t="str">
            <v>Pallet sắt kho</v>
          </cell>
          <cell r="C1740" t="str">
            <v>Cái</v>
          </cell>
        </row>
        <row r="1741">
          <cell r="A1741" t="str">
            <v>C2000277</v>
          </cell>
          <cell r="B1741" t="str">
            <v>Phễu nhựa</v>
          </cell>
          <cell r="C1741" t="str">
            <v>Cái</v>
          </cell>
        </row>
        <row r="1742">
          <cell r="A1742" t="str">
            <v>C2000278</v>
          </cell>
          <cell r="B1742" t="str">
            <v>Phới 35</v>
          </cell>
          <cell r="C1742" t="str">
            <v>Chiếc</v>
          </cell>
        </row>
        <row r="1743">
          <cell r="A1743" t="str">
            <v>C2000279</v>
          </cell>
          <cell r="B1743" t="str">
            <v>Phới 40</v>
          </cell>
          <cell r="C1743" t="str">
            <v>Chiếc</v>
          </cell>
        </row>
        <row r="1744">
          <cell r="A1744" t="str">
            <v>C2000280</v>
          </cell>
          <cell r="B1744" t="str">
            <v>Phới 45</v>
          </cell>
          <cell r="C1744" t="str">
            <v>Chiếc</v>
          </cell>
        </row>
        <row r="1745">
          <cell r="A1745" t="str">
            <v>C2000281</v>
          </cell>
          <cell r="B1745" t="str">
            <v>Phới 50</v>
          </cell>
          <cell r="C1745" t="str">
            <v>Chiếc</v>
          </cell>
        </row>
        <row r="1746">
          <cell r="A1746" t="str">
            <v>C2000282</v>
          </cell>
          <cell r="B1746" t="str">
            <v>Phới đánh trứng to</v>
          </cell>
          <cell r="C1746" t="str">
            <v>Chiếc</v>
          </cell>
        </row>
        <row r="1747">
          <cell r="A1747" t="str">
            <v>C2000283</v>
          </cell>
          <cell r="B1747" t="str">
            <v>Que khuấy nhựa dài</v>
          </cell>
          <cell r="C1747" t="str">
            <v>Chiếc</v>
          </cell>
        </row>
        <row r="1748">
          <cell r="A1748" t="str">
            <v>C2000284</v>
          </cell>
          <cell r="B1748" t="str">
            <v>Que quết nhân</v>
          </cell>
          <cell r="C1748" t="str">
            <v>Cái</v>
          </cell>
        </row>
        <row r="1749">
          <cell r="A1749" t="str">
            <v>C2000285</v>
          </cell>
          <cell r="B1749" t="str">
            <v>Lọc rây inox 6cm</v>
          </cell>
          <cell r="C1749" t="str">
            <v>Cái</v>
          </cell>
        </row>
        <row r="1750">
          <cell r="A1750" t="str">
            <v>C2000286</v>
          </cell>
          <cell r="B1750" t="str">
            <v>Lọc rây inox 25cm</v>
          </cell>
          <cell r="C1750" t="str">
            <v>Cái</v>
          </cell>
        </row>
        <row r="1751">
          <cell r="A1751" t="str">
            <v>C2000287</v>
          </cell>
          <cell r="B1751" t="str">
            <v>Rổ chữ nhật</v>
          </cell>
          <cell r="C1751" t="str">
            <v>Chiếc</v>
          </cell>
        </row>
        <row r="1752">
          <cell r="A1752" t="str">
            <v>C2000288</v>
          </cell>
          <cell r="B1752" t="str">
            <v>Rổ chữ nhật 3T</v>
          </cell>
          <cell r="C1752" t="str">
            <v>Chiếc</v>
          </cell>
        </row>
        <row r="1753">
          <cell r="A1753" t="str">
            <v>C2000289</v>
          </cell>
          <cell r="B1753" t="str">
            <v>Rổ chữ nhật 3T4</v>
          </cell>
          <cell r="C1753" t="str">
            <v>Chiếc</v>
          </cell>
        </row>
        <row r="1754">
          <cell r="A1754" t="str">
            <v>C2000290</v>
          </cell>
          <cell r="B1754" t="str">
            <v>Rổ chữ nhật 3T6</v>
          </cell>
          <cell r="C1754" t="str">
            <v>Chiếc</v>
          </cell>
        </row>
        <row r="1755">
          <cell r="A1755" t="str">
            <v>C2000291</v>
          </cell>
          <cell r="B1755" t="str">
            <v>Rổ chữ nhật 3T8</v>
          </cell>
          <cell r="C1755" t="str">
            <v>Chiếc</v>
          </cell>
        </row>
        <row r="1756">
          <cell r="A1756" t="str">
            <v>C2000292</v>
          </cell>
          <cell r="B1756" t="str">
            <v>Rổ sóng bầu</v>
          </cell>
          <cell r="C1756" t="str">
            <v>Chiếc</v>
          </cell>
        </row>
        <row r="1757">
          <cell r="A1757" t="str">
            <v>C2000293</v>
          </cell>
          <cell r="B1757" t="str">
            <v>Rổ Thiên Nga Trung</v>
          </cell>
          <cell r="C1757" t="str">
            <v>Chiếc</v>
          </cell>
        </row>
        <row r="1758">
          <cell r="A1758" t="str">
            <v>C2000294</v>
          </cell>
          <cell r="B1758" t="str">
            <v>Rổ sóng 2 lỗ</v>
          </cell>
          <cell r="C1758" t="str">
            <v>Chiếc</v>
          </cell>
        </row>
        <row r="1759">
          <cell r="A1759" t="str">
            <v>C2000295</v>
          </cell>
          <cell r="B1759" t="str">
            <v>Rổ sóng 4 lỗ</v>
          </cell>
          <cell r="C1759" t="str">
            <v>Chiếc</v>
          </cell>
        </row>
        <row r="1760">
          <cell r="A1760" t="str">
            <v>C2000296</v>
          </cell>
          <cell r="B1760" t="str">
            <v>Rổ sóng 8 lỗ</v>
          </cell>
          <cell r="C1760" t="str">
            <v>Chiếc</v>
          </cell>
        </row>
        <row r="1761">
          <cell r="A1761" t="str">
            <v>C2000297</v>
          </cell>
          <cell r="B1761" t="str">
            <v>Sóng bầu 5050</v>
          </cell>
          <cell r="C1761" t="str">
            <v>Chiếc</v>
          </cell>
        </row>
        <row r="1762">
          <cell r="A1762" t="str">
            <v>C2000298</v>
          </cell>
          <cell r="B1762" t="str">
            <v>Sóng nhựa bít 2T5</v>
          </cell>
          <cell r="C1762" t="str">
            <v>Cái</v>
          </cell>
        </row>
        <row r="1763">
          <cell r="A1763" t="str">
            <v>C2000299</v>
          </cell>
          <cell r="B1763" t="str">
            <v>Sóng nhựa hở 2T5</v>
          </cell>
          <cell r="C1763" t="str">
            <v>Cái</v>
          </cell>
        </row>
        <row r="1764">
          <cell r="A1764" t="str">
            <v>C2000300</v>
          </cell>
          <cell r="B1764" t="str">
            <v>Sóng nhựa Song Long Bầu (55x38x21,5 cm)</v>
          </cell>
          <cell r="C1764" t="str">
            <v>Chiếc</v>
          </cell>
        </row>
        <row r="1765">
          <cell r="A1765" t="str">
            <v>C2000301</v>
          </cell>
          <cell r="B1765" t="str">
            <v>Súng điện</v>
          </cell>
          <cell r="C1765" t="str">
            <v>Chiếc</v>
          </cell>
        </row>
        <row r="1766">
          <cell r="A1766" t="str">
            <v>C2000302</v>
          </cell>
          <cell r="B1766" t="str">
            <v>Thảm bar</v>
          </cell>
          <cell r="C1766" t="str">
            <v>Cái</v>
          </cell>
        </row>
        <row r="1767">
          <cell r="A1767" t="str">
            <v>C2000303</v>
          </cell>
          <cell r="B1767" t="str">
            <v>Thảm nhung</v>
          </cell>
          <cell r="C1767" t="str">
            <v>Cái</v>
          </cell>
        </row>
        <row r="1768">
          <cell r="A1768" t="str">
            <v>C2000304</v>
          </cell>
          <cell r="B1768" t="str">
            <v>Thìa cà phê</v>
          </cell>
          <cell r="C1768" t="str">
            <v>Cái</v>
          </cell>
        </row>
        <row r="1769">
          <cell r="A1769" t="str">
            <v>C2000305</v>
          </cell>
          <cell r="B1769" t="str">
            <v>Thìa sen</v>
          </cell>
          <cell r="C1769" t="str">
            <v>Chiếc</v>
          </cell>
        </row>
        <row r="1770">
          <cell r="A1770" t="str">
            <v>C2000306</v>
          </cell>
          <cell r="B1770" t="str">
            <v>Thố tròn inox 16cm</v>
          </cell>
          <cell r="C1770" t="str">
            <v>Chiếc</v>
          </cell>
        </row>
        <row r="1771">
          <cell r="A1771" t="str">
            <v>C2000307</v>
          </cell>
          <cell r="B1771" t="str">
            <v>Thớt nhựa (35*50*2)</v>
          </cell>
          <cell r="C1771" t="str">
            <v>Chiếc</v>
          </cell>
        </row>
        <row r="1772">
          <cell r="A1772" t="str">
            <v>C2000308</v>
          </cell>
          <cell r="B1772" t="str">
            <v>Thớt đỏ (35*50)</v>
          </cell>
          <cell r="C1772" t="str">
            <v>Chiếc</v>
          </cell>
        </row>
        <row r="1773">
          <cell r="A1773" t="str">
            <v>C2000309</v>
          </cell>
          <cell r="B1773" t="str">
            <v>Thớt gỗ</v>
          </cell>
          <cell r="C1773" t="str">
            <v>Chiếc</v>
          </cell>
        </row>
        <row r="1774">
          <cell r="A1774" t="str">
            <v>C2000310</v>
          </cell>
          <cell r="B1774" t="str">
            <v>Thớt nhựa (40*60*3)</v>
          </cell>
          <cell r="C1774" t="str">
            <v>Chiếc</v>
          </cell>
        </row>
        <row r="1775">
          <cell r="A1775" t="str">
            <v>C2000311</v>
          </cell>
          <cell r="B1775" t="str">
            <v>Thớt nhựa (40*60*2)</v>
          </cell>
          <cell r="C1775" t="str">
            <v>Chiếc</v>
          </cell>
        </row>
        <row r="1776">
          <cell r="A1776" t="str">
            <v>C2000312</v>
          </cell>
          <cell r="B1776" t="str">
            <v>Thớt nhựa (40*60*5)</v>
          </cell>
          <cell r="C1776" t="str">
            <v>Chiếc</v>
          </cell>
        </row>
        <row r="1777">
          <cell r="A1777" t="str">
            <v>C2000313</v>
          </cell>
          <cell r="B1777" t="str">
            <v>Thớt trắng (35*50)</v>
          </cell>
          <cell r="C1777" t="str">
            <v>Chiếc</v>
          </cell>
        </row>
        <row r="1778">
          <cell r="A1778" t="str">
            <v>C2000314</v>
          </cell>
          <cell r="B1778" t="str">
            <v>Thùng nhựa 60L</v>
          </cell>
          <cell r="C1778" t="str">
            <v>Cái</v>
          </cell>
        </row>
        <row r="1779">
          <cell r="A1779" t="str">
            <v>C2000316</v>
          </cell>
          <cell r="B1779" t="str">
            <v>Thùng nhựa 80L</v>
          </cell>
          <cell r="C1779" t="str">
            <v>Cái</v>
          </cell>
        </row>
        <row r="1780">
          <cell r="A1780" t="str">
            <v>C2000317</v>
          </cell>
          <cell r="B1780" t="str">
            <v>Thùng đựng ô dù thép</v>
          </cell>
          <cell r="C1780" t="str">
            <v>Cái</v>
          </cell>
        </row>
        <row r="1781">
          <cell r="A1781" t="str">
            <v>C2000318</v>
          </cell>
          <cell r="B1781" t="str">
            <v>Thùng rác lật 60L</v>
          </cell>
          <cell r="C1781" t="str">
            <v>Cái</v>
          </cell>
        </row>
        <row r="1782">
          <cell r="A1782" t="str">
            <v>C2000319</v>
          </cell>
          <cell r="B1782" t="str">
            <v>Thùng rác inox tròn có gạc tàn</v>
          </cell>
          <cell r="C1782" t="str">
            <v>Cái</v>
          </cell>
        </row>
        <row r="1783">
          <cell r="A1783" t="str">
            <v>C2000320</v>
          </cell>
          <cell r="B1783" t="str">
            <v>Tiêu bóng (067-3 đen) (bát chấm đen)</v>
          </cell>
          <cell r="C1783" t="str">
            <v>Chiếc</v>
          </cell>
        </row>
        <row r="1784">
          <cell r="A1784" t="str">
            <v>C2000321</v>
          </cell>
          <cell r="B1784" t="str">
            <v>Tô vuông 6 (BV251-6) Melamine</v>
          </cell>
          <cell r="C1784" t="str">
            <v>Cái</v>
          </cell>
        </row>
        <row r="1785">
          <cell r="A1785" t="str">
            <v>C2000322</v>
          </cell>
          <cell r="B1785" t="str">
            <v>Tô 6.5 (BV025-6.5)(Plain+C)</v>
          </cell>
          <cell r="C1785" t="str">
            <v>Chiếc</v>
          </cell>
        </row>
        <row r="1786">
          <cell r="A1786" t="str">
            <v>C2000323</v>
          </cell>
          <cell r="B1786" t="str">
            <v>Tô salad 8.9 (BV277-8.9) Melamine</v>
          </cell>
          <cell r="C1786" t="str">
            <v>Cái</v>
          </cell>
        </row>
        <row r="1787">
          <cell r="A1787" t="str">
            <v>C2000324</v>
          </cell>
          <cell r="B1787" t="str">
            <v>Tô P17 (bát tô)</v>
          </cell>
          <cell r="C1787" t="str">
            <v>Chiếc</v>
          </cell>
        </row>
        <row r="1788">
          <cell r="A1788" t="str">
            <v>C2000325</v>
          </cell>
          <cell r="B1788" t="str">
            <v>Ủng nam</v>
          </cell>
          <cell r="C1788" t="str">
            <v>đôi</v>
          </cell>
        </row>
        <row r="1789">
          <cell r="A1789" t="str">
            <v>C2000326</v>
          </cell>
          <cell r="B1789" t="str">
            <v>Ủng nữ</v>
          </cell>
          <cell r="C1789" t="str">
            <v>đôi</v>
          </cell>
        </row>
        <row r="1790">
          <cell r="A1790" t="str">
            <v>C2000327</v>
          </cell>
          <cell r="B1790" t="str">
            <v>Ủng xanh cửu long</v>
          </cell>
          <cell r="C1790" t="str">
            <v>đôi</v>
          </cell>
        </row>
        <row r="1791">
          <cell r="A1791" t="str">
            <v>C2000328</v>
          </cell>
          <cell r="B1791" t="str">
            <v>Vá súp lớn (SP257)(Plain+C)</v>
          </cell>
          <cell r="C1791" t="str">
            <v>Chiếc</v>
          </cell>
        </row>
        <row r="1792">
          <cell r="A1792" t="str">
            <v>C2000329</v>
          </cell>
          <cell r="B1792" t="str">
            <v>Vỉ hấp (phụ kiện nồi lẩu hơi loại sứ)</v>
          </cell>
          <cell r="C1792" t="str">
            <v>Chiếc</v>
          </cell>
        </row>
        <row r="1793">
          <cell r="A1793" t="str">
            <v>C2000330</v>
          </cell>
          <cell r="B1793" t="str">
            <v>Vỉ nướng Inox</v>
          </cell>
          <cell r="C1793" t="str">
            <v>Chiếc</v>
          </cell>
        </row>
        <row r="1794">
          <cell r="A1794" t="str">
            <v>C2000331</v>
          </cell>
          <cell r="B1794" t="str">
            <v>Vỉ phồng nướng</v>
          </cell>
          <cell r="C1794" t="str">
            <v>Chiếc</v>
          </cell>
        </row>
        <row r="1795">
          <cell r="A1795" t="str">
            <v>C2000332</v>
          </cell>
          <cell r="B1795" t="str">
            <v>Vỉ tre hấp 20cm</v>
          </cell>
          <cell r="C1795" t="str">
            <v>Chiếc</v>
          </cell>
        </row>
        <row r="1796">
          <cell r="A1796" t="str">
            <v>C2000333</v>
          </cell>
          <cell r="B1796" t="str">
            <v>Vỉ xòe hấp</v>
          </cell>
          <cell r="C1796" t="str">
            <v>Chiếc</v>
          </cell>
        </row>
        <row r="1797">
          <cell r="A1797" t="str">
            <v>C2000334</v>
          </cell>
          <cell r="B1797" t="str">
            <v>Vỏ CO2 Keg 19.5L</v>
          </cell>
          <cell r="C1797" t="str">
            <v>Vỏ</v>
          </cell>
        </row>
        <row r="1798">
          <cell r="A1798" t="str">
            <v>C2000335</v>
          </cell>
          <cell r="B1798" t="str">
            <v>Vỏ bia tươi Budweiser Keg 19.5L</v>
          </cell>
          <cell r="C1798" t="str">
            <v>Vỏ</v>
          </cell>
        </row>
        <row r="1799">
          <cell r="A1799" t="str">
            <v>C2000336</v>
          </cell>
          <cell r="B1799" t="str">
            <v>Vỏ bia tươi Hoegaarden Keg 19.5L</v>
          </cell>
          <cell r="C1799" t="str">
            <v>Vỏ</v>
          </cell>
        </row>
        <row r="1800">
          <cell r="A1800" t="str">
            <v>C2000337</v>
          </cell>
          <cell r="B1800" t="str">
            <v>Vỏ bình nước 20L</v>
          </cell>
          <cell r="C1800" t="str">
            <v>Cái</v>
          </cell>
        </row>
        <row r="1801">
          <cell r="A1801" t="str">
            <v>C2000340</v>
          </cell>
          <cell r="B1801" t="str">
            <v>Vợt cá</v>
          </cell>
          <cell r="C1801" t="str">
            <v>Chiếc</v>
          </cell>
        </row>
        <row r="1802">
          <cell r="A1802" t="str">
            <v>C2000341</v>
          </cell>
          <cell r="B1802" t="str">
            <v>Xiên cắm order</v>
          </cell>
          <cell r="C1802" t="str">
            <v>Cái</v>
          </cell>
        </row>
        <row r="1803">
          <cell r="A1803" t="str">
            <v>C2000343</v>
          </cell>
          <cell r="B1803" t="str">
            <v>Xịt tương 450ml</v>
          </cell>
          <cell r="C1803" t="str">
            <v>Chiếc</v>
          </cell>
        </row>
        <row r="1804">
          <cell r="A1804" t="str">
            <v>C2000344</v>
          </cell>
          <cell r="B1804" t="str">
            <v>Xô nhựa 35L</v>
          </cell>
          <cell r="C1804" t="str">
            <v>Cái</v>
          </cell>
        </row>
        <row r="1805">
          <cell r="A1805" t="str">
            <v>C2000345</v>
          </cell>
          <cell r="B1805" t="str">
            <v>Xô đá quai</v>
          </cell>
          <cell r="C1805" t="str">
            <v>Chiếc</v>
          </cell>
        </row>
        <row r="1806">
          <cell r="A1806" t="str">
            <v>C2000346</v>
          </cell>
          <cell r="B1806" t="str">
            <v>Xô đá quai đựng vỏ 15.5*13.5.10.5</v>
          </cell>
          <cell r="C1806" t="str">
            <v>Chiếc</v>
          </cell>
        </row>
        <row r="1807">
          <cell r="A1807" t="str">
            <v>C2000347</v>
          </cell>
          <cell r="B1807" t="str">
            <v>Xô inox P30</v>
          </cell>
          <cell r="C1807" t="str">
            <v>Cái</v>
          </cell>
        </row>
        <row r="1808">
          <cell r="A1808" t="str">
            <v>C2000348</v>
          </cell>
          <cell r="B1808" t="str">
            <v>Xúc đá inox</v>
          </cell>
          <cell r="C1808" t="str">
            <v>Cái</v>
          </cell>
        </row>
        <row r="1809">
          <cell r="A1809" t="str">
            <v>C2000349</v>
          </cell>
          <cell r="B1809" t="str">
            <v>Xửng hấp tre 15 cm</v>
          </cell>
          <cell r="C1809" t="str">
            <v>Chiếc</v>
          </cell>
        </row>
        <row r="1810">
          <cell r="A1810" t="str">
            <v>C2000350</v>
          </cell>
          <cell r="B1810" t="str">
            <v>Xửng hấp tre 18 cm</v>
          </cell>
          <cell r="C1810" t="str">
            <v>Chiếc</v>
          </cell>
        </row>
        <row r="1811">
          <cell r="A1811" t="str">
            <v>C2000351</v>
          </cell>
          <cell r="B1811" t="str">
            <v>Xửng hấp tre 20 cm</v>
          </cell>
          <cell r="C1811" t="str">
            <v>Chiếc</v>
          </cell>
        </row>
        <row r="1812">
          <cell r="A1812" t="str">
            <v>C2000352</v>
          </cell>
          <cell r="B1812" t="str">
            <v>Zic đong (đựng rượu cho món hoả diệm sơn)</v>
          </cell>
          <cell r="C1812" t="str">
            <v>Chiếc</v>
          </cell>
        </row>
        <row r="1813">
          <cell r="A1813" t="str">
            <v>C2000353</v>
          </cell>
          <cell r="B1813" t="str">
            <v>Âu inox 0.5L ( ca mỏ có nắp )</v>
          </cell>
          <cell r="C1813" t="str">
            <v>Cái</v>
          </cell>
        </row>
        <row r="1814">
          <cell r="A1814" t="str">
            <v>C2000354</v>
          </cell>
          <cell r="B1814" t="str">
            <v>Âu inox 2L ( ca mỏ có nắp )</v>
          </cell>
          <cell r="C1814" t="str">
            <v>Cái</v>
          </cell>
        </row>
        <row r="1815">
          <cell r="A1815" t="str">
            <v>C2000355</v>
          </cell>
          <cell r="B1815" t="str">
            <v>Âu cơm (bát cháo có nắp)</v>
          </cell>
          <cell r="C1815" t="str">
            <v>Cái</v>
          </cell>
        </row>
        <row r="1816">
          <cell r="A1816" t="str">
            <v>C2000358</v>
          </cell>
          <cell r="B1816" t="str">
            <v>Bản đá CN 2917 17x29cm</v>
          </cell>
          <cell r="C1816" t="str">
            <v>Chiếc</v>
          </cell>
        </row>
        <row r="1817">
          <cell r="A1817" t="str">
            <v>C2000359</v>
          </cell>
          <cell r="B1817" t="str">
            <v>Bản gang tròn P24</v>
          </cell>
          <cell r="C1817" t="str">
            <v>Chiếc</v>
          </cell>
        </row>
        <row r="1818">
          <cell r="A1818" t="str">
            <v>C2000360</v>
          </cell>
          <cell r="B1818" t="str">
            <v>Bản gang tròn P20</v>
          </cell>
          <cell r="C1818" t="str">
            <v>Chiếc</v>
          </cell>
        </row>
        <row r="1819">
          <cell r="A1819" t="str">
            <v>C2000361</v>
          </cell>
          <cell r="B1819" t="str">
            <v>Bản gang tròn P18 đáy gỗ</v>
          </cell>
          <cell r="C1819" t="str">
            <v>Chiếc</v>
          </cell>
        </row>
        <row r="1820">
          <cell r="A1820" t="str">
            <v>C2000362</v>
          </cell>
          <cell r="B1820" t="str">
            <v>Bảng đặt bàn Reseved</v>
          </cell>
          <cell r="C1820" t="str">
            <v>Cái</v>
          </cell>
        </row>
        <row r="1821">
          <cell r="A1821" t="str">
            <v>C2000363</v>
          </cell>
          <cell r="B1821" t="str">
            <v>Bảng menu khung inox vàng</v>
          </cell>
          <cell r="C1821" t="str">
            <v>Cái</v>
          </cell>
        </row>
        <row r="1822">
          <cell r="A1822" t="str">
            <v>C2000364</v>
          </cell>
          <cell r="B1822" t="str">
            <v>Bản gỗ chữ nhật 20*30</v>
          </cell>
          <cell r="C1822" t="str">
            <v>Chiếc</v>
          </cell>
        </row>
        <row r="1823">
          <cell r="A1823" t="str">
            <v>C2000365</v>
          </cell>
          <cell r="B1823" t="str">
            <v>Bản gỗ chữ nhật tay cầm</v>
          </cell>
          <cell r="C1823" t="str">
            <v>Chiếc</v>
          </cell>
        </row>
        <row r="1824">
          <cell r="A1824" t="str">
            <v>C2000366</v>
          </cell>
          <cell r="B1824" t="str">
            <v>ĐP-Bảng tên nhân viên</v>
          </cell>
          <cell r="C1824" t="str">
            <v>Cái</v>
          </cell>
        </row>
        <row r="1825">
          <cell r="A1825" t="str">
            <v>C2000367</v>
          </cell>
          <cell r="B1825" t="str">
            <v>Bao da Ipad</v>
          </cell>
          <cell r="C1825" t="str">
            <v>Cái</v>
          </cell>
        </row>
        <row r="1826">
          <cell r="A1826" t="str">
            <v>C2000368</v>
          </cell>
          <cell r="B1826" t="str">
            <v>Bát cơm</v>
          </cell>
          <cell r="C1826" t="str">
            <v>Chiếc</v>
          </cell>
        </row>
        <row r="1827">
          <cell r="A1827" t="str">
            <v>C2000369</v>
          </cell>
          <cell r="B1827" t="str">
            <v>Bát cơm xanh nhân viên (NV)</v>
          </cell>
          <cell r="C1827" t="str">
            <v>Chiếc</v>
          </cell>
        </row>
        <row r="1828">
          <cell r="A1828" t="str">
            <v>C2000370</v>
          </cell>
          <cell r="B1828" t="str">
            <v>Bát inox P18 ( Thau)</v>
          </cell>
          <cell r="C1828" t="str">
            <v>Cái</v>
          </cell>
        </row>
        <row r="1829">
          <cell r="A1829" t="str">
            <v>C2000371</v>
          </cell>
          <cell r="B1829" t="str">
            <v>Bát inox P24 ( Thau)</v>
          </cell>
          <cell r="C1829" t="str">
            <v>Cái</v>
          </cell>
        </row>
        <row r="1830">
          <cell r="A1830" t="str">
            <v>C2000372</v>
          </cell>
          <cell r="B1830" t="str">
            <v>Bát inox P30 ( Thau)</v>
          </cell>
          <cell r="C1830" t="str">
            <v>Cái</v>
          </cell>
        </row>
        <row r="1831">
          <cell r="A1831" t="str">
            <v>C2000373</v>
          </cell>
          <cell r="B1831" t="str">
            <v>Bát inox P40 ( Thau)</v>
          </cell>
          <cell r="C1831" t="str">
            <v>Cái</v>
          </cell>
        </row>
        <row r="1832">
          <cell r="A1832" t="str">
            <v>C2000374</v>
          </cell>
          <cell r="B1832" t="str">
            <v>Bát con</v>
          </cell>
          <cell r="C1832" t="str">
            <v>Cái</v>
          </cell>
        </row>
        <row r="1833">
          <cell r="A1833" t="str">
            <v>C2000375</v>
          </cell>
          <cell r="B1833" t="str">
            <v>Bát đựng rượu</v>
          </cell>
          <cell r="C1833" t="str">
            <v>Chiếc</v>
          </cell>
        </row>
        <row r="1834">
          <cell r="A1834" t="str">
            <v>C2000376</v>
          </cell>
          <cell r="B1834" t="str">
            <v>Bát tô</v>
          </cell>
          <cell r="C1834" t="str">
            <v>Cái</v>
          </cell>
        </row>
        <row r="1835">
          <cell r="A1835" t="str">
            <v>C2000377</v>
          </cell>
          <cell r="B1835" t="str">
            <v>Bát tô nhân viên (NV)</v>
          </cell>
          <cell r="C1835" t="str">
            <v>Cái</v>
          </cell>
        </row>
        <row r="1836">
          <cell r="A1836" t="str">
            <v>C2000378</v>
          </cell>
          <cell r="B1836" t="str">
            <v>Âu đá</v>
          </cell>
          <cell r="C1836" t="str">
            <v>Chiếc</v>
          </cell>
        </row>
        <row r="1837">
          <cell r="A1837" t="str">
            <v>C2000379</v>
          </cell>
          <cell r="B1837" t="str">
            <v>Bản gang chữ nhật</v>
          </cell>
          <cell r="C1837" t="str">
            <v>Chiếc</v>
          </cell>
        </row>
        <row r="1838">
          <cell r="A1838" t="str">
            <v>C2000380</v>
          </cell>
          <cell r="B1838" t="str">
            <v>Bản gang tròn</v>
          </cell>
          <cell r="C1838" t="str">
            <v>Chiếc</v>
          </cell>
        </row>
        <row r="1839">
          <cell r="A1839" t="str">
            <v>C2000381</v>
          </cell>
          <cell r="B1839" t="str">
            <v>Bát cháo có nắp cũ</v>
          </cell>
          <cell r="C1839" t="str">
            <v>Chiếc</v>
          </cell>
        </row>
        <row r="1840">
          <cell r="A1840" t="str">
            <v>C2000382</v>
          </cell>
          <cell r="B1840" t="str">
            <v>Bát để muôi lẩu</v>
          </cell>
          <cell r="C1840" t="str">
            <v>Chiếc</v>
          </cell>
        </row>
        <row r="1841">
          <cell r="A1841" t="str">
            <v>C2000383</v>
          </cell>
          <cell r="B1841" t="str">
            <v>Bát tô cũ</v>
          </cell>
          <cell r="C1841" t="str">
            <v>Chiếc</v>
          </cell>
        </row>
        <row r="1842">
          <cell r="A1842" t="str">
            <v>C2000384</v>
          </cell>
          <cell r="B1842" t="str">
            <v>Bát thố đen đựng cơm</v>
          </cell>
          <cell r="C1842" t="str">
            <v>Chiếc</v>
          </cell>
        </row>
        <row r="1843">
          <cell r="A1843" t="str">
            <v>C2000385</v>
          </cell>
          <cell r="B1843" t="str">
            <v>Bếp từ</v>
          </cell>
          <cell r="C1843" t="str">
            <v>Chiếc</v>
          </cell>
        </row>
        <row r="1844">
          <cell r="A1844" t="str">
            <v>C2000386</v>
          </cell>
          <cell r="B1844" t="str">
            <v>Ca nhựa 5L</v>
          </cell>
          <cell r="C1844" t="str">
            <v>Chiếc</v>
          </cell>
        </row>
        <row r="1845">
          <cell r="A1845" t="str">
            <v>C2000387</v>
          </cell>
          <cell r="B1845" t="str">
            <v>Cốc đen đựng giấy</v>
          </cell>
          <cell r="C1845" t="str">
            <v>Chiếc</v>
          </cell>
        </row>
        <row r="1846">
          <cell r="A1846" t="str">
            <v>C2000388</v>
          </cell>
          <cell r="B1846" t="str">
            <v>Cốc đựng sữa chua</v>
          </cell>
          <cell r="C1846" t="str">
            <v>Chiếc</v>
          </cell>
        </row>
        <row r="1847">
          <cell r="A1847" t="str">
            <v>C2000389</v>
          </cell>
          <cell r="B1847" t="str">
            <v>Cốc thủy tinh đựng giấy</v>
          </cell>
          <cell r="C1847" t="str">
            <v>Chiếc</v>
          </cell>
        </row>
        <row r="1848">
          <cell r="A1848" t="str">
            <v>C2000390</v>
          </cell>
          <cell r="B1848" t="str">
            <v>Chảo gang P45</v>
          </cell>
          <cell r="C1848" t="str">
            <v>Chiếc</v>
          </cell>
        </row>
        <row r="1849">
          <cell r="A1849" t="str">
            <v>C2000391</v>
          </cell>
          <cell r="B1849" t="str">
            <v>Chao lỳ cán gỗ</v>
          </cell>
          <cell r="C1849" t="str">
            <v>Chiếc</v>
          </cell>
        </row>
        <row r="1850">
          <cell r="A1850" t="str">
            <v>C2000392</v>
          </cell>
          <cell r="B1850" t="str">
            <v>Chảo nhôm P60</v>
          </cell>
          <cell r="C1850" t="str">
            <v>Chiếc</v>
          </cell>
        </row>
        <row r="1851">
          <cell r="A1851" t="str">
            <v>C2000393</v>
          </cell>
          <cell r="B1851" t="str">
            <v>Chảo thép P60</v>
          </cell>
          <cell r="C1851" t="str">
            <v>Chiếc</v>
          </cell>
        </row>
        <row r="1852">
          <cell r="A1852" t="str">
            <v>C2000394</v>
          </cell>
          <cell r="B1852" t="str">
            <v>Đĩa đen 2 ngăn</v>
          </cell>
          <cell r="C1852" t="str">
            <v>Chiếc</v>
          </cell>
        </row>
        <row r="1853">
          <cell r="A1853" t="str">
            <v>C2000395</v>
          </cell>
          <cell r="B1853" t="str">
            <v>Đĩa đen cũ</v>
          </cell>
          <cell r="C1853" t="str">
            <v>Chiếc</v>
          </cell>
        </row>
        <row r="1854">
          <cell r="A1854" t="str">
            <v>C2000396</v>
          </cell>
          <cell r="B1854" t="str">
            <v>Đĩa đen vuông ( xếp rau mẹt)</v>
          </cell>
          <cell r="C1854" t="str">
            <v>Chiếc</v>
          </cell>
        </row>
        <row r="1855">
          <cell r="A1855" t="str">
            <v>C2000397</v>
          </cell>
          <cell r="B1855" t="str">
            <v>Đĩa gia vị 2 ngăn cũ</v>
          </cell>
          <cell r="C1855" t="str">
            <v>Chiếc</v>
          </cell>
        </row>
        <row r="1856">
          <cell r="A1856" t="str">
            <v>C2000398</v>
          </cell>
          <cell r="B1856" t="str">
            <v>Đũa</v>
          </cell>
          <cell r="C1856" t="str">
            <v>đôi</v>
          </cell>
        </row>
        <row r="1857">
          <cell r="A1857" t="str">
            <v>C2000399</v>
          </cell>
          <cell r="B1857" t="str">
            <v>Đũa xào</v>
          </cell>
          <cell r="C1857" t="str">
            <v>đôi</v>
          </cell>
        </row>
        <row r="1858">
          <cell r="A1858" t="str">
            <v>C2000400</v>
          </cell>
          <cell r="B1858" t="str">
            <v>Gáo múc phở</v>
          </cell>
          <cell r="C1858" t="str">
            <v>Chiếc</v>
          </cell>
        </row>
        <row r="1859">
          <cell r="A1859" t="str">
            <v>C2000401</v>
          </cell>
          <cell r="B1859" t="str">
            <v>Gạt tàn</v>
          </cell>
          <cell r="C1859" t="str">
            <v>Chiếc</v>
          </cell>
        </row>
        <row r="1860">
          <cell r="A1860" t="str">
            <v>C2000402</v>
          </cell>
          <cell r="B1860" t="str">
            <v>Gắp đá</v>
          </cell>
          <cell r="C1860" t="str">
            <v>Chiếc</v>
          </cell>
        </row>
        <row r="1861">
          <cell r="A1861" t="str">
            <v>C2000403</v>
          </cell>
          <cell r="B1861" t="str">
            <v>Giá để muôi lẩu</v>
          </cell>
          <cell r="C1861" t="str">
            <v>Chiếc</v>
          </cell>
        </row>
        <row r="1862">
          <cell r="A1862" t="str">
            <v>C2000404</v>
          </cell>
          <cell r="B1862" t="str">
            <v>Giá để nhân lẩu</v>
          </cell>
          <cell r="C1862" t="str">
            <v>Chiếc</v>
          </cell>
        </row>
        <row r="1863">
          <cell r="A1863" t="str">
            <v>C2000405</v>
          </cell>
          <cell r="B1863" t="str">
            <v>Giá đồ xôi</v>
          </cell>
          <cell r="C1863" t="str">
            <v>Chiếc</v>
          </cell>
        </row>
        <row r="1864">
          <cell r="A1864" t="str">
            <v>C2000406</v>
          </cell>
          <cell r="B1864" t="str">
            <v>Giá hấp củ quả</v>
          </cell>
          <cell r="C1864" t="str">
            <v>Chiếc</v>
          </cell>
        </row>
        <row r="1865">
          <cell r="A1865" t="str">
            <v>C2000407</v>
          </cell>
          <cell r="B1865" t="str">
            <v>Hộp nhựa SL 15L</v>
          </cell>
          <cell r="C1865" t="str">
            <v>Chiếc</v>
          </cell>
        </row>
        <row r="1866">
          <cell r="A1866" t="str">
            <v>C2000408</v>
          </cell>
          <cell r="B1866" t="str">
            <v>Hộp nhựa SL 5L</v>
          </cell>
          <cell r="C1866" t="str">
            <v>Chiếc</v>
          </cell>
        </row>
        <row r="1867">
          <cell r="A1867" t="str">
            <v>C2000409</v>
          </cell>
          <cell r="B1867" t="str">
            <v>Kéo đen</v>
          </cell>
          <cell r="C1867" t="str">
            <v>Chiếc</v>
          </cell>
        </row>
        <row r="1868">
          <cell r="A1868" t="str">
            <v>C2000410</v>
          </cell>
          <cell r="B1868" t="str">
            <v>Kéo đỏ</v>
          </cell>
          <cell r="C1868" t="str">
            <v>Chiếc</v>
          </cell>
        </row>
        <row r="1869">
          <cell r="A1869" t="str">
            <v>C2000411</v>
          </cell>
          <cell r="B1869" t="str">
            <v>Kẹp xôi</v>
          </cell>
          <cell r="C1869" t="str">
            <v>Chiếc</v>
          </cell>
        </row>
        <row r="1870">
          <cell r="A1870" t="str">
            <v>C2000412</v>
          </cell>
          <cell r="B1870" t="str">
            <v>Khay bê đồ tròn</v>
          </cell>
          <cell r="C1870" t="str">
            <v>Chiếc</v>
          </cell>
        </row>
        <row r="1871">
          <cell r="A1871" t="str">
            <v>C2000413</v>
          </cell>
          <cell r="B1871" t="str">
            <v>Khay để gia vị 4 ngăn</v>
          </cell>
          <cell r="C1871" t="str">
            <v>Chiếc</v>
          </cell>
        </row>
        <row r="1872">
          <cell r="A1872" t="str">
            <v>C2000414</v>
          </cell>
          <cell r="B1872" t="str">
            <v>Khay để gia vị 6 ngăn</v>
          </cell>
          <cell r="C1872" t="str">
            <v>Chiếc</v>
          </cell>
        </row>
        <row r="1873">
          <cell r="A1873" t="str">
            <v>C2000415</v>
          </cell>
          <cell r="B1873" t="str">
            <v>Lọ đựng mắm nêm</v>
          </cell>
          <cell r="C1873" t="str">
            <v>Chiếc</v>
          </cell>
        </row>
        <row r="1874">
          <cell r="A1874" t="str">
            <v>C2000416</v>
          </cell>
          <cell r="B1874" t="str">
            <v>Lọ tăm</v>
          </cell>
          <cell r="C1874" t="str">
            <v>Chiếc</v>
          </cell>
        </row>
        <row r="1875">
          <cell r="A1875" t="str">
            <v>C2000417</v>
          </cell>
          <cell r="B1875" t="str">
            <v>Ly rượu mạnh</v>
          </cell>
          <cell r="C1875" t="str">
            <v>Chiếc</v>
          </cell>
        </row>
        <row r="1876">
          <cell r="A1876" t="str">
            <v>C2000418</v>
          </cell>
          <cell r="B1876" t="str">
            <v>Muôi lẩu lành</v>
          </cell>
          <cell r="C1876" t="str">
            <v>Chiếc</v>
          </cell>
        </row>
        <row r="1877">
          <cell r="A1877" t="str">
            <v>C2000419</v>
          </cell>
          <cell r="B1877" t="str">
            <v>Muôi lẩu thủng to</v>
          </cell>
          <cell r="C1877" t="str">
            <v>Chiếc</v>
          </cell>
        </row>
        <row r="1878">
          <cell r="A1878" t="str">
            <v>C2000420</v>
          </cell>
          <cell r="B1878" t="str">
            <v>Muôi xào thủng</v>
          </cell>
          <cell r="C1878" t="str">
            <v>Chiếc</v>
          </cell>
        </row>
        <row r="1879">
          <cell r="A1879" t="str">
            <v>C2000421</v>
          </cell>
          <cell r="B1879" t="str">
            <v>Nậm rượu</v>
          </cell>
          <cell r="C1879" t="str">
            <v>Chiếc</v>
          </cell>
        </row>
        <row r="1880">
          <cell r="A1880" t="str">
            <v>C2000422</v>
          </cell>
          <cell r="B1880" t="str">
            <v>Nồi gang đen</v>
          </cell>
          <cell r="C1880" t="str">
            <v>Chiếc</v>
          </cell>
        </row>
        <row r="1881">
          <cell r="A1881" t="str">
            <v>C2000423</v>
          </cell>
          <cell r="B1881" t="str">
            <v>Nồi gang trắng</v>
          </cell>
          <cell r="C1881" t="str">
            <v>Chiếc</v>
          </cell>
        </row>
        <row r="1882">
          <cell r="A1882" t="str">
            <v>C2000424</v>
          </cell>
          <cell r="B1882" t="str">
            <v>Nồi inox 40x40</v>
          </cell>
          <cell r="C1882" t="str">
            <v>Chiếc</v>
          </cell>
        </row>
        <row r="1883">
          <cell r="A1883" t="str">
            <v>C2000425</v>
          </cell>
          <cell r="B1883" t="str">
            <v>Nồi lẩu P26</v>
          </cell>
          <cell r="C1883" t="str">
            <v>Chiếc</v>
          </cell>
        </row>
        <row r="1884">
          <cell r="A1884" t="str">
            <v>C2000426</v>
          </cell>
          <cell r="B1884" t="str">
            <v>Nồi nhôm 40L</v>
          </cell>
          <cell r="C1884" t="str">
            <v>Chiếc</v>
          </cell>
        </row>
        <row r="1885">
          <cell r="A1885" t="str">
            <v>C2000427</v>
          </cell>
          <cell r="B1885" t="str">
            <v>Nồi xông hơi gang</v>
          </cell>
          <cell r="C1885" t="str">
            <v>Chiếc</v>
          </cell>
        </row>
        <row r="1886">
          <cell r="A1886" t="str">
            <v>C2000428</v>
          </cell>
          <cell r="B1886" t="str">
            <v>Nồi xông hơi trắng</v>
          </cell>
          <cell r="C1886" t="str">
            <v>Chiếc</v>
          </cell>
        </row>
        <row r="1887">
          <cell r="A1887" t="str">
            <v>C2000429</v>
          </cell>
          <cell r="B1887" t="str">
            <v>Thùng đá 125L</v>
          </cell>
          <cell r="C1887" t="str">
            <v>Chiếc</v>
          </cell>
        </row>
        <row r="1888">
          <cell r="A1888" t="str">
            <v>C2000430</v>
          </cell>
          <cell r="B1888" t="str">
            <v>Thùng rác 60L</v>
          </cell>
          <cell r="C1888" t="str">
            <v>Chiếc</v>
          </cell>
        </row>
        <row r="1889">
          <cell r="A1889" t="str">
            <v>C2000431</v>
          </cell>
          <cell r="B1889" t="str">
            <v>Xô 26 cm</v>
          </cell>
          <cell r="C1889" t="str">
            <v>Chiếc</v>
          </cell>
        </row>
        <row r="1890">
          <cell r="A1890" t="str">
            <v>C2000432</v>
          </cell>
          <cell r="B1890" t="str">
            <v>Xô 28cm</v>
          </cell>
          <cell r="C1890" t="str">
            <v>Chiếc</v>
          </cell>
        </row>
        <row r="1891">
          <cell r="A1891" t="str">
            <v>C2000433</v>
          </cell>
          <cell r="B1891" t="str">
            <v>Nồi nhôm 50L</v>
          </cell>
          <cell r="C1891" t="str">
            <v>Cái</v>
          </cell>
        </row>
        <row r="1892">
          <cell r="A1892" t="str">
            <v>C2000434</v>
          </cell>
          <cell r="B1892" t="str">
            <v>Sóng nhựa hở 1T</v>
          </cell>
          <cell r="C1892" t="str">
            <v>Cái</v>
          </cell>
        </row>
        <row r="1893">
          <cell r="A1893" t="str">
            <v>C2000435</v>
          </cell>
          <cell r="B1893" t="str">
            <v>Sóng nhựa hở 3T1</v>
          </cell>
          <cell r="C1893" t="str">
            <v>Cái</v>
          </cell>
        </row>
        <row r="1894">
          <cell r="A1894" t="str">
            <v>C2000436</v>
          </cell>
          <cell r="B1894" t="str">
            <v>Sóng nhựa hở 3T9</v>
          </cell>
          <cell r="C1894" t="str">
            <v>Cái</v>
          </cell>
        </row>
        <row r="1895">
          <cell r="A1895" t="str">
            <v>C2000437</v>
          </cell>
          <cell r="B1895" t="str">
            <v>Sóng hở 1T9</v>
          </cell>
          <cell r="C1895" t="str">
            <v>Cái</v>
          </cell>
        </row>
        <row r="1896">
          <cell r="A1896" t="str">
            <v>C2000438</v>
          </cell>
          <cell r="B1896" t="str">
            <v>Cân điện tử 250kg</v>
          </cell>
          <cell r="C1896" t="str">
            <v>Cái</v>
          </cell>
        </row>
        <row r="1897">
          <cell r="A1897" t="str">
            <v>C2000439</v>
          </cell>
          <cell r="B1897" t="str">
            <v>Bát inox P22 ( Thau)</v>
          </cell>
          <cell r="C1897" t="str">
            <v>Cái</v>
          </cell>
        </row>
        <row r="1898">
          <cell r="A1898" t="str">
            <v>C2000440</v>
          </cell>
          <cell r="B1898" t="str">
            <v>Bát inox P60 ( Thau)</v>
          </cell>
          <cell r="C1898" t="str">
            <v>Cái</v>
          </cell>
        </row>
        <row r="1899">
          <cell r="A1899" t="str">
            <v>C2000441</v>
          </cell>
          <cell r="B1899" t="str">
            <v>Rổ inox lỗ 22 cm</v>
          </cell>
          <cell r="C1899" t="str">
            <v>Cái</v>
          </cell>
        </row>
        <row r="1900">
          <cell r="A1900" t="str">
            <v>C2000442</v>
          </cell>
          <cell r="B1900" t="str">
            <v>Rổ inox lỗ 40 cm</v>
          </cell>
          <cell r="C1900" t="str">
            <v>Cái</v>
          </cell>
        </row>
        <row r="1901">
          <cell r="A1901" t="str">
            <v>C2000443</v>
          </cell>
          <cell r="B1901" t="str">
            <v>Rổ inox lỗ 60 cm</v>
          </cell>
          <cell r="C1901" t="str">
            <v>Cái</v>
          </cell>
        </row>
        <row r="1902">
          <cell r="A1902" t="str">
            <v>C2000444</v>
          </cell>
          <cell r="B1902" t="str">
            <v>Phới đánh trứng inox 10 cm</v>
          </cell>
          <cell r="C1902" t="str">
            <v>Cái</v>
          </cell>
        </row>
        <row r="1903">
          <cell r="A1903" t="str">
            <v>C2000445</v>
          </cell>
          <cell r="B1903" t="str">
            <v>Phới đánh trứng inox 12 cm</v>
          </cell>
          <cell r="C1903" t="str">
            <v>Cái</v>
          </cell>
        </row>
        <row r="1904">
          <cell r="A1904" t="str">
            <v>C2000446</v>
          </cell>
          <cell r="B1904" t="str">
            <v>Phới đánh trứng inox 16 cm</v>
          </cell>
          <cell r="C1904" t="str">
            <v>Cái</v>
          </cell>
        </row>
        <row r="1905">
          <cell r="A1905" t="str">
            <v>C2000447</v>
          </cell>
          <cell r="B1905" t="str">
            <v>Phới đánh trứng inox 22 cm</v>
          </cell>
          <cell r="C1905" t="str">
            <v>Cái</v>
          </cell>
        </row>
        <row r="1906">
          <cell r="A1906" t="str">
            <v>C2000448</v>
          </cell>
          <cell r="B1906" t="str">
            <v>Phới đánh trứng inox 18 cm</v>
          </cell>
          <cell r="C1906" t="str">
            <v>Cái</v>
          </cell>
        </row>
        <row r="1907">
          <cell r="A1907" t="str">
            <v>C2000449</v>
          </cell>
          <cell r="B1907" t="str">
            <v>Khay gỗ chữ nhật (40x26cm)</v>
          </cell>
          <cell r="C1907" t="str">
            <v>Cái</v>
          </cell>
        </row>
        <row r="1908">
          <cell r="A1908" t="str">
            <v>C2000450</v>
          </cell>
          <cell r="B1908" t="str">
            <v>Đũa hoa đào</v>
          </cell>
          <cell r="C1908" t="str">
            <v>Đôi</v>
          </cell>
        </row>
        <row r="1909">
          <cell r="A1909" t="str">
            <v>C2000451</v>
          </cell>
          <cell r="B1909" t="str">
            <v>Khay gia vị 4 rời</v>
          </cell>
          <cell r="C1909" t="str">
            <v>chiếc</v>
          </cell>
        </row>
        <row r="1910">
          <cell r="A1910" t="str">
            <v>C2000452</v>
          </cell>
          <cell r="B1910" t="str">
            <v>Ca sữa inox 1L không nắp</v>
          </cell>
          <cell r="C1910" t="str">
            <v>chiếc</v>
          </cell>
        </row>
        <row r="1911">
          <cell r="A1911" t="str">
            <v>C2000453</v>
          </cell>
          <cell r="B1911" t="str">
            <v>Cup vàng 80ml</v>
          </cell>
          <cell r="C1911" t="str">
            <v>chiếc</v>
          </cell>
        </row>
        <row r="1912">
          <cell r="A1912" t="str">
            <v>C2000454</v>
          </cell>
          <cell r="B1912" t="str">
            <v>Gáo 18</v>
          </cell>
          <cell r="C1912" t="str">
            <v>chiếc</v>
          </cell>
        </row>
        <row r="1913">
          <cell r="A1913" t="str">
            <v>C2000455</v>
          </cell>
          <cell r="B1913" t="str">
            <v>Khay CT vuông đại 1520 (51x38)</v>
          </cell>
          <cell r="C1913" t="str">
            <v>chiếc</v>
          </cell>
        </row>
        <row r="1914">
          <cell r="A1914" t="str">
            <v>C2000456</v>
          </cell>
          <cell r="B1914" t="str">
            <v>Cốc UG390</v>
          </cell>
          <cell r="C1914" t="str">
            <v>chiếc</v>
          </cell>
        </row>
        <row r="1915">
          <cell r="A1915" t="str">
            <v>C2000457</v>
          </cell>
          <cell r="B1915" t="str">
            <v>Xiên inox 20cm</v>
          </cell>
          <cell r="C1915" t="str">
            <v>chiếc</v>
          </cell>
        </row>
        <row r="1916">
          <cell r="A1916" t="str">
            <v>C2000458</v>
          </cell>
          <cell r="B1916" t="str">
            <v>Xiên bì</v>
          </cell>
          <cell r="C1916" t="str">
            <v>chiếc</v>
          </cell>
        </row>
        <row r="1917">
          <cell r="A1917" t="str">
            <v>C2000459</v>
          </cell>
          <cell r="B1917" t="str">
            <v>Chổi sơn</v>
          </cell>
          <cell r="C1917" t="str">
            <v>chiếc</v>
          </cell>
        </row>
        <row r="1918">
          <cell r="A1918" t="str">
            <v>C2000460</v>
          </cell>
          <cell r="B1918" t="str">
            <v>Vỉ hấp tre 18*18cm</v>
          </cell>
          <cell r="C1918" t="str">
            <v>chiếc</v>
          </cell>
        </row>
        <row r="1919">
          <cell r="A1919" t="str">
            <v>C2000461</v>
          </cell>
          <cell r="B1919" t="str">
            <v>Bảng mica đế gỗ A4</v>
          </cell>
          <cell r="C1919" t="str">
            <v>cái</v>
          </cell>
        </row>
        <row r="1920">
          <cell r="A1920" t="str">
            <v>C2000462</v>
          </cell>
          <cell r="B1920" t="str">
            <v>Bảng mica đế gỗ A5</v>
          </cell>
          <cell r="C1920" t="str">
            <v>cái</v>
          </cell>
        </row>
        <row r="1921">
          <cell r="A1921" t="str">
            <v>C2000463</v>
          </cell>
          <cell r="B1921" t="str">
            <v>Muôi xào cán inox</v>
          </cell>
          <cell r="C1921" t="str">
            <v>cái</v>
          </cell>
        </row>
        <row r="1922">
          <cell r="A1922" t="str">
            <v>C2000464</v>
          </cell>
          <cell r="B1922" t="str">
            <v>Chổi đót</v>
          </cell>
          <cell r="C1922" t="str">
            <v>cái</v>
          </cell>
        </row>
        <row r="1923">
          <cell r="A1923" t="str">
            <v>C2000465</v>
          </cell>
          <cell r="B1923" t="str">
            <v>Gắp than 50cm</v>
          </cell>
          <cell r="C1923" t="str">
            <v>cái</v>
          </cell>
        </row>
        <row r="1924">
          <cell r="A1924" t="str">
            <v>C2000466</v>
          </cell>
          <cell r="B1924" t="str">
            <v>Cân Nhơn Hòa 30kg</v>
          </cell>
          <cell r="C1924" t="str">
            <v>Chiếc</v>
          </cell>
        </row>
        <row r="1925">
          <cell r="A1925" t="str">
            <v>C2000467</v>
          </cell>
          <cell r="B1925" t="str">
            <v>Chảo inox 2 đáy P30</v>
          </cell>
          <cell r="C1925" t="str">
            <v>Chiếc</v>
          </cell>
        </row>
        <row r="1926">
          <cell r="A1926" t="str">
            <v>C2000468</v>
          </cell>
          <cell r="B1926" t="str">
            <v>Khay GN 1/2 325x265x100 có nắp</v>
          </cell>
          <cell r="C1926" t="str">
            <v>Cái</v>
          </cell>
        </row>
        <row r="1927">
          <cell r="A1927" t="str">
            <v>C2000469</v>
          </cell>
          <cell r="B1927" t="str">
            <v>Khay GN 1/2 325x265x200 có nắp</v>
          </cell>
          <cell r="C1927" t="str">
            <v>Cái</v>
          </cell>
        </row>
        <row r="1928">
          <cell r="A1928" t="str">
            <v>C2000470</v>
          </cell>
          <cell r="B1928" t="str">
            <v>Bình xịt sốt</v>
          </cell>
          <cell r="C1928" t="str">
            <v>Bình</v>
          </cell>
        </row>
        <row r="1929">
          <cell r="A1929" t="str">
            <v>C2000471</v>
          </cell>
          <cell r="B1929" t="str">
            <v>Hộp nhựa 2L</v>
          </cell>
          <cell r="C1929" t="str">
            <v>Chiếc</v>
          </cell>
        </row>
        <row r="1930">
          <cell r="A1930" t="str">
            <v>C2000472</v>
          </cell>
          <cell r="B1930" t="str">
            <v>Hộp nhựa 10L</v>
          </cell>
          <cell r="C1930" t="str">
            <v>Chiếc</v>
          </cell>
        </row>
        <row r="1931">
          <cell r="A1931" t="str">
            <v>C2000473</v>
          </cell>
          <cell r="B1931" t="str">
            <v>Hộp nhựa 3 Kg ( bỏ )</v>
          </cell>
          <cell r="C1931" t="str">
            <v>kg</v>
          </cell>
        </row>
        <row r="1932">
          <cell r="A1932" t="str">
            <v>C2000474</v>
          </cell>
          <cell r="B1932" t="str">
            <v>Chày đăm tiêu</v>
          </cell>
          <cell r="C1932" t="str">
            <v>Cái</v>
          </cell>
        </row>
        <row r="1933">
          <cell r="A1933" t="str">
            <v>C2000475</v>
          </cell>
          <cell r="B1933" t="str">
            <v>Vợt ray bột</v>
          </cell>
          <cell r="C1933" t="str">
            <v>Chiếc</v>
          </cell>
        </row>
        <row r="1934">
          <cell r="A1934" t="str">
            <v>C2000476</v>
          </cell>
          <cell r="B1934" t="str">
            <v>Thố tròn inox P26</v>
          </cell>
          <cell r="C1934" t="str">
            <v>Chiếc</v>
          </cell>
        </row>
        <row r="1935">
          <cell r="A1935" t="str">
            <v>C2000477</v>
          </cell>
          <cell r="B1935" t="str">
            <v>Xô inox P20</v>
          </cell>
          <cell r="C1935" t="str">
            <v>Cái</v>
          </cell>
        </row>
        <row r="1936">
          <cell r="A1936" t="str">
            <v>C2000478</v>
          </cell>
          <cell r="B1936" t="str">
            <v>Dao inox KN9</v>
          </cell>
          <cell r="C1936" t="str">
            <v>Cái</v>
          </cell>
        </row>
        <row r="1937">
          <cell r="A1937" t="str">
            <v>C2000479</v>
          </cell>
          <cell r="B1937" t="str">
            <v>Dao Thái lan 20P</v>
          </cell>
          <cell r="C1937" t="str">
            <v>Cái</v>
          </cell>
        </row>
        <row r="1938">
          <cell r="A1938" t="str">
            <v>C2000480</v>
          </cell>
          <cell r="B1938" t="str">
            <v>Dao chặt xương Nhật</v>
          </cell>
          <cell r="C1938" t="str">
            <v>Cái</v>
          </cell>
        </row>
        <row r="1939">
          <cell r="A1939" t="str">
            <v>C2000481</v>
          </cell>
          <cell r="B1939" t="str">
            <v>Bình lắc inox 280z</v>
          </cell>
          <cell r="C1939" t="str">
            <v>Cái</v>
          </cell>
        </row>
        <row r="1940">
          <cell r="A1940" t="str">
            <v>C2000482</v>
          </cell>
          <cell r="B1940" t="str">
            <v>Kẹp gắp 24cm</v>
          </cell>
          <cell r="C1940" t="str">
            <v>Cái</v>
          </cell>
        </row>
        <row r="1941">
          <cell r="A1941" t="str">
            <v>C2000483</v>
          </cell>
          <cell r="B1941" t="str">
            <v>Lọc rây inox 10cm</v>
          </cell>
          <cell r="C1941" t="str">
            <v>Cái</v>
          </cell>
        </row>
        <row r="1942">
          <cell r="A1942" t="str">
            <v>C2000484</v>
          </cell>
          <cell r="B1942" t="str">
            <v>Lọc rây inox 25cm</v>
          </cell>
          <cell r="C1942" t="str">
            <v>Cái</v>
          </cell>
        </row>
        <row r="1943">
          <cell r="A1943" t="str">
            <v>C2000485</v>
          </cell>
          <cell r="B1943" t="str">
            <v>Ca đong 1L</v>
          </cell>
          <cell r="C1943" t="str">
            <v>Chiếc</v>
          </cell>
        </row>
        <row r="1944">
          <cell r="A1944" t="str">
            <v>C2000486</v>
          </cell>
          <cell r="B1944" t="str">
            <v>Bình đựng nhựa 250ml</v>
          </cell>
          <cell r="C1944" t="str">
            <v>Cái</v>
          </cell>
        </row>
        <row r="1945">
          <cell r="A1945" t="str">
            <v>C2000487</v>
          </cell>
          <cell r="B1945" t="str">
            <v>Thớt nhựa (30*40)</v>
          </cell>
          <cell r="C1945" t="str">
            <v>Chiếc</v>
          </cell>
        </row>
        <row r="1946">
          <cell r="A1946" t="str">
            <v>C2000488</v>
          </cell>
          <cell r="B1946" t="str">
            <v>Thìa 2 đầu</v>
          </cell>
          <cell r="C1946" t="str">
            <v>Chiếc</v>
          </cell>
        </row>
        <row r="1947">
          <cell r="A1947" t="str">
            <v>C2000489</v>
          </cell>
          <cell r="B1947" t="str">
            <v>Hộp nhựa có nắp 5L</v>
          </cell>
          <cell r="C1947" t="str">
            <v>Chiếc</v>
          </cell>
        </row>
        <row r="1948">
          <cell r="A1948" t="str">
            <v>C2000490</v>
          </cell>
          <cell r="B1948" t="str">
            <v>Hộp nhựa có nắp 10L</v>
          </cell>
          <cell r="C1948" t="str">
            <v>Chiếc</v>
          </cell>
        </row>
        <row r="1949">
          <cell r="A1949" t="str">
            <v>C2000491</v>
          </cell>
          <cell r="B1949" t="str">
            <v>Dĩa sâu PV137-6</v>
          </cell>
          <cell r="C1949" t="str">
            <v>Cái</v>
          </cell>
        </row>
        <row r="1950">
          <cell r="A1950" t="str">
            <v>C2000492</v>
          </cell>
          <cell r="B1950" t="str">
            <v>Ống inox đựng ống hút</v>
          </cell>
          <cell r="C1950" t="str">
            <v>Chiếc</v>
          </cell>
        </row>
        <row r="1951">
          <cell r="A1951" t="str">
            <v>C2000493</v>
          </cell>
          <cell r="B1951" t="str">
            <v>Dĩa vuông EX850-8.5</v>
          </cell>
          <cell r="C1951" t="str">
            <v>Cái</v>
          </cell>
        </row>
        <row r="1952">
          <cell r="A1952" t="str">
            <v>C2000495</v>
          </cell>
          <cell r="B1952" t="str">
            <v>Tương 2 ngăn DV133-5.7</v>
          </cell>
          <cell r="C1952" t="str">
            <v>Chiếc</v>
          </cell>
        </row>
        <row r="1953">
          <cell r="A1953" t="str">
            <v>C2000496</v>
          </cell>
          <cell r="B1953" t="str">
            <v>Hủ tiêu</v>
          </cell>
          <cell r="C1953" t="str">
            <v>Chiếc</v>
          </cell>
        </row>
        <row r="1954">
          <cell r="A1954" t="str">
            <v>C2000497</v>
          </cell>
          <cell r="B1954" t="str">
            <v>Thuyền Oval sứ</v>
          </cell>
          <cell r="C1954" t="str">
            <v>Chiếc</v>
          </cell>
        </row>
        <row r="1955">
          <cell r="A1955" t="str">
            <v>C2000498</v>
          </cell>
          <cell r="B1955" t="str">
            <v>Bình rót nhỏ sứ</v>
          </cell>
          <cell r="C1955" t="str">
            <v>Chiếc</v>
          </cell>
        </row>
        <row r="1956">
          <cell r="A1956" t="str">
            <v>C2000499</v>
          </cell>
          <cell r="B1956" t="str">
            <v>Mâm inox</v>
          </cell>
          <cell r="C1956" t="str">
            <v>Chiếc</v>
          </cell>
        </row>
        <row r="1957">
          <cell r="A1957" t="str">
            <v>C2000500</v>
          </cell>
          <cell r="B1957" t="str">
            <v>Bát inox P35 ( Thau)</v>
          </cell>
          <cell r="C1957" t="str">
            <v>Chiếc</v>
          </cell>
        </row>
        <row r="1958">
          <cell r="A1958" t="str">
            <v>C2000501</v>
          </cell>
          <cell r="B1958" t="str">
            <v>Âu inox 1.5L ( ca mỏ có nắp )</v>
          </cell>
          <cell r="C1958" t="str">
            <v>Cái</v>
          </cell>
        </row>
        <row r="1959">
          <cell r="A1959" t="str">
            <v>C2000502</v>
          </cell>
          <cell r="B1959" t="str">
            <v>Muôi múc sốt (quầy line)</v>
          </cell>
          <cell r="C1959" t="str">
            <v>Cái</v>
          </cell>
        </row>
        <row r="1960">
          <cell r="A1960" t="str">
            <v>C2000503</v>
          </cell>
          <cell r="B1960" t="str">
            <v>Kéo phục vụ tại bàn</v>
          </cell>
          <cell r="C1960" t="str">
            <v>Cái</v>
          </cell>
        </row>
        <row r="1961">
          <cell r="A1961" t="str">
            <v>C2000504</v>
          </cell>
          <cell r="B1961" t="str">
            <v>Khay inox 35x50 cm</v>
          </cell>
          <cell r="C1961" t="str">
            <v>Cái</v>
          </cell>
        </row>
        <row r="1962">
          <cell r="A1962" t="str">
            <v>C2000506</v>
          </cell>
          <cell r="B1962" t="str">
            <v>Khay bê đồ tròn 27cm ( chống trượt )</v>
          </cell>
          <cell r="C1962" t="str">
            <v>Chiếc</v>
          </cell>
        </row>
        <row r="1963">
          <cell r="A1963" t="str">
            <v>C2000507</v>
          </cell>
          <cell r="B1963" t="str">
            <v>Thùng rác nhựa  14L ( xô xe dọn bàn)</v>
          </cell>
          <cell r="C1963" t="str">
            <v>cái</v>
          </cell>
        </row>
        <row r="1964">
          <cell r="A1964" t="str">
            <v>C2000508</v>
          </cell>
          <cell r="B1964" t="str">
            <v>Bàn bào</v>
          </cell>
          <cell r="C1964" t="str">
            <v>cái</v>
          </cell>
        </row>
        <row r="1965">
          <cell r="A1965" t="str">
            <v>C2000509</v>
          </cell>
          <cell r="B1965" t="str">
            <v>Muỗng HQ</v>
          </cell>
          <cell r="C1965" t="str">
            <v>cái</v>
          </cell>
        </row>
        <row r="1966">
          <cell r="A1966" t="str">
            <v>C2000510</v>
          </cell>
          <cell r="B1966" t="str">
            <v>Thùng rác 120L</v>
          </cell>
          <cell r="C1966" t="str">
            <v>cái</v>
          </cell>
        </row>
        <row r="1967">
          <cell r="A1967" t="str">
            <v>C2000511</v>
          </cell>
          <cell r="B1967" t="str">
            <v>Thùng rác 240L</v>
          </cell>
          <cell r="C1967" t="str">
            <v>cái</v>
          </cell>
        </row>
        <row r="1968">
          <cell r="A1968" t="str">
            <v>C2000512</v>
          </cell>
          <cell r="B1968" t="str">
            <v>Thùng rác 660L</v>
          </cell>
          <cell r="C1968" t="str">
            <v>cái</v>
          </cell>
        </row>
        <row r="1969">
          <cell r="A1969" t="str">
            <v>C2000513</v>
          </cell>
          <cell r="B1969" t="str">
            <v>Dĩa inox đựng nhân Dimsum</v>
          </cell>
          <cell r="C1969" t="str">
            <v>cái</v>
          </cell>
        </row>
        <row r="1970">
          <cell r="A1970" t="str">
            <v>C2000514</v>
          </cell>
          <cell r="B1970" t="str">
            <v>Nồi gang P24</v>
          </cell>
          <cell r="C1970" t="str">
            <v>cái</v>
          </cell>
        </row>
        <row r="1971">
          <cell r="A1971" t="str">
            <v>C2000515</v>
          </cell>
          <cell r="B1971" t="str">
            <v>Muôi lẩu thủng nhỏ</v>
          </cell>
          <cell r="C1971" t="str">
            <v>cái</v>
          </cell>
        </row>
        <row r="1972">
          <cell r="A1972" t="str">
            <v>C2000516</v>
          </cell>
          <cell r="B1972" t="str">
            <v>Thớt trắng (40/60/2)</v>
          </cell>
          <cell r="C1972" t="str">
            <v>cái</v>
          </cell>
        </row>
        <row r="1973">
          <cell r="A1973" t="str">
            <v>C2000517</v>
          </cell>
          <cell r="B1973" t="str">
            <v>Thớt đỏ (40/60/2)</v>
          </cell>
          <cell r="C1973" t="str">
            <v>cái</v>
          </cell>
        </row>
        <row r="1974">
          <cell r="A1974" t="str">
            <v>C2000518</v>
          </cell>
          <cell r="B1974" t="str">
            <v>Chõ 40cm</v>
          </cell>
          <cell r="C1974" t="str">
            <v>cái</v>
          </cell>
        </row>
        <row r="1975">
          <cell r="A1975" t="str">
            <v>C2000519</v>
          </cell>
          <cell r="B1975" t="str">
            <v>Bếp từ phẳng VNK</v>
          </cell>
          <cell r="C1975" t="str">
            <v>cái</v>
          </cell>
        </row>
        <row r="1976">
          <cell r="A1976" t="str">
            <v>C2000520</v>
          </cell>
          <cell r="B1976" t="str">
            <v>Thùng rác 45L</v>
          </cell>
          <cell r="C1976" t="str">
            <v>cái</v>
          </cell>
        </row>
        <row r="1977">
          <cell r="A1977" t="str">
            <v>C2000521</v>
          </cell>
          <cell r="B1977" t="str">
            <v>Dĩa sứ trắng hình bầu dục 25*30cm</v>
          </cell>
          <cell r="C1977" t="str">
            <v>Cái</v>
          </cell>
        </row>
        <row r="1978">
          <cell r="A1978" t="str">
            <v>C2000522</v>
          </cell>
          <cell r="B1978" t="str">
            <v>Khay xuất ăn công nghiệp có nắp đậy</v>
          </cell>
          <cell r="C1978" t="str">
            <v>Cái</v>
          </cell>
        </row>
        <row r="1979">
          <cell r="A1979" t="str">
            <v>C2000523</v>
          </cell>
          <cell r="B1979" t="str">
            <v>Đĩa DVS 19 - HRC Nhựa Melamine</v>
          </cell>
          <cell r="C1979" t="str">
            <v>Cái</v>
          </cell>
        </row>
        <row r="1980">
          <cell r="A1980" t="str">
            <v>C2000524</v>
          </cell>
          <cell r="B1980" t="str">
            <v>Đĩa Vuông Cạnh Dày 10.5 (Ctp6411-10.5)</v>
          </cell>
          <cell r="C1980" t="str">
            <v>Cái</v>
          </cell>
        </row>
        <row r="1981">
          <cell r="A1981" t="str">
            <v>C2000525</v>
          </cell>
          <cell r="B1981" t="str">
            <v>Đĩa sâu 8.8" (PV113.8.8 Plain)</v>
          </cell>
          <cell r="C1981" t="str">
            <v>Cái</v>
          </cell>
        </row>
        <row r="1982">
          <cell r="A1982" t="str">
            <v>C2000526</v>
          </cell>
          <cell r="B1982" t="str">
            <v>Ống đũa 3.5(trắng) HD156-3.5</v>
          </cell>
          <cell r="C1982" t="str">
            <v>Cái</v>
          </cell>
        </row>
        <row r="1983">
          <cell r="A1983" t="str">
            <v>C2000527</v>
          </cell>
          <cell r="B1983" t="str">
            <v>Đĩa tròn 23016 (Trắng trơn) D=40Cm</v>
          </cell>
          <cell r="C1983" t="str">
            <v>Cái</v>
          </cell>
        </row>
        <row r="1984">
          <cell r="A1984" t="str">
            <v>C2000528</v>
          </cell>
          <cell r="B1984" t="str">
            <v>Đĩa tròn 23014 (Trắng trơn) D=34Cm</v>
          </cell>
          <cell r="C1984" t="str">
            <v>Cái</v>
          </cell>
        </row>
        <row r="1985">
          <cell r="A1985" t="str">
            <v>C2000529</v>
          </cell>
          <cell r="B1985" t="str">
            <v>Khay KHV 20 HRC (Trắng)</v>
          </cell>
          <cell r="C1985" t="str">
            <v>Cái</v>
          </cell>
        </row>
        <row r="1986">
          <cell r="A1986" t="str">
            <v>C2000530</v>
          </cell>
          <cell r="B1986" t="str">
            <v>Bình thở rượu vang</v>
          </cell>
          <cell r="C1986" t="str">
            <v>Cái</v>
          </cell>
        </row>
        <row r="1987">
          <cell r="A1987" t="str">
            <v>C2000531</v>
          </cell>
          <cell r="B1987" t="str">
            <v>Pallet nhựa kho</v>
          </cell>
          <cell r="C1987" t="str">
            <v>Cái</v>
          </cell>
        </row>
        <row r="1988">
          <cell r="A1988" t="str">
            <v>C2000532</v>
          </cell>
          <cell r="B1988" t="str">
            <v>Thố đất 12cm + đế</v>
          </cell>
          <cell r="C1988" t="str">
            <v>Cái</v>
          </cell>
        </row>
        <row r="1989">
          <cell r="A1989" t="str">
            <v>C2000533</v>
          </cell>
          <cell r="B1989" t="str">
            <v>Đĩa chữ nhật P243-14 trắng</v>
          </cell>
          <cell r="C1989" t="str">
            <v>Cái</v>
          </cell>
        </row>
        <row r="1990">
          <cell r="A1990" t="str">
            <v>C2000534</v>
          </cell>
          <cell r="B1990" t="str">
            <v>Thố đúc chống dính (xài từ)</v>
          </cell>
          <cell r="C1990" t="str">
            <v>Cái</v>
          </cell>
        </row>
        <row r="1991">
          <cell r="A1991" t="str">
            <v>C2000535</v>
          </cell>
          <cell r="B1991" t="str">
            <v>Nĩa inox 2 chia mỏng</v>
          </cell>
          <cell r="C1991" t="str">
            <v>cái</v>
          </cell>
        </row>
        <row r="1992">
          <cell r="A1992" t="str">
            <v>C2000536</v>
          </cell>
          <cell r="B1992" t="str">
            <v>Đĩa tre 11 (Melamine giả tre 40cm)</v>
          </cell>
          <cell r="C1992" t="str">
            <v>Cái</v>
          </cell>
        </row>
        <row r="1993">
          <cell r="A1993" t="str">
            <v>C2000537</v>
          </cell>
          <cell r="B1993" t="str">
            <v>Đĩa tre 12 (30cm)</v>
          </cell>
          <cell r="C1993" t="str">
            <v>Cái</v>
          </cell>
        </row>
        <row r="1994">
          <cell r="A1994" t="str">
            <v>C2000538</v>
          </cell>
          <cell r="B1994" t="str">
            <v>Xửng hấp nhôm</v>
          </cell>
          <cell r="C1994" t="str">
            <v>Chiếc</v>
          </cell>
        </row>
        <row r="1995">
          <cell r="A1995" t="str">
            <v>C2000539</v>
          </cell>
          <cell r="B1995" t="str">
            <v>Ly 156-3 trắng</v>
          </cell>
          <cell r="C1995" t="str">
            <v>Chiếc</v>
          </cell>
        </row>
        <row r="1996">
          <cell r="A1996" t="str">
            <v>C2000540</v>
          </cell>
          <cell r="B1996" t="str">
            <v>Móc đôi thịt</v>
          </cell>
          <cell r="C1996" t="str">
            <v>Chiếc</v>
          </cell>
        </row>
        <row r="1997">
          <cell r="A1997" t="str">
            <v>C2000541</v>
          </cell>
          <cell r="B1997" t="str">
            <v>Vá inox</v>
          </cell>
          <cell r="C1997" t="str">
            <v>Chiếc</v>
          </cell>
        </row>
        <row r="1998">
          <cell r="A1998" t="str">
            <v>C2000542</v>
          </cell>
          <cell r="B1998" t="str">
            <v>Vỉ kẹp hộp</v>
          </cell>
          <cell r="C1998" t="str">
            <v>Chiếc</v>
          </cell>
        </row>
        <row r="1999">
          <cell r="A1999" t="str">
            <v>C2000543</v>
          </cell>
          <cell r="B1999" t="str">
            <v>Xô nhỏ xe thu dọn AF08162A</v>
          </cell>
          <cell r="C1999" t="str">
            <v>Chiếc</v>
          </cell>
        </row>
        <row r="2000">
          <cell r="A2000" t="str">
            <v>C2000544</v>
          </cell>
          <cell r="B2000" t="str">
            <v>Xô to xe thu dọn AF08162A</v>
          </cell>
          <cell r="C2000" t="str">
            <v>Chiếc</v>
          </cell>
        </row>
        <row r="2001">
          <cell r="A2001" t="str">
            <v>C2000545</v>
          </cell>
          <cell r="B2001" t="str">
            <v>Chữ Led để bàn: H</v>
          </cell>
          <cell r="C2001" t="str">
            <v>Cái</v>
          </cell>
        </row>
        <row r="2002">
          <cell r="A2002" t="str">
            <v>C2000546</v>
          </cell>
          <cell r="B2002" t="str">
            <v>Chữ Led để bàn: P</v>
          </cell>
          <cell r="C2002" t="str">
            <v>Cái</v>
          </cell>
        </row>
        <row r="2003">
          <cell r="A2003" t="str">
            <v>C2000547</v>
          </cell>
          <cell r="B2003" t="str">
            <v>Chữ Led để bàn: B</v>
          </cell>
          <cell r="C2003" t="str">
            <v>Cái</v>
          </cell>
        </row>
        <row r="2004">
          <cell r="A2004" t="str">
            <v>C2000548</v>
          </cell>
          <cell r="B2004" t="str">
            <v>Chữ Led để bàn: D</v>
          </cell>
          <cell r="C2004" t="str">
            <v>Cái</v>
          </cell>
        </row>
        <row r="2005">
          <cell r="A2005" t="str">
            <v>C2000549</v>
          </cell>
          <cell r="B2005" t="str">
            <v>Trụ bóng mica</v>
          </cell>
          <cell r="C2005" t="str">
            <v>Cái</v>
          </cell>
        </row>
        <row r="2006">
          <cell r="A2006" t="str">
            <v>C2000550</v>
          </cell>
          <cell r="B2006" t="str">
            <v>Dây chữ HPBD</v>
          </cell>
          <cell r="C2006" t="str">
            <v>Cái</v>
          </cell>
        </row>
        <row r="2007">
          <cell r="A2007" t="str">
            <v>C2000551</v>
          </cell>
          <cell r="B2007" t="str">
            <v>Mũ sinh nhật</v>
          </cell>
          <cell r="C2007" t="str">
            <v>Cái</v>
          </cell>
        </row>
        <row r="2008">
          <cell r="A2008" t="str">
            <v>C2000552</v>
          </cell>
          <cell r="B2008" t="str">
            <v>Nến xoắn</v>
          </cell>
          <cell r="C2008" t="str">
            <v>Hộp</v>
          </cell>
        </row>
        <row r="2009">
          <cell r="A2009" t="str">
            <v>C2000553</v>
          </cell>
          <cell r="B2009" t="str">
            <v>Bóng bay nhũ màu (50 cái/túi)</v>
          </cell>
          <cell r="C2009" t="str">
            <v>Túi</v>
          </cell>
        </row>
        <row r="2010">
          <cell r="A2010" t="str">
            <v>C2000554</v>
          </cell>
          <cell r="B2010" t="str">
            <v>Thẻ meca trang trí</v>
          </cell>
          <cell r="C2010" t="str">
            <v>Cái</v>
          </cell>
        </row>
        <row r="2011">
          <cell r="A2011" t="str">
            <v>C2000555</v>
          </cell>
          <cell r="B2011" t="str">
            <v>Đèn led hình trái tim</v>
          </cell>
          <cell r="C2011" t="str">
            <v>Cái</v>
          </cell>
        </row>
        <row r="2012">
          <cell r="A2012" t="str">
            <v>C2000556</v>
          </cell>
          <cell r="B2012" t="str">
            <v>Chảo nhôm D25</v>
          </cell>
          <cell r="C2012" t="str">
            <v>Cái</v>
          </cell>
        </row>
        <row r="2013">
          <cell r="A2013" t="str">
            <v>C2000557</v>
          </cell>
          <cell r="B2013" t="str">
            <v>Dế tre ( Rế tre )</v>
          </cell>
          <cell r="C2013" t="str">
            <v>Cái</v>
          </cell>
        </row>
        <row r="2014">
          <cell r="A2014" t="str">
            <v>C2000558</v>
          </cell>
          <cell r="B2014" t="str">
            <v>Đĩa vuông nhỏ DV127-9.5</v>
          </cell>
          <cell r="C2014" t="str">
            <v>Cái</v>
          </cell>
        </row>
        <row r="2015">
          <cell r="A2015" t="str">
            <v>C2000559</v>
          </cell>
          <cell r="B2015" t="str">
            <v>Bộ thố gia vị khô có nắp và muỗng nhám BL440-3.5</v>
          </cell>
          <cell r="C2015" t="str">
            <v>Cái</v>
          </cell>
        </row>
        <row r="2016">
          <cell r="A2016" t="str">
            <v>C2000560</v>
          </cell>
          <cell r="B2016" t="str">
            <v>Chén 4.3 (HD156-3.5 Trắng trơn)</v>
          </cell>
          <cell r="C2016" t="str">
            <v>Cái</v>
          </cell>
        </row>
        <row r="2017">
          <cell r="A2017" t="str">
            <v>C2000561</v>
          </cell>
          <cell r="B2017" t="str">
            <v>Đĩa tròn 6.5 (PV252-6.5 Trắng)</v>
          </cell>
          <cell r="C2017" t="str">
            <v>Cái</v>
          </cell>
        </row>
        <row r="2018">
          <cell r="A2018" t="str">
            <v>C2000562</v>
          </cell>
          <cell r="B2018" t="str">
            <v>Đĩa tròn 9.5 (PV255-9.5 Trắng trơn)</v>
          </cell>
          <cell r="C2018" t="str">
            <v>Cái</v>
          </cell>
        </row>
        <row r="2019">
          <cell r="A2019" t="str">
            <v>C2000563</v>
          </cell>
          <cell r="B2019" t="str">
            <v>Ống Tre DV132 Melamine</v>
          </cell>
          <cell r="C2019" t="str">
            <v>Cái</v>
          </cell>
        </row>
        <row r="2020">
          <cell r="A2020" t="str">
            <v>C2000564</v>
          </cell>
          <cell r="B2020" t="str">
            <v>Ly thủy tinh 645ml</v>
          </cell>
          <cell r="C2020" t="str">
            <v>Cái</v>
          </cell>
        </row>
        <row r="2021">
          <cell r="A2021" t="str">
            <v>C2000565</v>
          </cell>
          <cell r="B2021" t="str">
            <v>Khay inox đựng trái cây có lỗ 32.5*26.5*4</v>
          </cell>
          <cell r="C2021" t="str">
            <v>Cái</v>
          </cell>
        </row>
        <row r="2022">
          <cell r="A2022" t="str">
            <v>C2000566</v>
          </cell>
          <cell r="B2022" t="str">
            <v>Ly rượu CY002 (đựng panacota)</v>
          </cell>
          <cell r="C2022" t="str">
            <v>Cái</v>
          </cell>
        </row>
        <row r="2023">
          <cell r="A2023" t="str">
            <v>C2000567</v>
          </cell>
          <cell r="B2023" t="str">
            <v>Lắc inox trung</v>
          </cell>
          <cell r="C2023" t="str">
            <v>Cái</v>
          </cell>
        </row>
        <row r="2024">
          <cell r="A2024" t="str">
            <v>C2000568</v>
          </cell>
          <cell r="B2024" t="str">
            <v>Chổi chà sàn</v>
          </cell>
          <cell r="C2024" t="str">
            <v>Cái</v>
          </cell>
        </row>
        <row r="2025">
          <cell r="A2025" t="str">
            <v>C2000569</v>
          </cell>
          <cell r="B2025" t="str">
            <v>Gánh (11cm)</v>
          </cell>
          <cell r="C2025" t="str">
            <v>bộ</v>
          </cell>
        </row>
        <row r="2026">
          <cell r="A2026" t="str">
            <v>C2000570</v>
          </cell>
          <cell r="B2026" t="str">
            <v>Thố sứ trắng</v>
          </cell>
          <cell r="C2026" t="str">
            <v>bộ</v>
          </cell>
        </row>
        <row r="2027">
          <cell r="A2027" t="str">
            <v>C2000571</v>
          </cell>
          <cell r="B2027" t="str">
            <v>Thùng rác đạp chân - 30,5 x 26 x 36Cm</v>
          </cell>
          <cell r="C2027" t="str">
            <v>cái</v>
          </cell>
        </row>
        <row r="2028">
          <cell r="A2028" t="str">
            <v>C2000572</v>
          </cell>
          <cell r="B2028" t="str">
            <v>Miếng gang 24cm đế gỗ</v>
          </cell>
          <cell r="C2028" t="str">
            <v>cái</v>
          </cell>
        </row>
        <row r="2029">
          <cell r="A2029" t="str">
            <v>C2000573</v>
          </cell>
          <cell r="B2029" t="str">
            <v>Vá thợ xào inox có lỗ</v>
          </cell>
          <cell r="C2029" t="str">
            <v>Cái</v>
          </cell>
        </row>
        <row r="2030">
          <cell r="A2030" t="str">
            <v>C2000574</v>
          </cell>
          <cell r="B2030" t="str">
            <v>Vá thợ xào inox không lỗ</v>
          </cell>
          <cell r="C2030" t="str">
            <v>Cái</v>
          </cell>
        </row>
        <row r="2031">
          <cell r="A2031" t="str">
            <v>C2000575</v>
          </cell>
          <cell r="B2031" t="str">
            <v>Vá vòng có lỗ P14</v>
          </cell>
          <cell r="C2031" t="str">
            <v>Cái</v>
          </cell>
        </row>
        <row r="2032">
          <cell r="A2032" t="str">
            <v>C2000576</v>
          </cell>
          <cell r="B2032" t="str">
            <v>Vợt lọc cán đỏ 18cm</v>
          </cell>
          <cell r="C2032" t="str">
            <v>Cái</v>
          </cell>
        </row>
        <row r="2033">
          <cell r="A2033" t="str">
            <v>C2000577</v>
          </cell>
          <cell r="B2033" t="str">
            <v>Vét nhựa</v>
          </cell>
          <cell r="C2033" t="str">
            <v>Cái</v>
          </cell>
        </row>
        <row r="2034">
          <cell r="A2034" t="str">
            <v>C2000578</v>
          </cell>
          <cell r="B2034" t="str">
            <v>Kéo SK5 To</v>
          </cell>
          <cell r="C2034" t="str">
            <v>Cái</v>
          </cell>
        </row>
        <row r="2035">
          <cell r="A2035" t="str">
            <v>C2000579</v>
          </cell>
          <cell r="B2035" t="str">
            <v>Khuôn rau câu</v>
          </cell>
          <cell r="C2035" t="str">
            <v>Cái</v>
          </cell>
        </row>
        <row r="2036">
          <cell r="A2036" t="str">
            <v>C2000580</v>
          </cell>
          <cell r="B2036" t="str">
            <v>Dao 22 loại 1</v>
          </cell>
          <cell r="C2036" t="str">
            <v>Cái</v>
          </cell>
        </row>
        <row r="2037">
          <cell r="A2037" t="str">
            <v>C2000581</v>
          </cell>
          <cell r="B2037" t="str">
            <v>Chảo nhôm 60cm dày</v>
          </cell>
          <cell r="C2037" t="str">
            <v>Cái</v>
          </cell>
        </row>
        <row r="2038">
          <cell r="A2038" t="str">
            <v>C2000582</v>
          </cell>
          <cell r="B2038" t="str">
            <v>Khăn lau màu trắng</v>
          </cell>
          <cell r="C2038" t="str">
            <v>kg</v>
          </cell>
        </row>
        <row r="2039">
          <cell r="A2039" t="str">
            <v>C2000583</v>
          </cell>
          <cell r="B2039" t="str">
            <v>Xẻng hót inox</v>
          </cell>
          <cell r="C2039" t="str">
            <v>chiếc</v>
          </cell>
        </row>
        <row r="2040">
          <cell r="A2040" t="str">
            <v>C2000584</v>
          </cell>
          <cell r="B2040" t="str">
            <v>Rổ nhựa tròn 50cm</v>
          </cell>
          <cell r="C2040" t="str">
            <v>chiếc</v>
          </cell>
        </row>
        <row r="2041">
          <cell r="A2041" t="str">
            <v>C2000585</v>
          </cell>
          <cell r="B2041" t="str">
            <v>Que lấy nhân dài</v>
          </cell>
          <cell r="C2041" t="str">
            <v>chiếc</v>
          </cell>
        </row>
        <row r="2042">
          <cell r="A2042" t="str">
            <v>C2000586</v>
          </cell>
          <cell r="B2042" t="str">
            <v>Bào hành</v>
          </cell>
          <cell r="C2042" t="str">
            <v>chiếc</v>
          </cell>
        </row>
        <row r="2043">
          <cell r="A2043" t="str">
            <v>C2000587</v>
          </cell>
          <cell r="B2043" t="str">
            <v>Cân điện tử 3kg</v>
          </cell>
          <cell r="C2043" t="str">
            <v>chiếc</v>
          </cell>
        </row>
        <row r="2044">
          <cell r="A2044" t="str">
            <v>C2000588</v>
          </cell>
          <cell r="B2044" t="str">
            <v>Ly thủy tinh 1B13016</v>
          </cell>
          <cell r="C2044" t="str">
            <v>chiếc</v>
          </cell>
        </row>
        <row r="2045">
          <cell r="A2045" t="str">
            <v>C2000589</v>
          </cell>
          <cell r="B2045" t="str">
            <v>Bảng ghim (80*120cm)</v>
          </cell>
          <cell r="C2045" t="str">
            <v>chiếc</v>
          </cell>
        </row>
        <row r="2046">
          <cell r="A2046" t="str">
            <v>C2000590</v>
          </cell>
          <cell r="B2046" t="str">
            <v>Xửng tre vành inox 16cm</v>
          </cell>
          <cell r="C2046" t="str">
            <v>chiếc</v>
          </cell>
        </row>
        <row r="2047">
          <cell r="A2047" t="str">
            <v>C2000591</v>
          </cell>
          <cell r="B2047" t="str">
            <v>Xửng tre vành inox 18cm</v>
          </cell>
          <cell r="C2047" t="str">
            <v>chiếc</v>
          </cell>
        </row>
        <row r="2048">
          <cell r="A2048" t="str">
            <v>C2000592</v>
          </cell>
          <cell r="B2048" t="str">
            <v>Giẻ lau ướt thay thế standard</v>
          </cell>
          <cell r="C2048" t="str">
            <v>Cái</v>
          </cell>
        </row>
        <row r="2049">
          <cell r="A2049" t="str">
            <v>C2000593</v>
          </cell>
          <cell r="B2049" t="str">
            <v>Thùng rác 70L</v>
          </cell>
          <cell r="C2049" t="str">
            <v>Cái</v>
          </cell>
        </row>
        <row r="2050">
          <cell r="A2050" t="str">
            <v>C2000594</v>
          </cell>
          <cell r="B2050" t="str">
            <v>Đĩa CN cá song</v>
          </cell>
          <cell r="C2050" t="str">
            <v>chiếc</v>
          </cell>
        </row>
        <row r="2051">
          <cell r="A2051" t="str">
            <v>C2000595</v>
          </cell>
          <cell r="B2051" t="str">
            <v>Dây chữ HPBD nhỏ</v>
          </cell>
          <cell r="C2051" t="str">
            <v>Dây</v>
          </cell>
        </row>
        <row r="2052">
          <cell r="A2052" t="str">
            <v>C2000596</v>
          </cell>
          <cell r="B2052" t="str">
            <v>Dây chữ HPBD to</v>
          </cell>
          <cell r="C2052" t="str">
            <v>Dây</v>
          </cell>
        </row>
        <row r="2053">
          <cell r="A2053" t="str">
            <v>C2000597</v>
          </cell>
          <cell r="B2053" t="str">
            <v>Ly hoa đỏ</v>
          </cell>
          <cell r="C2053" t="str">
            <v>chiếc</v>
          </cell>
        </row>
        <row r="2054">
          <cell r="A2054" t="str">
            <v>C2000598</v>
          </cell>
          <cell r="B2054" t="str">
            <v>Thố đất</v>
          </cell>
          <cell r="C2054" t="str">
            <v>chiếc</v>
          </cell>
        </row>
        <row r="2055">
          <cell r="A2055" t="str">
            <v>C2000599</v>
          </cell>
          <cell r="B2055" t="str">
            <v>Bút đo độ mặn</v>
          </cell>
          <cell r="C2055" t="str">
            <v>Cái</v>
          </cell>
        </row>
        <row r="2056">
          <cell r="A2056" t="str">
            <v>C2000600</v>
          </cell>
          <cell r="B2056" t="str">
            <v>Khay inox đựng trái cây kín 32.5*26.5*4</v>
          </cell>
          <cell r="C2056" t="str">
            <v>Cái</v>
          </cell>
        </row>
        <row r="2057">
          <cell r="A2057" t="str">
            <v>C2000601</v>
          </cell>
          <cell r="B2057" t="str">
            <v>Dao bào phô mai inox</v>
          </cell>
          <cell r="C2057" t="str">
            <v>Cái</v>
          </cell>
        </row>
        <row r="2058">
          <cell r="A2058" t="str">
            <v>C2000602</v>
          </cell>
          <cell r="B2058" t="str">
            <v>Hủ nhựa 1 kg</v>
          </cell>
          <cell r="C2058" t="str">
            <v>Cái</v>
          </cell>
        </row>
        <row r="2059">
          <cell r="A2059" t="str">
            <v>C2000603</v>
          </cell>
          <cell r="B2059" t="str">
            <v>Hủ nhựa 2 kg</v>
          </cell>
          <cell r="C2059" t="str">
            <v>Cái</v>
          </cell>
        </row>
        <row r="2060">
          <cell r="A2060" t="str">
            <v>C2000604</v>
          </cell>
          <cell r="B2060" t="str">
            <v>Hủ nhựa 3 kg</v>
          </cell>
          <cell r="C2060" t="str">
            <v>Cái</v>
          </cell>
        </row>
        <row r="2061">
          <cell r="A2061" t="str">
            <v>C2000605</v>
          </cell>
          <cell r="B2061" t="str">
            <v>Hủ nhựa 5 kg</v>
          </cell>
          <cell r="C2061" t="str">
            <v>Cái</v>
          </cell>
        </row>
        <row r="2062">
          <cell r="A2062" t="str">
            <v>C2000606</v>
          </cell>
          <cell r="B2062" t="str">
            <v>Hủ nhựa 10 kg</v>
          </cell>
          <cell r="C2062" t="str">
            <v>Cái</v>
          </cell>
        </row>
        <row r="2063">
          <cell r="A2063" t="str">
            <v>C2000607</v>
          </cell>
          <cell r="B2063" t="str">
            <v>Dĩa sứ trắng bầu dục có vân 17*30cm</v>
          </cell>
          <cell r="C2063" t="str">
            <v>Cái</v>
          </cell>
        </row>
        <row r="2064">
          <cell r="A2064" t="str">
            <v>C2000608</v>
          </cell>
          <cell r="B2064" t="str">
            <v>Dĩa tròn Melamine DA 20</v>
          </cell>
          <cell r="C2064" t="str">
            <v>Cái</v>
          </cell>
        </row>
        <row r="2065">
          <cell r="A2065" t="str">
            <v>C2000609</v>
          </cell>
          <cell r="B2065" t="str">
            <v>Ly rượu 3002 đế vuông</v>
          </cell>
          <cell r="C2065" t="str">
            <v>Cái</v>
          </cell>
        </row>
        <row r="2066">
          <cell r="A2066" t="str">
            <v>C2000610</v>
          </cell>
          <cell r="B2066" t="str">
            <v>Muỗng canh vuông bông sen</v>
          </cell>
          <cell r="C2066" t="str">
            <v>Cái</v>
          </cell>
        </row>
        <row r="2067">
          <cell r="A2067" t="str">
            <v>C2000611</v>
          </cell>
          <cell r="B2067" t="str">
            <v>Hủ sữa chua</v>
          </cell>
          <cell r="C2067" t="str">
            <v>Cái</v>
          </cell>
        </row>
        <row r="2068">
          <cell r="A2068" t="str">
            <v>C2000612</v>
          </cell>
          <cell r="B2068" t="str">
            <v>Khay phẳng VN inox 304 sâu 6cm</v>
          </cell>
          <cell r="C2068" t="str">
            <v>Cái</v>
          </cell>
        </row>
        <row r="2069">
          <cell r="A2069" t="str">
            <v>C2000614</v>
          </cell>
          <cell r="B2069" t="str">
            <v>Cân điện tử 40kg</v>
          </cell>
          <cell r="C2069" t="str">
            <v>Cái</v>
          </cell>
        </row>
        <row r="2070">
          <cell r="A2070" t="str">
            <v>C2000615</v>
          </cell>
          <cell r="B2070" t="str">
            <v>Bảng ghim (60*80cm)</v>
          </cell>
          <cell r="C2070" t="str">
            <v>Cái</v>
          </cell>
        </row>
        <row r="2071">
          <cell r="A2071" t="str">
            <v>C2000616</v>
          </cell>
          <cell r="B2071" t="str">
            <v>Chén 5 (B166-5)</v>
          </cell>
          <cell r="C2071" t="str">
            <v>Cái</v>
          </cell>
        </row>
        <row r="2072">
          <cell r="A2072" t="str">
            <v>C2000617</v>
          </cell>
          <cell r="B2072" t="str">
            <v>Vỉ trong khay GN 1/3 cao 2.5cm</v>
          </cell>
          <cell r="C2072" t="str">
            <v>Cái</v>
          </cell>
        </row>
        <row r="2073">
          <cell r="A2073" t="str">
            <v>C2000618</v>
          </cell>
          <cell r="B2073" t="str">
            <v>Vỉ trong khay GN 1/2 cao 2.5cm</v>
          </cell>
          <cell r="C2073" t="str">
            <v>Cái</v>
          </cell>
        </row>
        <row r="2074">
          <cell r="A2074" t="str">
            <v>C2000619</v>
          </cell>
          <cell r="B2074" t="str">
            <v>Thùng rác 76L</v>
          </cell>
          <cell r="C2074" t="str">
            <v>Cái</v>
          </cell>
        </row>
        <row r="2075">
          <cell r="A2075" t="str">
            <v>C2000620</v>
          </cell>
          <cell r="B2075" t="str">
            <v>Dao chặt inox rayban</v>
          </cell>
          <cell r="C2075" t="str">
            <v>chiếc</v>
          </cell>
        </row>
        <row r="2076">
          <cell r="A2076" t="str">
            <v>C2000621</v>
          </cell>
          <cell r="B2076" t="str">
            <v>Dao EAST 8 20/34</v>
          </cell>
          <cell r="C2076" t="str">
            <v>chiếc</v>
          </cell>
        </row>
        <row r="2077">
          <cell r="A2077" t="str">
            <v>C2000622</v>
          </cell>
          <cell r="B2077" t="str">
            <v>Lọc dầu to 2 tai 25cm</v>
          </cell>
          <cell r="C2077" t="str">
            <v>chiếc</v>
          </cell>
        </row>
        <row r="2078">
          <cell r="A2078" t="str">
            <v>C2000623</v>
          </cell>
          <cell r="B2078" t="str">
            <v>Sắn củ rẻ</v>
          </cell>
          <cell r="C2078" t="str">
            <v>chiếc</v>
          </cell>
        </row>
        <row r="2079">
          <cell r="A2079" t="str">
            <v>C2000624</v>
          </cell>
          <cell r="B2079" t="str">
            <v>Nạo inox to</v>
          </cell>
          <cell r="C2079" t="str">
            <v>chiếc</v>
          </cell>
        </row>
        <row r="2080">
          <cell r="A2080" t="str">
            <v>C2000625</v>
          </cell>
          <cell r="B2080" t="str">
            <v>Môi inox 12</v>
          </cell>
          <cell r="C2080" t="str">
            <v>chiếc</v>
          </cell>
        </row>
        <row r="2081">
          <cell r="A2081" t="str">
            <v>C2000626</v>
          </cell>
          <cell r="B2081" t="str">
            <v>Lọ tương ớt 24 Trắng</v>
          </cell>
          <cell r="C2081" t="str">
            <v>chiếc</v>
          </cell>
        </row>
        <row r="2082">
          <cell r="A2082" t="str">
            <v>C2000627</v>
          </cell>
          <cell r="B2082" t="str">
            <v>Cắm bill</v>
          </cell>
          <cell r="C2082" t="str">
            <v>chiếc</v>
          </cell>
        </row>
        <row r="2083">
          <cell r="A2083" t="str">
            <v>C2000628</v>
          </cell>
          <cell r="B2083" t="str">
            <v>Giá đựng thớt</v>
          </cell>
          <cell r="C2083" t="str">
            <v>chiếc</v>
          </cell>
        </row>
        <row r="2084">
          <cell r="A2084" t="str">
            <v>C2000629</v>
          </cell>
          <cell r="B2084" t="str">
            <v>Khay 40x60 2 lớp</v>
          </cell>
          <cell r="C2084" t="str">
            <v>chiếc</v>
          </cell>
        </row>
        <row r="2085">
          <cell r="A2085" t="str">
            <v>C2000630</v>
          </cell>
          <cell r="B2085" t="str">
            <v>Công 5L 222-1 quai xanh</v>
          </cell>
          <cell r="C2085" t="str">
            <v>chiếc</v>
          </cell>
        </row>
        <row r="2086">
          <cell r="A2086" t="str">
            <v>C2000631</v>
          </cell>
          <cell r="B2086" t="str">
            <v>Hộp thực phẩm 222-2</v>
          </cell>
          <cell r="C2086" t="str">
            <v>chiếc</v>
          </cell>
        </row>
        <row r="2087">
          <cell r="A2087" t="str">
            <v>C2000632</v>
          </cell>
          <cell r="B2087" t="str">
            <v>Công 30L 5325 VN</v>
          </cell>
          <cell r="C2087" t="str">
            <v>chiếc</v>
          </cell>
        </row>
        <row r="2088">
          <cell r="A2088" t="str">
            <v>C2000633</v>
          </cell>
          <cell r="B2088" t="str">
            <v>Công 20L 2333-2 quai đỏ</v>
          </cell>
          <cell r="C2088" t="str">
            <v>chiếc</v>
          </cell>
        </row>
        <row r="2089">
          <cell r="A2089" t="str">
            <v>C2000634</v>
          </cell>
          <cell r="B2089" t="str">
            <v>Máy xay Oblin</v>
          </cell>
          <cell r="C2089" t="str">
            <v>chiếc</v>
          </cell>
        </row>
        <row r="2090">
          <cell r="A2090" t="str">
            <v>C2000635</v>
          </cell>
          <cell r="B2090" t="str">
            <v>Cọ chảo tre</v>
          </cell>
          <cell r="C2090" t="str">
            <v>chiếc</v>
          </cell>
        </row>
        <row r="2091">
          <cell r="A2091" t="str">
            <v>C2000636</v>
          </cell>
          <cell r="B2091" t="str">
            <v>Thanh od 60cm</v>
          </cell>
          <cell r="C2091" t="str">
            <v>chiếc</v>
          </cell>
        </row>
        <row r="2092">
          <cell r="A2092" t="str">
            <v>C2000637</v>
          </cell>
          <cell r="B2092" t="str">
            <v>Gài dao</v>
          </cell>
          <cell r="C2092" t="str">
            <v>chiếc</v>
          </cell>
        </row>
        <row r="2093">
          <cell r="A2093" t="str">
            <v>C2000638</v>
          </cell>
          <cell r="B2093" t="str">
            <v>Gạt nước cao su xanh</v>
          </cell>
          <cell r="C2093" t="str">
            <v>chiếc</v>
          </cell>
        </row>
        <row r="2094">
          <cell r="A2094" t="str">
            <v>C2000639</v>
          </cell>
          <cell r="B2094" t="str">
            <v>Kẹp thịt nướng 32cm</v>
          </cell>
          <cell r="C2094" t="str">
            <v>chiếc</v>
          </cell>
        </row>
        <row r="2095">
          <cell r="A2095" t="str">
            <v>C2000640</v>
          </cell>
          <cell r="B2095" t="str">
            <v>Kẹp chả dẹt 30</v>
          </cell>
          <cell r="C2095" t="str">
            <v>chiếc</v>
          </cell>
        </row>
        <row r="2096">
          <cell r="A2096" t="str">
            <v>C2000641</v>
          </cell>
          <cell r="B2096" t="str">
            <v>Thùng tròn 160L</v>
          </cell>
          <cell r="C2096" t="str">
            <v>chiếc</v>
          </cell>
        </row>
        <row r="2097">
          <cell r="A2097" t="str">
            <v>C2000642</v>
          </cell>
          <cell r="B2097" t="str">
            <v>Cây lau cô gái thái</v>
          </cell>
          <cell r="C2097" t="str">
            <v>chiếc</v>
          </cell>
        </row>
        <row r="2098">
          <cell r="A2098" t="str">
            <v>C2000643</v>
          </cell>
          <cell r="B2098" t="str">
            <v>Kéo đỏ to xịn</v>
          </cell>
          <cell r="C2098" t="str">
            <v>chiếc</v>
          </cell>
        </row>
        <row r="2099">
          <cell r="A2099" t="str">
            <v>C2000644</v>
          </cell>
          <cell r="B2099" t="str">
            <v>Rổ 3598</v>
          </cell>
          <cell r="C2099" t="str">
            <v>chiếc</v>
          </cell>
        </row>
        <row r="2100">
          <cell r="A2100" t="str">
            <v>C2000645</v>
          </cell>
          <cell r="B2100" t="str">
            <v>Công 10L 2333-1 quai xanh</v>
          </cell>
          <cell r="C2100" t="str">
            <v>chiếc</v>
          </cell>
        </row>
        <row r="2101">
          <cell r="A2101" t="str">
            <v>C2000646</v>
          </cell>
          <cell r="B2101" t="str">
            <v>Công 30L 2333-3 quai xanh</v>
          </cell>
          <cell r="C2101" t="str">
            <v>chiếc</v>
          </cell>
        </row>
        <row r="2102">
          <cell r="A2102" t="str">
            <v>C2000647</v>
          </cell>
          <cell r="B2102" t="str">
            <v>Đĩa sứ tròn 25cm</v>
          </cell>
          <cell r="C2102" t="str">
            <v>chiếc</v>
          </cell>
        </row>
        <row r="2103">
          <cell r="A2103" t="str">
            <v>C2000648</v>
          </cell>
          <cell r="B2103" t="str">
            <v>Tăm rẻ VN nhiều lỗ</v>
          </cell>
          <cell r="C2103" t="str">
            <v>chiếc</v>
          </cell>
        </row>
        <row r="2104">
          <cell r="A2104" t="str">
            <v>C2000649</v>
          </cell>
          <cell r="B2104" t="str">
            <v>Ly nhót</v>
          </cell>
          <cell r="C2104" t="str">
            <v>chiếc</v>
          </cell>
        </row>
        <row r="2105">
          <cell r="A2105" t="str">
            <v>C2000650</v>
          </cell>
          <cell r="B2105" t="str">
            <v>Bát rượu nhựa 2 tầng kèm gáo múc</v>
          </cell>
          <cell r="C2105" t="str">
            <v>chiếc</v>
          </cell>
        </row>
        <row r="2106">
          <cell r="A2106" t="str">
            <v>C2000651</v>
          </cell>
          <cell r="B2106" t="str">
            <v>Đĩa xoài sâu ảo 30cm DXA30</v>
          </cell>
          <cell r="C2106" t="str">
            <v>Cái</v>
          </cell>
        </row>
        <row r="2107">
          <cell r="A2107" t="str">
            <v>C2000652</v>
          </cell>
          <cell r="B2107" t="str">
            <v>Bình trà thủy tinh Deli-GPH27</v>
          </cell>
          <cell r="C2107" t="str">
            <v>Cái</v>
          </cell>
        </row>
        <row r="2108">
          <cell r="A2108" t="str">
            <v>C2000653</v>
          </cell>
          <cell r="B2108" t="str">
            <v>Bản gang 22cm Y2001</v>
          </cell>
          <cell r="C2108" t="str">
            <v>Cái</v>
          </cell>
        </row>
        <row r="2109">
          <cell r="A2109" t="str">
            <v>C2000654</v>
          </cell>
          <cell r="B2109" t="str">
            <v>Nắp kính nồi xông hơi gang</v>
          </cell>
          <cell r="C2109" t="str">
            <v>Cái</v>
          </cell>
        </row>
        <row r="2110">
          <cell r="A2110" t="str">
            <v>C2000655</v>
          </cell>
          <cell r="B2110" t="str">
            <v>Ô cán thẳng OCDE-30</v>
          </cell>
          <cell r="C2110" t="str">
            <v>Cái</v>
          </cell>
        </row>
        <row r="2111">
          <cell r="A2111" t="str">
            <v>C2000656</v>
          </cell>
          <cell r="B2111" t="str">
            <v>Muôi lẩu không thủng</v>
          </cell>
          <cell r="C2111" t="str">
            <v>Cái</v>
          </cell>
        </row>
        <row r="2112">
          <cell r="A2112" t="str">
            <v>C2000657</v>
          </cell>
          <cell r="B2112" t="str">
            <v>Rổ nhựa thiên nga màu xanh</v>
          </cell>
          <cell r="C2112" t="str">
            <v>Cái</v>
          </cell>
        </row>
        <row r="2113">
          <cell r="A2113" t="str">
            <v>C2000658</v>
          </cell>
          <cell r="B2113" t="str">
            <v>Lọc chanh bé</v>
          </cell>
          <cell r="C2113" t="str">
            <v>Cái</v>
          </cell>
        </row>
        <row r="2114">
          <cell r="A2114" t="str">
            <v>C2000659</v>
          </cell>
          <cell r="B2114" t="str">
            <v>Khay cắm ống hút CN</v>
          </cell>
          <cell r="C2114" t="str">
            <v>Cái</v>
          </cell>
        </row>
        <row r="2115">
          <cell r="A2115" t="str">
            <v>C2000660</v>
          </cell>
          <cell r="B2115" t="str">
            <v>Ca sữa 1L có nắp</v>
          </cell>
          <cell r="C2115" t="str">
            <v>Cái</v>
          </cell>
        </row>
        <row r="2116">
          <cell r="A2116" t="str">
            <v>C2000661</v>
          </cell>
          <cell r="B2116" t="str">
            <v>Ca sữa 600ml có nắp</v>
          </cell>
          <cell r="C2116" t="str">
            <v>Cái</v>
          </cell>
        </row>
        <row r="2117">
          <cell r="A2117" t="str">
            <v>C2000662</v>
          </cell>
          <cell r="B2117" t="str">
            <v>Chao lỳ 14 (Vợt ăn lẩu)</v>
          </cell>
          <cell r="C2117" t="str">
            <v>Cái</v>
          </cell>
        </row>
        <row r="2118">
          <cell r="A2118" t="str">
            <v>C2000663</v>
          </cell>
          <cell r="B2118" t="str">
            <v>Vỉ inox tròn (giá hấp nồi xông hơi)</v>
          </cell>
          <cell r="C2118" t="str">
            <v>Cái</v>
          </cell>
        </row>
        <row r="2119">
          <cell r="A2119" t="str">
            <v>C2000664</v>
          </cell>
          <cell r="B2119" t="str">
            <v>Vỉ inox nan đặc (vỉ đốt đá xông hơi)</v>
          </cell>
          <cell r="C2119" t="str">
            <v>Cái</v>
          </cell>
        </row>
        <row r="2120">
          <cell r="A2120" t="str">
            <v>C2000665</v>
          </cell>
          <cell r="B2120" t="str">
            <v>Đĩa tròn PV258-12 (Trắng trơn)</v>
          </cell>
          <cell r="C2120" t="str">
            <v>Cái</v>
          </cell>
        </row>
        <row r="2121">
          <cell r="A2121" t="str">
            <v>C2000666</v>
          </cell>
          <cell r="B2121" t="str">
            <v>Đĩa tương DV037-3.5 (Trắng trơn)</v>
          </cell>
          <cell r="C2121" t="str">
            <v>Cái</v>
          </cell>
        </row>
        <row r="2122">
          <cell r="A2122" t="str">
            <v>C2000667</v>
          </cell>
          <cell r="B2122" t="str">
            <v>Tô rau 7 (Trắng trơn) 0043</v>
          </cell>
          <cell r="C2122" t="str">
            <v>Cái</v>
          </cell>
        </row>
        <row r="2123">
          <cell r="A2123" t="str">
            <v>C2000668</v>
          </cell>
          <cell r="B2123" t="str">
            <v>Đĩa tròn sâu dày 9 (Nâu nhạt viền xanh dương) YSC7036</v>
          </cell>
          <cell r="C2123" t="str">
            <v>Cái</v>
          </cell>
        </row>
        <row r="2124">
          <cell r="A2124" t="str">
            <v>C2000669</v>
          </cell>
          <cell r="B2124" t="str">
            <v>Đĩa tròn sâu dày 10 (Nâu nhạt viền xanh dương) YSC7037</v>
          </cell>
          <cell r="C2124" t="str">
            <v>Cái</v>
          </cell>
        </row>
        <row r="2125">
          <cell r="A2125" t="str">
            <v>C2000670</v>
          </cell>
          <cell r="B2125" t="str">
            <v>Đĩa cạn phẳng 9 (Nâu nhạt viền xanh dương) YSC8064</v>
          </cell>
          <cell r="C2125" t="str">
            <v>Cái</v>
          </cell>
        </row>
        <row r="2126">
          <cell r="A2126" t="str">
            <v>C2000671</v>
          </cell>
          <cell r="B2126" t="str">
            <v>Đĩa chữ nhật 12.5 (Nâu nhạt viền xanh dương) YSC8045</v>
          </cell>
          <cell r="C2126" t="str">
            <v>Cái</v>
          </cell>
        </row>
        <row r="2127">
          <cell r="A2127" t="str">
            <v>C2000672</v>
          </cell>
          <cell r="B2127" t="str">
            <v>Đĩa chữ nhật 25.5*12cm (Nâu nhạt viền xanh dương) YSSC7040</v>
          </cell>
          <cell r="C2127" t="str">
            <v>Cái</v>
          </cell>
        </row>
        <row r="2128">
          <cell r="A2128" t="str">
            <v>C2000673</v>
          </cell>
          <cell r="B2128" t="str">
            <v>Nồi gang trắng nắp kính P19</v>
          </cell>
          <cell r="C2128" t="str">
            <v>Cái</v>
          </cell>
        </row>
        <row r="2129">
          <cell r="A2129" t="str">
            <v>C2000674</v>
          </cell>
          <cell r="B2129" t="str">
            <v>Đĩa tròn sâu dày 9 (Nâu nhạt viền xanh dương) YSC8030</v>
          </cell>
          <cell r="C2129" t="str">
            <v>Cái</v>
          </cell>
        </row>
        <row r="2130">
          <cell r="A2130" t="str">
            <v>C2000675</v>
          </cell>
          <cell r="B2130" t="str">
            <v>Bình đựng nước ép inox 8L</v>
          </cell>
          <cell r="C2130" t="str">
            <v>Cái</v>
          </cell>
        </row>
        <row r="2131">
          <cell r="A2131" t="str">
            <v>C2000676</v>
          </cell>
          <cell r="B2131" t="str">
            <v>Khay gang bầu dục tròn 24x16</v>
          </cell>
          <cell r="C2131" t="str">
            <v>Cái</v>
          </cell>
        </row>
        <row r="2132">
          <cell r="A2132" t="str">
            <v>C2000677</v>
          </cell>
          <cell r="B2132" t="str">
            <v>Khay đá CN 24x15cm đế gỗ</v>
          </cell>
          <cell r="C2132" t="str">
            <v>Cái</v>
          </cell>
        </row>
        <row r="2133">
          <cell r="A2133" t="str">
            <v>C2000678</v>
          </cell>
          <cell r="B2133" t="str">
            <v>Biển cảnh báo trơn trượt hình chữ A</v>
          </cell>
          <cell r="C2133" t="str">
            <v>Cái</v>
          </cell>
        </row>
        <row r="2134">
          <cell r="A2134" t="str">
            <v>C2000679</v>
          </cell>
          <cell r="B2134" t="str">
            <v>Chảo thép P40</v>
          </cell>
          <cell r="C2134" t="str">
            <v>Cái</v>
          </cell>
        </row>
        <row r="2135">
          <cell r="A2135" t="str">
            <v>C2000680</v>
          </cell>
          <cell r="B2135" t="str">
            <v>Cân điện tử 6kg</v>
          </cell>
          <cell r="C2135" t="str">
            <v>chiếc</v>
          </cell>
        </row>
        <row r="2136">
          <cell r="A2136" t="str">
            <v>C2000681</v>
          </cell>
          <cell r="B2136" t="str">
            <v>Gạt tàn 7607C</v>
          </cell>
          <cell r="C2136" t="str">
            <v>chiếc</v>
          </cell>
        </row>
        <row r="2137">
          <cell r="A2137" t="str">
            <v>C2000682</v>
          </cell>
          <cell r="B2137" t="str">
            <v>Nồi inox 30cm màu bạc (Tian Long)</v>
          </cell>
          <cell r="C2137" t="str">
            <v>chiếc</v>
          </cell>
        </row>
        <row r="2138">
          <cell r="A2138" t="str">
            <v>C2000683</v>
          </cell>
          <cell r="B2138" t="str">
            <v>Bát tay cầm 4.25 (Xanh viền nâu) YSC1062</v>
          </cell>
          <cell r="C2138" t="str">
            <v>chiếc</v>
          </cell>
        </row>
        <row r="2139">
          <cell r="A2139" t="str">
            <v>C2000684</v>
          </cell>
          <cell r="B2139" t="str">
            <v>Bộ đun inox 20cm</v>
          </cell>
          <cell r="C2139" t="str">
            <v>bộ</v>
          </cell>
        </row>
        <row r="2140">
          <cell r="A2140" t="str">
            <v>C2000685</v>
          </cell>
          <cell r="B2140" t="str">
            <v>Hũ đựng tiêu</v>
          </cell>
          <cell r="C2140" t="str">
            <v>Cái</v>
          </cell>
        </row>
        <row r="2141">
          <cell r="A2141" t="str">
            <v>C2000686</v>
          </cell>
          <cell r="B2141" t="str">
            <v>Chai đựng nước mắm</v>
          </cell>
          <cell r="C2141" t="str">
            <v>Cái</v>
          </cell>
        </row>
        <row r="2142">
          <cell r="A2142" t="str">
            <v>C2000687</v>
          </cell>
          <cell r="B2142" t="str">
            <v>Khăn lau màu đỏ</v>
          </cell>
          <cell r="C2142" t="str">
            <v>Cái</v>
          </cell>
        </row>
        <row r="2143">
          <cell r="A2143" t="str">
            <v>C2000688</v>
          </cell>
          <cell r="B2143" t="str">
            <v>Khăn lau màu xanh dương</v>
          </cell>
          <cell r="C2143" t="str">
            <v>Cái</v>
          </cell>
        </row>
        <row r="2144">
          <cell r="A2144" t="str">
            <v>C2000689</v>
          </cell>
          <cell r="B2144" t="str">
            <v>Đĩa tròn có vân PV055-7 (Trắng trơn)</v>
          </cell>
          <cell r="C2144" t="str">
            <v>Cái</v>
          </cell>
        </row>
        <row r="2145">
          <cell r="A2145" t="str">
            <v>C2000690</v>
          </cell>
          <cell r="B2145" t="str">
            <v>Tô Oval BV286-11 (Trắng)</v>
          </cell>
          <cell r="C2145" t="str">
            <v>Cái</v>
          </cell>
        </row>
        <row r="2146">
          <cell r="A2146" t="str">
            <v>C2000691</v>
          </cell>
          <cell r="B2146" t="str">
            <v>Tháp thịt bò 25cm P008-10 (Trắng)</v>
          </cell>
          <cell r="C2146" t="str">
            <v>Cái</v>
          </cell>
        </row>
        <row r="2147">
          <cell r="A2147" t="str">
            <v>C2000692</v>
          </cell>
          <cell r="B2147" t="str">
            <v>Đĩa bò triều châu HM40012.5B (Trắng) NO.YB006</v>
          </cell>
          <cell r="C2147" t="str">
            <v>Cái</v>
          </cell>
        </row>
        <row r="2148">
          <cell r="A2148" t="str">
            <v>C2000693</v>
          </cell>
          <cell r="B2148" t="str">
            <v>Khay thuyền NO.83211 (Trắng)</v>
          </cell>
          <cell r="C2148" t="str">
            <v>Cái</v>
          </cell>
        </row>
        <row r="2149">
          <cell r="A2149" t="str">
            <v>C2000694</v>
          </cell>
          <cell r="B2149" t="str">
            <v>Cắt băng dính để bàn</v>
          </cell>
          <cell r="C2149" t="str">
            <v>Cái</v>
          </cell>
        </row>
        <row r="2150">
          <cell r="A2150" t="str">
            <v>C2000695</v>
          </cell>
          <cell r="B2150" t="str">
            <v>Nồi uyên ương full bạc 26cm</v>
          </cell>
          <cell r="C2150" t="str">
            <v>Cái</v>
          </cell>
        </row>
        <row r="2151">
          <cell r="A2151" t="str">
            <v>C2000696</v>
          </cell>
          <cell r="B2151" t="str">
            <v>Nồi uyên ương viền vàng thân bạc 26cm</v>
          </cell>
          <cell r="C2151" t="str">
            <v>Cái</v>
          </cell>
        </row>
        <row r="2152">
          <cell r="A2152" t="str">
            <v>C2000697</v>
          </cell>
          <cell r="B2152" t="str">
            <v>Dao Tian Long</v>
          </cell>
          <cell r="C2152" t="str">
            <v>Cái</v>
          </cell>
        </row>
        <row r="2153">
          <cell r="A2153" t="str">
            <v>C2000698</v>
          </cell>
          <cell r="B2153" t="str">
            <v>Môi chè xoắn 7 đặc</v>
          </cell>
          <cell r="C2153" t="str">
            <v>Cái</v>
          </cell>
        </row>
        <row r="2154">
          <cell r="A2154" t="str">
            <v>C2000699</v>
          </cell>
          <cell r="B2154" t="str">
            <v>Môi chè xoắn 7 thủng</v>
          </cell>
          <cell r="C2154" t="str">
            <v>Cái</v>
          </cell>
        </row>
        <row r="2155">
          <cell r="A2155" t="str">
            <v>C2000700</v>
          </cell>
          <cell r="B2155" t="str">
            <v>Nắp khay 1/2</v>
          </cell>
          <cell r="C2155" t="str">
            <v>Cái</v>
          </cell>
        </row>
        <row r="2156">
          <cell r="A2156" t="str">
            <v>C2000701</v>
          </cell>
          <cell r="B2156" t="str">
            <v>Khay 1/3 sâu 10</v>
          </cell>
          <cell r="C2156" t="str">
            <v>Cái</v>
          </cell>
        </row>
        <row r="2157">
          <cell r="A2157" t="str">
            <v>C2000702</v>
          </cell>
          <cell r="B2157" t="str">
            <v>Nắp khay 1/3</v>
          </cell>
          <cell r="C2157" t="str">
            <v>Cái</v>
          </cell>
        </row>
        <row r="2158">
          <cell r="A2158" t="str">
            <v>C2000703</v>
          </cell>
          <cell r="B2158" t="str">
            <v>Lắc inox to</v>
          </cell>
          <cell r="C2158" t="str">
            <v>Cái</v>
          </cell>
        </row>
        <row r="2159">
          <cell r="A2159" t="str">
            <v>C2000704</v>
          </cell>
          <cell r="B2159" t="str">
            <v>Môi xào 12 cán gỗ</v>
          </cell>
          <cell r="C2159" t="str">
            <v>Cái</v>
          </cell>
        </row>
        <row r="2160">
          <cell r="A2160" t="str">
            <v>C2000705</v>
          </cell>
          <cell r="B2160" t="str">
            <v>Giá gài dao inox có móc</v>
          </cell>
          <cell r="C2160" t="str">
            <v>Cái</v>
          </cell>
        </row>
        <row r="2161">
          <cell r="A2161" t="str">
            <v>C2000706</v>
          </cell>
          <cell r="B2161" t="str">
            <v>Muôi lẩu (Tian Long)</v>
          </cell>
          <cell r="C2161" t="str">
            <v>Cái</v>
          </cell>
        </row>
        <row r="2162">
          <cell r="A2162" t="str">
            <v>C2000707</v>
          </cell>
          <cell r="B2162" t="str">
            <v>Muôi hớt bọt (Tian Long)</v>
          </cell>
          <cell r="C2162" t="str">
            <v>Cái</v>
          </cell>
        </row>
        <row r="2163">
          <cell r="A2163" t="str">
            <v>C2000708</v>
          </cell>
          <cell r="B2163" t="str">
            <v>Cốc thủy tinh KB 162-1A</v>
          </cell>
          <cell r="C2163" t="str">
            <v>Cái</v>
          </cell>
        </row>
        <row r="2164">
          <cell r="A2164" t="str">
            <v>C2000709</v>
          </cell>
          <cell r="B2164" t="str">
            <v>Bình thủy tinh GPH20</v>
          </cell>
          <cell r="C2164" t="str">
            <v>Cái</v>
          </cell>
        </row>
        <row r="2165">
          <cell r="A2165" t="str">
            <v>C2000710</v>
          </cell>
          <cell r="B2165" t="str">
            <v>Đĩa lá trắng JM-15 (34.4*9.6*2.1cm)</v>
          </cell>
          <cell r="C2165" t="str">
            <v>Cái</v>
          </cell>
        </row>
        <row r="2166">
          <cell r="A2166" t="str">
            <v>C2000711</v>
          </cell>
          <cell r="B2166" t="str">
            <v>Đĩa chữ nhật trắng JMC204 (30*10.3*2.4cm)</v>
          </cell>
          <cell r="C2166" t="str">
            <v>Cái</v>
          </cell>
        </row>
        <row r="2167">
          <cell r="A2167" t="str">
            <v>C2000712</v>
          </cell>
          <cell r="B2167" t="str">
            <v>Khay suki 9'' trắng JMC323/473-9</v>
          </cell>
          <cell r="C2167" t="str">
            <v>Cái</v>
          </cell>
        </row>
        <row r="2168">
          <cell r="A2168" t="str">
            <v>C2000713</v>
          </cell>
          <cell r="B2168" t="str">
            <v>Khay vuông trắng trơn JMC331/473-5.5 (13.5*13.5*3.5cm)</v>
          </cell>
          <cell r="C2168" t="str">
            <v>Cái</v>
          </cell>
        </row>
        <row r="2169">
          <cell r="A2169" t="str">
            <v>C2000714</v>
          </cell>
          <cell r="B2169" t="str">
            <v>Đĩa Melamin kèm chân đỡ màu đỏ (239)</v>
          </cell>
          <cell r="C2169" t="str">
            <v>Cái</v>
          </cell>
        </row>
        <row r="2170">
          <cell r="A2170" t="str">
            <v>C2000715</v>
          </cell>
          <cell r="B2170" t="str">
            <v>Thìa (Muỗng) inox cán dẹt múc gia vị (Quầy Line)</v>
          </cell>
          <cell r="C2170" t="str">
            <v>Cái</v>
          </cell>
        </row>
        <row r="2171">
          <cell r="A2171" t="str">
            <v>C2000716</v>
          </cell>
          <cell r="B2171" t="str">
            <v>Khay gỗ 1m Tian Long</v>
          </cell>
          <cell r="C2171" t="str">
            <v>Cái</v>
          </cell>
        </row>
        <row r="2172">
          <cell r="A2172" t="str">
            <v>C2000717</v>
          </cell>
          <cell r="B2172" t="str">
            <v>Khay chữ nhật (Trắng trơn) 225010</v>
          </cell>
          <cell r="C2172" t="str">
            <v>Cái</v>
          </cell>
        </row>
        <row r="2173">
          <cell r="A2173" t="str">
            <v>C2000718</v>
          </cell>
          <cell r="B2173" t="str">
            <v>Bào sợi</v>
          </cell>
          <cell r="C2173" t="str">
            <v>Cái</v>
          </cell>
        </row>
        <row r="2174">
          <cell r="A2174" t="str">
            <v>C2000719</v>
          </cell>
          <cell r="B2174" t="str">
            <v>Pallet liền khối 1 mặt</v>
          </cell>
          <cell r="C2174" t="str">
            <v>Cái</v>
          </cell>
        </row>
        <row r="2175">
          <cell r="A2175" t="str">
            <v>C2000720</v>
          </cell>
          <cell r="B2175" t="str">
            <v>Khay chữ nhật (Trắng trơn) NRP001</v>
          </cell>
          <cell r="C2175" t="str">
            <v>Cái</v>
          </cell>
        </row>
        <row r="2176">
          <cell r="A2176" t="str">
            <v>C2000721</v>
          </cell>
          <cell r="B2176" t="str">
            <v>Dĩa inox tròn 14cm vàng</v>
          </cell>
          <cell r="C2176" t="str">
            <v>Cái</v>
          </cell>
        </row>
        <row r="2177">
          <cell r="A2177" t="str">
            <v>C2000722</v>
          </cell>
          <cell r="B2177" t="str">
            <v>Chén tay cầm inox vàng</v>
          </cell>
          <cell r="C2177" t="str">
            <v>Cái</v>
          </cell>
        </row>
        <row r="2178">
          <cell r="A2178" t="str">
            <v>C2000723</v>
          </cell>
          <cell r="B2178" t="str">
            <v>Bình đựng nước lẩu Inox 2L</v>
          </cell>
          <cell r="C2178" t="str">
            <v>Cái</v>
          </cell>
        </row>
        <row r="2179">
          <cell r="A2179" t="str">
            <v>C2000724</v>
          </cell>
          <cell r="B2179" t="str">
            <v>Cốc thủy tinh lùn 290ml B00411</v>
          </cell>
          <cell r="C2179" t="str">
            <v>Cái</v>
          </cell>
        </row>
        <row r="2180">
          <cell r="A2180" t="str">
            <v>C2000725</v>
          </cell>
          <cell r="B2180" t="str">
            <v>Ấm nhôm 2L</v>
          </cell>
          <cell r="C2180" t="str">
            <v>Cái</v>
          </cell>
        </row>
        <row r="2181">
          <cell r="A2181" t="str">
            <v>C2000726</v>
          </cell>
          <cell r="B2181" t="str">
            <v>Công 90L màu ( Thùng nhựa)</v>
          </cell>
          <cell r="C2181" t="str">
            <v>Chiếc</v>
          </cell>
        </row>
        <row r="2182">
          <cell r="A2182" t="str">
            <v>C2000727</v>
          </cell>
          <cell r="B2182" t="str">
            <v>Khay bê đồ chữ nhật 36x46 (chống trượt)</v>
          </cell>
          <cell r="C2182" t="str">
            <v>Chiếc</v>
          </cell>
        </row>
        <row r="2183">
          <cell r="A2183" t="str">
            <v>C2000728</v>
          </cell>
          <cell r="B2183" t="str">
            <v>Đĩa chữ nhật 0765-10.5 265*115*19mm (Trắng viền nâu xanh dương)</v>
          </cell>
          <cell r="C2183" t="str">
            <v>Chiếc</v>
          </cell>
        </row>
        <row r="2184">
          <cell r="A2184" t="str">
            <v>C2000729</v>
          </cell>
          <cell r="B2184" t="str">
            <v>Đĩa tròn 028-10 250*22mm (Trắng viền nâu xanh dương)</v>
          </cell>
          <cell r="C2184" t="str">
            <v>Chiếc</v>
          </cell>
        </row>
        <row r="2185">
          <cell r="A2185" t="str">
            <v>C2000730</v>
          </cell>
          <cell r="B2185" t="str">
            <v>Đĩa chữ nhật có cạnh 470-12 310*173*23mm (Trắng viền nâu xanh dương)</v>
          </cell>
          <cell r="C2185" t="str">
            <v>Chiếc</v>
          </cell>
        </row>
        <row r="2186">
          <cell r="A2186" t="str">
            <v>C2000731</v>
          </cell>
          <cell r="B2186" t="str">
            <v>Tô rau 9110 174*170*127mm (Trắng viền nâu xanh dương)</v>
          </cell>
          <cell r="C2186" t="str">
            <v>Chiếc</v>
          </cell>
        </row>
        <row r="2187">
          <cell r="A2187" t="str">
            <v>C2000732</v>
          </cell>
          <cell r="B2187" t="str">
            <v>Đĩa tròn 028-14 355*33mm (Trắng viền nâu xanh dương)</v>
          </cell>
          <cell r="C2187" t="str">
            <v>Chiếc</v>
          </cell>
        </row>
        <row r="2188">
          <cell r="A2188" t="str">
            <v>C2000733</v>
          </cell>
          <cell r="B2188" t="str">
            <v>Đĩa tròn 026-8.5 216*23mm (Trắng viền nâu xanh dương)</v>
          </cell>
          <cell r="C2188" t="str">
            <v>Chiếc</v>
          </cell>
        </row>
        <row r="2189">
          <cell r="A2189" t="str">
            <v>C2000734</v>
          </cell>
          <cell r="B2189" t="str">
            <v>Đĩa sứ cá (Trắng)</v>
          </cell>
          <cell r="C2189" t="str">
            <v>Chiếc</v>
          </cell>
        </row>
        <row r="2190">
          <cell r="A2190" t="str">
            <v>C2000735</v>
          </cell>
          <cell r="B2190" t="str">
            <v>Mâm đồng ĐK 40 cm</v>
          </cell>
          <cell r="C2190" t="str">
            <v>Cái</v>
          </cell>
        </row>
        <row r="2191">
          <cell r="A2191" t="str">
            <v>C2000736</v>
          </cell>
          <cell r="B2191" t="str">
            <v>Khăn lau màu vàng</v>
          </cell>
          <cell r="C2191" t="str">
            <v>Cái</v>
          </cell>
        </row>
        <row r="2192">
          <cell r="A2192" t="str">
            <v>C2000737</v>
          </cell>
          <cell r="B2192" t="str">
            <v>Hộp nhựa hình trái tim có nắp</v>
          </cell>
          <cell r="C2192" t="str">
            <v>Cái</v>
          </cell>
        </row>
        <row r="2193">
          <cell r="A2193" t="str">
            <v>C2000738</v>
          </cell>
          <cell r="B2193" t="str">
            <v>Thố đất size 15 + đế</v>
          </cell>
          <cell r="C2193" t="str">
            <v>Cái</v>
          </cell>
        </row>
        <row r="2194">
          <cell r="A2194" t="str">
            <v>C2000740</v>
          </cell>
          <cell r="B2194" t="str">
            <v>Xửng tre vành inox 14cm</v>
          </cell>
          <cell r="C2194" t="str">
            <v>Cái</v>
          </cell>
        </row>
        <row r="2195">
          <cell r="A2195" t="str">
            <v>C2000741</v>
          </cell>
          <cell r="B2195" t="str">
            <v>Cốc bia thủy tinh logo Tiger</v>
          </cell>
          <cell r="C2195" t="str">
            <v>chiếc</v>
          </cell>
        </row>
        <row r="2196">
          <cell r="A2196" t="str">
            <v>C2000742</v>
          </cell>
          <cell r="B2196" t="str">
            <v>Chén rượu soju</v>
          </cell>
          <cell r="C2196" t="str">
            <v>chiếc</v>
          </cell>
        </row>
        <row r="2197">
          <cell r="A2197" t="str">
            <v>C2000743</v>
          </cell>
          <cell r="B2197" t="str">
            <v>Trụ bóng 13 nhánh kèm đế</v>
          </cell>
          <cell r="C2197" t="str">
            <v>chiếc</v>
          </cell>
        </row>
        <row r="2198">
          <cell r="A2198" t="str">
            <v>C2000744</v>
          </cell>
          <cell r="B2198" t="str">
            <v>Bộ chữ H.P.B.D+hình trái tim</v>
          </cell>
          <cell r="C2198" t="str">
            <v>bộ</v>
          </cell>
        </row>
        <row r="2199">
          <cell r="A2199" t="str">
            <v>C2000745</v>
          </cell>
          <cell r="B2199" t="str">
            <v>Nắp xửng 14cm</v>
          </cell>
          <cell r="C2199" t="str">
            <v>Cái</v>
          </cell>
        </row>
        <row r="2200">
          <cell r="A2200" t="str">
            <v>C2000746</v>
          </cell>
          <cell r="B2200" t="str">
            <v>Nắp xửng 18cm</v>
          </cell>
          <cell r="C2200" t="str">
            <v>Cái</v>
          </cell>
        </row>
        <row r="2201">
          <cell r="A2201" t="str">
            <v>C2000747</v>
          </cell>
          <cell r="B2201" t="str">
            <v>Đĩa vuông sứ CK</v>
          </cell>
          <cell r="C2201" t="str">
            <v>Cái</v>
          </cell>
        </row>
        <row r="2202">
          <cell r="A2202" t="str">
            <v>C2000748</v>
          </cell>
          <cell r="B2202" t="str">
            <v>Âu súp Minh Châu</v>
          </cell>
          <cell r="C2202" t="str">
            <v>Cái</v>
          </cell>
        </row>
        <row r="2203">
          <cell r="A2203" t="str">
            <v>C2000749</v>
          </cell>
          <cell r="B2203" t="str">
            <v>Đĩa sứ CN 20x30cm</v>
          </cell>
          <cell r="C2203" t="str">
            <v>Cái</v>
          </cell>
        </row>
        <row r="2204">
          <cell r="A2204" t="str">
            <v>C2000750</v>
          </cell>
          <cell r="B2204" t="str">
            <v>Đĩa sứ tròn 22cm</v>
          </cell>
          <cell r="C2204" t="str">
            <v>Cái</v>
          </cell>
        </row>
        <row r="2205">
          <cell r="A2205" t="str">
            <v>C2000751</v>
          </cell>
          <cell r="B2205" t="str">
            <v>Bình xịt nước</v>
          </cell>
          <cell r="C2205" t="str">
            <v>Cái</v>
          </cell>
        </row>
        <row r="2206">
          <cell r="A2206" t="str">
            <v>C2000752</v>
          </cell>
          <cell r="B2206" t="str">
            <v>Cọ ly</v>
          </cell>
          <cell r="C2206" t="str">
            <v>Cái</v>
          </cell>
        </row>
        <row r="2207">
          <cell r="A2207" t="str">
            <v>C2000753</v>
          </cell>
          <cell r="B2207" t="str">
            <v>Gạt nước cao su đen</v>
          </cell>
          <cell r="C2207" t="str">
            <v>Cái</v>
          </cell>
        </row>
        <row r="2208">
          <cell r="A2208" t="str">
            <v>C2000754</v>
          </cell>
          <cell r="B2208" t="str">
            <v>Xẻng hót đỏ</v>
          </cell>
          <cell r="C2208" t="str">
            <v>Cái</v>
          </cell>
        </row>
        <row r="2209">
          <cell r="A2209" t="str">
            <v>C2000755</v>
          </cell>
          <cell r="B2209" t="str">
            <v>Chổi cước đỏ</v>
          </cell>
          <cell r="C2209" t="str">
            <v>Cái</v>
          </cell>
        </row>
        <row r="2210">
          <cell r="A2210" t="str">
            <v>C2000756</v>
          </cell>
          <cell r="B2210" t="str">
            <v>Chổi nhựa sợi mềm màu vàng</v>
          </cell>
          <cell r="C2210" t="str">
            <v>Cái</v>
          </cell>
        </row>
        <row r="2211">
          <cell r="A2211" t="str">
            <v>C2000757</v>
          </cell>
          <cell r="B2211" t="str">
            <v>Bọt biển rửa bát</v>
          </cell>
          <cell r="C2211" t="str">
            <v>Cái</v>
          </cell>
        </row>
        <row r="2212">
          <cell r="A2212" t="str">
            <v>C2000758</v>
          </cell>
          <cell r="B2212" t="str">
            <v>Chổi quét mạng nhện</v>
          </cell>
          <cell r="C2212" t="str">
            <v>Cái</v>
          </cell>
        </row>
        <row r="2213">
          <cell r="A2213" t="str">
            <v>C2000759</v>
          </cell>
          <cell r="B2213" t="str">
            <v>Bộ bàn cán lau</v>
          </cell>
          <cell r="C2213" t="str">
            <v>Cái</v>
          </cell>
        </row>
        <row r="2214">
          <cell r="A2214" t="str">
            <v>C2000760</v>
          </cell>
          <cell r="B2214" t="str">
            <v>Cây lau sàn khô</v>
          </cell>
          <cell r="C2214" t="str">
            <v>Cái</v>
          </cell>
        </row>
        <row r="2215">
          <cell r="A2215" t="str">
            <v>C2000761</v>
          </cell>
          <cell r="B2215" t="str">
            <v>Bộ chổi xẻng 3006</v>
          </cell>
          <cell r="C2215" t="str">
            <v>bộ</v>
          </cell>
        </row>
        <row r="2216">
          <cell r="A2216" t="str">
            <v>C2000762</v>
          </cell>
          <cell r="B2216" t="str">
            <v>Bình xịt 2091</v>
          </cell>
          <cell r="C2216" t="str">
            <v>Cái</v>
          </cell>
        </row>
        <row r="2217">
          <cell r="A2217" t="str">
            <v>C2000763</v>
          </cell>
          <cell r="B2217" t="str">
            <v>Ủng cổ cao</v>
          </cell>
          <cell r="C2217" t="str">
            <v>Đôi</v>
          </cell>
        </row>
        <row r="2218">
          <cell r="A2218" t="str">
            <v>C2000764</v>
          </cell>
          <cell r="B2218" t="str">
            <v>Khuôn rau câu nhựa hình trái tim có nắp</v>
          </cell>
          <cell r="C2218" t="str">
            <v>Hộp</v>
          </cell>
        </row>
        <row r="2219">
          <cell r="A2219" t="str">
            <v>C2000765</v>
          </cell>
          <cell r="B2219" t="str">
            <v>Ấm thủy tinh</v>
          </cell>
          <cell r="C2219" t="str">
            <v>chiếc</v>
          </cell>
        </row>
        <row r="2220">
          <cell r="A2220" t="str">
            <v>C2000766</v>
          </cell>
          <cell r="B2220" t="str">
            <v>Chảo gang (bộ đĩa nhúng trần)</v>
          </cell>
          <cell r="C2220" t="str">
            <v>chiếc</v>
          </cell>
        </row>
        <row r="2221">
          <cell r="A2221" t="str">
            <v>C2000767</v>
          </cell>
          <cell r="B2221" t="str">
            <v>Chân cồn bạc (bộ đĩa nhúng trần)</v>
          </cell>
          <cell r="C2221" t="str">
            <v>chiếc</v>
          </cell>
        </row>
        <row r="2222">
          <cell r="A2222" t="str">
            <v>C2000768</v>
          </cell>
          <cell r="B2222" t="str">
            <v>Cọ bể cá 30cm</v>
          </cell>
          <cell r="C2222" t="str">
            <v>chiếc</v>
          </cell>
        </row>
        <row r="2223">
          <cell r="A2223" t="str">
            <v>C2000769</v>
          </cell>
          <cell r="B2223" t="str">
            <v>Cọ bể cá 50cm</v>
          </cell>
          <cell r="C2223" t="str">
            <v>chiếc</v>
          </cell>
        </row>
        <row r="2224">
          <cell r="A2224" t="str">
            <v>C2000770</v>
          </cell>
          <cell r="B2224" t="str">
            <v>Tấm lót sàn nhựa 40x55cm màu vàng</v>
          </cell>
          <cell r="C2224" t="str">
            <v>Cái</v>
          </cell>
        </row>
        <row r="2225">
          <cell r="A2225" t="str">
            <v>C2000771</v>
          </cell>
          <cell r="B2225" t="str">
            <v>Chảo thép TQ P40 cán gỗ</v>
          </cell>
          <cell r="C2225" t="str">
            <v>Cái</v>
          </cell>
        </row>
        <row r="2226">
          <cell r="A2226" t="str">
            <v>C2000772</v>
          </cell>
          <cell r="B2226" t="str">
            <v>Ly thủy tinh 460ml ( ly thủy tinh nước ép)</v>
          </cell>
          <cell r="C2226" t="str">
            <v>Cái</v>
          </cell>
        </row>
        <row r="2227">
          <cell r="A2227" t="str">
            <v>C2000773</v>
          </cell>
          <cell r="B2227" t="str">
            <v>Đĩa xoài sứ CK</v>
          </cell>
          <cell r="C2227" t="str">
            <v>Cái</v>
          </cell>
        </row>
        <row r="2228">
          <cell r="A2228" t="str">
            <v>C2000774</v>
          </cell>
          <cell r="B2228" t="str">
            <v>Bát Melamine 3566-5.5 (Trắng Sứ)</v>
          </cell>
          <cell r="C2228" t="str">
            <v>Cái</v>
          </cell>
        </row>
        <row r="2229">
          <cell r="A2229" t="str">
            <v>C3000001</v>
          </cell>
          <cell r="B2229" t="str">
            <v>ĐP-Áo bảo vệ</v>
          </cell>
          <cell r="C2229" t="str">
            <v>Cái</v>
          </cell>
        </row>
        <row r="2230">
          <cell r="A2230" t="str">
            <v>C3000002</v>
          </cell>
          <cell r="B2230" t="str">
            <v>ĐP-Áo NV bếp (Loại: Dài tay/trắng)</v>
          </cell>
          <cell r="C2230" t="str">
            <v>Cái</v>
          </cell>
        </row>
        <row r="2231">
          <cell r="A2231" t="str">
            <v>C3000003</v>
          </cell>
          <cell r="B2231" t="str">
            <v>ĐP-Áo bếp Dimsum</v>
          </cell>
          <cell r="C2231" t="str">
            <v>Cái</v>
          </cell>
        </row>
        <row r="2232">
          <cell r="A2232" t="str">
            <v>C3000004</v>
          </cell>
          <cell r="B2232" t="str">
            <v>ĐP-LW-Áo bếp dài tay cúc bấm inox vải kaki lụa màu trắng</v>
          </cell>
          <cell r="C2232" t="str">
            <v>Cái</v>
          </cell>
        </row>
        <row r="2233">
          <cell r="A2233" t="str">
            <v>C3000005</v>
          </cell>
          <cell r="B2233" t="str">
            <v>ĐP-Áo bếp trưởng</v>
          </cell>
          <cell r="C2233" t="str">
            <v>Cái</v>
          </cell>
        </row>
        <row r="2234">
          <cell r="A2234" t="str">
            <v>C3000006</v>
          </cell>
          <cell r="B2234" t="str">
            <v>ĐP-Áo dài lễ tân</v>
          </cell>
          <cell r="C2234" t="str">
            <v>Cái</v>
          </cell>
        </row>
        <row r="2235">
          <cell r="A2235" t="str">
            <v>C3000007</v>
          </cell>
          <cell r="B2235" t="str">
            <v>ĐP-Áo giữ nhiệt</v>
          </cell>
          <cell r="C2235" t="str">
            <v>Cái</v>
          </cell>
        </row>
        <row r="2236">
          <cell r="A2236" t="str">
            <v>C3000008</v>
          </cell>
          <cell r="B2236" t="str">
            <v>ĐP-LW-Áo nhân viên Longwang (nam/nữ)</v>
          </cell>
          <cell r="C2236" t="str">
            <v>Cái</v>
          </cell>
        </row>
        <row r="2237">
          <cell r="A2237" t="str">
            <v>C3000009</v>
          </cell>
          <cell r="B2237" t="str">
            <v>ĐP-Áo polo (áo phông) (đồng phục NV BTQM)</v>
          </cell>
          <cell r="C2237" t="str">
            <v>Cái</v>
          </cell>
        </row>
        <row r="2238">
          <cell r="A2238" t="str">
            <v>C3000010</v>
          </cell>
          <cell r="B2238" t="str">
            <v>ĐP-Khăn đồng phục</v>
          </cell>
          <cell r="C2238" t="str">
            <v>Cái</v>
          </cell>
        </row>
        <row r="2239">
          <cell r="A2239" t="str">
            <v>C3000011</v>
          </cell>
          <cell r="B2239" t="str">
            <v>Nón bếp Dimsum</v>
          </cell>
          <cell r="C2239" t="str">
            <v>Cái</v>
          </cell>
        </row>
        <row r="2240">
          <cell r="A2240" t="str">
            <v>C3000012</v>
          </cell>
          <cell r="B2240" t="str">
            <v>ĐP-Mũ bảo vệ/bếp (mũ lưỡi trai)</v>
          </cell>
          <cell r="C2240" t="str">
            <v>Cái</v>
          </cell>
        </row>
        <row r="2241">
          <cell r="A2241" t="str">
            <v>C3000013</v>
          </cell>
          <cell r="B2241" t="str">
            <v>ĐP-LW-Mũ bếp có lưới thoát khí màu trắng</v>
          </cell>
          <cell r="C2241" t="str">
            <v>Cái</v>
          </cell>
        </row>
        <row r="2242">
          <cell r="A2242" t="str">
            <v>C3000014</v>
          </cell>
          <cell r="B2242" t="str">
            <v>ĐP-Mũ nhân viên phục vụ</v>
          </cell>
          <cell r="C2242" t="str">
            <v>Cái</v>
          </cell>
        </row>
        <row r="2243">
          <cell r="A2243" t="str">
            <v>C3000015</v>
          </cell>
          <cell r="B2243" t="str">
            <v>ĐP-Quần bảo vệ</v>
          </cell>
          <cell r="C2243" t="str">
            <v>Cái</v>
          </cell>
        </row>
        <row r="2244">
          <cell r="A2244" t="str">
            <v>C3000016</v>
          </cell>
          <cell r="B2244" t="str">
            <v>ĐP-Quần bếp</v>
          </cell>
          <cell r="C2244" t="str">
            <v>Cái</v>
          </cell>
        </row>
        <row r="2245">
          <cell r="A2245" t="str">
            <v>C3000017</v>
          </cell>
          <cell r="B2245" t="str">
            <v>ĐP-Tạp dề ngắn đồng phục NV phục vụ Bò tơ</v>
          </cell>
          <cell r="C2245" t="str">
            <v>Chiếc</v>
          </cell>
        </row>
        <row r="2246">
          <cell r="A2246" t="str">
            <v>C3000018</v>
          </cell>
          <cell r="B2246" t="str">
            <v>ĐP-Tạp dề dài đồng phục bếp</v>
          </cell>
          <cell r="C2246" t="str">
            <v>Chiếc</v>
          </cell>
        </row>
        <row r="2247">
          <cell r="A2247" t="str">
            <v>C3000019</v>
          </cell>
          <cell r="B2247" t="str">
            <v>Tạp dề nhựa</v>
          </cell>
          <cell r="C2247" t="str">
            <v>Chiếc</v>
          </cell>
        </row>
        <row r="2248">
          <cell r="A2248" t="str">
            <v>C3000020</v>
          </cell>
          <cell r="B2248" t="str">
            <v>ĐP-Tạp dề Longwang</v>
          </cell>
          <cell r="C2248" t="str">
            <v>Cái</v>
          </cell>
        </row>
        <row r="2249">
          <cell r="A2249" t="str">
            <v>C3000021</v>
          </cell>
          <cell r="B2249" t="str">
            <v>ĐP-Áo sơ mi đen ASIAN (Áo BQL)</v>
          </cell>
          <cell r="C2249" t="str">
            <v>Chiếc</v>
          </cell>
        </row>
        <row r="2250">
          <cell r="A2250" t="str">
            <v>C3000022</v>
          </cell>
          <cell r="B2250" t="str">
            <v>Bộ blouse trắng nam</v>
          </cell>
          <cell r="C2250" t="str">
            <v>Cái</v>
          </cell>
        </row>
        <row r="2251">
          <cell r="A2251" t="str">
            <v>C3000023</v>
          </cell>
          <cell r="B2251" t="str">
            <v>Bộ blouse trắng nữ</v>
          </cell>
          <cell r="C2251" t="str">
            <v>Cái</v>
          </cell>
        </row>
        <row r="2252">
          <cell r="A2252" t="str">
            <v>C3000024</v>
          </cell>
          <cell r="B2252" t="str">
            <v>Khăn kho lạnh</v>
          </cell>
          <cell r="C2252" t="str">
            <v>Cái</v>
          </cell>
        </row>
        <row r="2253">
          <cell r="A2253" t="str">
            <v>C3000025</v>
          </cell>
          <cell r="B2253" t="str">
            <v>Khăn napkin trắng</v>
          </cell>
          <cell r="C2253" t="str">
            <v>Cái</v>
          </cell>
        </row>
        <row r="2254">
          <cell r="A2254" t="str">
            <v>C3000026</v>
          </cell>
          <cell r="B2254" t="str">
            <v>ĐP-Mũ nhân viên phục vụ Longwang</v>
          </cell>
          <cell r="C2254" t="str">
            <v>Cái</v>
          </cell>
        </row>
        <row r="2255">
          <cell r="A2255" t="str">
            <v>C3000027</v>
          </cell>
          <cell r="B2255" t="str">
            <v>ĐP-Sườn xám lễ tân LW</v>
          </cell>
          <cell r="C2255" t="str">
            <v>Cái</v>
          </cell>
        </row>
        <row r="2256">
          <cell r="A2256" t="str">
            <v>C3000028</v>
          </cell>
          <cell r="B2256" t="str">
            <v>Ốp Ipad (ốp tab)</v>
          </cell>
          <cell r="C2256" t="str">
            <v>Cái</v>
          </cell>
        </row>
        <row r="2257">
          <cell r="A2257" t="str">
            <v>C3000029</v>
          </cell>
          <cell r="B2257" t="str">
            <v>ĐP-Áo bếp trắng ngắn tay long wang</v>
          </cell>
          <cell r="C2257" t="str">
            <v>Cái</v>
          </cell>
        </row>
        <row r="2258">
          <cell r="A2258" t="str">
            <v>C3000030</v>
          </cell>
          <cell r="B2258" t="str">
            <v>Mũ bảo hộ CN</v>
          </cell>
          <cell r="C2258" t="str">
            <v>chiếc</v>
          </cell>
        </row>
        <row r="2259">
          <cell r="A2259" t="str">
            <v>C3000031</v>
          </cell>
          <cell r="B2259" t="str">
            <v>Quần áo bếp trắng dài tay</v>
          </cell>
          <cell r="C2259" t="str">
            <v>bộ</v>
          </cell>
        </row>
        <row r="2260">
          <cell r="A2260" t="str">
            <v>C3000032</v>
          </cell>
          <cell r="B2260" t="str">
            <v>Áo khoác Hải Sư</v>
          </cell>
          <cell r="C2260" t="str">
            <v>Cái</v>
          </cell>
        </row>
        <row r="2261">
          <cell r="A2261" t="str">
            <v>C3000033</v>
          </cell>
          <cell r="B2261" t="str">
            <v>Áo ĐP nam Hải Sư</v>
          </cell>
          <cell r="C2261" t="str">
            <v>Cái</v>
          </cell>
        </row>
        <row r="2262">
          <cell r="A2262" t="str">
            <v>C3000034</v>
          </cell>
          <cell r="B2262" t="str">
            <v>Áo ĐP nữ Hải Sư</v>
          </cell>
          <cell r="C2262" t="str">
            <v>Cái</v>
          </cell>
        </row>
        <row r="2263">
          <cell r="A2263" t="str">
            <v>C3000035</v>
          </cell>
          <cell r="B2263" t="str">
            <v>Mũ tai bèo Hải Sư</v>
          </cell>
          <cell r="C2263" t="str">
            <v>Cái</v>
          </cell>
        </row>
        <row r="2264">
          <cell r="A2264" t="str">
            <v>C3000036</v>
          </cell>
          <cell r="B2264" t="str">
            <v>ĐP-Áo sơ mi trắng NV in logo bò tơ</v>
          </cell>
          <cell r="C2264" t="str">
            <v>Cái</v>
          </cell>
        </row>
        <row r="2265">
          <cell r="A2265" t="str">
            <v>C3000037</v>
          </cell>
          <cell r="B2265" t="str">
            <v>ĐP-Huy hiệu Aladdin</v>
          </cell>
          <cell r="C2265" t="str">
            <v>Cái</v>
          </cell>
        </row>
        <row r="2266">
          <cell r="A2266" t="str">
            <v>C3000038</v>
          </cell>
          <cell r="B2266" t="str">
            <v>ĐP-Áo bàn Tian Long (nam)</v>
          </cell>
          <cell r="C2266" t="str">
            <v>Cái</v>
          </cell>
        </row>
        <row r="2267">
          <cell r="A2267" t="str">
            <v>C3000039</v>
          </cell>
          <cell r="B2267" t="str">
            <v>ĐP-Áo bàn Tian Long (nữ)</v>
          </cell>
          <cell r="C2267" t="str">
            <v>Cái</v>
          </cell>
        </row>
        <row r="2268">
          <cell r="A2268" t="str">
            <v>C3000040</v>
          </cell>
          <cell r="B2268" t="str">
            <v>ĐP-Tạp dề Tian Long</v>
          </cell>
          <cell r="C2268" t="str">
            <v>Cái</v>
          </cell>
        </row>
        <row r="2269">
          <cell r="A2269" t="str">
            <v>C3000041</v>
          </cell>
          <cell r="B2269" t="str">
            <v>ĐP-Áo sơ mi đen BQL Nữ</v>
          </cell>
          <cell r="C2269" t="str">
            <v>Chiếc</v>
          </cell>
        </row>
        <row r="2270">
          <cell r="A2270" t="str">
            <v>C3000042</v>
          </cell>
          <cell r="B2270" t="str">
            <v>ĐP-Áo sơ mi đen BQL Nam</v>
          </cell>
          <cell r="C2270" t="str">
            <v>Chiếc</v>
          </cell>
        </row>
        <row r="2271">
          <cell r="A2271" t="str">
            <v>C3000043</v>
          </cell>
          <cell r="B2271" t="str">
            <v>Áo blouse trắng</v>
          </cell>
          <cell r="C2271" t="str">
            <v>Chiếc</v>
          </cell>
        </row>
        <row r="2272">
          <cell r="A2272" t="str">
            <v>CCDC01</v>
          </cell>
          <cell r="B2272" t="str">
            <v>Công cụ dụng cụ test</v>
          </cell>
          <cell r="C2272" t="str">
            <v>cái</v>
          </cell>
        </row>
        <row r="2273">
          <cell r="A2273" t="str">
            <v>CHAKN003</v>
          </cell>
          <cell r="B2273" t="str">
            <v>Bò tiêu &amp; khoai tây</v>
          </cell>
          <cell r="C2273" t="str">
            <v>Đĩa</v>
          </cell>
        </row>
        <row r="2274">
          <cell r="A2274" t="str">
            <v>CHAKN004</v>
          </cell>
          <cell r="B2274" t="str">
            <v>Gà nấm (Không cơm)</v>
          </cell>
          <cell r="C2274" t="str">
            <v>Suất</v>
          </cell>
        </row>
        <row r="2275">
          <cell r="A2275" t="str">
            <v>CHAKN005</v>
          </cell>
          <cell r="B2275" t="str">
            <v>Gà quay &amp; Khoai tây</v>
          </cell>
          <cell r="C2275" t="str">
            <v>Đĩa</v>
          </cell>
        </row>
        <row r="2276">
          <cell r="A2276" t="str">
            <v>CHAKN007</v>
          </cell>
          <cell r="B2276" t="str">
            <v>Sườn chua ngọt</v>
          </cell>
          <cell r="C2276" t="str">
            <v>Suất</v>
          </cell>
        </row>
        <row r="2277">
          <cell r="A2277" t="str">
            <v>CHAKN009</v>
          </cell>
          <cell r="B2277" t="str">
            <v>Thịt kho (Không cơm)</v>
          </cell>
          <cell r="C2277" t="str">
            <v>Suất</v>
          </cell>
        </row>
        <row r="2278">
          <cell r="A2278" t="str">
            <v>CHAKN010</v>
          </cell>
          <cell r="B2278" t="str">
            <v>Xá xíu (Không cơm)</v>
          </cell>
          <cell r="C2278" t="str">
            <v>Suất</v>
          </cell>
        </row>
        <row r="2279">
          <cell r="A2279" t="str">
            <v>CHAKN011</v>
          </cell>
          <cell r="B2279" t="str">
            <v>Sườn chua ngọt (Không cơm)</v>
          </cell>
          <cell r="C2279" t="str">
            <v>Suất</v>
          </cell>
        </row>
        <row r="2280">
          <cell r="A2280" t="str">
            <v>CHAKN012</v>
          </cell>
          <cell r="B2280" t="str">
            <v>Gà rán bơ chanh (Không cơm)</v>
          </cell>
          <cell r="C2280" t="str">
            <v>Suất</v>
          </cell>
        </row>
        <row r="2281">
          <cell r="A2281" t="str">
            <v>CHAKN013</v>
          </cell>
          <cell r="B2281" t="str">
            <v>Cari (Không cơm)</v>
          </cell>
          <cell r="C2281" t="str">
            <v>Suất</v>
          </cell>
        </row>
        <row r="2282">
          <cell r="A2282" t="str">
            <v>CHAKN015</v>
          </cell>
          <cell r="B2282" t="str">
            <v>Cá kho (Không cơm)</v>
          </cell>
          <cell r="C2282" t="str">
            <v>Suất</v>
          </cell>
        </row>
        <row r="2283">
          <cell r="A2283" t="str">
            <v>CHAKN018</v>
          </cell>
          <cell r="B2283" t="str">
            <v>Tôm chiên bơ tỏi (5 con)</v>
          </cell>
          <cell r="C2283" t="str">
            <v>Đĩa</v>
          </cell>
        </row>
        <row r="2284">
          <cell r="A2284" t="str">
            <v>CHAKN019</v>
          </cell>
          <cell r="B2284" t="str">
            <v>Tôm sốt mayonnaise</v>
          </cell>
          <cell r="C2284" t="str">
            <v>Đĩa</v>
          </cell>
        </row>
        <row r="2285">
          <cell r="A2285" t="str">
            <v>CHAKN020</v>
          </cell>
          <cell r="B2285" t="str">
            <v>Tôm sốt me vị thái</v>
          </cell>
          <cell r="C2285" t="str">
            <v>Đĩa</v>
          </cell>
        </row>
        <row r="2286">
          <cell r="A2286" t="str">
            <v>CHAKN022</v>
          </cell>
          <cell r="B2286" t="str">
            <v>Canh tôm yum</v>
          </cell>
          <cell r="C2286" t="str">
            <v>Bát</v>
          </cell>
        </row>
        <row r="2287">
          <cell r="A2287" t="str">
            <v>CHAKN023</v>
          </cell>
          <cell r="B2287" t="str">
            <v>Canh thịt chua</v>
          </cell>
          <cell r="C2287" t="str">
            <v>Bát</v>
          </cell>
        </row>
        <row r="2288">
          <cell r="A2288" t="str">
            <v>CHAKN024</v>
          </cell>
          <cell r="B2288" t="str">
            <v>Canh cải</v>
          </cell>
          <cell r="C2288" t="str">
            <v>Bát</v>
          </cell>
        </row>
        <row r="2289">
          <cell r="A2289" t="str">
            <v>CHAKN025</v>
          </cell>
          <cell r="B2289" t="str">
            <v>Canh thịt chua (Suất nhỏ)</v>
          </cell>
          <cell r="C2289" t="str">
            <v>Bát</v>
          </cell>
        </row>
        <row r="2290">
          <cell r="A2290" t="str">
            <v>CHAKN026</v>
          </cell>
          <cell r="B2290" t="str">
            <v>Canh cải (Suất nhỏ)</v>
          </cell>
          <cell r="C2290" t="str">
            <v>Bát</v>
          </cell>
        </row>
        <row r="2291">
          <cell r="A2291" t="str">
            <v>CHAKN028</v>
          </cell>
          <cell r="B2291" t="str">
            <v>Cơm chảo chiên (1 bát)</v>
          </cell>
          <cell r="C2291" t="str">
            <v>Bát</v>
          </cell>
        </row>
        <row r="2292">
          <cell r="A2292" t="str">
            <v>CHAKN029</v>
          </cell>
          <cell r="B2292" t="str">
            <v>Cơm trộn</v>
          </cell>
          <cell r="C2292" t="str">
            <v>Bát</v>
          </cell>
        </row>
        <row r="2293">
          <cell r="A2293" t="str">
            <v>CHAKN031</v>
          </cell>
          <cell r="B2293" t="str">
            <v>Cơm trắng (Âu - 30)</v>
          </cell>
          <cell r="C2293" t="str">
            <v>âu</v>
          </cell>
        </row>
        <row r="2294">
          <cell r="A2294" t="str">
            <v>CHAKN032</v>
          </cell>
          <cell r="B2294" t="str">
            <v>Cơm trắng (VỀ)</v>
          </cell>
          <cell r="C2294" t="str">
            <v>Bát</v>
          </cell>
        </row>
        <row r="2295">
          <cell r="A2295" t="str">
            <v>CHAKN033</v>
          </cell>
          <cell r="B2295" t="str">
            <v>Đậu sốt cà chua</v>
          </cell>
          <cell r="C2295" t="str">
            <v>Đĩa</v>
          </cell>
        </row>
        <row r="2296">
          <cell r="A2296" t="str">
            <v>CHAKN035</v>
          </cell>
          <cell r="B2296" t="str">
            <v>Đậu chiên</v>
          </cell>
          <cell r="C2296" t="str">
            <v>Đĩa</v>
          </cell>
        </row>
        <row r="2297">
          <cell r="A2297" t="str">
            <v>CHAKN036</v>
          </cell>
          <cell r="B2297" t="str">
            <v>Trứng ốp</v>
          </cell>
          <cell r="C2297" t="str">
            <v>Quả</v>
          </cell>
        </row>
        <row r="2298">
          <cell r="A2298" t="str">
            <v>CHAKN037</v>
          </cell>
          <cell r="B2298" t="str">
            <v>Trứng hành tây</v>
          </cell>
          <cell r="C2298" t="str">
            <v>Đĩa</v>
          </cell>
        </row>
        <row r="2299">
          <cell r="A2299" t="str">
            <v>CHAKN038</v>
          </cell>
          <cell r="B2299" t="str">
            <v>Khoai tây chiên</v>
          </cell>
          <cell r="C2299" t="str">
            <v>Đĩa</v>
          </cell>
        </row>
        <row r="2300">
          <cell r="A2300" t="str">
            <v>CHAKN039</v>
          </cell>
          <cell r="B2300" t="str">
            <v>Cơm trắng</v>
          </cell>
          <cell r="C2300" t="str">
            <v>Bát</v>
          </cell>
        </row>
        <row r="2301">
          <cell r="A2301" t="str">
            <v>CHAKN040</v>
          </cell>
          <cell r="B2301" t="str">
            <v>Khăn lạnh</v>
          </cell>
          <cell r="C2301" t="str">
            <v>chiếc</v>
          </cell>
        </row>
        <row r="2302">
          <cell r="A2302" t="str">
            <v>CHAKN041</v>
          </cell>
          <cell r="B2302" t="str">
            <v>Niêu cơm cháy</v>
          </cell>
          <cell r="C2302" t="str">
            <v>Nồi</v>
          </cell>
        </row>
        <row r="2303">
          <cell r="A2303" t="str">
            <v>CHAKN043</v>
          </cell>
          <cell r="B2303" t="str">
            <v>Lạp sườn (20k)</v>
          </cell>
          <cell r="C2303" t="str">
            <v>suất</v>
          </cell>
        </row>
        <row r="2304">
          <cell r="A2304" t="str">
            <v>CHAKN044</v>
          </cell>
          <cell r="B2304" t="str">
            <v>Nấm</v>
          </cell>
          <cell r="C2304" t="str">
            <v>suất</v>
          </cell>
        </row>
        <row r="2305">
          <cell r="A2305" t="str">
            <v>CHAKN046</v>
          </cell>
          <cell r="B2305" t="str">
            <v>Sốt CN</v>
          </cell>
          <cell r="C2305" t="str">
            <v>Gram</v>
          </cell>
        </row>
        <row r="2306">
          <cell r="A2306" t="str">
            <v>CHAKN047</v>
          </cell>
          <cell r="B2306" t="str">
            <v>Sốt niêu</v>
          </cell>
          <cell r="C2306" t="str">
            <v>Gram</v>
          </cell>
        </row>
        <row r="2307">
          <cell r="A2307" t="str">
            <v>CHAKN048</v>
          </cell>
          <cell r="B2307" t="str">
            <v>Thay cơm trắng = cơm trộn</v>
          </cell>
          <cell r="C2307" t="str">
            <v>suất</v>
          </cell>
        </row>
        <row r="2308">
          <cell r="A2308" t="str">
            <v>CHAKN049</v>
          </cell>
          <cell r="B2308" t="str">
            <v>Canh cải xanh nấu thịt</v>
          </cell>
          <cell r="C2308" t="str">
            <v>Suất</v>
          </cell>
        </row>
        <row r="2309">
          <cell r="A2309" t="str">
            <v>CHAKN050</v>
          </cell>
          <cell r="B2309" t="str">
            <v>Canh chua</v>
          </cell>
          <cell r="C2309" t="str">
            <v>Suất</v>
          </cell>
        </row>
        <row r="2310">
          <cell r="A2310" t="str">
            <v>CHAKN051</v>
          </cell>
          <cell r="B2310" t="str">
            <v>Canh rong biển</v>
          </cell>
          <cell r="C2310" t="str">
            <v>Suất</v>
          </cell>
        </row>
        <row r="2311">
          <cell r="A2311" t="str">
            <v>CHAKN052</v>
          </cell>
          <cell r="B2311" t="str">
            <v>Niêu cơm trắng</v>
          </cell>
          <cell r="C2311" t="str">
            <v>Suất</v>
          </cell>
        </row>
        <row r="2312">
          <cell r="A2312" t="str">
            <v>CHAKN053</v>
          </cell>
          <cell r="B2312" t="str">
            <v>Thịt xá xíu</v>
          </cell>
          <cell r="C2312" t="str">
            <v>Suất</v>
          </cell>
        </row>
        <row r="2313">
          <cell r="A2313" t="str">
            <v>CHAKN054</v>
          </cell>
          <cell r="B2313" t="str">
            <v>Bò tiêu đen Hải Sư</v>
          </cell>
          <cell r="C2313" t="str">
            <v>Suất</v>
          </cell>
        </row>
        <row r="2314">
          <cell r="A2314" t="str">
            <v>CHAKN055</v>
          </cell>
          <cell r="B2314" t="str">
            <v>Gà xào nấm</v>
          </cell>
          <cell r="C2314" t="str">
            <v>Suất</v>
          </cell>
        </row>
        <row r="2315">
          <cell r="A2315" t="str">
            <v>CHAKN056</v>
          </cell>
          <cell r="B2315" t="str">
            <v>Lươn sốt teriyaki</v>
          </cell>
          <cell r="C2315" t="str">
            <v>Suất</v>
          </cell>
        </row>
        <row r="2316">
          <cell r="A2316" t="str">
            <v>CHAKN057</v>
          </cell>
          <cell r="B2316" t="str">
            <v>Cá hồi sốt teriyaki</v>
          </cell>
          <cell r="C2316" t="str">
            <v>Suất</v>
          </cell>
        </row>
        <row r="2317">
          <cell r="A2317" t="str">
            <v>CHAKN058</v>
          </cell>
          <cell r="B2317" t="str">
            <v>Cá hồi chiên xù</v>
          </cell>
          <cell r="C2317" t="str">
            <v>Suất</v>
          </cell>
        </row>
        <row r="2318">
          <cell r="A2318" t="str">
            <v>CHCMP001</v>
          </cell>
          <cell r="B2318" t="str">
            <v>Mỳ đùi gà tần bổ dưỡng</v>
          </cell>
          <cell r="C2318" t="str">
            <v>Suất</v>
          </cell>
        </row>
        <row r="2319">
          <cell r="A2319" t="str">
            <v>CHCMP003</v>
          </cell>
          <cell r="B2319" t="str">
            <v>Bún xào tôm</v>
          </cell>
          <cell r="C2319" t="str">
            <v>Suất</v>
          </cell>
        </row>
        <row r="2320">
          <cell r="A2320" t="str">
            <v>CHCMP004</v>
          </cell>
          <cell r="B2320" t="str">
            <v>Bún xào Sing</v>
          </cell>
          <cell r="C2320" t="str">
            <v>Suất</v>
          </cell>
        </row>
        <row r="2321">
          <cell r="A2321" t="str">
            <v>CHCMP005</v>
          </cell>
          <cell r="B2321" t="str">
            <v>Cơm rang tôm</v>
          </cell>
          <cell r="C2321" t="str">
            <v>Suất</v>
          </cell>
        </row>
        <row r="2322">
          <cell r="A2322" t="str">
            <v>CHCMP008</v>
          </cell>
          <cell r="B2322" t="str">
            <v>Cơm rang Dương Châu</v>
          </cell>
          <cell r="C2322" t="str">
            <v>Suất</v>
          </cell>
        </row>
        <row r="2323">
          <cell r="A2323" t="str">
            <v>CHCMP010</v>
          </cell>
          <cell r="B2323" t="str">
            <v>Bò bít tết và khoai tây chiên</v>
          </cell>
          <cell r="C2323" t="str">
            <v>Suất</v>
          </cell>
        </row>
        <row r="2324">
          <cell r="A2324" t="str">
            <v>CHCMP011</v>
          </cell>
          <cell r="B2324" t="str">
            <v>Cơm gà quay</v>
          </cell>
          <cell r="C2324" t="str">
            <v>Suất</v>
          </cell>
        </row>
        <row r="2325">
          <cell r="A2325" t="str">
            <v>CHCMP012</v>
          </cell>
          <cell r="B2325" t="str">
            <v>Chảo nóng bò tiêu</v>
          </cell>
          <cell r="C2325" t="str">
            <v>Suất</v>
          </cell>
        </row>
        <row r="2326">
          <cell r="A2326" t="str">
            <v>CHCMP013</v>
          </cell>
          <cell r="B2326" t="str">
            <v>Chảo nóng gà quay</v>
          </cell>
          <cell r="C2326" t="str">
            <v>Suất</v>
          </cell>
        </row>
        <row r="2327">
          <cell r="A2327" t="str">
            <v>CHCMP016</v>
          </cell>
          <cell r="B2327" t="str">
            <v>Thịt kho</v>
          </cell>
          <cell r="C2327" t="str">
            <v>Suất</v>
          </cell>
        </row>
        <row r="2328">
          <cell r="A2328" t="str">
            <v>CHCMP017</v>
          </cell>
          <cell r="B2328" t="str">
            <v>Cơm xá xíu</v>
          </cell>
          <cell r="C2328" t="str">
            <v>Suất</v>
          </cell>
        </row>
        <row r="2329">
          <cell r="A2329" t="str">
            <v>CHCMP018</v>
          </cell>
          <cell r="B2329" t="str">
            <v>Gà bơ chanh</v>
          </cell>
          <cell r="C2329" t="str">
            <v>Suất</v>
          </cell>
        </row>
        <row r="2330">
          <cell r="A2330" t="str">
            <v>CHCMP019</v>
          </cell>
          <cell r="B2330" t="str">
            <v>Cari gà</v>
          </cell>
          <cell r="C2330" t="str">
            <v>Suất</v>
          </cell>
        </row>
        <row r="2331">
          <cell r="A2331" t="str">
            <v>CHCMP020</v>
          </cell>
          <cell r="B2331" t="str">
            <v>Cơm bò bít tết</v>
          </cell>
          <cell r="C2331" t="str">
            <v>Suất</v>
          </cell>
        </row>
        <row r="2332">
          <cell r="A2332" t="str">
            <v>CHCMP021</v>
          </cell>
          <cell r="B2332" t="str">
            <v>Cơm bò tiêu đen</v>
          </cell>
          <cell r="C2332" t="str">
            <v>Suất</v>
          </cell>
        </row>
        <row r="2333">
          <cell r="A2333" t="str">
            <v>CHCMP022</v>
          </cell>
          <cell r="B2333" t="str">
            <v>Cá kho</v>
          </cell>
          <cell r="C2333" t="str">
            <v>Suất</v>
          </cell>
        </row>
        <row r="2334">
          <cell r="A2334" t="str">
            <v>CHCMP023</v>
          </cell>
          <cell r="B2334" t="str">
            <v>Tôm tiêu đen</v>
          </cell>
          <cell r="C2334" t="str">
            <v>Suất</v>
          </cell>
        </row>
        <row r="2335">
          <cell r="A2335" t="str">
            <v>CHCMP026</v>
          </cell>
          <cell r="B2335" t="str">
            <v>Cơm niêu xá xíu</v>
          </cell>
          <cell r="C2335" t="str">
            <v>Suất</v>
          </cell>
        </row>
        <row r="2336">
          <cell r="A2336" t="str">
            <v>CHCMP027</v>
          </cell>
          <cell r="B2336" t="str">
            <v>Cơm niêu bò xốt tiêu đen Hải Sư</v>
          </cell>
          <cell r="C2336" t="str">
            <v>Suất</v>
          </cell>
        </row>
        <row r="2337">
          <cell r="A2337" t="str">
            <v>CHCMP028</v>
          </cell>
          <cell r="B2337" t="str">
            <v>Cơm niêu gà nấm</v>
          </cell>
          <cell r="C2337" t="str">
            <v>Suất</v>
          </cell>
        </row>
        <row r="2338">
          <cell r="A2338" t="str">
            <v>CHCMP029</v>
          </cell>
          <cell r="B2338" t="str">
            <v>Cơm niêu lươn xốt teriyaki</v>
          </cell>
          <cell r="C2338" t="str">
            <v>Suất</v>
          </cell>
        </row>
        <row r="2339">
          <cell r="A2339" t="str">
            <v>CHCMP030</v>
          </cell>
          <cell r="B2339" t="str">
            <v>Cơm niêu cá hồi xốt teriyaki</v>
          </cell>
          <cell r="C2339" t="str">
            <v>Suất</v>
          </cell>
        </row>
        <row r="2340">
          <cell r="A2340" t="str">
            <v>CHCMP031</v>
          </cell>
          <cell r="B2340" t="str">
            <v>Cơm niêu cá hồi chiên xù</v>
          </cell>
          <cell r="C2340" t="str">
            <v>Suất</v>
          </cell>
        </row>
        <row r="2341">
          <cell r="A2341" t="str">
            <v>CHCMP032</v>
          </cell>
          <cell r="B2341" t="str">
            <v>Cơm rang xá xíu</v>
          </cell>
          <cell r="C2341" t="str">
            <v>Suất</v>
          </cell>
        </row>
        <row r="2342">
          <cell r="A2342" t="str">
            <v>CHCNI001</v>
          </cell>
          <cell r="B2342" t="str">
            <v>Niêu xá xíu</v>
          </cell>
          <cell r="C2342" t="str">
            <v>Nồi</v>
          </cell>
        </row>
        <row r="2343">
          <cell r="A2343" t="str">
            <v>CHCNI002</v>
          </cell>
          <cell r="B2343" t="str">
            <v>Niêu bò tiêu đen</v>
          </cell>
          <cell r="C2343" t="str">
            <v>Nồi</v>
          </cell>
        </row>
        <row r="2344">
          <cell r="A2344" t="str">
            <v>CHCNI003</v>
          </cell>
          <cell r="B2344" t="str">
            <v>Cơm niêu cari</v>
          </cell>
          <cell r="C2344" t="str">
            <v>Suất</v>
          </cell>
        </row>
        <row r="2345">
          <cell r="A2345" t="str">
            <v>CHCNI004</v>
          </cell>
          <cell r="B2345" t="str">
            <v>Niêu thịt kho</v>
          </cell>
          <cell r="C2345" t="str">
            <v>Suất</v>
          </cell>
        </row>
        <row r="2346">
          <cell r="A2346" t="str">
            <v>CHCNI005</v>
          </cell>
          <cell r="B2346" t="str">
            <v>Niêu cá kho</v>
          </cell>
          <cell r="C2346" t="str">
            <v>Suất</v>
          </cell>
        </row>
        <row r="2347">
          <cell r="A2347" t="str">
            <v>CHCNI006</v>
          </cell>
          <cell r="B2347" t="str">
            <v>Niêu gà nấm</v>
          </cell>
          <cell r="C2347" t="str">
            <v>Suất</v>
          </cell>
        </row>
        <row r="2348">
          <cell r="A2348" t="str">
            <v>CHCNI008</v>
          </cell>
          <cell r="B2348" t="str">
            <v>NIÊU SCN</v>
          </cell>
          <cell r="C2348" t="str">
            <v>Nồi</v>
          </cell>
        </row>
        <row r="2349">
          <cell r="A2349" t="str">
            <v>CHCNI009</v>
          </cell>
          <cell r="B2349" t="str">
            <v>Niêu tôm tiêu đen</v>
          </cell>
          <cell r="C2349" t="str">
            <v>Nồi</v>
          </cell>
        </row>
        <row r="2350">
          <cell r="A2350" t="str">
            <v>CHDSU001</v>
          </cell>
          <cell r="B2350" t="str">
            <v>Há cảo tôm thịt 3 chiếc</v>
          </cell>
          <cell r="C2350" t="str">
            <v>Suất</v>
          </cell>
        </row>
        <row r="2351">
          <cell r="A2351" t="str">
            <v>CHDSU002</v>
          </cell>
          <cell r="B2351" t="str">
            <v>Há cảo sò điệp 3 chiếc</v>
          </cell>
          <cell r="C2351" t="str">
            <v>Suất</v>
          </cell>
        </row>
        <row r="2352">
          <cell r="A2352" t="str">
            <v>CHDSU003</v>
          </cell>
          <cell r="B2352" t="str">
            <v>Há cảo ngọc bích 3 chiếc</v>
          </cell>
          <cell r="C2352" t="str">
            <v>Suất</v>
          </cell>
        </row>
        <row r="2353">
          <cell r="A2353" t="str">
            <v>CHDSU004</v>
          </cell>
          <cell r="B2353" t="str">
            <v>Há cảo than tre 3 chiếc</v>
          </cell>
          <cell r="C2353" t="str">
            <v>Suất</v>
          </cell>
        </row>
        <row r="2354">
          <cell r="A2354" t="str">
            <v>CHDSU005</v>
          </cell>
          <cell r="B2354" t="str">
            <v>Xíu mại trứng cua 3 chiếc</v>
          </cell>
          <cell r="C2354" t="str">
            <v>Suất</v>
          </cell>
        </row>
        <row r="2355">
          <cell r="A2355" t="str">
            <v>CHDSU006</v>
          </cell>
          <cell r="B2355" t="str">
            <v>Tàu hũ tôm tươi cuộn nấm đông trùng</v>
          </cell>
          <cell r="C2355" t="str">
            <v>Suất</v>
          </cell>
        </row>
        <row r="2356">
          <cell r="A2356" t="str">
            <v>CHDSU007</v>
          </cell>
          <cell r="B2356" t="str">
            <v>Bánh cuốn nhân tôm 3 cuốn</v>
          </cell>
          <cell r="C2356" t="str">
            <v>Suất</v>
          </cell>
        </row>
        <row r="2357">
          <cell r="A2357" t="str">
            <v>CHDSU008</v>
          </cell>
          <cell r="B2357" t="str">
            <v>Bánh bao kim sa 1 chiếc</v>
          </cell>
          <cell r="C2357" t="str">
            <v>Chiếc</v>
          </cell>
        </row>
        <row r="2358">
          <cell r="A2358" t="str">
            <v>CHDSU009</v>
          </cell>
          <cell r="B2358" t="str">
            <v>Bánh bao trà xanh 1 chiếc</v>
          </cell>
          <cell r="C2358" t="str">
            <v>Chiếc</v>
          </cell>
        </row>
        <row r="2359">
          <cell r="A2359" t="str">
            <v>CHDSU010</v>
          </cell>
          <cell r="B2359" t="str">
            <v>Bánh bao bò phô mai 1 chiếc</v>
          </cell>
          <cell r="C2359" t="str">
            <v>Chiếc</v>
          </cell>
        </row>
        <row r="2360">
          <cell r="A2360" t="str">
            <v>CHDSU011</v>
          </cell>
          <cell r="B2360" t="str">
            <v>Bánh bao nấm 1 chiếc</v>
          </cell>
          <cell r="C2360" t="str">
            <v>Chiếc</v>
          </cell>
        </row>
        <row r="2361">
          <cell r="A2361" t="str">
            <v>CHDSU012</v>
          </cell>
          <cell r="B2361" t="str">
            <v>Bánh bao sầu riêng 1 chiếc</v>
          </cell>
          <cell r="C2361" t="str">
            <v>Chiếc</v>
          </cell>
        </row>
        <row r="2362">
          <cell r="A2362" t="str">
            <v>CHDSU013</v>
          </cell>
          <cell r="B2362" t="str">
            <v>Bánh bao khoai môn 1 chiếc</v>
          </cell>
          <cell r="C2362" t="str">
            <v>Chiếc</v>
          </cell>
        </row>
        <row r="2363">
          <cell r="A2363" t="str">
            <v>CHDVU002</v>
          </cell>
          <cell r="B2363" t="str">
            <v>Khăn ướt</v>
          </cell>
          <cell r="C2363" t="str">
            <v>Chiếc</v>
          </cell>
        </row>
        <row r="2364">
          <cell r="A2364" t="str">
            <v>CHHQU001</v>
          </cell>
          <cell r="B2364" t="str">
            <v>Nước cam nguyên chất</v>
          </cell>
          <cell r="C2364" t="str">
            <v>Cốc</v>
          </cell>
        </row>
        <row r="2365">
          <cell r="A2365" t="str">
            <v>CHHQU002</v>
          </cell>
          <cell r="B2365" t="str">
            <v>Trà đào cam sả</v>
          </cell>
          <cell r="C2365" t="str">
            <v>Cốc</v>
          </cell>
        </row>
        <row r="2366">
          <cell r="A2366" t="str">
            <v>CHHQU003</v>
          </cell>
          <cell r="B2366" t="str">
            <v>Nước cam</v>
          </cell>
          <cell r="C2366" t="str">
            <v>Cốc</v>
          </cell>
        </row>
        <row r="2367">
          <cell r="A2367" t="str">
            <v>CHHQU004</v>
          </cell>
          <cell r="B2367" t="str">
            <v>Trà lipton</v>
          </cell>
          <cell r="C2367" t="str">
            <v>Cốc</v>
          </cell>
        </row>
        <row r="2368">
          <cell r="A2368" t="str">
            <v>CHHQU005</v>
          </cell>
          <cell r="B2368" t="str">
            <v>Trà lipton sữa</v>
          </cell>
          <cell r="C2368" t="str">
            <v>Cốc</v>
          </cell>
        </row>
        <row r="2369">
          <cell r="A2369" t="str">
            <v>CHHQU006</v>
          </cell>
          <cell r="B2369" t="str">
            <v>Trà xanh đá</v>
          </cell>
          <cell r="C2369" t="str">
            <v>Cốc</v>
          </cell>
        </row>
        <row r="2370">
          <cell r="A2370" t="str">
            <v>CHHQU007</v>
          </cell>
          <cell r="B2370" t="str">
            <v>Sữa đậu nành</v>
          </cell>
          <cell r="C2370" t="str">
            <v>Cốc</v>
          </cell>
        </row>
        <row r="2371">
          <cell r="A2371" t="str">
            <v>CHHQU008</v>
          </cell>
          <cell r="B2371" t="str">
            <v>Nước chanh</v>
          </cell>
          <cell r="C2371" t="str">
            <v>Cốc</v>
          </cell>
        </row>
        <row r="2372">
          <cell r="A2372" t="str">
            <v>CHHQU009</v>
          </cell>
          <cell r="B2372" t="str">
            <v>Trà hạt sen</v>
          </cell>
          <cell r="C2372" t="str">
            <v>Cốc</v>
          </cell>
        </row>
        <row r="2373">
          <cell r="A2373" t="str">
            <v>CHHQU010</v>
          </cell>
          <cell r="B2373" t="str">
            <v>Trà xả quất</v>
          </cell>
          <cell r="C2373" t="str">
            <v>Cốc</v>
          </cell>
        </row>
        <row r="2374">
          <cell r="A2374" t="str">
            <v>CHHQU011</v>
          </cell>
          <cell r="B2374" t="str">
            <v>Trà sâm dứa</v>
          </cell>
          <cell r="C2374" t="str">
            <v>Ly</v>
          </cell>
        </row>
        <row r="2375">
          <cell r="A2375" t="str">
            <v>CHHQU012</v>
          </cell>
          <cell r="B2375" t="str">
            <v>Trà ngọc mễ</v>
          </cell>
          <cell r="C2375" t="str">
            <v>Ly</v>
          </cell>
        </row>
        <row r="2376">
          <cell r="A2376" t="str">
            <v>CHHQU013</v>
          </cell>
          <cell r="B2376" t="str">
            <v>Trà sâm nha đam</v>
          </cell>
          <cell r="C2376" t="str">
            <v>Cốc</v>
          </cell>
        </row>
        <row r="2377">
          <cell r="A2377" t="str">
            <v>CHKVI001</v>
          </cell>
          <cell r="B2377" t="str">
            <v>Kim chi</v>
          </cell>
          <cell r="C2377" t="str">
            <v>Suất</v>
          </cell>
        </row>
        <row r="2378">
          <cell r="A2378" t="str">
            <v>CHKVI002</v>
          </cell>
          <cell r="B2378" t="str">
            <v>Bắp cải xốt mè</v>
          </cell>
          <cell r="C2378" t="str">
            <v>Suất</v>
          </cell>
        </row>
        <row r="2379">
          <cell r="A2379" t="str">
            <v>CHKVI003</v>
          </cell>
          <cell r="B2379" t="str">
            <v>Nem chiên Hải Sư</v>
          </cell>
          <cell r="C2379" t="str">
            <v>Suất</v>
          </cell>
        </row>
        <row r="2380">
          <cell r="A2380" t="str">
            <v>CHKVI004</v>
          </cell>
          <cell r="B2380" t="str">
            <v>Quẩy nhồi hải sản đĩa nhỏ</v>
          </cell>
          <cell r="C2380" t="str">
            <v>Suất</v>
          </cell>
        </row>
        <row r="2381">
          <cell r="A2381" t="str">
            <v>CHKVI005</v>
          </cell>
          <cell r="B2381" t="str">
            <v>Quẩy nhồi hải sản đĩa to</v>
          </cell>
          <cell r="C2381" t="str">
            <v>Suất</v>
          </cell>
        </row>
        <row r="2382">
          <cell r="A2382" t="str">
            <v>CHKVI006</v>
          </cell>
          <cell r="B2382" t="str">
            <v>Gà karaage</v>
          </cell>
          <cell r="C2382" t="str">
            <v>Suất</v>
          </cell>
        </row>
        <row r="2383">
          <cell r="A2383" t="str">
            <v>CHKVI007</v>
          </cell>
          <cell r="B2383" t="str">
            <v>Đậu hũ hoàng kim</v>
          </cell>
          <cell r="C2383" t="str">
            <v>Suất</v>
          </cell>
        </row>
        <row r="2384">
          <cell r="A2384" t="str">
            <v>CHKVI008</v>
          </cell>
          <cell r="B2384" t="str">
            <v>Tàu hũ ki chiên</v>
          </cell>
          <cell r="C2384" t="str">
            <v>Suất</v>
          </cell>
        </row>
        <row r="2385">
          <cell r="A2385" t="str">
            <v>CHKVI009</v>
          </cell>
          <cell r="B2385" t="str">
            <v>Khoai tây chiên bơ tỏi</v>
          </cell>
          <cell r="C2385" t="str">
            <v>Suất</v>
          </cell>
        </row>
        <row r="2386">
          <cell r="A2386" t="str">
            <v>CHKVI010</v>
          </cell>
          <cell r="B2386" t="str">
            <v>Chân gà hấp tàu xì</v>
          </cell>
          <cell r="C2386" t="str">
            <v>Suất</v>
          </cell>
        </row>
        <row r="2387">
          <cell r="A2387" t="str">
            <v>CHMHQU001</v>
          </cell>
          <cell r="B2387" t="str">
            <v>Trà ô long mang về</v>
          </cell>
          <cell r="C2387" t="str">
            <v>Cốc</v>
          </cell>
        </row>
        <row r="2388">
          <cell r="A2388" t="str">
            <v>CHMHQU002</v>
          </cell>
          <cell r="B2388" t="str">
            <v>Trà đào cam sả mang về</v>
          </cell>
          <cell r="C2388" t="str">
            <v>Cốc</v>
          </cell>
        </row>
        <row r="2389">
          <cell r="A2389" t="str">
            <v>CHMHQU003</v>
          </cell>
          <cell r="B2389" t="str">
            <v>Trà sâm nha đam mang về</v>
          </cell>
          <cell r="C2389" t="str">
            <v>Cốc</v>
          </cell>
        </row>
        <row r="2390">
          <cell r="A2390" t="str">
            <v>CHRAU001</v>
          </cell>
          <cell r="B2390" t="str">
            <v>Bắp cải xào</v>
          </cell>
          <cell r="C2390" t="str">
            <v>Đĩa</v>
          </cell>
        </row>
        <row r="2391">
          <cell r="A2391" t="str">
            <v>CHRAU003</v>
          </cell>
          <cell r="B2391" t="str">
            <v>Cải xào</v>
          </cell>
          <cell r="C2391" t="str">
            <v>Đĩa</v>
          </cell>
        </row>
        <row r="2392">
          <cell r="A2392" t="str">
            <v>CHRAU004</v>
          </cell>
          <cell r="B2392" t="str">
            <v>Muống xào</v>
          </cell>
          <cell r="C2392" t="str">
            <v>Đĩa</v>
          </cell>
        </row>
        <row r="2393">
          <cell r="A2393" t="str">
            <v>CHRAU005</v>
          </cell>
          <cell r="B2393" t="str">
            <v>Su su xào</v>
          </cell>
          <cell r="C2393" t="str">
            <v>Đĩa</v>
          </cell>
        </row>
        <row r="2394">
          <cell r="A2394" t="str">
            <v>CHRAU007</v>
          </cell>
          <cell r="B2394" t="str">
            <v>Cải luộc</v>
          </cell>
          <cell r="C2394" t="str">
            <v>Đĩa</v>
          </cell>
        </row>
        <row r="2395">
          <cell r="A2395" t="str">
            <v>CHRAU008</v>
          </cell>
          <cell r="B2395" t="str">
            <v>Salad gà quay</v>
          </cell>
          <cell r="C2395" t="str">
            <v>Đĩa</v>
          </cell>
        </row>
        <row r="2396">
          <cell r="A2396" t="str">
            <v>CHRAU009</v>
          </cell>
          <cell r="B2396" t="str">
            <v>Salad dưa chuột</v>
          </cell>
          <cell r="C2396" t="str">
            <v>Đĩa</v>
          </cell>
        </row>
        <row r="2397">
          <cell r="A2397" t="str">
            <v>CHRAU010</v>
          </cell>
          <cell r="B2397" t="str">
            <v>Nộm xoài tôm</v>
          </cell>
          <cell r="C2397" t="str">
            <v>Đĩa</v>
          </cell>
        </row>
        <row r="2398">
          <cell r="A2398" t="str">
            <v>CHRAU011</v>
          </cell>
          <cell r="B2398" t="str">
            <v>Kim chi</v>
          </cell>
          <cell r="C2398" t="str">
            <v>Đĩa</v>
          </cell>
        </row>
        <row r="2399">
          <cell r="A2399" t="str">
            <v>CHRAU012</v>
          </cell>
          <cell r="B2399" t="str">
            <v>Cải xào (Suất nhỏ)</v>
          </cell>
          <cell r="C2399" t="str">
            <v>Suất</v>
          </cell>
        </row>
        <row r="2400">
          <cell r="A2400" t="str">
            <v>CHRAU013</v>
          </cell>
          <cell r="B2400" t="str">
            <v>Muống xào (Suất nhỏ)</v>
          </cell>
          <cell r="C2400" t="str">
            <v>Suất</v>
          </cell>
        </row>
        <row r="2401">
          <cell r="A2401" t="str">
            <v>CHRAU014</v>
          </cell>
          <cell r="B2401" t="str">
            <v>Rau su su (Suất nhỏ)</v>
          </cell>
          <cell r="C2401" t="str">
            <v>Suất</v>
          </cell>
        </row>
        <row r="2402">
          <cell r="A2402" t="str">
            <v>CHRAU019</v>
          </cell>
          <cell r="B2402" t="str">
            <v>Muống luộc</v>
          </cell>
          <cell r="C2402" t="str">
            <v>Đĩa</v>
          </cell>
        </row>
        <row r="2403">
          <cell r="A2403" t="str">
            <v>CHRAU020</v>
          </cell>
          <cell r="B2403" t="str">
            <v>Su su luộc</v>
          </cell>
          <cell r="C2403" t="str">
            <v>Đĩa</v>
          </cell>
        </row>
        <row r="2404">
          <cell r="A2404" t="str">
            <v>CHRAU022</v>
          </cell>
          <cell r="B2404" t="str">
            <v>Cải luộc</v>
          </cell>
          <cell r="C2404" t="str">
            <v>Đĩa</v>
          </cell>
        </row>
        <row r="2405">
          <cell r="A2405" t="str">
            <v>CHRAU024</v>
          </cell>
          <cell r="B2405" t="str">
            <v>Nộm xoài kiểu thái</v>
          </cell>
          <cell r="C2405" t="str">
            <v>Đĩa</v>
          </cell>
        </row>
        <row r="2406">
          <cell r="A2406" t="str">
            <v>CHRAU025</v>
          </cell>
          <cell r="B2406" t="str">
            <v>Quẩy nhồi hải sản</v>
          </cell>
          <cell r="C2406" t="str">
            <v>Đĩa</v>
          </cell>
        </row>
        <row r="2407">
          <cell r="A2407" t="str">
            <v>CHRAU026</v>
          </cell>
          <cell r="B2407" t="str">
            <v>Rau cải ngọt xào</v>
          </cell>
          <cell r="C2407" t="str">
            <v>Đĩa</v>
          </cell>
        </row>
        <row r="2408">
          <cell r="A2408" t="str">
            <v>CHRAU029</v>
          </cell>
          <cell r="B2408" t="str">
            <v>Rau mùng tơi xào</v>
          </cell>
          <cell r="C2408" t="str">
            <v>Đĩa</v>
          </cell>
        </row>
        <row r="2409">
          <cell r="A2409" t="str">
            <v>CHRAU031</v>
          </cell>
          <cell r="B2409" t="str">
            <v>Salad nhiệt đới xốt chanh leo</v>
          </cell>
          <cell r="C2409" t="str">
            <v>Suất</v>
          </cell>
        </row>
        <row r="2410">
          <cell r="A2410" t="str">
            <v>CHRAU032</v>
          </cell>
          <cell r="B2410" t="str">
            <v>Salad rong biển xốt mè</v>
          </cell>
          <cell r="C2410" t="str">
            <v>Suất</v>
          </cell>
        </row>
        <row r="2411">
          <cell r="A2411" t="str">
            <v>CHRAU033</v>
          </cell>
          <cell r="B2411" t="str">
            <v>Cải hấp HongKong</v>
          </cell>
          <cell r="C2411" t="str">
            <v>Suất</v>
          </cell>
        </row>
        <row r="2412">
          <cell r="A2412" t="str">
            <v>CHTMI001</v>
          </cell>
          <cell r="B2412" t="str">
            <v>Chè hạt sen</v>
          </cell>
          <cell r="C2412" t="str">
            <v>Bát</v>
          </cell>
        </row>
        <row r="2413">
          <cell r="A2413" t="str">
            <v>CHTMI002</v>
          </cell>
          <cell r="B2413" t="str">
            <v>Caramen sữa dừa</v>
          </cell>
          <cell r="C2413" t="str">
            <v>Bát</v>
          </cell>
        </row>
        <row r="2414">
          <cell r="A2414" t="str">
            <v>CHTMI003</v>
          </cell>
          <cell r="B2414" t="str">
            <v>Chè bưởi cốt dừa</v>
          </cell>
          <cell r="C2414" t="str">
            <v>Suất</v>
          </cell>
        </row>
        <row r="2415">
          <cell r="A2415" t="str">
            <v>CHTMI006</v>
          </cell>
          <cell r="B2415" t="str">
            <v>Sữa chua đánh đá</v>
          </cell>
          <cell r="C2415" t="str">
            <v>Cốc</v>
          </cell>
        </row>
        <row r="2416">
          <cell r="A2416" t="str">
            <v>CHTMI007</v>
          </cell>
          <cell r="B2416" t="str">
            <v>Sữa chua xoài</v>
          </cell>
          <cell r="C2416" t="str">
            <v>Cốc</v>
          </cell>
        </row>
        <row r="2417">
          <cell r="A2417" t="str">
            <v>CHTMI009</v>
          </cell>
          <cell r="B2417" t="str">
            <v>Sữa chua hoa quả trộn</v>
          </cell>
          <cell r="C2417" t="str">
            <v>Bát</v>
          </cell>
        </row>
        <row r="2418">
          <cell r="A2418" t="str">
            <v>CHTMI010</v>
          </cell>
          <cell r="B2418" t="str">
            <v>Chè cocktail Hải Sư</v>
          </cell>
          <cell r="C2418" t="str">
            <v>Bát</v>
          </cell>
        </row>
        <row r="2419">
          <cell r="A2419" t="str">
            <v>CHTMI011</v>
          </cell>
          <cell r="B2419" t="str">
            <v>Sinh tố dưa hấu</v>
          </cell>
          <cell r="C2419" t="str">
            <v>Cốc</v>
          </cell>
        </row>
        <row r="2420">
          <cell r="A2420" t="str">
            <v>CHTMI012</v>
          </cell>
          <cell r="B2420" t="str">
            <v>Sinh tố chanh leo</v>
          </cell>
          <cell r="C2420" t="str">
            <v>Cốc</v>
          </cell>
        </row>
        <row r="2421">
          <cell r="A2421" t="str">
            <v>CHTMI013</v>
          </cell>
          <cell r="B2421" t="str">
            <v>Sinh tố xoài</v>
          </cell>
          <cell r="C2421" t="str">
            <v>Cốc</v>
          </cell>
        </row>
        <row r="2422">
          <cell r="A2422" t="str">
            <v>CHTMI016</v>
          </cell>
          <cell r="B2422" t="str">
            <v>Cao quy linh trân châu mật ong</v>
          </cell>
          <cell r="C2422" t="str">
            <v>Suất</v>
          </cell>
        </row>
        <row r="2423">
          <cell r="A2423" t="str">
            <v>D1000001</v>
          </cell>
          <cell r="B2423" t="str">
            <v>Cồn 70 độ</v>
          </cell>
          <cell r="C2423" t="str">
            <v>Lít</v>
          </cell>
        </row>
        <row r="2424">
          <cell r="A2424" t="str">
            <v>D1000002</v>
          </cell>
          <cell r="B2424" t="str">
            <v>Cồn Sát Khuẩn (Sanitizer S-4) 5L</v>
          </cell>
          <cell r="C2424" t="str">
            <v>Can</v>
          </cell>
        </row>
        <row r="2425">
          <cell r="A2425" t="str">
            <v>D1000003</v>
          </cell>
          <cell r="B2425" t="str">
            <v>Hóa chất Quest rửa chén ( 25 lít/can)</v>
          </cell>
          <cell r="C2425" t="str">
            <v>Can</v>
          </cell>
        </row>
        <row r="2426">
          <cell r="A2426" t="str">
            <v>D1000004</v>
          </cell>
          <cell r="B2426" t="str">
            <v>Hóa chất Shield rửa chén ( 25 lít/can)</v>
          </cell>
          <cell r="C2426" t="str">
            <v>Can</v>
          </cell>
        </row>
        <row r="2427">
          <cell r="A2427" t="str">
            <v>D1000005</v>
          </cell>
          <cell r="B2427" t="str">
            <v>Tẩy rửa Javel (dạng bột)</v>
          </cell>
          <cell r="C2427" t="str">
            <v>Hộp</v>
          </cell>
        </row>
        <row r="2428">
          <cell r="A2428" t="str">
            <v>D1000006</v>
          </cell>
          <cell r="B2428" t="str">
            <v>Nước Lau kính OBEE 5KG</v>
          </cell>
          <cell r="C2428" t="str">
            <v>Can</v>
          </cell>
        </row>
        <row r="2429">
          <cell r="A2429" t="str">
            <v>D1000007</v>
          </cell>
          <cell r="B2429" t="str">
            <v>Nước lau sàn 10kg</v>
          </cell>
          <cell r="C2429" t="str">
            <v>Can</v>
          </cell>
        </row>
        <row r="2430">
          <cell r="A2430" t="str">
            <v>D1000008</v>
          </cell>
          <cell r="B2430" t="str">
            <v>Nước lau sàn 4L</v>
          </cell>
          <cell r="C2430" t="str">
            <v>Can</v>
          </cell>
        </row>
        <row r="2431">
          <cell r="A2431" t="str">
            <v>D1000009</v>
          </cell>
          <cell r="B2431" t="str">
            <v>Nước rửa chén OBEE 9.5 kg</v>
          </cell>
          <cell r="C2431" t="str">
            <v>Can</v>
          </cell>
        </row>
        <row r="2432">
          <cell r="A2432" t="str">
            <v>D1000010</v>
          </cell>
          <cell r="B2432" t="str">
            <v>Nước tẩy rửa javen (10kg)</v>
          </cell>
          <cell r="C2432" t="str">
            <v>Can</v>
          </cell>
        </row>
        <row r="2433">
          <cell r="A2433" t="str">
            <v>D1000011</v>
          </cell>
          <cell r="B2433" t="str">
            <v>Nước tẩy rửa Javen 1L</v>
          </cell>
          <cell r="C2433" t="str">
            <v>Chai</v>
          </cell>
        </row>
        <row r="2434">
          <cell r="A2434" t="str">
            <v>D1000012</v>
          </cell>
          <cell r="B2434" t="str">
            <v>Nước lau kính</v>
          </cell>
          <cell r="C2434" t="str">
            <v>Can</v>
          </cell>
        </row>
        <row r="2435">
          <cell r="A2435" t="str">
            <v>D1000013</v>
          </cell>
          <cell r="B2435" t="str">
            <v>Bột giặt Omo</v>
          </cell>
          <cell r="C2435" t="str">
            <v>kg</v>
          </cell>
        </row>
        <row r="2436">
          <cell r="A2436" t="str">
            <v>D1000014</v>
          </cell>
          <cell r="B2436" t="str">
            <v>Nước rửa chén 10kg</v>
          </cell>
          <cell r="C2436" t="str">
            <v>Can</v>
          </cell>
        </row>
        <row r="2437">
          <cell r="A2437" t="str">
            <v>D1000015</v>
          </cell>
          <cell r="B2437" t="str">
            <v>Nước rửa chén lix 3.8kg</v>
          </cell>
          <cell r="C2437" t="str">
            <v>Chai</v>
          </cell>
        </row>
        <row r="2438">
          <cell r="A2438" t="str">
            <v>D1000016</v>
          </cell>
          <cell r="B2438" t="str">
            <v>Nước rửa tay 5kg (4 chai/thùng)</v>
          </cell>
          <cell r="C2438" t="str">
            <v>Can</v>
          </cell>
        </row>
        <row r="2439">
          <cell r="A2439" t="str">
            <v>D1000017</v>
          </cell>
          <cell r="B2439" t="str">
            <v>Sáp thơm</v>
          </cell>
          <cell r="C2439" t="str">
            <v>Hộp</v>
          </cell>
        </row>
        <row r="2440">
          <cell r="A2440" t="str">
            <v>D1000018</v>
          </cell>
          <cell r="B2440" t="str">
            <v>Bột tẩy trắng Oxygen Bleach 3kg</v>
          </cell>
          <cell r="C2440" t="str">
            <v>Can</v>
          </cell>
        </row>
        <row r="2441">
          <cell r="A2441" t="str">
            <v>D1000019</v>
          </cell>
          <cell r="B2441" t="str">
            <v>Dung dịch sát khuẩn Smart San B-1 5kg</v>
          </cell>
          <cell r="C2441" t="str">
            <v>Can</v>
          </cell>
        </row>
        <row r="2442">
          <cell r="A2442" t="str">
            <v>D1000020</v>
          </cell>
          <cell r="B2442" t="str">
            <v>Dung dịch tẩy rửa G-1 5kg</v>
          </cell>
          <cell r="C2442" t="str">
            <v>Can</v>
          </cell>
        </row>
        <row r="2443">
          <cell r="A2443" t="str">
            <v>D1000021</v>
          </cell>
          <cell r="B2443" t="str">
            <v>Dung dịch tẩy rửa dầu mỡ G-2 5kg</v>
          </cell>
          <cell r="C2443" t="str">
            <v>Can</v>
          </cell>
        </row>
        <row r="2444">
          <cell r="A2444" t="str">
            <v>D1000022</v>
          </cell>
          <cell r="B2444" t="str">
            <v>Dung dịch tẩy rửa đa năng Liquid Dtergent 400g</v>
          </cell>
          <cell r="C2444" t="str">
            <v>Bình</v>
          </cell>
        </row>
        <row r="2445">
          <cell r="A2445" t="str">
            <v>D1000023</v>
          </cell>
          <cell r="B2445" t="str">
            <v>Dung dịch tẩy rửa trung tính N-4 5kg</v>
          </cell>
          <cell r="C2445" t="str">
            <v>Can</v>
          </cell>
        </row>
        <row r="2446">
          <cell r="A2446" t="str">
            <v>D1000024</v>
          </cell>
          <cell r="B2446" t="str">
            <v>Dung dịch sát khuẩn S-6 5kg</v>
          </cell>
          <cell r="C2446" t="str">
            <v>Can</v>
          </cell>
        </row>
        <row r="2447">
          <cell r="A2447" t="str">
            <v>D1000025</v>
          </cell>
          <cell r="B2447" t="str">
            <v>Tẩy bồn cầu Obee 1 lít</v>
          </cell>
          <cell r="C2447" t="str">
            <v>Chai</v>
          </cell>
        </row>
        <row r="2448">
          <cell r="A2448" t="str">
            <v>D1000026</v>
          </cell>
          <cell r="B2448" t="str">
            <v>Tẩy bồn cầu Vim 800ML</v>
          </cell>
          <cell r="C2448" t="str">
            <v>Chai</v>
          </cell>
        </row>
        <row r="2449">
          <cell r="A2449" t="str">
            <v>D1000027</v>
          </cell>
          <cell r="B2449" t="str">
            <v>Tinh dầu hương bưởi</v>
          </cell>
          <cell r="C2449" t="str">
            <v>Lít</v>
          </cell>
        </row>
        <row r="2450">
          <cell r="A2450" t="str">
            <v>D1000028</v>
          </cell>
          <cell r="B2450" t="str">
            <v>TTĐN OBEE 1.1kg (tẩy bồn cầu)</v>
          </cell>
          <cell r="C2450" t="str">
            <v>Chai</v>
          </cell>
        </row>
        <row r="2451">
          <cell r="A2451" t="str">
            <v>D1000029</v>
          </cell>
          <cell r="B2451" t="str">
            <v>Dung dịch xịt phòng khử mùi GMP 120F can 5L</v>
          </cell>
          <cell r="C2451" t="str">
            <v>Can</v>
          </cell>
        </row>
        <row r="2452">
          <cell r="A2452" t="str">
            <v>D1000030</v>
          </cell>
          <cell r="B2452" t="str">
            <v>Nước lau kính Gift 540ml</v>
          </cell>
          <cell r="C2452" t="str">
            <v>Chai</v>
          </cell>
        </row>
        <row r="2453">
          <cell r="A2453" t="str">
            <v>D1000031</v>
          </cell>
          <cell r="B2453" t="str">
            <v>Bột giặt LIX 5.5kg</v>
          </cell>
          <cell r="C2453" t="str">
            <v>Bịch</v>
          </cell>
        </row>
        <row r="2454">
          <cell r="A2454" t="str">
            <v>D1000032</v>
          </cell>
          <cell r="B2454" t="str">
            <v>Dung dịch rửa Doukle Green Fast</v>
          </cell>
          <cell r="C2454" t="str">
            <v>Can</v>
          </cell>
        </row>
        <row r="2455">
          <cell r="A2455" t="str">
            <v>D1000033</v>
          </cell>
          <cell r="B2455" t="str">
            <v>Dung dịch tráng Doukle Dry Fast</v>
          </cell>
          <cell r="C2455" t="str">
            <v>Can</v>
          </cell>
        </row>
        <row r="2456">
          <cell r="A2456" t="str">
            <v>D1000034</v>
          </cell>
          <cell r="B2456" t="str">
            <v>Dung dịch tẩy rửa Sủ Bào (1L)</v>
          </cell>
          <cell r="C2456" t="str">
            <v>Chai</v>
          </cell>
        </row>
        <row r="2457">
          <cell r="A2457" t="str">
            <v>D1000035</v>
          </cell>
          <cell r="B2457" t="str">
            <v>Tẩy rửa Duck 900ml</v>
          </cell>
          <cell r="C2457" t="str">
            <v>Chai</v>
          </cell>
        </row>
        <row r="2458">
          <cell r="A2458" t="str">
            <v>D1000036</v>
          </cell>
          <cell r="B2458" t="str">
            <v>Dung dịch rửa tay H-1 5kg</v>
          </cell>
          <cell r="C2458" t="str">
            <v>Bình</v>
          </cell>
        </row>
        <row r="2459">
          <cell r="A2459" t="str">
            <v>D2000001</v>
          </cell>
          <cell r="B2459" t="str">
            <v>Găng tay 1 lần</v>
          </cell>
          <cell r="C2459" t="str">
            <v>kg</v>
          </cell>
        </row>
        <row r="2460">
          <cell r="A2460" t="str">
            <v>D2000002</v>
          </cell>
          <cell r="B2460" t="str">
            <v>Găng tay y tế</v>
          </cell>
          <cell r="C2460" t="str">
            <v>Hộp</v>
          </cell>
        </row>
        <row r="2461">
          <cell r="A2461" t="str">
            <v>D2000003</v>
          </cell>
          <cell r="B2461" t="str">
            <v>Găng tay y tế - Màu Đen</v>
          </cell>
          <cell r="C2461" t="str">
            <v>Hộp</v>
          </cell>
        </row>
        <row r="2462">
          <cell r="A2462" t="str">
            <v>D2000004</v>
          </cell>
          <cell r="B2462" t="str">
            <v>Túi trắng 10kg size 35(In logo Bò Tơ)</v>
          </cell>
          <cell r="C2462" t="str">
            <v>kg</v>
          </cell>
        </row>
        <row r="2463">
          <cell r="A2463" t="str">
            <v>D2000005</v>
          </cell>
          <cell r="B2463" t="str">
            <v>Túi trắng 3kg size 26(In logo Bò Tơ)</v>
          </cell>
          <cell r="C2463" t="str">
            <v>kg</v>
          </cell>
        </row>
        <row r="2464">
          <cell r="A2464" t="str">
            <v>D2000006</v>
          </cell>
          <cell r="B2464" t="str">
            <v>Túi trắng 5kg size 30(In logo Bò Tơ)</v>
          </cell>
          <cell r="C2464" t="str">
            <v>kg</v>
          </cell>
        </row>
        <row r="2465">
          <cell r="A2465" t="str">
            <v>D2000007</v>
          </cell>
          <cell r="B2465" t="str">
            <v>Túi trắng 20kg</v>
          </cell>
          <cell r="C2465" t="str">
            <v>kg</v>
          </cell>
        </row>
        <row r="2466">
          <cell r="A2466" t="str">
            <v>D2000008</v>
          </cell>
          <cell r="B2466" t="str">
            <v>Túi trắng 2kg</v>
          </cell>
          <cell r="C2466" t="str">
            <v>kg</v>
          </cell>
        </row>
        <row r="2467">
          <cell r="A2467" t="str">
            <v>D2000009</v>
          </cell>
          <cell r="B2467" t="str">
            <v>Túi trắng 30kg</v>
          </cell>
          <cell r="C2467" t="str">
            <v>kg</v>
          </cell>
        </row>
        <row r="2468">
          <cell r="A2468" t="str">
            <v>D2000010</v>
          </cell>
          <cell r="B2468" t="str">
            <v>Túi rác đen 5kg</v>
          </cell>
          <cell r="C2468" t="str">
            <v>kg</v>
          </cell>
        </row>
        <row r="2469">
          <cell r="A2469" t="str">
            <v>D2000011</v>
          </cell>
          <cell r="B2469" t="str">
            <v>Giấy bạc to</v>
          </cell>
          <cell r="C2469" t="str">
            <v>cuộn</v>
          </cell>
        </row>
        <row r="2470">
          <cell r="A2470" t="str">
            <v>D2000012</v>
          </cell>
          <cell r="B2470" t="str">
            <v>Băng dính (1kg/cuộn)</v>
          </cell>
          <cell r="C2470" t="str">
            <v>cuộn</v>
          </cell>
        </row>
        <row r="2471">
          <cell r="A2471" t="str">
            <v>D2000013</v>
          </cell>
          <cell r="B2471" t="str">
            <v>Bát giấy 1050ml</v>
          </cell>
          <cell r="C2471" t="str">
            <v>Cái</v>
          </cell>
        </row>
        <row r="2472">
          <cell r="A2472" t="str">
            <v>D2000014</v>
          </cell>
          <cell r="B2472" t="str">
            <v>Bát giấy 750ml</v>
          </cell>
          <cell r="C2472" t="str">
            <v>Cái</v>
          </cell>
        </row>
        <row r="2473">
          <cell r="A2473" t="str">
            <v>D2000015</v>
          </cell>
          <cell r="B2473" t="str">
            <v>Bìa caton 3 lớp 45*30*20(đóng hàng)</v>
          </cell>
          <cell r="C2473" t="str">
            <v>Cái</v>
          </cell>
        </row>
        <row r="2474">
          <cell r="A2474" t="str">
            <v>D2000016</v>
          </cell>
          <cell r="B2474" t="str">
            <v>Bìa caton 5 lớp 40*30*20(đóng hàng)</v>
          </cell>
          <cell r="C2474" t="str">
            <v>Cái</v>
          </cell>
        </row>
        <row r="2475">
          <cell r="A2475" t="str">
            <v>D2000017</v>
          </cell>
          <cell r="B2475" t="str">
            <v>Màng bọc thực phẩm (30cmx500m)</v>
          </cell>
          <cell r="C2475" t="str">
            <v>cuộn</v>
          </cell>
        </row>
        <row r="2476">
          <cell r="A2476" t="str">
            <v>D2000018</v>
          </cell>
          <cell r="B2476" t="str">
            <v>Màng bọc thực phẩm (45cmx500m)</v>
          </cell>
          <cell r="C2476" t="str">
            <v>cuộn</v>
          </cell>
        </row>
        <row r="2477">
          <cell r="A2477" t="str">
            <v>D2000019</v>
          </cell>
          <cell r="B2477" t="str">
            <v>màng bọc thực phẩm 420 có hộp cắt</v>
          </cell>
          <cell r="C2477" t="str">
            <v>cuộn</v>
          </cell>
        </row>
        <row r="2478">
          <cell r="A2478" t="str">
            <v>D2000020</v>
          </cell>
          <cell r="B2478" t="str">
            <v>Chai rượu bầu 375ml</v>
          </cell>
          <cell r="C2478" t="str">
            <v>Cái</v>
          </cell>
        </row>
        <row r="2479">
          <cell r="A2479" t="str">
            <v>D2000021</v>
          </cell>
          <cell r="B2479" t="str">
            <v>Chỉ trắng nhỏ (30 k/cuộn )</v>
          </cell>
          <cell r="C2479" t="str">
            <v>cuộn</v>
          </cell>
        </row>
        <row r="2480">
          <cell r="A2480" t="str">
            <v>D2000022</v>
          </cell>
          <cell r="B2480" t="str">
            <v>Chỉ trắng to</v>
          </cell>
          <cell r="C2480" t="str">
            <v>cuộn</v>
          </cell>
        </row>
        <row r="2481">
          <cell r="A2481" t="str">
            <v>D2000023</v>
          </cell>
          <cell r="B2481" t="str">
            <v>Cốc sử dụng 1 lần</v>
          </cell>
          <cell r="C2481" t="str">
            <v>dây</v>
          </cell>
        </row>
        <row r="2482">
          <cell r="A2482" t="str">
            <v>D2000024</v>
          </cell>
          <cell r="B2482" t="str">
            <v>Dây chun</v>
          </cell>
          <cell r="C2482" t="str">
            <v>Gói</v>
          </cell>
        </row>
        <row r="2483">
          <cell r="A2483" t="str">
            <v>D2000025</v>
          </cell>
          <cell r="B2483" t="str">
            <v>Dây thít nhựa</v>
          </cell>
          <cell r="C2483" t="str">
            <v>Túi</v>
          </cell>
        </row>
        <row r="2484">
          <cell r="A2484" t="str">
            <v>D2000026</v>
          </cell>
          <cell r="B2484" t="str">
            <v>Đế bạc</v>
          </cell>
          <cell r="C2484" t="str">
            <v>Cái</v>
          </cell>
        </row>
        <row r="2485">
          <cell r="A2485" t="str">
            <v>D2000027</v>
          </cell>
          <cell r="B2485" t="str">
            <v>Đế giấy trắng</v>
          </cell>
          <cell r="C2485" t="str">
            <v>cuộn</v>
          </cell>
        </row>
        <row r="2486">
          <cell r="A2486" t="str">
            <v>D2000028</v>
          </cell>
          <cell r="B2486" t="str">
            <v>Diêm</v>
          </cell>
          <cell r="C2486" t="str">
            <v>Bịch</v>
          </cell>
        </row>
        <row r="2487">
          <cell r="A2487" t="str">
            <v>D2000029</v>
          </cell>
          <cell r="B2487" t="str">
            <v>Đũa ăn 1 lần</v>
          </cell>
          <cell r="C2487" t="str">
            <v>Bịch</v>
          </cell>
        </row>
        <row r="2488">
          <cell r="A2488" t="str">
            <v>D2000030</v>
          </cell>
          <cell r="B2488" t="str">
            <v>Bộ đũa thìa dùng 1 lần</v>
          </cell>
          <cell r="C2488" t="str">
            <v>Bộ</v>
          </cell>
        </row>
        <row r="2489">
          <cell r="A2489" t="str">
            <v>D2000031</v>
          </cell>
          <cell r="B2489" t="str">
            <v>Cọ sắt</v>
          </cell>
          <cell r="C2489" t="str">
            <v>Chiếc</v>
          </cell>
        </row>
        <row r="2490">
          <cell r="A2490" t="str">
            <v>D2000032</v>
          </cell>
          <cell r="B2490" t="str">
            <v>Găng tay cao su</v>
          </cell>
          <cell r="C2490" t="str">
            <v>đôi</v>
          </cell>
        </row>
        <row r="2491">
          <cell r="A2491" t="str">
            <v>D2000033</v>
          </cell>
          <cell r="B2491" t="str">
            <v>Găng tay len</v>
          </cell>
          <cell r="C2491" t="str">
            <v>đôi</v>
          </cell>
        </row>
        <row r="2492">
          <cell r="A2492" t="str">
            <v>D2000034</v>
          </cell>
          <cell r="B2492" t="str">
            <v>Găng tay sợi trắng</v>
          </cell>
          <cell r="C2492" t="str">
            <v>đôi</v>
          </cell>
        </row>
        <row r="2493">
          <cell r="A2493" t="str">
            <v>D2000035</v>
          </cell>
          <cell r="B2493" t="str">
            <v>Giấy thấm dầu (40 cuộn/thùng)</v>
          </cell>
          <cell r="C2493" t="str">
            <v>cuộn</v>
          </cell>
        </row>
        <row r="2494">
          <cell r="A2494" t="str">
            <v>D2000036</v>
          </cell>
          <cell r="B2494" t="str">
            <v>Giấy thấm dầu vuông 20x20cm ( 1 tập=500 tờ)</v>
          </cell>
          <cell r="C2494" t="str">
            <v>tập</v>
          </cell>
        </row>
        <row r="2495">
          <cell r="A2495" t="str">
            <v>D2000037</v>
          </cell>
          <cell r="B2495" t="str">
            <v>Giấy in Bill</v>
          </cell>
          <cell r="C2495" t="str">
            <v>Thùng</v>
          </cell>
        </row>
        <row r="2496">
          <cell r="A2496" t="str">
            <v>D2000038</v>
          </cell>
          <cell r="B2496" t="str">
            <v>Giấy in tem (Decal nhiệt(60X40)mm x 30m)</v>
          </cell>
          <cell r="C2496" t="str">
            <v>cuộn</v>
          </cell>
        </row>
        <row r="2497">
          <cell r="A2497" t="str">
            <v>D2000039</v>
          </cell>
          <cell r="B2497" t="str">
            <v>Giấy cân napkin Hoa Lan GK03</v>
          </cell>
          <cell r="C2497" t="str">
            <v>kg</v>
          </cell>
        </row>
        <row r="2498">
          <cell r="A2498" t="str">
            <v>D2000040</v>
          </cell>
          <cell r="B2498" t="str">
            <v>Giấy napkin Posy 1500 tờ</v>
          </cell>
          <cell r="C2498" t="str">
            <v>Túi</v>
          </cell>
        </row>
        <row r="2499">
          <cell r="A2499" t="str">
            <v>D2000041</v>
          </cell>
          <cell r="B2499" t="str">
            <v>Giấy nến</v>
          </cell>
          <cell r="C2499" t="str">
            <v>tập</v>
          </cell>
        </row>
        <row r="2500">
          <cell r="A2500" t="str">
            <v>D2000042</v>
          </cell>
          <cell r="B2500" t="str">
            <v>Giấy Pos (Giấy in bill, Giấy in nhiệt)</v>
          </cell>
          <cell r="C2500" t="str">
            <v>cuộn</v>
          </cell>
        </row>
        <row r="2501">
          <cell r="A2501" t="str">
            <v>D2000043</v>
          </cell>
          <cell r="B2501" t="str">
            <v>Giấy rút cục (Giấy ăn)</v>
          </cell>
          <cell r="C2501" t="str">
            <v>Túi</v>
          </cell>
        </row>
        <row r="2502">
          <cell r="A2502" t="str">
            <v>D2000044</v>
          </cell>
          <cell r="B2502" t="str">
            <v>Giấy vệ sinh</v>
          </cell>
          <cell r="C2502" t="str">
            <v>cuộn</v>
          </cell>
        </row>
        <row r="2503">
          <cell r="A2503" t="str">
            <v>D2000045</v>
          </cell>
          <cell r="B2503" t="str">
            <v>Giấy vệ sinh cuộn nhỏ (10 cuộn/túi)</v>
          </cell>
          <cell r="C2503" t="str">
            <v>cuộn</v>
          </cell>
        </row>
        <row r="2504">
          <cell r="A2504" t="str">
            <v>D2000046</v>
          </cell>
          <cell r="B2504" t="str">
            <v>Hộp đựng bánh bao</v>
          </cell>
          <cell r="C2504" t="str">
            <v>Chiếc</v>
          </cell>
        </row>
        <row r="2505">
          <cell r="A2505" t="str">
            <v>D2000047</v>
          </cell>
          <cell r="B2505" t="str">
            <v>Khăn giấy lau đa năng</v>
          </cell>
          <cell r="C2505" t="str">
            <v>cuộn</v>
          </cell>
        </row>
        <row r="2506">
          <cell r="A2506" t="str">
            <v>D2000048</v>
          </cell>
          <cell r="B2506" t="str">
            <v>Khay xốp M14 trắng (120 cái/dây)</v>
          </cell>
          <cell r="C2506" t="str">
            <v>Cái</v>
          </cell>
        </row>
        <row r="2507">
          <cell r="A2507" t="str">
            <v>D2000049</v>
          </cell>
          <cell r="B2507" t="str">
            <v>Lưới rửa bát</v>
          </cell>
          <cell r="C2507" t="str">
            <v>Chiếc</v>
          </cell>
        </row>
        <row r="2508">
          <cell r="A2508" t="str">
            <v>D2000050</v>
          </cell>
          <cell r="B2508" t="str">
            <v>Muỗng nhựa 15 cm ( 50 cái/ bịch)</v>
          </cell>
          <cell r="C2508" t="str">
            <v>Bịch</v>
          </cell>
        </row>
        <row r="2509">
          <cell r="A2509" t="str">
            <v>D2000051</v>
          </cell>
          <cell r="B2509" t="str">
            <v>Muỗng nhựa 27cm</v>
          </cell>
          <cell r="C2509" t="str">
            <v>Cái</v>
          </cell>
        </row>
        <row r="2510">
          <cell r="A2510" t="str">
            <v>D2000052</v>
          </cell>
          <cell r="B2510" t="str">
            <v>Muỗng nhựa sữa chua ( 500g/bịch)</v>
          </cell>
          <cell r="C2510" t="str">
            <v>Bịch</v>
          </cell>
        </row>
        <row r="2511">
          <cell r="A2511" t="str">
            <v>D2000053</v>
          </cell>
          <cell r="B2511" t="str">
            <v>Nắp ly nhựa trơn 360ml</v>
          </cell>
          <cell r="C2511" t="str">
            <v>Cái</v>
          </cell>
        </row>
        <row r="2512">
          <cell r="A2512" t="str">
            <v>D2000054</v>
          </cell>
          <cell r="B2512" t="str">
            <v>Túi nilon dán size 25x33 (OPP 25x30)</v>
          </cell>
          <cell r="C2512" t="str">
            <v>kg</v>
          </cell>
        </row>
        <row r="2513">
          <cell r="A2513" t="str">
            <v>D2000055</v>
          </cell>
          <cell r="B2513" t="str">
            <v>Túi nilon dán size 26x42 (OPP 26x42)</v>
          </cell>
          <cell r="C2513" t="str">
            <v>kg</v>
          </cell>
        </row>
        <row r="2514">
          <cell r="A2514" t="str">
            <v>D2000056</v>
          </cell>
          <cell r="B2514" t="str">
            <v>Ống hút 500gr/gói</v>
          </cell>
          <cell r="C2514" t="str">
            <v>Gói</v>
          </cell>
        </row>
        <row r="2515">
          <cell r="A2515" t="str">
            <v>D2000057</v>
          </cell>
          <cell r="B2515" t="str">
            <v>Ống hút nghệ thuật</v>
          </cell>
          <cell r="C2515" t="str">
            <v>Bịch</v>
          </cell>
        </row>
        <row r="2516">
          <cell r="A2516" t="str">
            <v>D2000058</v>
          </cell>
          <cell r="B2516" t="str">
            <v>Ống hút trà sữa</v>
          </cell>
          <cell r="C2516" t="str">
            <v>Bịch</v>
          </cell>
        </row>
        <row r="2517">
          <cell r="A2517" t="str">
            <v>D2000059</v>
          </cell>
          <cell r="B2517" t="str">
            <v>Miếng cước xanh rửa chén</v>
          </cell>
          <cell r="C2517" t="str">
            <v>Cái</v>
          </cell>
        </row>
        <row r="2518">
          <cell r="A2518" t="str">
            <v>D2000060</v>
          </cell>
          <cell r="B2518" t="str">
            <v>Cây rửa ly</v>
          </cell>
          <cell r="C2518" t="str">
            <v>Cái</v>
          </cell>
        </row>
        <row r="2519">
          <cell r="A2519" t="str">
            <v>D2000061</v>
          </cell>
          <cell r="B2519" t="str">
            <v>Tăm vip</v>
          </cell>
          <cell r="C2519" t="str">
            <v>kg</v>
          </cell>
        </row>
        <row r="2520">
          <cell r="A2520" t="str">
            <v>D2000062</v>
          </cell>
          <cell r="B2520" t="str">
            <v>Thùng carton KT 360x250x150mm (nhỏ)</v>
          </cell>
          <cell r="C2520" t="str">
            <v>Cái</v>
          </cell>
        </row>
        <row r="2521">
          <cell r="A2521" t="str">
            <v>D2000063</v>
          </cell>
          <cell r="B2521" t="str">
            <v>Thùng carton KT 400x300x300mm (to)</v>
          </cell>
          <cell r="C2521" t="str">
            <v>Cái</v>
          </cell>
        </row>
        <row r="2522">
          <cell r="A2522" t="str">
            <v>D2000064</v>
          </cell>
          <cell r="B2522" t="str">
            <v>Thùng Xốp 82</v>
          </cell>
          <cell r="C2522" t="str">
            <v>Cái</v>
          </cell>
        </row>
        <row r="2523">
          <cell r="A2523" t="str">
            <v>D2000065</v>
          </cell>
          <cell r="B2523" t="str">
            <v>Tô giấy 1.000ml</v>
          </cell>
          <cell r="C2523" t="str">
            <v>Hộp</v>
          </cell>
        </row>
        <row r="2524">
          <cell r="A2524" t="str">
            <v>D2000066</v>
          </cell>
          <cell r="B2524" t="str">
            <v>Túi bóng rác 10kg</v>
          </cell>
          <cell r="C2524" t="str">
            <v>kg</v>
          </cell>
        </row>
        <row r="2525">
          <cell r="A2525" t="str">
            <v>D2000067</v>
          </cell>
          <cell r="B2525" t="str">
            <v>Túi nilong đen không quai-100kg</v>
          </cell>
          <cell r="C2525" t="str">
            <v>kg</v>
          </cell>
        </row>
        <row r="2526">
          <cell r="A2526" t="str">
            <v>D2000068</v>
          </cell>
          <cell r="B2526" t="str">
            <v>Túi trắng 10kg</v>
          </cell>
          <cell r="C2526" t="str">
            <v>kg</v>
          </cell>
        </row>
        <row r="2527">
          <cell r="A2527" t="str">
            <v>D2000069</v>
          </cell>
          <cell r="B2527" t="str">
            <v>Túi bóng rác 20kg</v>
          </cell>
          <cell r="C2527" t="str">
            <v>kg</v>
          </cell>
        </row>
        <row r="2528">
          <cell r="A2528" t="str">
            <v>D2000070</v>
          </cell>
          <cell r="B2528" t="str">
            <v>Túi nilon rác 30kg</v>
          </cell>
          <cell r="C2528" t="str">
            <v>kg</v>
          </cell>
        </row>
        <row r="2529">
          <cell r="A2529" t="str">
            <v>D2000071</v>
          </cell>
          <cell r="B2529" t="str">
            <v>Túi bóng rác 50kg ( Cực đại 78 x 92 cm)</v>
          </cell>
          <cell r="C2529" t="str">
            <v>kg</v>
          </cell>
        </row>
        <row r="2530">
          <cell r="A2530" t="str">
            <v>D2000072</v>
          </cell>
          <cell r="B2530" t="str">
            <v>Túi nilon dán size 18x28</v>
          </cell>
          <cell r="C2530" t="str">
            <v>kg</v>
          </cell>
        </row>
        <row r="2531">
          <cell r="A2531" t="str">
            <v>D2000073</v>
          </cell>
          <cell r="B2531" t="str">
            <v>Túi rác đen không quai (50kg)</v>
          </cell>
          <cell r="C2531" t="str">
            <v>kg</v>
          </cell>
        </row>
        <row r="2532">
          <cell r="A2532" t="str">
            <v>D2000074</v>
          </cell>
          <cell r="B2532" t="str">
            <v>Túi đựng cốc</v>
          </cell>
          <cell r="C2532" t="str">
            <v>kg</v>
          </cell>
        </row>
        <row r="2533">
          <cell r="A2533" t="str">
            <v>D2000075</v>
          </cell>
          <cell r="B2533" t="str">
            <v>Túi đựng thực phẩm 30x40</v>
          </cell>
          <cell r="C2533" t="str">
            <v>cuộn</v>
          </cell>
        </row>
        <row r="2534">
          <cell r="A2534" t="str">
            <v>D2000076</v>
          </cell>
          <cell r="B2534" t="str">
            <v>Túi đựng thực phẩm 25x30</v>
          </cell>
          <cell r="C2534" t="str">
            <v>cuộn</v>
          </cell>
        </row>
        <row r="2535">
          <cell r="A2535" t="str">
            <v>D2000077</v>
          </cell>
          <cell r="B2535" t="str">
            <v>Túi ép nhiệt 22x32</v>
          </cell>
          <cell r="C2535" t="str">
            <v>kg</v>
          </cell>
        </row>
        <row r="2536">
          <cell r="A2536" t="str">
            <v>D2000078</v>
          </cell>
          <cell r="B2536" t="str">
            <v>Túi hút dài màu</v>
          </cell>
          <cell r="C2536" t="str">
            <v>Túi</v>
          </cell>
        </row>
        <row r="2537">
          <cell r="A2537" t="str">
            <v>D2000079</v>
          </cell>
          <cell r="B2537" t="str">
            <v>Túi zip PA 13x18 (hút chân không)</v>
          </cell>
          <cell r="C2537" t="str">
            <v>kg</v>
          </cell>
        </row>
        <row r="2538">
          <cell r="A2538" t="str">
            <v>D2000080</v>
          </cell>
          <cell r="B2538" t="str">
            <v>Túi zip PA 14x20 (hút chân không)</v>
          </cell>
          <cell r="C2538" t="str">
            <v>kg</v>
          </cell>
        </row>
        <row r="2539">
          <cell r="A2539" t="str">
            <v>D2000081</v>
          </cell>
          <cell r="B2539" t="str">
            <v>Túi zip PA 18x25 (hút chân không)</v>
          </cell>
          <cell r="C2539" t="str">
            <v>kg</v>
          </cell>
        </row>
        <row r="2540">
          <cell r="A2540" t="str">
            <v>D2000082</v>
          </cell>
          <cell r="B2540" t="str">
            <v>Túi zip PA 18x28 (hút chân không)</v>
          </cell>
          <cell r="C2540" t="str">
            <v>kg</v>
          </cell>
        </row>
        <row r="2541">
          <cell r="A2541" t="str">
            <v>D2000083</v>
          </cell>
          <cell r="B2541" t="str">
            <v>Túi zip PA 20x30 (hút chân không)</v>
          </cell>
          <cell r="C2541" t="str">
            <v>kg</v>
          </cell>
        </row>
        <row r="2542">
          <cell r="A2542" t="str">
            <v>D2000084</v>
          </cell>
          <cell r="B2542" t="str">
            <v>Túi zip PA 25x30 (hút chân không)</v>
          </cell>
          <cell r="C2542" t="str">
            <v>kg</v>
          </cell>
        </row>
        <row r="2543">
          <cell r="A2543" t="str">
            <v>D2000085</v>
          </cell>
          <cell r="B2543" t="str">
            <v>Túi zip PA 25x35 (hút chân không)</v>
          </cell>
          <cell r="C2543" t="str">
            <v>kg</v>
          </cell>
        </row>
        <row r="2544">
          <cell r="A2544" t="str">
            <v>D2000086</v>
          </cell>
          <cell r="B2544" t="str">
            <v>Túi zip PA 25x35 15d  (hút chân không)</v>
          </cell>
          <cell r="C2544" t="str">
            <v>kg</v>
          </cell>
        </row>
        <row r="2545">
          <cell r="A2545" t="str">
            <v>D2000087</v>
          </cell>
          <cell r="B2545" t="str">
            <v>Túi zip PA 35x50 (hút chân không)</v>
          </cell>
          <cell r="C2545" t="str">
            <v>kg</v>
          </cell>
        </row>
        <row r="2546">
          <cell r="A2546" t="str">
            <v>D2000088</v>
          </cell>
          <cell r="B2546" t="str">
            <v>Túi nilon PE 13X22</v>
          </cell>
          <cell r="C2546" t="str">
            <v>kg</v>
          </cell>
        </row>
        <row r="2547">
          <cell r="A2547" t="str">
            <v>D2000089</v>
          </cell>
          <cell r="B2547" t="str">
            <v>Túi nilon PE 15X25</v>
          </cell>
          <cell r="C2547" t="str">
            <v>kg</v>
          </cell>
        </row>
        <row r="2548">
          <cell r="A2548" t="str">
            <v>D2000090</v>
          </cell>
          <cell r="B2548" t="str">
            <v>Túi nilon PE 25X35</v>
          </cell>
          <cell r="C2548" t="str">
            <v>kg</v>
          </cell>
        </row>
        <row r="2549">
          <cell r="A2549" t="str">
            <v>D2000091</v>
          </cell>
          <cell r="B2549" t="str">
            <v>Túi chữ T 1 lần</v>
          </cell>
          <cell r="C2549" t="str">
            <v>kg</v>
          </cell>
        </row>
        <row r="2550">
          <cell r="A2550" t="str">
            <v>D2000092</v>
          </cell>
          <cell r="B2550" t="str">
            <v>Túi trắng 0.5kg</v>
          </cell>
          <cell r="C2550" t="str">
            <v>kg</v>
          </cell>
        </row>
        <row r="2551">
          <cell r="A2551" t="str">
            <v>D2000093</v>
          </cell>
          <cell r="B2551" t="str">
            <v>Túi trắng 1kg</v>
          </cell>
          <cell r="C2551" t="str">
            <v>kg</v>
          </cell>
        </row>
        <row r="2552">
          <cell r="A2552" t="str">
            <v>D2000094</v>
          </cell>
          <cell r="B2552" t="str">
            <v>Túi trắng 3kg</v>
          </cell>
          <cell r="C2552" t="str">
            <v>kg</v>
          </cell>
        </row>
        <row r="2553">
          <cell r="A2553" t="str">
            <v>D2000095</v>
          </cell>
          <cell r="B2553" t="str">
            <v>Túi trắng 5kg</v>
          </cell>
          <cell r="C2553" t="str">
            <v>kg</v>
          </cell>
        </row>
        <row r="2554">
          <cell r="A2554" t="str">
            <v>D2000096</v>
          </cell>
          <cell r="B2554" t="str">
            <v>Túi xi măng giấy 17x20</v>
          </cell>
          <cell r="C2554" t="str">
            <v>Cái</v>
          </cell>
        </row>
        <row r="2555">
          <cell r="A2555" t="str">
            <v>D2000097</v>
          </cell>
          <cell r="B2555" t="str">
            <v>Túi zip chỉ đỏ số 2</v>
          </cell>
          <cell r="C2555" t="str">
            <v>kg</v>
          </cell>
        </row>
        <row r="2556">
          <cell r="A2556" t="str">
            <v>D2000098</v>
          </cell>
          <cell r="B2556" t="str">
            <v>Túi zip chỉ đỏ  size 17x25</v>
          </cell>
          <cell r="C2556" t="str">
            <v>kg</v>
          </cell>
        </row>
        <row r="2557">
          <cell r="A2557" t="str">
            <v>D2000099</v>
          </cell>
          <cell r="B2557" t="str">
            <v>Túi zip giấy CS tràn vàng 18x26</v>
          </cell>
          <cell r="C2557" t="str">
            <v>kg</v>
          </cell>
        </row>
        <row r="2558">
          <cell r="A2558" t="str">
            <v>D2000100</v>
          </cell>
          <cell r="B2558" t="str">
            <v>Túi zip giấy CS tràn vàng 25x35</v>
          </cell>
          <cell r="C2558" t="str">
            <v>kg</v>
          </cell>
        </row>
        <row r="2559">
          <cell r="A2559" t="str">
            <v>D2000101</v>
          </cell>
          <cell r="B2559" t="str">
            <v>Túi zip nhỏ (Zip chỉ đỏ số 3) 7x10</v>
          </cell>
          <cell r="C2559" t="str">
            <v>kg</v>
          </cell>
        </row>
        <row r="2560">
          <cell r="A2560" t="str">
            <v>D2000102</v>
          </cell>
          <cell r="B2560" t="str">
            <v>Túi zip chỉ đỏ số 6 size 12x17</v>
          </cell>
          <cell r="C2560" t="str">
            <v>kg</v>
          </cell>
        </row>
        <row r="2561">
          <cell r="A2561" t="str">
            <v>D2000103</v>
          </cell>
          <cell r="B2561" t="str">
            <v>Túi zip bạc to size 22x30</v>
          </cell>
          <cell r="C2561" t="str">
            <v>kg</v>
          </cell>
        </row>
        <row r="2562">
          <cell r="A2562" t="str">
            <v>D2000104</v>
          </cell>
          <cell r="B2562" t="str">
            <v>Vỏ đũa</v>
          </cell>
          <cell r="C2562" t="str">
            <v>Cái</v>
          </cell>
        </row>
        <row r="2563">
          <cell r="A2563" t="str">
            <v>D2000105</v>
          </cell>
          <cell r="B2563" t="str">
            <v>Xiên que tre</v>
          </cell>
          <cell r="C2563" t="str">
            <v>Gói</v>
          </cell>
        </row>
        <row r="2564">
          <cell r="A2564" t="str">
            <v>D2000106</v>
          </cell>
          <cell r="B2564" t="str">
            <v>Túi zip bạc size 15x22</v>
          </cell>
          <cell r="C2564" t="str">
            <v>kg</v>
          </cell>
        </row>
        <row r="2565">
          <cell r="A2565" t="str">
            <v>D2000107</v>
          </cell>
          <cell r="B2565" t="str">
            <v>Túi zip số 1 size 5x7</v>
          </cell>
          <cell r="C2565" t="str">
            <v>kg</v>
          </cell>
        </row>
        <row r="2566">
          <cell r="A2566" t="str">
            <v>D2000108</v>
          </cell>
          <cell r="B2566" t="str">
            <v>Hộp chữ nhật đế đen size lớn (Hộp HT203)</v>
          </cell>
          <cell r="C2566" t="str">
            <v>Hộp</v>
          </cell>
        </row>
        <row r="2567">
          <cell r="A2567" t="str">
            <v>D2000109</v>
          </cell>
          <cell r="B2567" t="str">
            <v>Hộp chữ nhật đế đen size nhỏ (Hộp HT12)</v>
          </cell>
          <cell r="C2567" t="str">
            <v>Hộp</v>
          </cell>
        </row>
        <row r="2568">
          <cell r="A2568" t="str">
            <v>D2000110</v>
          </cell>
          <cell r="B2568" t="str">
            <v>Hộp chữ nhật đế đen size nhỏ (Hộp HT25)</v>
          </cell>
          <cell r="C2568" t="str">
            <v>Hộp</v>
          </cell>
        </row>
        <row r="2569">
          <cell r="A2569" t="str">
            <v>D2000111</v>
          </cell>
          <cell r="B2569" t="str">
            <v>Hộp chữ nhật đế đen size nhỡ (Hộp HT17)</v>
          </cell>
          <cell r="C2569" t="str">
            <v>Hộp</v>
          </cell>
        </row>
        <row r="2570">
          <cell r="A2570" t="str">
            <v>D2000112</v>
          </cell>
          <cell r="B2570" t="str">
            <v>Hộp giấy dáng D 1000ml nắp gài</v>
          </cell>
          <cell r="C2570" t="str">
            <v>Chiếc</v>
          </cell>
        </row>
        <row r="2571">
          <cell r="A2571" t="str">
            <v>D2000113</v>
          </cell>
          <cell r="B2571" t="str">
            <v>Hộp giấy dáng D 1500ml nắp gài</v>
          </cell>
          <cell r="C2571" t="str">
            <v>Chiếc</v>
          </cell>
        </row>
        <row r="2572">
          <cell r="A2572" t="str">
            <v>D2000114</v>
          </cell>
          <cell r="B2572" t="str">
            <v>Hộp nhựa 100ml nắp nhôm (Hũ nhựa Pet 100ml nắp nhôm)</v>
          </cell>
          <cell r="C2572" t="str">
            <v>Chiếc</v>
          </cell>
        </row>
        <row r="2573">
          <cell r="A2573" t="str">
            <v>D2000115</v>
          </cell>
          <cell r="B2573" t="str">
            <v>Bát nhựa sử dụng 1 lần (100 chiếc/dây)</v>
          </cell>
          <cell r="C2573" t="str">
            <v>dây</v>
          </cell>
        </row>
        <row r="2574">
          <cell r="A2574" t="str">
            <v>D2000116</v>
          </cell>
          <cell r="B2574" t="str">
            <v>Giấy in tem (Decal nhiệt(25X40)mm)</v>
          </cell>
          <cell r="C2574" t="str">
            <v>cuộn</v>
          </cell>
        </row>
        <row r="2575">
          <cell r="A2575" t="str">
            <v>D2000117</v>
          </cell>
          <cell r="B2575" t="str">
            <v>Khay đựng há cảo (19.5x24.9x3 cm)</v>
          </cell>
          <cell r="C2575" t="str">
            <v>Cái</v>
          </cell>
        </row>
        <row r="2576">
          <cell r="A2576" t="str">
            <v>D2000118</v>
          </cell>
          <cell r="B2576" t="str">
            <v>Hộp giấy 7 món</v>
          </cell>
          <cell r="C2576" t="str">
            <v>cái</v>
          </cell>
        </row>
        <row r="2577">
          <cell r="A2577" t="str">
            <v>D2000119</v>
          </cell>
          <cell r="B2577" t="str">
            <v>Khay nhựa 7 món</v>
          </cell>
          <cell r="C2577" t="str">
            <v>cái</v>
          </cell>
        </row>
        <row r="2578">
          <cell r="A2578" t="str">
            <v>D2000120</v>
          </cell>
          <cell r="B2578" t="str">
            <v>Vỏ hộp màng bọc 30cm</v>
          </cell>
          <cell r="C2578" t="str">
            <v>cái</v>
          </cell>
        </row>
        <row r="2579">
          <cell r="A2579" t="str">
            <v>D2000121</v>
          </cell>
          <cell r="B2579" t="str">
            <v>Vỏ hộp màng bọc 45cm</v>
          </cell>
          <cell r="C2579" t="str">
            <v>cái</v>
          </cell>
        </row>
        <row r="2580">
          <cell r="A2580" t="str">
            <v>D2000122</v>
          </cell>
          <cell r="B2580" t="str">
            <v>Miếng bọt rửa chén đa năng</v>
          </cell>
          <cell r="C2580" t="str">
            <v>Cái</v>
          </cell>
        </row>
        <row r="2581">
          <cell r="A2581" t="str">
            <v>D2000123</v>
          </cell>
          <cell r="B2581" t="str">
            <v>Miếng chà nồi</v>
          </cell>
          <cell r="C2581" t="str">
            <v>Cái</v>
          </cell>
        </row>
        <row r="2582">
          <cell r="A2582" t="str">
            <v>D2000124</v>
          </cell>
          <cell r="B2582" t="str">
            <v>Bàn chải chà thớt Handy brush</v>
          </cell>
          <cell r="C2582" t="str">
            <v>Cái</v>
          </cell>
        </row>
        <row r="2583">
          <cell r="A2583" t="str">
            <v>D2000125</v>
          </cell>
          <cell r="B2583" t="str">
            <v>Bàn chải</v>
          </cell>
          <cell r="C2583" t="str">
            <v>Cái</v>
          </cell>
        </row>
        <row r="2584">
          <cell r="A2584" t="str">
            <v>D2000126</v>
          </cell>
          <cell r="B2584" t="str">
            <v>Cốc nhựa 220</v>
          </cell>
          <cell r="C2584" t="str">
            <v>Cái</v>
          </cell>
        </row>
        <row r="2585">
          <cell r="A2585" t="str">
            <v>D2000127</v>
          </cell>
          <cell r="B2585" t="str">
            <v>Nắp cốc 220</v>
          </cell>
          <cell r="C2585" t="str">
            <v>Cái</v>
          </cell>
        </row>
        <row r="2586">
          <cell r="A2586" t="str">
            <v>D2000128</v>
          </cell>
          <cell r="B2586" t="str">
            <v>Cốc nhựa gân 220ml</v>
          </cell>
          <cell r="C2586" t="str">
            <v>Cái</v>
          </cell>
        </row>
        <row r="2587">
          <cell r="A2587" t="str">
            <v>D2000129</v>
          </cell>
          <cell r="B2587" t="str">
            <v>Nắp cốc gân 220ml</v>
          </cell>
          <cell r="C2587" t="str">
            <v>Cái</v>
          </cell>
        </row>
        <row r="2588">
          <cell r="A2588" t="str">
            <v>D2000130</v>
          </cell>
          <cell r="B2588" t="str">
            <v>Ly nhựa nắp cầu in Logo 360ml ( Ly+Nắp)</v>
          </cell>
          <cell r="C2588" t="str">
            <v>Cái</v>
          </cell>
        </row>
        <row r="2589">
          <cell r="A2589" t="str">
            <v>D2000131</v>
          </cell>
          <cell r="B2589" t="str">
            <v>Ly nhựa trơn 360ml</v>
          </cell>
          <cell r="C2589" t="str">
            <v>Cái</v>
          </cell>
        </row>
        <row r="2590">
          <cell r="A2590" t="str">
            <v>D2000132</v>
          </cell>
          <cell r="B2590" t="str">
            <v>Xịt muỗi</v>
          </cell>
          <cell r="C2590" t="str">
            <v>Chai</v>
          </cell>
        </row>
        <row r="2591">
          <cell r="A2591" t="str">
            <v>D2000133</v>
          </cell>
          <cell r="B2591" t="str">
            <v>Ly nhựa trơn 500ml</v>
          </cell>
          <cell r="C2591" t="str">
            <v>Cái</v>
          </cell>
        </row>
        <row r="2592">
          <cell r="A2592" t="str">
            <v>D2000134</v>
          </cell>
          <cell r="B2592" t="str">
            <v>Thìa nhựa (100 chiếc/bịch)</v>
          </cell>
          <cell r="C2592" t="str">
            <v>Bịch</v>
          </cell>
        </row>
        <row r="2593">
          <cell r="A2593" t="str">
            <v>D2000135</v>
          </cell>
          <cell r="B2593" t="str">
            <v>Túi zip PA 18x20 (hút chân không)</v>
          </cell>
          <cell r="C2593" t="str">
            <v>kg</v>
          </cell>
        </row>
        <row r="2594">
          <cell r="A2594" t="str">
            <v>D2000136</v>
          </cell>
          <cell r="B2594" t="str">
            <v>Tem lưu mẫu nhà hàng</v>
          </cell>
          <cell r="C2594" t="str">
            <v>Cái</v>
          </cell>
        </row>
        <row r="2595">
          <cell r="A2595" t="str">
            <v>D2000137</v>
          </cell>
          <cell r="B2595" t="str">
            <v>Ống nứa (ống tre)</v>
          </cell>
          <cell r="C2595" t="str">
            <v>Cái</v>
          </cell>
        </row>
        <row r="2596">
          <cell r="A2596" t="str">
            <v>D2000138</v>
          </cell>
          <cell r="B2596" t="str">
            <v>Giấy pos ngân hàng KT 57x 38 (giấy in nhiệt)</v>
          </cell>
          <cell r="C2596" t="str">
            <v>Cuộn</v>
          </cell>
        </row>
        <row r="2597">
          <cell r="A2597" t="str">
            <v>D2000139</v>
          </cell>
          <cell r="B2597" t="str">
            <v>Hộp đựng há cảo khuôn chữ nhật</v>
          </cell>
          <cell r="C2597" t="str">
            <v>Hộp</v>
          </cell>
        </row>
        <row r="2598">
          <cell r="A2598" t="str">
            <v>D2000140</v>
          </cell>
          <cell r="B2598" t="str">
            <v>Hộp đựng xíu mại khuôn tròn</v>
          </cell>
          <cell r="C2598" t="str">
            <v>Hộp</v>
          </cell>
        </row>
        <row r="2599">
          <cell r="A2599" t="str">
            <v>D2000141</v>
          </cell>
          <cell r="B2599" t="str">
            <v>Nắp Pet Kraft 750/1000ml</v>
          </cell>
          <cell r="C2599" t="str">
            <v>chiếc</v>
          </cell>
        </row>
        <row r="2600">
          <cell r="A2600" t="str">
            <v>D2000142</v>
          </cell>
          <cell r="B2600" t="str">
            <v>Bóng bay màu xanh to (50 quả/túi)</v>
          </cell>
          <cell r="C2600" t="str">
            <v>Túi</v>
          </cell>
        </row>
        <row r="2601">
          <cell r="A2601" t="str">
            <v>D2000143</v>
          </cell>
          <cell r="B2601" t="str">
            <v>Bóng bay màu ghi to (50 quả/túi)</v>
          </cell>
          <cell r="C2601" t="str">
            <v>Túi</v>
          </cell>
        </row>
        <row r="2602">
          <cell r="A2602" t="str">
            <v>D2000144</v>
          </cell>
          <cell r="B2602" t="str">
            <v>Bóng bay màu vàng to (50 quả/túi)</v>
          </cell>
          <cell r="C2602" t="str">
            <v>Túi</v>
          </cell>
        </row>
        <row r="2603">
          <cell r="A2603" t="str">
            <v>D2000145</v>
          </cell>
          <cell r="B2603" t="str">
            <v>Bóng bay màu hồng to (50 quả/túi)</v>
          </cell>
          <cell r="C2603" t="str">
            <v>Túi</v>
          </cell>
        </row>
        <row r="2604">
          <cell r="A2604" t="str">
            <v>D2000146</v>
          </cell>
          <cell r="B2604" t="str">
            <v>Túi cuộn thực phẩm 20x30 (Cuộn/kg)</v>
          </cell>
          <cell r="C2604" t="str">
            <v>Cuộn</v>
          </cell>
        </row>
        <row r="2605">
          <cell r="A2605" t="str">
            <v>D2000147</v>
          </cell>
          <cell r="B2605" t="str">
            <v>Nước rửa bát (Cocoz Clean AS- 1 COCOZ CLEAN 800(G))</v>
          </cell>
          <cell r="C2605" t="str">
            <v>Can</v>
          </cell>
        </row>
        <row r="2606">
          <cell r="A2606" t="str">
            <v>D2000148</v>
          </cell>
          <cell r="B2606" t="str">
            <v>Chất sấy khô ( Cocoz Dry 2 COCOZ DRY AS-900RG)</v>
          </cell>
          <cell r="C2606" t="str">
            <v>Can</v>
          </cell>
        </row>
        <row r="2607">
          <cell r="A2607" t="str">
            <v>D2000149</v>
          </cell>
          <cell r="B2607" t="str">
            <v>Màng bọc thực phẩm (45cmx500m) có hộp cắt</v>
          </cell>
          <cell r="C2607" t="str">
            <v>Cuộn</v>
          </cell>
        </row>
        <row r="2608">
          <cell r="A2608" t="str">
            <v>D2000151</v>
          </cell>
          <cell r="B2608" t="str">
            <v>Bóng bay màu xanh nhỏ (100 quả/túi)</v>
          </cell>
          <cell r="C2608" t="str">
            <v>Túi</v>
          </cell>
        </row>
        <row r="2609">
          <cell r="A2609" t="str">
            <v>D2000152</v>
          </cell>
          <cell r="B2609" t="str">
            <v>Bóng bay màu ghi nhỏ (100 quả/túi)</v>
          </cell>
          <cell r="C2609" t="str">
            <v>Túi</v>
          </cell>
        </row>
        <row r="2610">
          <cell r="A2610" t="str">
            <v>D2000153</v>
          </cell>
          <cell r="B2610" t="str">
            <v>Bóng bay màu vàng nhỏ (100 quả/túi)</v>
          </cell>
          <cell r="C2610" t="str">
            <v>Túi</v>
          </cell>
        </row>
        <row r="2611">
          <cell r="A2611" t="str">
            <v>D2000154</v>
          </cell>
          <cell r="B2611" t="str">
            <v>Bóng bay màu hồng nhỏ (100 quả/túi)</v>
          </cell>
          <cell r="C2611" t="str">
            <v>Túi</v>
          </cell>
        </row>
        <row r="2612">
          <cell r="A2612" t="str">
            <v>D2000155</v>
          </cell>
          <cell r="B2612" t="str">
            <v>Hũ thủy tinh gân 200ml (kèm nắp)</v>
          </cell>
          <cell r="C2612" t="str">
            <v>Cái</v>
          </cell>
        </row>
        <row r="2613">
          <cell r="A2613" t="str">
            <v>D2000156</v>
          </cell>
          <cell r="B2613" t="str">
            <v>Túi tự hủy size 30(Long Wang)</v>
          </cell>
          <cell r="C2613" t="str">
            <v>kg</v>
          </cell>
        </row>
        <row r="2614">
          <cell r="A2614" t="str">
            <v>D2000157</v>
          </cell>
          <cell r="B2614" t="str">
            <v>Túi tự hủy size 35(Long Wang)</v>
          </cell>
          <cell r="C2614" t="str">
            <v>kg</v>
          </cell>
        </row>
        <row r="2615">
          <cell r="A2615" t="str">
            <v>D2000158</v>
          </cell>
          <cell r="B2615" t="str">
            <v>Băng dính 1 mặt to</v>
          </cell>
          <cell r="C2615" t="str">
            <v>Cuộn</v>
          </cell>
        </row>
        <row r="2616">
          <cell r="A2616" t="str">
            <v>D2000159</v>
          </cell>
          <cell r="B2616" t="str">
            <v>Túi nilon PE 13x25</v>
          </cell>
          <cell r="C2616" t="str">
            <v>kg</v>
          </cell>
        </row>
        <row r="2617">
          <cell r="A2617" t="str">
            <v>D2000160</v>
          </cell>
          <cell r="B2617" t="str">
            <v>Ly in Logo bò tơ</v>
          </cell>
          <cell r="C2617" t="str">
            <v>Cái</v>
          </cell>
        </row>
        <row r="2618">
          <cell r="A2618" t="str">
            <v>D2000161</v>
          </cell>
          <cell r="B2618" t="str">
            <v>Nắp ly in logo bò tơ</v>
          </cell>
          <cell r="C2618" t="str">
            <v>Cái</v>
          </cell>
        </row>
        <row r="2619">
          <cell r="A2619" t="str">
            <v>D2000162</v>
          </cell>
          <cell r="B2619" t="str">
            <v>Tem dài thân lọ sốt sa tế</v>
          </cell>
          <cell r="C2619" t="str">
            <v>Cái</v>
          </cell>
        </row>
        <row r="2620">
          <cell r="A2620" t="str">
            <v>D2000163</v>
          </cell>
          <cell r="B2620" t="str">
            <v>Tem tròn nắp lọ sốt sa tế</v>
          </cell>
          <cell r="C2620" t="str">
            <v>Cái</v>
          </cell>
        </row>
        <row r="2621">
          <cell r="A2621" t="str">
            <v>D2000164</v>
          </cell>
          <cell r="B2621" t="str">
            <v>Tem vỡ lọ sốt sa tế</v>
          </cell>
          <cell r="C2621" t="str">
            <v>Cái</v>
          </cell>
        </row>
        <row r="2622">
          <cell r="A2622" t="str">
            <v>D2000165</v>
          </cell>
          <cell r="B2622" t="str">
            <v>Màng bọc thực phẩm (45cmx300m)</v>
          </cell>
          <cell r="C2622" t="str">
            <v>Cuộn</v>
          </cell>
        </row>
        <row r="2623">
          <cell r="A2623" t="str">
            <v>D2000166</v>
          </cell>
          <cell r="B2623" t="str">
            <v>Ống hút giấy phi 6 (màu nâu) (100 cái/bịch)</v>
          </cell>
          <cell r="C2623" t="str">
            <v>Bịch</v>
          </cell>
        </row>
        <row r="2624">
          <cell r="A2624" t="str">
            <v>D2000167</v>
          </cell>
          <cell r="B2624" t="str">
            <v>Ống hút giấy phi 12 (màu nâu) (50 cái/bịch)</v>
          </cell>
          <cell r="C2624" t="str">
            <v>Bịch</v>
          </cell>
        </row>
        <row r="2625">
          <cell r="A2625" t="str">
            <v>D2000168</v>
          </cell>
          <cell r="B2625" t="str">
            <v>Túi zip PA 16x23 (hút chân không)</v>
          </cell>
          <cell r="C2625" t="str">
            <v>kg</v>
          </cell>
        </row>
        <row r="2626">
          <cell r="A2626" t="str">
            <v>D2000169</v>
          </cell>
          <cell r="B2626" t="str">
            <v>Băng dính (250g/cuộn)</v>
          </cell>
          <cell r="C2626" t="str">
            <v>Cuộn</v>
          </cell>
        </row>
        <row r="2627">
          <cell r="A2627" t="str">
            <v>D2000170</v>
          </cell>
          <cell r="B2627" t="str">
            <v>Đũa gỗ tách</v>
          </cell>
          <cell r="C2627" t="str">
            <v>Gói</v>
          </cell>
        </row>
        <row r="2628">
          <cell r="A2628" t="str">
            <v>D2000171</v>
          </cell>
          <cell r="B2628" t="str">
            <v>Cốc canh 400ml</v>
          </cell>
          <cell r="C2628" t="str">
            <v>Cái</v>
          </cell>
        </row>
        <row r="2629">
          <cell r="A2629" t="str">
            <v>D2000172</v>
          </cell>
          <cell r="B2629" t="str">
            <v>Cốc chè 300ml</v>
          </cell>
          <cell r="C2629" t="str">
            <v>Cái</v>
          </cell>
        </row>
        <row r="2630">
          <cell r="A2630" t="str">
            <v>D2000173</v>
          </cell>
          <cell r="B2630" t="str">
            <v>Hộp nhựa tròn 600ml</v>
          </cell>
          <cell r="C2630" t="str">
            <v>Cái</v>
          </cell>
        </row>
        <row r="2631">
          <cell r="A2631" t="str">
            <v>D2000174</v>
          </cell>
          <cell r="B2631" t="str">
            <v>Hộp chữ nhật đế đen 4 ngăn</v>
          </cell>
          <cell r="C2631" t="str">
            <v>Hộp</v>
          </cell>
        </row>
        <row r="2632">
          <cell r="A2632" t="str">
            <v>D2000175</v>
          </cell>
          <cell r="B2632" t="str">
            <v>Hộp xốp 1 ngăn (50c/dây)</v>
          </cell>
          <cell r="C2632" t="str">
            <v>Dây</v>
          </cell>
        </row>
        <row r="2633">
          <cell r="A2633" t="str">
            <v>D2000176</v>
          </cell>
          <cell r="B2633" t="str">
            <v>Túi xanh 5kg</v>
          </cell>
          <cell r="C2633" t="str">
            <v>kg</v>
          </cell>
        </row>
        <row r="2634">
          <cell r="A2634" t="str">
            <v>D2000177</v>
          </cell>
          <cell r="B2634" t="str">
            <v>Màng dập cốc</v>
          </cell>
          <cell r="C2634" t="str">
            <v>Cuộn</v>
          </cell>
        </row>
        <row r="2635">
          <cell r="A2635" t="str">
            <v>D2000178</v>
          </cell>
          <cell r="B2635" t="str">
            <v>Túi đựng 1 cốc</v>
          </cell>
          <cell r="C2635" t="str">
            <v>kg</v>
          </cell>
        </row>
        <row r="2636">
          <cell r="A2636" t="str">
            <v>D2000179</v>
          </cell>
          <cell r="B2636" t="str">
            <v>Túi đựng 2 cốc</v>
          </cell>
          <cell r="C2636" t="str">
            <v>kg</v>
          </cell>
        </row>
        <row r="2637">
          <cell r="A2637" t="str">
            <v>D2000180</v>
          </cell>
          <cell r="B2637" t="str">
            <v>Túi bóng kính 8x12</v>
          </cell>
          <cell r="C2637" t="str">
            <v>kg</v>
          </cell>
        </row>
        <row r="2638">
          <cell r="A2638" t="str">
            <v>D2000181</v>
          </cell>
          <cell r="B2638" t="str">
            <v>Túi bóng kính 20x30</v>
          </cell>
          <cell r="C2638" t="str">
            <v>kg</v>
          </cell>
        </row>
        <row r="2639">
          <cell r="A2639" t="str">
            <v>D2000182</v>
          </cell>
          <cell r="B2639" t="str">
            <v>Túi bóng trắng 3kg</v>
          </cell>
          <cell r="C2639" t="str">
            <v>kg</v>
          </cell>
        </row>
        <row r="2640">
          <cell r="A2640" t="str">
            <v>D2000183</v>
          </cell>
          <cell r="B2640" t="str">
            <v>Kẹp niêu đỏ</v>
          </cell>
          <cell r="C2640" t="str">
            <v>Cái</v>
          </cell>
        </row>
        <row r="2641">
          <cell r="A2641" t="str">
            <v>D2000184</v>
          </cell>
          <cell r="B2641" t="str">
            <v>Kẹp niêu trắng</v>
          </cell>
          <cell r="C2641" t="str">
            <v>Cái</v>
          </cell>
        </row>
        <row r="2642">
          <cell r="A2642" t="str">
            <v>D2000185</v>
          </cell>
          <cell r="B2642" t="str">
            <v>Kẹp bàn đỏ</v>
          </cell>
          <cell r="C2642" t="str">
            <v>Hộp</v>
          </cell>
        </row>
        <row r="2643">
          <cell r="A2643" t="str">
            <v>D2000186</v>
          </cell>
          <cell r="B2643" t="str">
            <v>Kẹp bàn tre</v>
          </cell>
          <cell r="C2643" t="str">
            <v>Hộp</v>
          </cell>
        </row>
        <row r="2644">
          <cell r="A2644" t="str">
            <v>D2000187</v>
          </cell>
          <cell r="B2644" t="str">
            <v>Túi nhôm 3 biên 20*30 ( 1 mặt trong+1 mặt nhôm)</v>
          </cell>
          <cell r="C2644" t="str">
            <v>kg</v>
          </cell>
        </row>
        <row r="2645">
          <cell r="A2645" t="str">
            <v>D2000188</v>
          </cell>
          <cell r="B2645" t="str">
            <v>Thanh giá đỡ trong suốt 40cm (que cắm bóng)</v>
          </cell>
          <cell r="C2645" t="str">
            <v>Cái</v>
          </cell>
        </row>
        <row r="2646">
          <cell r="A2646" t="str">
            <v>D2000189</v>
          </cell>
          <cell r="B2646" t="str">
            <v>Hộp cứng đỏ đựng bò khô kèm túi đỏ</v>
          </cell>
          <cell r="C2646" t="str">
            <v>Cái</v>
          </cell>
        </row>
        <row r="2647">
          <cell r="A2647" t="str">
            <v>D2000190</v>
          </cell>
          <cell r="B2647" t="str">
            <v>Hộp vàng đựng bò khô 0.5kg kèm túi vàng</v>
          </cell>
          <cell r="C2647" t="str">
            <v>Cái</v>
          </cell>
        </row>
        <row r="2648">
          <cell r="A2648" t="str">
            <v>D2000191</v>
          </cell>
          <cell r="B2648" t="str">
            <v>Hộp vàng đựng bò khô 1kg kèm túi vàng</v>
          </cell>
          <cell r="C2648" t="str">
            <v>Cái</v>
          </cell>
        </row>
        <row r="2649">
          <cell r="A2649" t="str">
            <v>D2000192</v>
          </cell>
          <cell r="B2649" t="str">
            <v>Khẩu trang (50 cái/hộp)</v>
          </cell>
          <cell r="C2649" t="str">
            <v>Hộp</v>
          </cell>
        </row>
        <row r="2650">
          <cell r="A2650" t="str">
            <v>D2000193</v>
          </cell>
          <cell r="B2650" t="str">
            <v>Tem dán đỉnh túi bò khô</v>
          </cell>
          <cell r="C2650" t="str">
            <v>Cái</v>
          </cell>
        </row>
        <row r="2651">
          <cell r="A2651" t="str">
            <v>D2000194</v>
          </cell>
          <cell r="B2651" t="str">
            <v>Màng bọc thực phẩm (45cmx400m)</v>
          </cell>
          <cell r="C2651" t="str">
            <v>Cuộn</v>
          </cell>
        </row>
        <row r="2652">
          <cell r="A2652" t="str">
            <v>D2000195</v>
          </cell>
          <cell r="B2652" t="str">
            <v>Màng bọc thực phẩm (45cmx600m)</v>
          </cell>
          <cell r="C2652" t="str">
            <v>Cuộn</v>
          </cell>
        </row>
        <row r="2653">
          <cell r="A2653" t="str">
            <v>D2000196</v>
          </cell>
          <cell r="B2653" t="str">
            <v>Bàn chải màu xanh trắng</v>
          </cell>
          <cell r="C2653" t="str">
            <v>Cái</v>
          </cell>
        </row>
        <row r="2654">
          <cell r="A2654" t="str">
            <v>D2000197</v>
          </cell>
          <cell r="B2654" t="str">
            <v>Bàn chải màu đỏ</v>
          </cell>
          <cell r="C2654" t="str">
            <v>Cái</v>
          </cell>
        </row>
        <row r="2655">
          <cell r="A2655" t="str">
            <v>D2000198</v>
          </cell>
          <cell r="B2655" t="str">
            <v>Giấy lọc 70g cắt tấm 0.33/0.3*0.33m</v>
          </cell>
          <cell r="C2655" t="str">
            <v>Tờ</v>
          </cell>
        </row>
        <row r="2656">
          <cell r="A2656" t="str">
            <v>D2000199</v>
          </cell>
          <cell r="B2656" t="str">
            <v>Khẩu trang che giọt bắn</v>
          </cell>
          <cell r="C2656" t="str">
            <v>Cái</v>
          </cell>
        </row>
        <row r="2657">
          <cell r="A2657" t="str">
            <v>D2000200</v>
          </cell>
          <cell r="B2657" t="str">
            <v>Bóng bay màu trắng (100c/túi)</v>
          </cell>
          <cell r="C2657" t="str">
            <v>Túi</v>
          </cell>
        </row>
        <row r="2658">
          <cell r="A2658" t="str">
            <v>D2000201</v>
          </cell>
          <cell r="B2658" t="str">
            <v>Chai nhựa 330ml</v>
          </cell>
          <cell r="C2658" t="str">
            <v>Chai</v>
          </cell>
        </row>
        <row r="2659">
          <cell r="A2659" t="str">
            <v>D2000202</v>
          </cell>
          <cell r="B2659" t="str">
            <v>Túi nilon PE 17x27</v>
          </cell>
          <cell r="C2659" t="str">
            <v>kg</v>
          </cell>
        </row>
        <row r="2660">
          <cell r="A2660" t="str">
            <v>D2000203</v>
          </cell>
          <cell r="B2660" t="str">
            <v>Cốc nhựa 500ml</v>
          </cell>
          <cell r="C2660" t="str">
            <v>Cái</v>
          </cell>
        </row>
        <row r="2661">
          <cell r="A2661" t="str">
            <v>D2000204</v>
          </cell>
          <cell r="B2661" t="str">
            <v>Nắp bằng phi 95</v>
          </cell>
          <cell r="C2661" t="str">
            <v>Cái</v>
          </cell>
        </row>
        <row r="2662">
          <cell r="A2662" t="str">
            <v>D2000205</v>
          </cell>
          <cell r="B2662" t="str">
            <v>Hộp nhựa vuông 1000ml</v>
          </cell>
          <cell r="C2662" t="str">
            <v>Cái</v>
          </cell>
        </row>
        <row r="2663">
          <cell r="A2663" t="str">
            <v>D2000206</v>
          </cell>
          <cell r="B2663" t="str">
            <v>Ống hút giấy phi 6 (màu trắng) (100 cái/bịch)</v>
          </cell>
          <cell r="C2663" t="str">
            <v>Bịch</v>
          </cell>
        </row>
        <row r="2664">
          <cell r="A2664" t="str">
            <v>D2000207</v>
          </cell>
          <cell r="B2664" t="str">
            <v>Ống hút giấy phi 12 (màu trắng) (50 cái/bịch)</v>
          </cell>
          <cell r="C2664" t="str">
            <v>Bịch</v>
          </cell>
        </row>
        <row r="2665">
          <cell r="A2665" t="str">
            <v>D2000208</v>
          </cell>
          <cell r="B2665" t="str">
            <v>Túi zip bạc size 25x35</v>
          </cell>
          <cell r="C2665" t="str">
            <v>kg</v>
          </cell>
        </row>
        <row r="2666">
          <cell r="A2666" t="str">
            <v>D2000209</v>
          </cell>
          <cell r="B2666" t="str">
            <v>Hủ nước sốt nắp liền  (50 cái/1 dây)</v>
          </cell>
          <cell r="C2666" t="str">
            <v>Dây</v>
          </cell>
        </row>
        <row r="2667">
          <cell r="A2667" t="str">
            <v>D2000210</v>
          </cell>
          <cell r="B2667" t="str">
            <v>Hộp thực phẩm chữ nhật 550ml</v>
          </cell>
          <cell r="C2667" t="str">
            <v>Cái</v>
          </cell>
        </row>
        <row r="2668">
          <cell r="A2668" t="str">
            <v>D2000211</v>
          </cell>
          <cell r="B2668" t="str">
            <v>Hộp bấm P500B</v>
          </cell>
          <cell r="C2668" t="str">
            <v>Cái</v>
          </cell>
        </row>
        <row r="2669">
          <cell r="A2669" t="str">
            <v>D2000212</v>
          </cell>
          <cell r="B2669" t="str">
            <v>Hộp bấm P1000B</v>
          </cell>
          <cell r="C2669" t="str">
            <v>Cái</v>
          </cell>
        </row>
        <row r="2670">
          <cell r="A2670" t="str">
            <v>D2000213</v>
          </cell>
          <cell r="B2670" t="str">
            <v>Que tre gỗ tròn</v>
          </cell>
          <cell r="C2670" t="str">
            <v>kg</v>
          </cell>
        </row>
        <row r="2671">
          <cell r="A2671" t="str">
            <v>D2000214</v>
          </cell>
          <cell r="B2671" t="str">
            <v>Ống hút phi 6 dài 26cm làm theo yêu cầu (100 cái/bịch)</v>
          </cell>
          <cell r="C2671" t="str">
            <v>Bịch</v>
          </cell>
        </row>
        <row r="2672">
          <cell r="A2672" t="str">
            <v>HHBIA016</v>
          </cell>
          <cell r="B2672" t="str">
            <v>Bia Heineken 0.0%</v>
          </cell>
          <cell r="C2672" t="str">
            <v>Lon</v>
          </cell>
        </row>
        <row r="2673">
          <cell r="A2673" t="str">
            <v>HHBIA017</v>
          </cell>
          <cell r="B2673" t="str">
            <v>Bia Heineken Silver</v>
          </cell>
          <cell r="C2673" t="str">
            <v>Lon</v>
          </cell>
        </row>
        <row r="2674">
          <cell r="A2674" t="str">
            <v>HHBIA018</v>
          </cell>
          <cell r="B2674" t="str">
            <v>Heineken Original (Heineken xanh)</v>
          </cell>
          <cell r="C2674" t="str">
            <v>Lon</v>
          </cell>
        </row>
        <row r="2675">
          <cell r="A2675" t="str">
            <v>HHBIA019</v>
          </cell>
          <cell r="B2675" t="str">
            <v>Bia Việt</v>
          </cell>
          <cell r="C2675" t="str">
            <v>Lon</v>
          </cell>
        </row>
        <row r="2676">
          <cell r="A2676" t="str">
            <v>HHBIA020</v>
          </cell>
          <cell r="B2676" t="str">
            <v>Bia Tiger Original (Tiger xanh)</v>
          </cell>
          <cell r="C2676" t="str">
            <v>Lon</v>
          </cell>
        </row>
        <row r="2677">
          <cell r="A2677" t="str">
            <v>HHBIA021</v>
          </cell>
          <cell r="B2677" t="str">
            <v>Strongbow sparkling cider</v>
          </cell>
          <cell r="C2677" t="str">
            <v>Lon</v>
          </cell>
        </row>
        <row r="2678">
          <cell r="A2678" t="str">
            <v>HHBIA022</v>
          </cell>
          <cell r="B2678" t="str">
            <v>Bia LiQuan 330ml</v>
          </cell>
          <cell r="C2678" t="str">
            <v>Lon</v>
          </cell>
        </row>
        <row r="2679">
          <cell r="A2679" t="str">
            <v>HHBIA023</v>
          </cell>
          <cell r="B2679" t="str">
            <v>Bia TSINGTAO 330ml</v>
          </cell>
          <cell r="C2679" t="str">
            <v>Lon</v>
          </cell>
        </row>
        <row r="2680">
          <cell r="A2680" t="str">
            <v>HHBIA024</v>
          </cell>
          <cell r="B2680" t="str">
            <v>Bia Hà Nội</v>
          </cell>
          <cell r="C2680" t="str">
            <v>Chai</v>
          </cell>
        </row>
        <row r="2681">
          <cell r="A2681" t="str">
            <v>HHNGK009</v>
          </cell>
          <cell r="B2681" t="str">
            <v>Trà thảo mộc Wanglaoji</v>
          </cell>
          <cell r="C2681" t="str">
            <v>Lon</v>
          </cell>
        </row>
        <row r="2682">
          <cell r="A2682" t="str">
            <v>HHNGK010</v>
          </cell>
          <cell r="B2682" t="str">
            <v>Coca - Cola (Chai)</v>
          </cell>
          <cell r="C2682" t="str">
            <v>Chai</v>
          </cell>
        </row>
        <row r="2683">
          <cell r="A2683" t="str">
            <v>HHNGK011</v>
          </cell>
          <cell r="B2683" t="str">
            <v>Sprite (Chai)</v>
          </cell>
          <cell r="C2683" t="str">
            <v>Chai</v>
          </cell>
        </row>
        <row r="2684">
          <cell r="A2684" t="str">
            <v>HHNGK012</v>
          </cell>
          <cell r="B2684" t="str">
            <v>Fanta (Chai)</v>
          </cell>
          <cell r="C2684" t="str">
            <v>Chai</v>
          </cell>
        </row>
        <row r="2685">
          <cell r="A2685" t="str">
            <v>HHNGK013</v>
          </cell>
          <cell r="B2685" t="str">
            <v>Nước lọc Lavie</v>
          </cell>
          <cell r="C2685" t="str">
            <v>Chai</v>
          </cell>
        </row>
        <row r="2686">
          <cell r="A2686" t="str">
            <v>HHNGK014</v>
          </cell>
          <cell r="B2686" t="str">
            <v>Fanta (Lon)</v>
          </cell>
          <cell r="C2686" t="str">
            <v>Lon</v>
          </cell>
        </row>
        <row r="2687">
          <cell r="A2687" t="str">
            <v>HSBIA001</v>
          </cell>
          <cell r="B2687" t="str">
            <v>Bia Heineken Silver 330ml</v>
          </cell>
          <cell r="C2687" t="str">
            <v>Lon</v>
          </cell>
        </row>
        <row r="2688">
          <cell r="A2688" t="str">
            <v>HSBIA002</v>
          </cell>
          <cell r="B2688" t="str">
            <v>Bia Hoegaarden Lon 330ml</v>
          </cell>
          <cell r="C2688" t="str">
            <v>Lon</v>
          </cell>
        </row>
        <row r="2689">
          <cell r="A2689" t="str">
            <v>HSBIA003</v>
          </cell>
          <cell r="B2689" t="str">
            <v>Bia Tiger Crystal Lon 330ml</v>
          </cell>
          <cell r="C2689" t="str">
            <v>Lon</v>
          </cell>
        </row>
        <row r="2690">
          <cell r="A2690" t="str">
            <v>HSBIA004</v>
          </cell>
          <cell r="B2690" t="str">
            <v>Bia Sài Gòn Lager (Lon)</v>
          </cell>
          <cell r="C2690" t="str">
            <v>Lon</v>
          </cell>
        </row>
        <row r="2691">
          <cell r="A2691" t="str">
            <v>HSBIA005</v>
          </cell>
          <cell r="B2691" t="str">
            <v>Bia Sài gòn Special (Lon)</v>
          </cell>
          <cell r="C2691" t="str">
            <v>Lon</v>
          </cell>
        </row>
        <row r="2692">
          <cell r="A2692" t="str">
            <v>HSBIA006</v>
          </cell>
          <cell r="B2692" t="str">
            <v>Bia Tiger Nâu (lon)</v>
          </cell>
          <cell r="C2692" t="str">
            <v>Lon</v>
          </cell>
        </row>
        <row r="2693">
          <cell r="A2693" t="str">
            <v>HSBIA007</v>
          </cell>
          <cell r="B2693" t="str">
            <v>Bia Bubweiser (Lon)</v>
          </cell>
          <cell r="C2693" t="str">
            <v>Lon</v>
          </cell>
        </row>
        <row r="2694">
          <cell r="A2694" t="str">
            <v>HSBIA008</v>
          </cell>
          <cell r="B2694" t="str">
            <v>Bia Sapporo (Lon)</v>
          </cell>
          <cell r="C2694" t="str">
            <v>Lon</v>
          </cell>
        </row>
        <row r="2695">
          <cell r="A2695" t="str">
            <v>HSBIA009</v>
          </cell>
          <cell r="B2695" t="str">
            <v>Bia Heineken 24 cao xanh (Lon)</v>
          </cell>
          <cell r="C2695" t="str">
            <v>Lon</v>
          </cell>
        </row>
        <row r="2696">
          <cell r="A2696" t="str">
            <v>HSBIA010</v>
          </cell>
          <cell r="B2696" t="str">
            <v>Bia Trường Sa (Lon)</v>
          </cell>
          <cell r="C2696" t="str">
            <v>Lon</v>
          </cell>
        </row>
        <row r="2697">
          <cell r="A2697" t="str">
            <v>HSBIA011</v>
          </cell>
          <cell r="B2697" t="str">
            <v>Bia Heineken 0.0% (Lon)</v>
          </cell>
          <cell r="C2697" t="str">
            <v>Lon</v>
          </cell>
        </row>
        <row r="2698">
          <cell r="A2698" t="str">
            <v>HSBIA012</v>
          </cell>
          <cell r="B2698" t="str">
            <v>Bia Tiger Soju Cheeky Plum Vị Mận (Lon)</v>
          </cell>
          <cell r="C2698" t="str">
            <v>Lon</v>
          </cell>
        </row>
        <row r="2699">
          <cell r="A2699" t="str">
            <v>HSBIA013</v>
          </cell>
          <cell r="B2699" t="str">
            <v>Bia Tiger Soju Wonder Melon Vị Dưa Lưới (Lon)</v>
          </cell>
          <cell r="C2699" t="str">
            <v>Lon</v>
          </cell>
        </row>
        <row r="2700">
          <cell r="A2700" t="str">
            <v>HSBIA014</v>
          </cell>
          <cell r="B2700" t="str">
            <v>Strongbow - Pineapple</v>
          </cell>
          <cell r="C2700" t="str">
            <v>Lon</v>
          </cell>
        </row>
        <row r="2701">
          <cell r="A2701" t="str">
            <v>HSBIA015</v>
          </cell>
          <cell r="B2701" t="str">
            <v>Bia Edelweiss (Lon)</v>
          </cell>
          <cell r="C2701" t="str">
            <v>Lon</v>
          </cell>
        </row>
        <row r="2702">
          <cell r="A2702" t="str">
            <v>HSBIA016</v>
          </cell>
          <cell r="B2702" t="str">
            <v>Bia Việt (Lon)</v>
          </cell>
          <cell r="C2702" t="str">
            <v>Lon</v>
          </cell>
        </row>
        <row r="2703">
          <cell r="A2703" t="str">
            <v>HSBIA017</v>
          </cell>
          <cell r="B2703" t="str">
            <v>Bia Tiger xanh</v>
          </cell>
          <cell r="C2703" t="str">
            <v>Lon</v>
          </cell>
        </row>
        <row r="2704">
          <cell r="A2704" t="str">
            <v>HSMBIA001</v>
          </cell>
          <cell r="B2704" t="str">
            <v>Bia Sài gòn Special (Lon) (MV)</v>
          </cell>
          <cell r="C2704" t="str">
            <v>Lon</v>
          </cell>
        </row>
        <row r="2705">
          <cell r="A2705" t="str">
            <v>HSMBIA002</v>
          </cell>
          <cell r="B2705" t="str">
            <v>Bia Tiger bạc (Lon) (MV)</v>
          </cell>
          <cell r="C2705" t="str">
            <v>Lon</v>
          </cell>
        </row>
        <row r="2706">
          <cell r="A2706" t="str">
            <v>HSMBIA003</v>
          </cell>
          <cell r="B2706" t="str">
            <v>Bia Sài Gòn Lager (Lon) (MV)</v>
          </cell>
          <cell r="C2706" t="str">
            <v>Lon</v>
          </cell>
        </row>
        <row r="2707">
          <cell r="A2707" t="str">
            <v>HSMBIA004</v>
          </cell>
          <cell r="B2707" t="str">
            <v>Bia Tiger Nâu (Lon) (MV)</v>
          </cell>
          <cell r="C2707" t="str">
            <v>Lon</v>
          </cell>
        </row>
        <row r="2708">
          <cell r="A2708" t="str">
            <v>HSMBIA005</v>
          </cell>
          <cell r="B2708" t="str">
            <v>Bia Heineken Silver (Lon) (MV)</v>
          </cell>
          <cell r="C2708" t="str">
            <v>Lon</v>
          </cell>
        </row>
        <row r="2709">
          <cell r="A2709" t="str">
            <v>HSMBIA006</v>
          </cell>
          <cell r="B2709" t="str">
            <v>Bia Budweiser (Lon) (MV)</v>
          </cell>
          <cell r="C2709" t="str">
            <v>Lon</v>
          </cell>
        </row>
        <row r="2710">
          <cell r="A2710" t="str">
            <v>HSMBIA007</v>
          </cell>
          <cell r="B2710" t="str">
            <v>Bia Sapporo (Lon) (MV)</v>
          </cell>
          <cell r="C2710" t="str">
            <v>Lon</v>
          </cell>
        </row>
        <row r="2711">
          <cell r="A2711" t="str">
            <v>HSMNGK001</v>
          </cell>
          <cell r="B2711" t="str">
            <v>Pepsi (MV)</v>
          </cell>
          <cell r="C2711" t="str">
            <v>Lon</v>
          </cell>
        </row>
        <row r="2712">
          <cell r="A2712" t="str">
            <v>HSMNGK002</v>
          </cell>
          <cell r="B2712" t="str">
            <v>Nước Lọc Aquafina (MV)</v>
          </cell>
          <cell r="C2712" t="str">
            <v>Chai</v>
          </cell>
        </row>
        <row r="2713">
          <cell r="A2713" t="str">
            <v>HSMNGK003</v>
          </cell>
          <cell r="B2713" t="str">
            <v>7Up (MV)</v>
          </cell>
          <cell r="C2713" t="str">
            <v>Lon</v>
          </cell>
        </row>
        <row r="2714">
          <cell r="A2714" t="str">
            <v>HSMNGK004</v>
          </cell>
          <cell r="B2714" t="str">
            <v>Sting (MV)</v>
          </cell>
          <cell r="C2714" t="str">
            <v>Lon</v>
          </cell>
        </row>
        <row r="2715">
          <cell r="A2715" t="str">
            <v>HSMRUO001</v>
          </cell>
          <cell r="B2715" t="str">
            <v>Rượu Soju Jinro Chamisul Fresh (MV)</v>
          </cell>
          <cell r="C2715" t="str">
            <v>Chai</v>
          </cell>
        </row>
        <row r="2716">
          <cell r="A2716" t="str">
            <v>HSMRUO002</v>
          </cell>
          <cell r="B2716" t="str">
            <v>Rượu Soju Jinro Chamisul Nho 13% Vol (MV)</v>
          </cell>
          <cell r="C2716" t="str">
            <v>Chai</v>
          </cell>
        </row>
        <row r="2717">
          <cell r="A2717" t="str">
            <v>HSMRUO003</v>
          </cell>
          <cell r="B2717" t="str">
            <v>Rượu Soju Jinro Chamisul Đào 13% Vol (MV)</v>
          </cell>
          <cell r="C2717" t="str">
            <v>Chai</v>
          </cell>
        </row>
        <row r="2718">
          <cell r="A2718" t="str">
            <v>HSNGK001</v>
          </cell>
          <cell r="B2718" t="str">
            <v>Pepsi</v>
          </cell>
          <cell r="C2718" t="str">
            <v>Lon</v>
          </cell>
        </row>
        <row r="2719">
          <cell r="A2719" t="str">
            <v>HSNGK002</v>
          </cell>
          <cell r="B2719" t="str">
            <v>7Up</v>
          </cell>
          <cell r="C2719" t="str">
            <v>Lon</v>
          </cell>
        </row>
        <row r="2720">
          <cell r="A2720" t="str">
            <v>HSNGK003</v>
          </cell>
          <cell r="B2720" t="str">
            <v>Pepsi Black Lime</v>
          </cell>
          <cell r="C2720" t="str">
            <v>Lon</v>
          </cell>
        </row>
        <row r="2721">
          <cell r="A2721" t="str">
            <v>HSNGK004</v>
          </cell>
          <cell r="B2721" t="str">
            <v>Aquafina</v>
          </cell>
          <cell r="C2721" t="str">
            <v>Chai</v>
          </cell>
        </row>
        <row r="2722">
          <cell r="A2722" t="str">
            <v>HSNGK005</v>
          </cell>
          <cell r="B2722" t="str">
            <v>Sting</v>
          </cell>
          <cell r="C2722" t="str">
            <v>Lon</v>
          </cell>
        </row>
        <row r="2723">
          <cell r="A2723" t="str">
            <v>HSRUO001</v>
          </cell>
          <cell r="B2723" t="str">
            <v>Rượu Soju Jinro Chamisul Fresh Chai 360ml</v>
          </cell>
          <cell r="C2723" t="str">
            <v>Chai</v>
          </cell>
        </row>
        <row r="2724">
          <cell r="A2724" t="str">
            <v>HSRUO002</v>
          </cell>
          <cell r="B2724" t="str">
            <v>Rượu Soju Jinro Chamisul Nho 13% Vol Chai 360ml</v>
          </cell>
          <cell r="C2724" t="str">
            <v>Chai</v>
          </cell>
        </row>
        <row r="2725">
          <cell r="A2725" t="str">
            <v>HSRUO003</v>
          </cell>
          <cell r="B2725" t="str">
            <v>Rượu Soju Jinro Chamisul Đào 13% Vol Chai 360ml</v>
          </cell>
          <cell r="C2725" t="str">
            <v>Chai</v>
          </cell>
        </row>
        <row r="2726">
          <cell r="A2726" t="str">
            <v>HSRUO004</v>
          </cell>
          <cell r="B2726" t="str">
            <v>Rượu Vodka cá sấu đen</v>
          </cell>
          <cell r="C2726" t="str">
            <v>Chai</v>
          </cell>
        </row>
        <row r="2727">
          <cell r="A2727" t="str">
            <v>HSRUO005</v>
          </cell>
          <cell r="B2727" t="str">
            <v>Rượu Vodka cá sấu xanh (300ml)</v>
          </cell>
          <cell r="C2727" t="str">
            <v>Chai</v>
          </cell>
        </row>
        <row r="2728">
          <cell r="A2728" t="str">
            <v>HSRUO006</v>
          </cell>
          <cell r="B2728" t="str">
            <v>Rượu vang-Reserva Merlot Montgras (Reserva Cabernet Sauvigvon 13.5%vol)</v>
          </cell>
          <cell r="C2728" t="str">
            <v>Chai</v>
          </cell>
        </row>
        <row r="2729">
          <cell r="A2729" t="str">
            <v>HSRUO007</v>
          </cell>
          <cell r="B2729" t="str">
            <v>Rượu vang-Estate Merlot 13%vol</v>
          </cell>
          <cell r="C2729" t="str">
            <v>Chai</v>
          </cell>
        </row>
        <row r="2730">
          <cell r="A2730" t="str">
            <v>HSRUO008</v>
          </cell>
          <cell r="B2730" t="str">
            <v>Rượu vang-BACCHUS Montepulciano 14,5%</v>
          </cell>
          <cell r="C2730" t="str">
            <v>Chai</v>
          </cell>
        </row>
        <row r="2731">
          <cell r="A2731" t="str">
            <v>HSRUO009</v>
          </cell>
          <cell r="B2731" t="str">
            <v>Rượu vang-MOYE Reserva Cabernet Sauvignon 14%</v>
          </cell>
          <cell r="C2731" t="str">
            <v>Chai</v>
          </cell>
        </row>
        <row r="2732">
          <cell r="A2732" t="str">
            <v>HSRUO010</v>
          </cell>
          <cell r="B2732" t="str">
            <v>Rượu vang- Cantine Cupid-14.5%</v>
          </cell>
          <cell r="C2732" t="str">
            <v>Chai</v>
          </cell>
        </row>
        <row r="2733">
          <cell r="A2733" t="str">
            <v>NL100001</v>
          </cell>
          <cell r="B2733" t="str">
            <v>Ba chỉ bò đông lạnh (Mỹ, Úc ghép, Canada)</v>
          </cell>
          <cell r="C2733" t="str">
            <v>kg</v>
          </cell>
        </row>
        <row r="2734">
          <cell r="A2734" t="str">
            <v>NL100002</v>
          </cell>
          <cell r="B2734" t="str">
            <v>Thịt ba chỉ lợn đông lạnh</v>
          </cell>
          <cell r="C2734" t="str">
            <v>kg</v>
          </cell>
        </row>
        <row r="2735">
          <cell r="A2735" t="str">
            <v>NL100003</v>
          </cell>
          <cell r="B2735" t="str">
            <v>Bào Ngư</v>
          </cell>
          <cell r="C2735" t="str">
            <v>kg</v>
          </cell>
        </row>
        <row r="2736">
          <cell r="A2736" t="str">
            <v>NL100004</v>
          </cell>
          <cell r="B2736" t="str">
            <v>Bắp lõi rùa bò Úc</v>
          </cell>
          <cell r="C2736" t="str">
            <v>kg</v>
          </cell>
        </row>
        <row r="2737">
          <cell r="A2737" t="str">
            <v>NL100005</v>
          </cell>
          <cell r="B2737" t="str">
            <v>Bê tươi</v>
          </cell>
          <cell r="C2737" t="str">
            <v>kg</v>
          </cell>
        </row>
        <row r="2738">
          <cell r="A2738" t="str">
            <v>NL100007</v>
          </cell>
          <cell r="B2738" t="str">
            <v>Bò tơ (Ba chỉ)</v>
          </cell>
          <cell r="C2738" t="str">
            <v>kg</v>
          </cell>
        </row>
        <row r="2739">
          <cell r="A2739" t="str">
            <v>NL100008</v>
          </cell>
          <cell r="B2739" t="str">
            <v>Bò tơ ba chỉ vụn (đầu mẩu)</v>
          </cell>
          <cell r="C2739" t="str">
            <v>kg</v>
          </cell>
        </row>
        <row r="2740">
          <cell r="A2740" t="str">
            <v>NL100009</v>
          </cell>
          <cell r="B2740" t="str">
            <v>Cá bống mú</v>
          </cell>
          <cell r="C2740" t="str">
            <v>kg</v>
          </cell>
        </row>
        <row r="2741">
          <cell r="A2741" t="str">
            <v>NL100010</v>
          </cell>
          <cell r="B2741" t="str">
            <v>Cá chình</v>
          </cell>
          <cell r="C2741" t="str">
            <v>kg</v>
          </cell>
        </row>
        <row r="2742">
          <cell r="A2742" t="str">
            <v>NL100011</v>
          </cell>
          <cell r="B2742" t="str">
            <v>Cá Cơm</v>
          </cell>
          <cell r="C2742" t="str">
            <v>kg</v>
          </cell>
        </row>
        <row r="2743">
          <cell r="A2743" t="str">
            <v>NL100012</v>
          </cell>
          <cell r="B2743" t="str">
            <v>Cá cơm khô</v>
          </cell>
          <cell r="C2743" t="str">
            <v>kg</v>
          </cell>
        </row>
        <row r="2744">
          <cell r="A2744" t="str">
            <v>NL100013</v>
          </cell>
          <cell r="B2744" t="str">
            <v>Cá lăng hải sản</v>
          </cell>
          <cell r="C2744" t="str">
            <v>kg</v>
          </cell>
        </row>
        <row r="2745">
          <cell r="A2745" t="str">
            <v>NL100014</v>
          </cell>
          <cell r="B2745" t="str">
            <v>Cá mối khô</v>
          </cell>
          <cell r="C2745" t="str">
            <v>kg</v>
          </cell>
        </row>
        <row r="2746">
          <cell r="A2746" t="str">
            <v>NL100015</v>
          </cell>
          <cell r="B2746" t="str">
            <v>Cánh gà khúc giữa</v>
          </cell>
          <cell r="C2746" t="str">
            <v>kg</v>
          </cell>
        </row>
        <row r="2747">
          <cell r="A2747" t="str">
            <v>NL100016</v>
          </cell>
          <cell r="B2747" t="str">
            <v>Cánh gà khúc giữa tươi</v>
          </cell>
          <cell r="C2747" t="str">
            <v>kg</v>
          </cell>
        </row>
        <row r="2748">
          <cell r="A2748" t="str">
            <v>NL100017</v>
          </cell>
          <cell r="B2748" t="str">
            <v>Cá Saba Fille (4 miếng/vỉ)</v>
          </cell>
          <cell r="C2748" t="str">
            <v>miếng</v>
          </cell>
        </row>
        <row r="2749">
          <cell r="A2749" t="str">
            <v>NL100018</v>
          </cell>
          <cell r="B2749" t="str">
            <v>Cá tầm</v>
          </cell>
          <cell r="C2749" t="str">
            <v>kg</v>
          </cell>
        </row>
        <row r="2750">
          <cell r="A2750" t="str">
            <v>NL100019</v>
          </cell>
          <cell r="B2750" t="str">
            <v>Cá trắm giòn</v>
          </cell>
          <cell r="C2750" t="str">
            <v>kg</v>
          </cell>
        </row>
        <row r="2751">
          <cell r="A2751" t="str">
            <v>NL100020</v>
          </cell>
          <cell r="B2751" t="str">
            <v>Chân gà</v>
          </cell>
          <cell r="C2751" t="str">
            <v>kg</v>
          </cell>
        </row>
        <row r="2752">
          <cell r="A2752" t="str">
            <v>NL100021</v>
          </cell>
          <cell r="B2752" t="str">
            <v>Chân gà rút xương</v>
          </cell>
          <cell r="C2752" t="str">
            <v>kg</v>
          </cell>
        </row>
        <row r="2753">
          <cell r="A2753" t="str">
            <v>NL100022</v>
          </cell>
          <cell r="B2753" t="str">
            <v>Chân gà chiên</v>
          </cell>
          <cell r="C2753" t="str">
            <v>kg</v>
          </cell>
        </row>
        <row r="2754">
          <cell r="A2754" t="str">
            <v>NL100023</v>
          </cell>
          <cell r="B2754" t="str">
            <v>Chao ( Bê sữa )</v>
          </cell>
          <cell r="C2754" t="str">
            <v>kg</v>
          </cell>
        </row>
        <row r="2755">
          <cell r="A2755" t="str">
            <v>NL100024</v>
          </cell>
          <cell r="B2755" t="str">
            <v>Chả Cá Thác Lác</v>
          </cell>
          <cell r="C2755" t="str">
            <v>kg</v>
          </cell>
        </row>
        <row r="2756">
          <cell r="A2756" t="str">
            <v>NL100025</v>
          </cell>
          <cell r="B2756" t="str">
            <v>Cổ bò Canada</v>
          </cell>
          <cell r="C2756" t="str">
            <v>kg</v>
          </cell>
        </row>
        <row r="2757">
          <cell r="A2757" t="str">
            <v>NL100026</v>
          </cell>
          <cell r="B2757" t="str">
            <v>Cồi sò điệp</v>
          </cell>
          <cell r="C2757" t="str">
            <v>kg</v>
          </cell>
        </row>
        <row r="2758">
          <cell r="A2758" t="str">
            <v>NL100027</v>
          </cell>
          <cell r="B2758" t="str">
            <v>Thịt cốt lết nạc</v>
          </cell>
          <cell r="C2758" t="str">
            <v>kg</v>
          </cell>
        </row>
        <row r="2759">
          <cell r="A2759" t="str">
            <v>NL100028</v>
          </cell>
          <cell r="B2759" t="str">
            <v>Thịt cua tinh chế túi 150g</v>
          </cell>
          <cell r="C2759" t="str">
            <v>Túi</v>
          </cell>
        </row>
        <row r="2760">
          <cell r="A2760" t="str">
            <v>NL100029</v>
          </cell>
          <cell r="B2760" t="str">
            <v>Cuống họng</v>
          </cell>
          <cell r="C2760" t="str">
            <v>kg</v>
          </cell>
        </row>
        <row r="2761">
          <cell r="A2761" t="str">
            <v>NL100030</v>
          </cell>
          <cell r="B2761" t="str">
            <v>Da đầu bò</v>
          </cell>
          <cell r="C2761" t="str">
            <v>kg</v>
          </cell>
        </row>
        <row r="2762">
          <cell r="A2762" t="str">
            <v>NL100031</v>
          </cell>
          <cell r="B2762" t="str">
            <v>Dạ dày lợn ( Bao tử )</v>
          </cell>
          <cell r="C2762" t="str">
            <v>kg</v>
          </cell>
        </row>
        <row r="2763">
          <cell r="A2763" t="str">
            <v>NL100032</v>
          </cell>
          <cell r="B2763" t="str">
            <v>Đậu hũ non (220g/gói)</v>
          </cell>
          <cell r="C2763" t="str">
            <v>Gói</v>
          </cell>
        </row>
        <row r="2764">
          <cell r="A2764" t="str">
            <v>NL100033</v>
          </cell>
          <cell r="B2764" t="str">
            <v>Đậu hũ phô mai (500g/gói)</v>
          </cell>
          <cell r="C2764" t="str">
            <v>Gói</v>
          </cell>
        </row>
        <row r="2765">
          <cell r="A2765" t="str">
            <v>NL100034</v>
          </cell>
          <cell r="B2765" t="str">
            <v>Đậu hũ phô mai (3kg/gói)</v>
          </cell>
          <cell r="C2765" t="str">
            <v>Gói</v>
          </cell>
        </row>
        <row r="2766">
          <cell r="A2766" t="str">
            <v>NL100035</v>
          </cell>
          <cell r="B2766" t="str">
            <v>Dẻ sườn bò tươi</v>
          </cell>
          <cell r="C2766" t="str">
            <v>kg</v>
          </cell>
        </row>
        <row r="2767">
          <cell r="A2767" t="str">
            <v>NL100036</v>
          </cell>
          <cell r="B2767" t="str">
            <v>Dẻ sườn 3 xương</v>
          </cell>
          <cell r="C2767" t="str">
            <v>kg</v>
          </cell>
        </row>
        <row r="2768">
          <cell r="A2768" t="str">
            <v>NL100037</v>
          </cell>
          <cell r="B2768" t="str">
            <v>Dẻ sườn bò đông lạnh không xương</v>
          </cell>
          <cell r="C2768" t="str">
            <v>kg</v>
          </cell>
        </row>
        <row r="2769">
          <cell r="A2769" t="str">
            <v>NL100038</v>
          </cell>
          <cell r="B2769" t="str">
            <v>Đuôi bò</v>
          </cell>
          <cell r="C2769" t="str">
            <v>kg</v>
          </cell>
        </row>
        <row r="2770">
          <cell r="A2770" t="str">
            <v>NL100039</v>
          </cell>
          <cell r="B2770" t="str">
            <v>Gà ác</v>
          </cell>
          <cell r="C2770" t="str">
            <v>Con</v>
          </cell>
        </row>
        <row r="2771">
          <cell r="A2771" t="str">
            <v>NL100040</v>
          </cell>
          <cell r="B2771" t="str">
            <v>Gà móc 2 (Gà chiên mắm)</v>
          </cell>
          <cell r="C2771" t="str">
            <v>kg</v>
          </cell>
        </row>
        <row r="2772">
          <cell r="A2772" t="str">
            <v>NL100041</v>
          </cell>
          <cell r="B2772" t="str">
            <v>Gân chân bò (gân Y)</v>
          </cell>
          <cell r="C2772" t="str">
            <v>kg</v>
          </cell>
        </row>
        <row r="2773">
          <cell r="A2773" t="str">
            <v>NL100042</v>
          </cell>
          <cell r="B2773" t="str">
            <v>Gầu bò đông lạnh</v>
          </cell>
          <cell r="C2773" t="str">
            <v>kg</v>
          </cell>
        </row>
        <row r="2774">
          <cell r="A2774" t="str">
            <v>NL100043</v>
          </cell>
          <cell r="B2774" t="str">
            <v>Giò sống</v>
          </cell>
          <cell r="C2774" t="str">
            <v>kg</v>
          </cell>
        </row>
        <row r="2775">
          <cell r="A2775" t="str">
            <v>NL100044</v>
          </cell>
          <cell r="B2775" t="str">
            <v>Hàu hải sản</v>
          </cell>
          <cell r="C2775" t="str">
            <v>Con</v>
          </cell>
        </row>
        <row r="2776">
          <cell r="A2776" t="str">
            <v>NL100045</v>
          </cell>
          <cell r="B2776" t="str">
            <v>Lườn ngỗng hun khói ( 220g/túi)</v>
          </cell>
          <cell r="C2776" t="str">
            <v>kg</v>
          </cell>
        </row>
        <row r="2777">
          <cell r="A2777" t="str">
            <v>NL100046</v>
          </cell>
          <cell r="B2777" t="str">
            <v>Lõi vai bò Mỹ (Top Blade)</v>
          </cell>
          <cell r="C2777" t="str">
            <v>kg</v>
          </cell>
        </row>
        <row r="2778">
          <cell r="A2778" t="str">
            <v>NL100047</v>
          </cell>
          <cell r="B2778" t="str">
            <v>Lõi vai bò Kobe</v>
          </cell>
          <cell r="C2778" t="str">
            <v>kg</v>
          </cell>
        </row>
        <row r="2779">
          <cell r="A2779" t="str">
            <v>NL100048</v>
          </cell>
          <cell r="B2779" t="str">
            <v>Lòng non (phèo non)</v>
          </cell>
          <cell r="C2779" t="str">
            <v>kg</v>
          </cell>
        </row>
        <row r="2780">
          <cell r="A2780" t="str">
            <v>NL100049</v>
          </cell>
          <cell r="B2780" t="str">
            <v>Lưỡi bò</v>
          </cell>
          <cell r="C2780" t="str">
            <v>kg</v>
          </cell>
        </row>
        <row r="2781">
          <cell r="A2781" t="str">
            <v>NL100050</v>
          </cell>
          <cell r="B2781" t="str">
            <v>Thịt bò mông (ko da)</v>
          </cell>
          <cell r="C2781" t="str">
            <v>kg</v>
          </cell>
        </row>
        <row r="2782">
          <cell r="A2782" t="str">
            <v>NL100051</v>
          </cell>
          <cell r="B2782" t="str">
            <v>Mỡ phần (mỡ lợn)</v>
          </cell>
          <cell r="C2782" t="str">
            <v>kg</v>
          </cell>
        </row>
        <row r="2783">
          <cell r="A2783" t="str">
            <v>NL100052</v>
          </cell>
          <cell r="B2783" t="str">
            <v>Mỡ phần có da</v>
          </cell>
          <cell r="C2783" t="str">
            <v>kg</v>
          </cell>
        </row>
        <row r="2784">
          <cell r="A2784" t="str">
            <v>NL100053</v>
          </cell>
          <cell r="B2784" t="str">
            <v>Mực khô</v>
          </cell>
          <cell r="C2784" t="str">
            <v>kg</v>
          </cell>
        </row>
        <row r="2785">
          <cell r="A2785" t="str">
            <v>NL100054</v>
          </cell>
          <cell r="B2785" t="str">
            <v>Mực mai</v>
          </cell>
          <cell r="C2785" t="str">
            <v>kg</v>
          </cell>
        </row>
        <row r="2786">
          <cell r="A2786" t="str">
            <v>NL100055</v>
          </cell>
          <cell r="B2786" t="str">
            <v>Mực nút (mực nang nút)</v>
          </cell>
          <cell r="C2786" t="str">
            <v>kg</v>
          </cell>
        </row>
        <row r="2787">
          <cell r="A2787" t="str">
            <v>NL100056</v>
          </cell>
          <cell r="B2787" t="str">
            <v>Mực ống</v>
          </cell>
          <cell r="C2787" t="str">
            <v>kg</v>
          </cell>
        </row>
        <row r="2788">
          <cell r="A2788" t="str">
            <v>NL100057</v>
          </cell>
          <cell r="B2788" t="str">
            <v>Mực trứng</v>
          </cell>
          <cell r="C2788" t="str">
            <v>kg</v>
          </cell>
        </row>
        <row r="2789">
          <cell r="A2789" t="str">
            <v>NL100058</v>
          </cell>
          <cell r="B2789" t="str">
            <v>Thịt nạc mông lợn đông lạnh</v>
          </cell>
          <cell r="C2789" t="str">
            <v>kg</v>
          </cell>
        </row>
        <row r="2790">
          <cell r="A2790" t="str">
            <v>NL100059</v>
          </cell>
          <cell r="B2790" t="str">
            <v>Nạm bò tươi</v>
          </cell>
          <cell r="C2790" t="str">
            <v>kg</v>
          </cell>
        </row>
        <row r="2791">
          <cell r="A2791" t="str">
            <v>NL100060</v>
          </cell>
          <cell r="B2791" t="str">
            <v>Ngao hoa</v>
          </cell>
          <cell r="C2791" t="str">
            <v>kg</v>
          </cell>
        </row>
        <row r="2792">
          <cell r="A2792" t="str">
            <v>NL100061</v>
          </cell>
          <cell r="B2792" t="str">
            <v>Ngao sần</v>
          </cell>
          <cell r="C2792" t="str">
            <v>kg</v>
          </cell>
        </row>
        <row r="2793">
          <cell r="A2793" t="str">
            <v>NL100062</v>
          </cell>
          <cell r="B2793" t="str">
            <v>Ngao Trắng ( Gò Công)</v>
          </cell>
          <cell r="C2793" t="str">
            <v>kg</v>
          </cell>
        </row>
        <row r="2794">
          <cell r="A2794" t="str">
            <v>NL100063</v>
          </cell>
          <cell r="B2794" t="str">
            <v>Ốc Bulot</v>
          </cell>
          <cell r="C2794" t="str">
            <v>kg</v>
          </cell>
        </row>
        <row r="2795">
          <cell r="A2795" t="str">
            <v>NL100064</v>
          </cell>
          <cell r="B2795" t="str">
            <v>Ốc hương</v>
          </cell>
          <cell r="C2795" t="str">
            <v>kg</v>
          </cell>
        </row>
        <row r="2796">
          <cell r="A2796" t="str">
            <v>NL100065</v>
          </cell>
          <cell r="B2796" t="str">
            <v>Ruột ốc</v>
          </cell>
          <cell r="C2796" t="str">
            <v>kg</v>
          </cell>
        </row>
        <row r="2797">
          <cell r="A2797" t="str">
            <v>NL100066</v>
          </cell>
          <cell r="B2797" t="str">
            <v>Sò thưng</v>
          </cell>
          <cell r="C2797" t="str">
            <v>kg</v>
          </cell>
        </row>
        <row r="2798">
          <cell r="A2798" t="str">
            <v>NL100067</v>
          </cell>
          <cell r="B2798" t="str">
            <v>Sứa (120g/túi)</v>
          </cell>
          <cell r="C2798" t="str">
            <v>Túi</v>
          </cell>
        </row>
        <row r="2799">
          <cell r="A2799" t="str">
            <v>NL100068</v>
          </cell>
          <cell r="B2799" t="str">
            <v>Sườn non BTT</v>
          </cell>
          <cell r="C2799" t="str">
            <v>kg</v>
          </cell>
        </row>
        <row r="2800">
          <cell r="A2800" t="str">
            <v>NL100069</v>
          </cell>
          <cell r="B2800" t="str">
            <v>Sườn non</v>
          </cell>
          <cell r="C2800" t="str">
            <v>kg</v>
          </cell>
        </row>
        <row r="2801">
          <cell r="A2801" t="str">
            <v>NL100070</v>
          </cell>
          <cell r="B2801" t="str">
            <v>Thanh cua (1kg/gói)</v>
          </cell>
          <cell r="C2801" t="str">
            <v>Gói</v>
          </cell>
        </row>
        <row r="2802">
          <cell r="A2802" t="str">
            <v>NL100071</v>
          </cell>
          <cell r="B2802" t="str">
            <v>Thanh cua (0.5kg/gói - 24 thanh)</v>
          </cell>
          <cell r="C2802" t="str">
            <v>Gói</v>
          </cell>
        </row>
        <row r="2803">
          <cell r="A2803" t="str">
            <v>NL100072</v>
          </cell>
          <cell r="B2803" t="str">
            <v>Thăn ngoại bò Kobe</v>
          </cell>
          <cell r="C2803" t="str">
            <v>kg</v>
          </cell>
        </row>
        <row r="2804">
          <cell r="A2804" t="str">
            <v>NL100073</v>
          </cell>
          <cell r="B2804" t="str">
            <v>Thịt ba chỉ heo</v>
          </cell>
          <cell r="C2804" t="str">
            <v>kg</v>
          </cell>
        </row>
        <row r="2805">
          <cell r="A2805" t="str">
            <v>NL100074</v>
          </cell>
          <cell r="B2805" t="str">
            <v>Thịt dải lợn</v>
          </cell>
          <cell r="C2805" t="str">
            <v>kg</v>
          </cell>
        </row>
        <row r="2806">
          <cell r="A2806" t="str">
            <v>NL100075</v>
          </cell>
          <cell r="B2806" t="str">
            <v>Thịt diềm má (Nạc nọng heo)</v>
          </cell>
          <cell r="C2806" t="str">
            <v>kg</v>
          </cell>
        </row>
        <row r="2807">
          <cell r="A2807" t="str">
            <v>NL100076</v>
          </cell>
          <cell r="B2807" t="str">
            <v>Thịt lưỡi heo</v>
          </cell>
          <cell r="C2807" t="str">
            <v>kg</v>
          </cell>
        </row>
        <row r="2808">
          <cell r="A2808" t="str">
            <v>NL100077</v>
          </cell>
          <cell r="B2808" t="str">
            <v>Thịt nạc vai</v>
          </cell>
          <cell r="C2808" t="str">
            <v>kg</v>
          </cell>
        </row>
        <row r="2809">
          <cell r="A2809" t="str">
            <v>NL100078</v>
          </cell>
          <cell r="B2809" t="str">
            <v>Thịt thăn lưng</v>
          </cell>
          <cell r="C2809" t="str">
            <v>kg</v>
          </cell>
        </row>
        <row r="2810">
          <cell r="A2810" t="str">
            <v>NL100079</v>
          </cell>
          <cell r="B2810" t="str">
            <v>Thịt vai (bỏ bì)</v>
          </cell>
          <cell r="C2810" t="str">
            <v>kg</v>
          </cell>
        </row>
        <row r="2811">
          <cell r="A2811" t="str">
            <v>NL100080</v>
          </cell>
          <cell r="B2811" t="str">
            <v>Thịt xay</v>
          </cell>
          <cell r="C2811" t="str">
            <v>kg</v>
          </cell>
        </row>
        <row r="2812">
          <cell r="A2812" t="str">
            <v>NL100081</v>
          </cell>
          <cell r="B2812" t="str">
            <v>Tim lợn</v>
          </cell>
          <cell r="C2812" t="str">
            <v>kg</v>
          </cell>
        </row>
        <row r="2813">
          <cell r="A2813" t="str">
            <v>NL100082</v>
          </cell>
          <cell r="B2813" t="str">
            <v>Tôm nõn tươi</v>
          </cell>
          <cell r="C2813" t="str">
            <v>kg</v>
          </cell>
        </row>
        <row r="2814">
          <cell r="A2814" t="str">
            <v>NL100083</v>
          </cell>
          <cell r="B2814" t="str">
            <v>Tôm sú (15 con/hộp, 500g/hộp)</v>
          </cell>
          <cell r="C2814" t="str">
            <v>Hộp</v>
          </cell>
        </row>
        <row r="2815">
          <cell r="A2815" t="str">
            <v>NL100084</v>
          </cell>
          <cell r="B2815" t="str">
            <v>Tôm sú hải sản</v>
          </cell>
          <cell r="C2815" t="str">
            <v>kg</v>
          </cell>
        </row>
        <row r="2816">
          <cell r="A2816" t="str">
            <v>NL100085</v>
          </cell>
          <cell r="B2816" t="str">
            <v>Tôm tích (bề bề) bóc vỏ</v>
          </cell>
          <cell r="C2816" t="str">
            <v>kg</v>
          </cell>
        </row>
        <row r="2817">
          <cell r="A2817" t="str">
            <v>NL100086</v>
          </cell>
          <cell r="B2817" t="str">
            <v>Tổ ong bò</v>
          </cell>
          <cell r="C2817" t="str">
            <v>kg</v>
          </cell>
        </row>
        <row r="2818">
          <cell r="A2818" t="str">
            <v>NL100087</v>
          </cell>
          <cell r="B2818" t="str">
            <v>Trứng muối</v>
          </cell>
          <cell r="C2818" t="str">
            <v>quả</v>
          </cell>
        </row>
        <row r="2819">
          <cell r="A2819" t="str">
            <v>NL100088</v>
          </cell>
          <cell r="B2819" t="str">
            <v>Trứng vịt</v>
          </cell>
          <cell r="C2819" t="str">
            <v>quả</v>
          </cell>
        </row>
        <row r="2820">
          <cell r="A2820" t="str">
            <v>NL100089</v>
          </cell>
          <cell r="B2820" t="str">
            <v>Vẹm xanh</v>
          </cell>
          <cell r="C2820" t="str">
            <v>kg</v>
          </cell>
        </row>
        <row r="2821">
          <cell r="A2821" t="str">
            <v>NL100090</v>
          </cell>
          <cell r="B2821" t="str">
            <v>Viên tôm hùm (500g/gói)</v>
          </cell>
          <cell r="C2821" t="str">
            <v>Gói</v>
          </cell>
        </row>
        <row r="2822">
          <cell r="A2822" t="str">
            <v>NL100091</v>
          </cell>
          <cell r="B2822" t="str">
            <v>Xách đen</v>
          </cell>
          <cell r="C2822" t="str">
            <v>kg</v>
          </cell>
        </row>
        <row r="2823">
          <cell r="A2823" t="str">
            <v>NL100092</v>
          </cell>
          <cell r="B2823" t="str">
            <v>Xách trắng</v>
          </cell>
          <cell r="C2823" t="str">
            <v>kg</v>
          </cell>
        </row>
        <row r="2824">
          <cell r="A2824" t="str">
            <v>NL100093</v>
          </cell>
          <cell r="B2824" t="str">
            <v>Xúc xích kiểu Mỹ 250gr</v>
          </cell>
          <cell r="C2824" t="str">
            <v>Gói</v>
          </cell>
        </row>
        <row r="2825">
          <cell r="A2825" t="str">
            <v>NL100094</v>
          </cell>
          <cell r="B2825" t="str">
            <v>Xúc xích kiểu Mỹ 200gr</v>
          </cell>
          <cell r="C2825" t="str">
            <v>Gói</v>
          </cell>
        </row>
        <row r="2826">
          <cell r="A2826" t="str">
            <v>NL100095</v>
          </cell>
          <cell r="B2826" t="str">
            <v>Xúc xích phô mai (500g/gói)</v>
          </cell>
          <cell r="C2826" t="str">
            <v>Gói</v>
          </cell>
        </row>
        <row r="2827">
          <cell r="A2827" t="str">
            <v>NL100096</v>
          </cell>
          <cell r="B2827" t="str">
            <v>Xương ống bò</v>
          </cell>
          <cell r="C2827" t="str">
            <v>kg</v>
          </cell>
        </row>
        <row r="2828">
          <cell r="A2828" t="str">
            <v>NL100097</v>
          </cell>
          <cell r="B2828" t="str">
            <v>Xương đầu bò</v>
          </cell>
          <cell r="C2828" t="str">
            <v>kg</v>
          </cell>
        </row>
        <row r="2829">
          <cell r="A2829" t="str">
            <v>NL100098</v>
          </cell>
          <cell r="B2829" t="str">
            <v>Xương gà</v>
          </cell>
          <cell r="C2829" t="str">
            <v>kg</v>
          </cell>
        </row>
        <row r="2830">
          <cell r="A2830" t="str">
            <v>NL100099</v>
          </cell>
          <cell r="B2830" t="str">
            <v>Xương ống heo</v>
          </cell>
          <cell r="C2830" t="str">
            <v>kg</v>
          </cell>
        </row>
        <row r="2831">
          <cell r="A2831" t="str">
            <v>NL100100</v>
          </cell>
          <cell r="B2831" t="str">
            <v>Trứng gà</v>
          </cell>
          <cell r="C2831" t="str">
            <v>quả</v>
          </cell>
        </row>
        <row r="2832">
          <cell r="A2832" t="str">
            <v>NL100101</v>
          </cell>
          <cell r="B2832" t="str">
            <v>Trứng vịt muối</v>
          </cell>
          <cell r="C2832" t="str">
            <v>quả</v>
          </cell>
        </row>
        <row r="2833">
          <cell r="A2833" t="str">
            <v>NL100102</v>
          </cell>
          <cell r="B2833" t="str">
            <v>Thịt bò fuji (LW)</v>
          </cell>
          <cell r="C2833" t="str">
            <v>kg</v>
          </cell>
        </row>
        <row r="2834">
          <cell r="A2834" t="str">
            <v>NL100103</v>
          </cell>
          <cell r="B2834" t="str">
            <v>Ngao giấy</v>
          </cell>
          <cell r="C2834" t="str">
            <v>kg</v>
          </cell>
        </row>
        <row r="2835">
          <cell r="A2835" t="str">
            <v>NL100104</v>
          </cell>
          <cell r="B2835" t="str">
            <v>Ngao hai cùi</v>
          </cell>
          <cell r="C2835" t="str">
            <v>kg</v>
          </cell>
        </row>
        <row r="2836">
          <cell r="A2836" t="str">
            <v>NL100105</v>
          </cell>
          <cell r="B2836" t="str">
            <v>Sò điệp</v>
          </cell>
          <cell r="C2836" t="str">
            <v>kg</v>
          </cell>
        </row>
        <row r="2837">
          <cell r="A2837" t="str">
            <v>NL100106</v>
          </cell>
          <cell r="B2837" t="str">
            <v>Mực Trứng Size 400-500</v>
          </cell>
          <cell r="C2837" t="str">
            <v>kg</v>
          </cell>
        </row>
        <row r="2838">
          <cell r="A2838" t="str">
            <v>NL100107</v>
          </cell>
          <cell r="B2838" t="str">
            <v>Gà tre</v>
          </cell>
          <cell r="C2838" t="str">
            <v>con</v>
          </cell>
        </row>
        <row r="2839">
          <cell r="A2839" t="str">
            <v>NL100108</v>
          </cell>
          <cell r="B2839" t="str">
            <v>Sò Lụa Lưỡi Đỏ</v>
          </cell>
          <cell r="C2839" t="str">
            <v>kg</v>
          </cell>
        </row>
        <row r="2840">
          <cell r="A2840" t="str">
            <v>NL100109</v>
          </cell>
          <cell r="B2840" t="str">
            <v>Sò dương Baby</v>
          </cell>
          <cell r="C2840" t="str">
            <v>kg</v>
          </cell>
        </row>
        <row r="2841">
          <cell r="A2841" t="str">
            <v>NL100110</v>
          </cell>
          <cell r="B2841" t="str">
            <v>Cá Chép</v>
          </cell>
          <cell r="C2841" t="str">
            <v>kg</v>
          </cell>
        </row>
        <row r="2842">
          <cell r="A2842" t="str">
            <v>NL100111</v>
          </cell>
          <cell r="B2842" t="str">
            <v>Trứng cua đỏ (500gr/hộp)</v>
          </cell>
          <cell r="C2842" t="str">
            <v>Hộp</v>
          </cell>
        </row>
        <row r="2843">
          <cell r="A2843" t="str">
            <v>NL100112</v>
          </cell>
          <cell r="B2843" t="str">
            <v>Thịt Diềm Thăn Bò</v>
          </cell>
          <cell r="C2843" t="str">
            <v>kg</v>
          </cell>
        </row>
        <row r="2844">
          <cell r="A2844" t="str">
            <v>NL100113</v>
          </cell>
          <cell r="B2844" t="str">
            <v>Xúc xích phô mai (250g/gói)</v>
          </cell>
          <cell r="C2844" t="str">
            <v>Gói</v>
          </cell>
        </row>
        <row r="2845">
          <cell r="A2845" t="str">
            <v>NL100114</v>
          </cell>
          <cell r="B2845" t="str">
            <v>Ngao nâu</v>
          </cell>
          <cell r="C2845" t="str">
            <v>kg</v>
          </cell>
        </row>
        <row r="2846">
          <cell r="A2846" t="str">
            <v>NL100115</v>
          </cell>
          <cell r="B2846" t="str">
            <v>Thăn nội bò tươi ( thăn chuột)</v>
          </cell>
          <cell r="C2846" t="str">
            <v>kg</v>
          </cell>
        </row>
        <row r="2847">
          <cell r="A2847" t="str">
            <v>NL100116</v>
          </cell>
          <cell r="B2847" t="str">
            <v>Ốc nhồi</v>
          </cell>
          <cell r="C2847" t="str">
            <v>kg</v>
          </cell>
        </row>
        <row r="2848">
          <cell r="A2848" t="str">
            <v>NL100117</v>
          </cell>
          <cell r="B2848" t="str">
            <v>Cá mú (Cá Song)</v>
          </cell>
          <cell r="C2848" t="str">
            <v>kg</v>
          </cell>
        </row>
        <row r="2849">
          <cell r="A2849" t="str">
            <v>NL100118</v>
          </cell>
          <cell r="B2849" t="str">
            <v>KT-Gà ri chiên mắm (con)</v>
          </cell>
          <cell r="C2849" t="str">
            <v>con</v>
          </cell>
        </row>
        <row r="2850">
          <cell r="A2850" t="str">
            <v>NL100119</v>
          </cell>
          <cell r="B2850" t="str">
            <v>Tôm sú hải sản (con)</v>
          </cell>
          <cell r="C2850" t="str">
            <v>con</v>
          </cell>
        </row>
        <row r="2851">
          <cell r="A2851" t="str">
            <v>NL100120</v>
          </cell>
          <cell r="B2851" t="str">
            <v>Gà lẩu (1.2kg/con)</v>
          </cell>
          <cell r="C2851" t="str">
            <v>kg</v>
          </cell>
        </row>
        <row r="2852">
          <cell r="A2852" t="str">
            <v>NL100121</v>
          </cell>
          <cell r="B2852" t="str">
            <v>Vỏ Xíu Mại</v>
          </cell>
          <cell r="C2852" t="str">
            <v>kg</v>
          </cell>
        </row>
        <row r="2853">
          <cell r="A2853" t="str">
            <v>NL100122</v>
          </cell>
          <cell r="B2853" t="str">
            <v>Cá Dìa</v>
          </cell>
          <cell r="C2853" t="str">
            <v>kg</v>
          </cell>
        </row>
        <row r="2854">
          <cell r="A2854" t="str">
            <v>NL100123</v>
          </cell>
          <cell r="B2854" t="str">
            <v>Hến ruột đông lạnh ( 2kg/túi)</v>
          </cell>
          <cell r="C2854" t="str">
            <v>kg</v>
          </cell>
        </row>
        <row r="2855">
          <cell r="A2855" t="str">
            <v>NL100124</v>
          </cell>
          <cell r="B2855" t="str">
            <v>Ếch làm sạch</v>
          </cell>
          <cell r="C2855" t="str">
            <v>kg</v>
          </cell>
        </row>
        <row r="2856">
          <cell r="A2856" t="str">
            <v>NL100125</v>
          </cell>
          <cell r="B2856" t="str">
            <v>Tôm sú (18 con/hộp, 500g/hộp)</v>
          </cell>
          <cell r="C2856" t="str">
            <v>Hộp</v>
          </cell>
        </row>
        <row r="2857">
          <cell r="A2857" t="str">
            <v>NL100126</v>
          </cell>
          <cell r="B2857" t="str">
            <v>Chân giò</v>
          </cell>
          <cell r="C2857" t="str">
            <v>kg</v>
          </cell>
        </row>
        <row r="2858">
          <cell r="A2858" t="str">
            <v>NL100127</v>
          </cell>
          <cell r="B2858" t="str">
            <v>Tai heo</v>
          </cell>
          <cell r="C2858" t="str">
            <v>kg</v>
          </cell>
        </row>
        <row r="2859">
          <cell r="A2859" t="str">
            <v>NL100128</v>
          </cell>
          <cell r="B2859" t="str">
            <v>Trứng tôm (500gr/hộp)</v>
          </cell>
          <cell r="C2859" t="str">
            <v>Hộp</v>
          </cell>
        </row>
        <row r="2860">
          <cell r="A2860" t="str">
            <v>NL100129</v>
          </cell>
          <cell r="B2860" t="str">
            <v>Lươn làm sạch</v>
          </cell>
          <cell r="C2860" t="str">
            <v>kg</v>
          </cell>
        </row>
        <row r="2861">
          <cell r="A2861" t="str">
            <v>NL100130</v>
          </cell>
          <cell r="B2861" t="str">
            <v>Sứa tươi ăn liền (500g/gói)</v>
          </cell>
          <cell r="C2861" t="str">
            <v>Gói</v>
          </cell>
        </row>
        <row r="2862">
          <cell r="A2862" t="str">
            <v>NL100131</v>
          </cell>
          <cell r="B2862" t="str">
            <v>Chân giò rút xương</v>
          </cell>
          <cell r="C2862" t="str">
            <v>kg</v>
          </cell>
        </row>
        <row r="2863">
          <cell r="A2863" t="str">
            <v>NL100132</v>
          </cell>
          <cell r="B2863" t="str">
            <v>Sụn sườn heo</v>
          </cell>
          <cell r="C2863" t="str">
            <v>kg</v>
          </cell>
        </row>
        <row r="2864">
          <cell r="A2864" t="str">
            <v>NL100133</v>
          </cell>
          <cell r="B2864" t="str">
            <v>Thịt cua xay</v>
          </cell>
          <cell r="C2864" t="str">
            <v>kg</v>
          </cell>
        </row>
        <row r="2865">
          <cell r="A2865" t="str">
            <v>NL100134</v>
          </cell>
          <cell r="B2865" t="str">
            <v>Đầu cá tầm</v>
          </cell>
          <cell r="C2865" t="str">
            <v>kg</v>
          </cell>
        </row>
        <row r="2866">
          <cell r="A2866" t="str">
            <v>NL100135</v>
          </cell>
          <cell r="B2866" t="str">
            <v>Óc heo</v>
          </cell>
          <cell r="C2866" t="str">
            <v>bộ</v>
          </cell>
        </row>
        <row r="2867">
          <cell r="A2867" t="str">
            <v>NL100136</v>
          </cell>
          <cell r="B2867" t="str">
            <v>Sườn sụn</v>
          </cell>
          <cell r="C2867" t="str">
            <v>kg</v>
          </cell>
        </row>
        <row r="2868">
          <cell r="A2868" t="str">
            <v>NL100137</v>
          </cell>
          <cell r="B2868" t="str">
            <v>Tôm sú size 35-40</v>
          </cell>
          <cell r="C2868" t="str">
            <v>kg</v>
          </cell>
        </row>
        <row r="2869">
          <cell r="A2869" t="str">
            <v>NL100138</v>
          </cell>
          <cell r="B2869" t="str">
            <v>Mực Indo</v>
          </cell>
          <cell r="C2869" t="str">
            <v>kg</v>
          </cell>
        </row>
        <row r="2870">
          <cell r="A2870" t="str">
            <v>NL100139</v>
          </cell>
          <cell r="B2870" t="str">
            <v>Tôm sú 30 con/hộp 970g</v>
          </cell>
          <cell r="C2870" t="str">
            <v>Hộp</v>
          </cell>
        </row>
        <row r="2871">
          <cell r="A2871" t="str">
            <v>NL100140</v>
          </cell>
          <cell r="B2871" t="str">
            <v>Tôm Sú 35 con/hộp 970g</v>
          </cell>
          <cell r="C2871" t="str">
            <v>Hộp</v>
          </cell>
        </row>
        <row r="2872">
          <cell r="A2872" t="str">
            <v>NL100141</v>
          </cell>
          <cell r="B2872" t="str">
            <v>Cua đồng</v>
          </cell>
          <cell r="C2872" t="str">
            <v>kg</v>
          </cell>
        </row>
        <row r="2873">
          <cell r="A2873" t="str">
            <v>NL100142</v>
          </cell>
          <cell r="B2873" t="str">
            <v>Xúc xích phô mai (200g/gói)</v>
          </cell>
          <cell r="C2873" t="str">
            <v>Gói</v>
          </cell>
        </row>
        <row r="2874">
          <cell r="A2874" t="str">
            <v>NL100143</v>
          </cell>
          <cell r="B2874" t="str">
            <v>Nước sốt hải sản LKK 410ml ( Không dùng)</v>
          </cell>
          <cell r="C2874" t="str">
            <v>Chai</v>
          </cell>
        </row>
        <row r="2875">
          <cell r="A2875" t="str">
            <v>NL100144</v>
          </cell>
          <cell r="B2875" t="str">
            <v>Gà tần (ĐL sơ chế 1,1-1,2kg/con)</v>
          </cell>
          <cell r="C2875" t="str">
            <v>con</v>
          </cell>
        </row>
        <row r="2876">
          <cell r="A2876" t="str">
            <v>NL100145</v>
          </cell>
          <cell r="B2876" t="str">
            <v>Mỡ gà</v>
          </cell>
          <cell r="C2876" t="str">
            <v>kg</v>
          </cell>
        </row>
        <row r="2877">
          <cell r="A2877" t="str">
            <v>NL100146</v>
          </cell>
          <cell r="B2877" t="str">
            <v>Mọc bò sống</v>
          </cell>
          <cell r="C2877" t="str">
            <v>kg</v>
          </cell>
        </row>
        <row r="2878">
          <cell r="A2878" t="str">
            <v>NL100147</v>
          </cell>
          <cell r="B2878" t="str">
            <v>Tôm sú ngất (size 30-35)</v>
          </cell>
          <cell r="C2878" t="str">
            <v>kg</v>
          </cell>
        </row>
        <row r="2879">
          <cell r="A2879" t="str">
            <v>NL100148</v>
          </cell>
          <cell r="B2879" t="str">
            <v>Xúc xích phô mai Đức Việt (500gr/gói)</v>
          </cell>
          <cell r="C2879" t="str">
            <v>Gói</v>
          </cell>
        </row>
        <row r="2880">
          <cell r="A2880" t="str">
            <v>NL100149</v>
          </cell>
          <cell r="B2880" t="str">
            <v>Gạch cua (0,2kg/gói)</v>
          </cell>
          <cell r="C2880" t="str">
            <v>kg</v>
          </cell>
        </row>
        <row r="2881">
          <cell r="A2881" t="str">
            <v>NL100150</v>
          </cell>
          <cell r="B2881" t="str">
            <v>Sò mai</v>
          </cell>
          <cell r="C2881" t="str">
            <v>con</v>
          </cell>
        </row>
        <row r="2882">
          <cell r="A2882" t="str">
            <v>NL100151</v>
          </cell>
          <cell r="B2882" t="str">
            <v>Hàu (kg)</v>
          </cell>
          <cell r="C2882" t="str">
            <v>kg</v>
          </cell>
        </row>
        <row r="2883">
          <cell r="A2883" t="str">
            <v>NL100152</v>
          </cell>
          <cell r="B2883" t="str">
            <v>Cá chẽm</v>
          </cell>
          <cell r="C2883" t="str">
            <v>kg</v>
          </cell>
        </row>
        <row r="2884">
          <cell r="A2884" t="str">
            <v>NL100153</v>
          </cell>
          <cell r="B2884" t="str">
            <v>Chả Lụa Chay</v>
          </cell>
          <cell r="C2884" t="str">
            <v>kg</v>
          </cell>
        </row>
        <row r="2885">
          <cell r="A2885" t="str">
            <v>NL100154</v>
          </cell>
          <cell r="B2885" t="str">
            <v>Ức gà Phi Lê 500gr/Gói</v>
          </cell>
          <cell r="C2885" t="str">
            <v>Gói</v>
          </cell>
        </row>
        <row r="2886">
          <cell r="A2886" t="str">
            <v>NL100155</v>
          </cell>
          <cell r="B2886" t="str">
            <v>Da heo</v>
          </cell>
          <cell r="C2886" t="str">
            <v>kg</v>
          </cell>
        </row>
        <row r="2887">
          <cell r="A2887" t="str">
            <v>NL100156</v>
          </cell>
          <cell r="B2887" t="str">
            <v>Nạc dăm</v>
          </cell>
          <cell r="C2887" t="str">
            <v>kg</v>
          </cell>
        </row>
        <row r="2888">
          <cell r="A2888" t="str">
            <v>NL100157</v>
          </cell>
          <cell r="B2888" t="str">
            <v>Cá thác lác rút xương</v>
          </cell>
          <cell r="C2888" t="str">
            <v>con</v>
          </cell>
        </row>
        <row r="2889">
          <cell r="A2889" t="str">
            <v>NL100158</v>
          </cell>
          <cell r="B2889" t="str">
            <v>Cá rô phi phi lê</v>
          </cell>
          <cell r="C2889" t="str">
            <v>kg</v>
          </cell>
        </row>
        <row r="2890">
          <cell r="A2890" t="str">
            <v>NL100159</v>
          </cell>
          <cell r="B2890" t="str">
            <v>Xương lưng (bò)</v>
          </cell>
          <cell r="C2890" t="str">
            <v>kg</v>
          </cell>
        </row>
        <row r="2891">
          <cell r="A2891" t="str">
            <v>NL100160</v>
          </cell>
          <cell r="B2891" t="str">
            <v>Cá hồi fillet đông lạnh</v>
          </cell>
          <cell r="C2891" t="str">
            <v>kg</v>
          </cell>
        </row>
        <row r="2892">
          <cell r="A2892" t="str">
            <v>NL100161</v>
          </cell>
          <cell r="B2892" t="str">
            <v>Giò gân lợn</v>
          </cell>
          <cell r="C2892" t="str">
            <v>kg</v>
          </cell>
        </row>
        <row r="2893">
          <cell r="A2893" t="str">
            <v>NL100162</v>
          </cell>
          <cell r="B2893" t="str">
            <v>Thịt nạc vai (xay)</v>
          </cell>
          <cell r="C2893" t="str">
            <v>kg</v>
          </cell>
        </row>
        <row r="2894">
          <cell r="A2894" t="str">
            <v>NL100163</v>
          </cell>
          <cell r="B2894" t="str">
            <v>Xương bò</v>
          </cell>
          <cell r="C2894" t="str">
            <v>kg</v>
          </cell>
        </row>
        <row r="2895">
          <cell r="A2895" t="str">
            <v>NL100164</v>
          </cell>
          <cell r="B2895" t="str">
            <v>Tôm sú lột vỏ</v>
          </cell>
          <cell r="C2895" t="str">
            <v>kg</v>
          </cell>
        </row>
        <row r="2896">
          <cell r="A2896" t="str">
            <v>NL100165</v>
          </cell>
          <cell r="B2896" t="str">
            <v>Mực nút (mực nang nút) 10-20 con/kg</v>
          </cell>
          <cell r="C2896" t="str">
            <v>kg</v>
          </cell>
        </row>
        <row r="2897">
          <cell r="A2897" t="str">
            <v>NL100166</v>
          </cell>
          <cell r="B2897" t="str">
            <v>Bạch tuộc 300-500 gr/con</v>
          </cell>
          <cell r="C2897" t="str">
            <v>kg</v>
          </cell>
        </row>
        <row r="2898">
          <cell r="A2898" t="str">
            <v>NL100167</v>
          </cell>
          <cell r="B2898" t="str">
            <v>Gù bò</v>
          </cell>
          <cell r="C2898" t="str">
            <v>kg</v>
          </cell>
        </row>
        <row r="2899">
          <cell r="A2899" t="str">
            <v>NL100168</v>
          </cell>
          <cell r="B2899" t="str">
            <v>Mỡ vụn (mỡ chài)</v>
          </cell>
          <cell r="C2899" t="str">
            <v>kg</v>
          </cell>
        </row>
        <row r="2900">
          <cell r="A2900" t="str">
            <v>NL100169</v>
          </cell>
          <cell r="B2900" t="str">
            <v>Đùi gà đông lạnh CP (500g/túi,250g/cái)</v>
          </cell>
          <cell r="C2900" t="str">
            <v>kg</v>
          </cell>
        </row>
        <row r="2901">
          <cell r="A2901" t="str">
            <v>NL100170</v>
          </cell>
          <cell r="B2901" t="str">
            <v>Sụn đùi gà</v>
          </cell>
          <cell r="C2901" t="str">
            <v>kg</v>
          </cell>
        </row>
        <row r="2902">
          <cell r="A2902" t="str">
            <v>NL100171</v>
          </cell>
          <cell r="B2902" t="str">
            <v>Huyết vịt (300g/hộp)</v>
          </cell>
          <cell r="C2902" t="str">
            <v>Hộp</v>
          </cell>
        </row>
        <row r="2903">
          <cell r="A2903" t="str">
            <v>NL100172</v>
          </cell>
          <cell r="B2903" t="str">
            <v>Bồ câu nguyên con</v>
          </cell>
          <cell r="C2903" t="str">
            <v>con</v>
          </cell>
        </row>
        <row r="2904">
          <cell r="A2904" t="str">
            <v>NL100173</v>
          </cell>
          <cell r="B2904" t="str">
            <v>Đậu phụ nhật (500g/ hộp)</v>
          </cell>
          <cell r="C2904" t="str">
            <v>Hộp</v>
          </cell>
        </row>
        <row r="2905">
          <cell r="A2905" t="str">
            <v>NL100174</v>
          </cell>
          <cell r="B2905" t="str">
            <v>Gân thăn bò</v>
          </cell>
          <cell r="C2905" t="str">
            <v>kg</v>
          </cell>
        </row>
        <row r="2906">
          <cell r="A2906" t="str">
            <v>NL100175</v>
          </cell>
          <cell r="B2906" t="str">
            <v>Đậu hũ phô mai (1kg/gói)</v>
          </cell>
          <cell r="C2906" t="str">
            <v>Gói</v>
          </cell>
        </row>
        <row r="2907">
          <cell r="A2907" t="str">
            <v>NL100176</v>
          </cell>
          <cell r="B2907" t="str">
            <v>Bắp Hoa tươi (bò Úc)</v>
          </cell>
          <cell r="C2907" t="str">
            <v>kg</v>
          </cell>
        </row>
        <row r="2908">
          <cell r="A2908" t="str">
            <v>NL100177</v>
          </cell>
          <cell r="B2908" t="str">
            <v>Bắp lõi bò tươi (bò Úc)</v>
          </cell>
          <cell r="C2908" t="str">
            <v>kg</v>
          </cell>
        </row>
        <row r="2909">
          <cell r="A2909" t="str">
            <v>NL100178</v>
          </cell>
          <cell r="B2909" t="str">
            <v>Đầu rồng bò Úc tươi</v>
          </cell>
          <cell r="C2909" t="str">
            <v>kg</v>
          </cell>
        </row>
        <row r="2910">
          <cell r="A2910" t="str">
            <v>NL100179</v>
          </cell>
          <cell r="B2910" t="str">
            <v>Gầu giòn tươi (bò Úc)</v>
          </cell>
          <cell r="C2910" t="str">
            <v>kg</v>
          </cell>
        </row>
        <row r="2911">
          <cell r="A2911" t="str">
            <v>NL100180</v>
          </cell>
          <cell r="B2911" t="str">
            <v>Thịt vai tươi (bò Úc)</v>
          </cell>
          <cell r="C2911" t="str">
            <v>kg</v>
          </cell>
        </row>
        <row r="2912">
          <cell r="A2912" t="str">
            <v>NL100181</v>
          </cell>
          <cell r="B2912" t="str">
            <v>Gù hoa bò Úc tươi</v>
          </cell>
          <cell r="C2912" t="str">
            <v>kg</v>
          </cell>
        </row>
        <row r="2913">
          <cell r="A2913" t="str">
            <v>NL100182</v>
          </cell>
          <cell r="B2913" t="str">
            <v>Thịt bò sống</v>
          </cell>
          <cell r="C2913" t="str">
            <v>kg</v>
          </cell>
        </row>
        <row r="2914">
          <cell r="A2914" t="str">
            <v>NL100183</v>
          </cell>
          <cell r="B2914" t="str">
            <v>Gân bò Úc tươi</v>
          </cell>
          <cell r="C2914" t="str">
            <v>kg</v>
          </cell>
        </row>
        <row r="2915">
          <cell r="A2915" t="str">
            <v>NL100184</v>
          </cell>
          <cell r="B2915" t="str">
            <v>Óc bò Úc tươi</v>
          </cell>
          <cell r="C2915" t="str">
            <v>kg</v>
          </cell>
        </row>
        <row r="2916">
          <cell r="A2916" t="str">
            <v>NL100185</v>
          </cell>
          <cell r="B2916" t="str">
            <v>Pín bò tươi</v>
          </cell>
          <cell r="C2916" t="str">
            <v>kg</v>
          </cell>
        </row>
        <row r="2917">
          <cell r="A2917" t="str">
            <v>NL100186</v>
          </cell>
          <cell r="B2917" t="str">
            <v>Sách bò Úc tươi</v>
          </cell>
          <cell r="C2917" t="str">
            <v>kg</v>
          </cell>
        </row>
        <row r="2918">
          <cell r="A2918" t="str">
            <v>NL100187</v>
          </cell>
          <cell r="B2918" t="str">
            <v>Tim bò Úc tươi</v>
          </cell>
          <cell r="C2918" t="str">
            <v>kg</v>
          </cell>
        </row>
        <row r="2919">
          <cell r="A2919" t="str">
            <v>NL100188</v>
          </cell>
          <cell r="B2919" t="str">
            <v>Tủy bò Úc tươi</v>
          </cell>
          <cell r="C2919" t="str">
            <v>kg</v>
          </cell>
        </row>
        <row r="2920">
          <cell r="A2920" t="str">
            <v>NL100189</v>
          </cell>
          <cell r="B2920" t="str">
            <v>Xương sống bò Úc</v>
          </cell>
          <cell r="C2920" t="str">
            <v>kg</v>
          </cell>
        </row>
        <row r="2921">
          <cell r="A2921" t="str">
            <v>NL100190</v>
          </cell>
          <cell r="B2921" t="str">
            <v>Lạp Sườn Bà Chị Loại 1</v>
          </cell>
          <cell r="C2921" t="str">
            <v>kg</v>
          </cell>
        </row>
        <row r="2922">
          <cell r="A2922" t="str">
            <v>NL100191</v>
          </cell>
          <cell r="B2922" t="str">
            <v>Đậu hũ phô mai (450gr/gói) (SG)</v>
          </cell>
          <cell r="C2922" t="str">
            <v>Gói</v>
          </cell>
        </row>
        <row r="2923">
          <cell r="A2923" t="str">
            <v>NL100192</v>
          </cell>
          <cell r="B2923" t="str">
            <v>Vỏ sủi cảo</v>
          </cell>
          <cell r="C2923" t="str">
            <v>kg</v>
          </cell>
        </row>
        <row r="2924">
          <cell r="A2924" t="str">
            <v>NL100193</v>
          </cell>
          <cell r="B2924" t="str">
            <v>Thịt bò phi lê</v>
          </cell>
          <cell r="C2924" t="str">
            <v>kg</v>
          </cell>
        </row>
        <row r="2925">
          <cell r="A2925" t="str">
            <v>NL100194</v>
          </cell>
          <cell r="B2925" t="str">
            <v>Thịt nạc mông trâu Allana</v>
          </cell>
          <cell r="C2925" t="str">
            <v>kg</v>
          </cell>
        </row>
        <row r="2926">
          <cell r="A2926" t="str">
            <v>NL100195</v>
          </cell>
          <cell r="B2926" t="str">
            <v>Cá basa</v>
          </cell>
          <cell r="C2926" t="str">
            <v>kg</v>
          </cell>
        </row>
        <row r="2927">
          <cell r="A2927" t="str">
            <v>NL100196</v>
          </cell>
          <cell r="B2927" t="str">
            <v>Đậu hũ phô mai (450g/gói)</v>
          </cell>
          <cell r="C2927" t="str">
            <v>Gói</v>
          </cell>
        </row>
        <row r="2928">
          <cell r="A2928" t="str">
            <v>NL100197</v>
          </cell>
          <cell r="B2928" t="str">
            <v>Tôm sú (size 30-35con)</v>
          </cell>
          <cell r="C2928" t="str">
            <v>kg</v>
          </cell>
        </row>
        <row r="2929">
          <cell r="A2929" t="str">
            <v>NL100198</v>
          </cell>
          <cell r="B2929" t="str">
            <v>Tôm lớt (size 30-35con)</v>
          </cell>
          <cell r="C2929" t="str">
            <v>kg</v>
          </cell>
        </row>
        <row r="2930">
          <cell r="A2930" t="str">
            <v>NL100199</v>
          </cell>
          <cell r="B2930" t="str">
            <v>Đùi gà đông lạnh CP (5kg/túi)</v>
          </cell>
          <cell r="C2930" t="str">
            <v>kg</v>
          </cell>
        </row>
        <row r="2931">
          <cell r="A2931" t="str">
            <v>NL100200</v>
          </cell>
          <cell r="B2931" t="str">
            <v>Lươn nướng đông lạnh</v>
          </cell>
          <cell r="C2931" t="str">
            <v>kg</v>
          </cell>
        </row>
        <row r="2932">
          <cell r="A2932" t="str">
            <v>NL100201</v>
          </cell>
          <cell r="B2932" t="str">
            <v>Đùi gà đông lạnh CP</v>
          </cell>
          <cell r="C2932" t="str">
            <v>kg</v>
          </cell>
        </row>
        <row r="2933">
          <cell r="A2933" t="str">
            <v>NL100202</v>
          </cell>
          <cell r="B2933" t="str">
            <v>Thịt bò vụn Tian Long</v>
          </cell>
          <cell r="C2933" t="str">
            <v>kg</v>
          </cell>
        </row>
        <row r="2934">
          <cell r="A2934" t="str">
            <v>NL100203</v>
          </cell>
          <cell r="B2934" t="str">
            <v>Gầu bò</v>
          </cell>
          <cell r="C2934" t="str">
            <v>kg</v>
          </cell>
        </row>
        <row r="2935">
          <cell r="A2935" t="str">
            <v>NL100204</v>
          </cell>
          <cell r="B2935" t="str">
            <v>Xương sống bò</v>
          </cell>
          <cell r="C2935" t="str">
            <v>kg</v>
          </cell>
        </row>
        <row r="2936">
          <cell r="A2936" t="str">
            <v>NL100205</v>
          </cell>
          <cell r="B2936" t="str">
            <v>Thịt nạc vai đầu giòn</v>
          </cell>
          <cell r="C2936" t="str">
            <v>kg</v>
          </cell>
        </row>
        <row r="2937">
          <cell r="A2937" t="str">
            <v>NL100206</v>
          </cell>
          <cell r="B2937" t="str">
            <v>Cuống tim bò</v>
          </cell>
          <cell r="C2937" t="str">
            <v>kg</v>
          </cell>
        </row>
        <row r="2938">
          <cell r="A2938" t="str">
            <v>NL100207</v>
          </cell>
          <cell r="B2938" t="str">
            <v>Dạ sách đen thái sợi to</v>
          </cell>
          <cell r="C2938" t="str">
            <v>kg</v>
          </cell>
        </row>
        <row r="2939">
          <cell r="A2939" t="str">
            <v>NL100208</v>
          </cell>
          <cell r="B2939" t="str">
            <v>Dạ sách đen thái sợi nhỏ</v>
          </cell>
          <cell r="C2939" t="str">
            <v>kg</v>
          </cell>
        </row>
        <row r="2940">
          <cell r="A2940" t="str">
            <v>NL100209</v>
          </cell>
          <cell r="B2940" t="str">
            <v>Dạ sách trắng thái sợi nhỏ</v>
          </cell>
          <cell r="C2940" t="str">
            <v>kg</v>
          </cell>
        </row>
        <row r="2941">
          <cell r="A2941" t="str">
            <v>NL100210</v>
          </cell>
          <cell r="B2941" t="str">
            <v>Lá sách đen</v>
          </cell>
          <cell r="C2941" t="str">
            <v>kg</v>
          </cell>
        </row>
        <row r="2942">
          <cell r="A2942" t="str">
            <v>NL100211</v>
          </cell>
          <cell r="B2942" t="str">
            <v>Sò điệp nửa mảnh (size 10-12)</v>
          </cell>
          <cell r="C2942" t="str">
            <v>kg</v>
          </cell>
        </row>
        <row r="2943">
          <cell r="A2943" t="str">
            <v>NL100212</v>
          </cell>
          <cell r="B2943" t="str">
            <v>Tôm sú size 33-35</v>
          </cell>
          <cell r="C2943" t="str">
            <v>kg</v>
          </cell>
        </row>
        <row r="2944">
          <cell r="A2944" t="str">
            <v>NL100213</v>
          </cell>
          <cell r="B2944" t="str">
            <v>Mỡ phần (Dimsum)</v>
          </cell>
          <cell r="C2944" t="str">
            <v>kg</v>
          </cell>
        </row>
        <row r="2945">
          <cell r="A2945" t="str">
            <v>NL100214</v>
          </cell>
          <cell r="B2945" t="str">
            <v>Đùi tỏi gà</v>
          </cell>
          <cell r="C2945" t="str">
            <v>kg</v>
          </cell>
        </row>
        <row r="2946">
          <cell r="A2946" t="str">
            <v>NL100215</v>
          </cell>
          <cell r="B2946" t="str">
            <v>Sứa (1kg/túi)</v>
          </cell>
          <cell r="C2946" t="str">
            <v>kg</v>
          </cell>
        </row>
        <row r="2947">
          <cell r="A2947" t="str">
            <v>NL100216</v>
          </cell>
          <cell r="B2947" t="str">
            <v>Má heo cấp đông</v>
          </cell>
          <cell r="C2947" t="str">
            <v>kg</v>
          </cell>
        </row>
        <row r="2948">
          <cell r="A2948" t="str">
            <v>NL100217</v>
          </cell>
          <cell r="B2948" t="str">
            <v>Ruột hàu sữa ( 500gr/gói)</v>
          </cell>
          <cell r="C2948" t="str">
            <v>Gói</v>
          </cell>
        </row>
        <row r="2949">
          <cell r="A2949" t="str">
            <v>NL100218</v>
          </cell>
          <cell r="B2949" t="str">
            <v>Vỏ hàu sạch</v>
          </cell>
          <cell r="C2949" t="str">
            <v>Cái</v>
          </cell>
        </row>
        <row r="2950">
          <cell r="A2950" t="str">
            <v>NL200001</v>
          </cell>
          <cell r="B2950" t="str">
            <v>Bánh bao Bông hồng</v>
          </cell>
          <cell r="C2950" t="str">
            <v>Cái</v>
          </cell>
        </row>
        <row r="2951">
          <cell r="A2951" t="str">
            <v>NL200002</v>
          </cell>
          <cell r="B2951" t="str">
            <v>Bánh bao chay 6 cái/gói</v>
          </cell>
          <cell r="C2951" t="str">
            <v>Gói</v>
          </cell>
        </row>
        <row r="2952">
          <cell r="A2952" t="str">
            <v>NL200003</v>
          </cell>
          <cell r="B2952" t="str">
            <v>Bánh bao chay LW (6 cái/hộp)</v>
          </cell>
          <cell r="C2952" t="str">
            <v>Hộp</v>
          </cell>
        </row>
        <row r="2953">
          <cell r="A2953" t="str">
            <v>NL200004</v>
          </cell>
          <cell r="B2953" t="str">
            <v>Bánh bao nấm</v>
          </cell>
          <cell r="C2953" t="str">
            <v>Hộp</v>
          </cell>
        </row>
        <row r="2954">
          <cell r="A2954" t="str">
            <v>NL200005</v>
          </cell>
          <cell r="B2954" t="str">
            <v>Bánh bao kim sa (6 cái/hộp)</v>
          </cell>
          <cell r="C2954" t="str">
            <v>Hộp</v>
          </cell>
        </row>
        <row r="2955">
          <cell r="A2955" t="str">
            <v>NL200006</v>
          </cell>
          <cell r="B2955" t="str">
            <v>Bánh bao Matcha (6 cái/hộp)</v>
          </cell>
          <cell r="C2955" t="str">
            <v>Hộp</v>
          </cell>
        </row>
        <row r="2956">
          <cell r="A2956" t="str">
            <v>NL200007</v>
          </cell>
          <cell r="B2956" t="str">
            <v>Dưa bao tử 540g</v>
          </cell>
          <cell r="C2956" t="str">
            <v>Lọ</v>
          </cell>
        </row>
        <row r="2957">
          <cell r="A2957" t="str">
            <v>NL200008</v>
          </cell>
          <cell r="B2957" t="str">
            <v>Hành phi sẵn</v>
          </cell>
          <cell r="C2957" t="str">
            <v>kg</v>
          </cell>
        </row>
        <row r="2958">
          <cell r="A2958" t="str">
            <v>NL200009</v>
          </cell>
          <cell r="B2958" t="str">
            <v>Khoai lang kén</v>
          </cell>
          <cell r="C2958" t="str">
            <v>Gói</v>
          </cell>
        </row>
        <row r="2959">
          <cell r="A2959" t="str">
            <v>NL200010</v>
          </cell>
          <cell r="B2959" t="str">
            <v>Măng cay (1.4kg/hộp)</v>
          </cell>
          <cell r="C2959" t="str">
            <v>Hộp</v>
          </cell>
        </row>
        <row r="2960">
          <cell r="A2960" t="str">
            <v>NL200011</v>
          </cell>
          <cell r="B2960" t="str">
            <v>Ngô hộp (200g/hộp) (24 hộp/thùng)</v>
          </cell>
          <cell r="C2960" t="str">
            <v>Hộp</v>
          </cell>
        </row>
        <row r="2961">
          <cell r="A2961" t="str">
            <v>NL200012</v>
          </cell>
          <cell r="B2961" t="str">
            <v>Ngô hộp (Bắp hạt 255g/hộp)</v>
          </cell>
          <cell r="C2961" t="str">
            <v>Hộp</v>
          </cell>
        </row>
        <row r="2962">
          <cell r="A2962" t="str">
            <v>NL200013</v>
          </cell>
          <cell r="B2962" t="str">
            <v>Sốt cà chua Tomato (3.15kg/hộp)</v>
          </cell>
          <cell r="C2962" t="str">
            <v>Hộp</v>
          </cell>
        </row>
        <row r="2963">
          <cell r="A2963" t="str">
            <v>NL200014</v>
          </cell>
          <cell r="B2963" t="str">
            <v>Nước Tro Tàu 1L</v>
          </cell>
          <cell r="C2963" t="str">
            <v>Chai</v>
          </cell>
        </row>
        <row r="2964">
          <cell r="A2964" t="str">
            <v>NL200015</v>
          </cell>
          <cell r="B2964" t="str">
            <v>Váng đậu</v>
          </cell>
          <cell r="C2964" t="str">
            <v>kg</v>
          </cell>
        </row>
        <row r="2965">
          <cell r="A2965" t="str">
            <v>NL200016</v>
          </cell>
          <cell r="B2965" t="str">
            <v>Axit Citric</v>
          </cell>
          <cell r="C2965" t="str">
            <v>kg</v>
          </cell>
        </row>
        <row r="2966">
          <cell r="A2966" t="str">
            <v>NL200017</v>
          </cell>
          <cell r="B2966" t="str">
            <v>Bạch đậu khấu</v>
          </cell>
          <cell r="C2966" t="str">
            <v>kg</v>
          </cell>
        </row>
        <row r="2967">
          <cell r="A2967" t="str">
            <v>NL200018</v>
          </cell>
          <cell r="B2967" t="str">
            <v>Barking Soda 454gr SG</v>
          </cell>
          <cell r="C2967" t="str">
            <v>Hộp</v>
          </cell>
        </row>
        <row r="2968">
          <cell r="A2968" t="str">
            <v>NL200019</v>
          </cell>
          <cell r="B2968" t="str">
            <v>Bơ Tường An 800gr/hộp</v>
          </cell>
          <cell r="C2968" t="str">
            <v>Hộp</v>
          </cell>
        </row>
        <row r="2969">
          <cell r="A2969" t="str">
            <v>NL200020</v>
          </cell>
          <cell r="B2969" t="str">
            <v>Bơ mezan 800gr</v>
          </cell>
          <cell r="C2969" t="str">
            <v>Hộp</v>
          </cell>
        </row>
        <row r="2970">
          <cell r="A2970" t="str">
            <v>NL200021</v>
          </cell>
          <cell r="B2970" t="str">
            <v>Bơ Anchor Salt 250gr</v>
          </cell>
          <cell r="C2970" t="str">
            <v>Phong</v>
          </cell>
        </row>
        <row r="2971">
          <cell r="A2971" t="str">
            <v>NL200022</v>
          </cell>
          <cell r="B2971" t="str">
            <v>Bơ Anchor Salt 200gr</v>
          </cell>
          <cell r="C2971" t="str">
            <v>Phong</v>
          </cell>
        </row>
        <row r="2972">
          <cell r="A2972" t="str">
            <v>NL200023</v>
          </cell>
          <cell r="B2972" t="str">
            <v>Bơ Đậu Phộng 510gr</v>
          </cell>
          <cell r="C2972" t="str">
            <v>Hộp</v>
          </cell>
        </row>
        <row r="2973">
          <cell r="A2973" t="str">
            <v>NL200024</v>
          </cell>
          <cell r="B2973" t="str">
            <v>Bơ pháp</v>
          </cell>
          <cell r="C2973" t="str">
            <v>kg</v>
          </cell>
        </row>
        <row r="2974">
          <cell r="A2974" t="str">
            <v>NL200025</v>
          </cell>
          <cell r="B2974" t="str">
            <v>Bơ Shortening (Mỡ trừu Shortening 25kg/can)</v>
          </cell>
          <cell r="C2974" t="str">
            <v>kg</v>
          </cell>
        </row>
        <row r="2975">
          <cell r="A2975" t="str">
            <v>NL200026</v>
          </cell>
          <cell r="B2975" t="str">
            <v>Bột bắp</v>
          </cell>
          <cell r="C2975" t="str">
            <v>kg</v>
          </cell>
        </row>
        <row r="2976">
          <cell r="A2976" t="str">
            <v>NL200027</v>
          </cell>
          <cell r="B2976" t="str">
            <v>Bột bắp Knor HongKong 420gr</v>
          </cell>
          <cell r="C2976" t="str">
            <v>Hộp</v>
          </cell>
        </row>
        <row r="2977">
          <cell r="A2977" t="str">
            <v>NL200028</v>
          </cell>
          <cell r="B2977" t="str">
            <v>Bột béo</v>
          </cell>
          <cell r="C2977" t="str">
            <v>kg</v>
          </cell>
        </row>
        <row r="2978">
          <cell r="A2978" t="str">
            <v>NL200029</v>
          </cell>
          <cell r="B2978" t="str">
            <v>Bột nêm bò (1kg/gói, 10 gói/thùng)</v>
          </cell>
          <cell r="C2978" t="str">
            <v>Gói</v>
          </cell>
        </row>
        <row r="2979">
          <cell r="A2979" t="str">
            <v>NL200030</v>
          </cell>
          <cell r="B2979" t="str">
            <v>Bột Ca cao 1kg</v>
          </cell>
          <cell r="C2979" t="str">
            <v>kg</v>
          </cell>
        </row>
        <row r="2980">
          <cell r="A2980" t="str">
            <v>NL200031</v>
          </cell>
          <cell r="B2980" t="str">
            <v>Bột canh</v>
          </cell>
          <cell r="C2980" t="str">
            <v>Gói</v>
          </cell>
        </row>
        <row r="2981">
          <cell r="A2981" t="str">
            <v>NL200032</v>
          </cell>
          <cell r="B2981" t="str">
            <v>Bột chanh (400g/gói, 12 gói/thùng)</v>
          </cell>
          <cell r="C2981" t="str">
            <v>kg</v>
          </cell>
        </row>
        <row r="2982">
          <cell r="A2982" t="str">
            <v>NL200033</v>
          </cell>
          <cell r="B2982" t="str">
            <v>Bột chiên giòn</v>
          </cell>
          <cell r="C2982" t="str">
            <v>kg</v>
          </cell>
        </row>
        <row r="2983">
          <cell r="A2983" t="str">
            <v>NL200034</v>
          </cell>
          <cell r="B2983" t="str">
            <v>Bột chiên AJQ (42gr/túi)</v>
          </cell>
          <cell r="C2983" t="str">
            <v>Túi</v>
          </cell>
        </row>
        <row r="2984">
          <cell r="A2984" t="str">
            <v>NL200035</v>
          </cell>
          <cell r="B2984" t="str">
            <v>Bột Chiên xù Panko (1kg/gói)</v>
          </cell>
          <cell r="C2984" t="str">
            <v>kg</v>
          </cell>
        </row>
        <row r="2985">
          <cell r="A2985" t="str">
            <v>NL200036</v>
          </cell>
          <cell r="B2985" t="str">
            <v>Bột củ dền</v>
          </cell>
          <cell r="C2985" t="str">
            <v>kg</v>
          </cell>
        </row>
        <row r="2986">
          <cell r="A2986" t="str">
            <v>NL200037</v>
          </cell>
          <cell r="B2986" t="str">
            <v>Bột đao HK 25kg/1 bao</v>
          </cell>
          <cell r="C2986" t="str">
            <v>kg</v>
          </cell>
        </row>
        <row r="2987">
          <cell r="A2987" t="str">
            <v>NL200038</v>
          </cell>
          <cell r="B2987" t="str">
            <v>Bột hoa đậu biếc</v>
          </cell>
          <cell r="C2987" t="str">
            <v>kg</v>
          </cell>
        </row>
        <row r="2988">
          <cell r="A2988" t="str">
            <v>NL200039</v>
          </cell>
          <cell r="B2988" t="str">
            <v>Bột Demi ( sốt nâu 1kg/hộp)</v>
          </cell>
          <cell r="C2988" t="str">
            <v>Hộp</v>
          </cell>
        </row>
        <row r="2989">
          <cell r="A2989" t="str">
            <v>NL200040</v>
          </cell>
          <cell r="B2989" t="str">
            <v>Bột gà(6h/t)</v>
          </cell>
          <cell r="C2989" t="str">
            <v>Hộp</v>
          </cell>
        </row>
        <row r="2990">
          <cell r="A2990" t="str">
            <v>NL200041</v>
          </cell>
          <cell r="B2990" t="str">
            <v>Bột gấc</v>
          </cell>
          <cell r="C2990" t="str">
            <v>kg</v>
          </cell>
        </row>
        <row r="2991">
          <cell r="A2991" t="str">
            <v>NL200042</v>
          </cell>
          <cell r="B2991" t="str">
            <v>Bột Gelatine 1KG</v>
          </cell>
          <cell r="C2991" t="str">
            <v>kg</v>
          </cell>
        </row>
        <row r="2992">
          <cell r="A2992" t="str">
            <v>NL200043</v>
          </cell>
          <cell r="B2992" t="str">
            <v>Bột Gelatine 1KG ( bỏ )</v>
          </cell>
          <cell r="C2992" t="str">
            <v>kg</v>
          </cell>
        </row>
        <row r="2993">
          <cell r="A2993" t="str">
            <v>NL200044</v>
          </cell>
          <cell r="B2993" t="str">
            <v>Bột mỳ Hoa Ngọc Lan 1kg/gói</v>
          </cell>
          <cell r="C2993" t="str">
            <v>kg</v>
          </cell>
        </row>
        <row r="2994">
          <cell r="A2994" t="str">
            <v>NL200045</v>
          </cell>
          <cell r="B2994" t="str">
            <v>Bột mỳ Bông Hồng Xanh 25kg/1 bao</v>
          </cell>
          <cell r="C2994" t="str">
            <v>kg</v>
          </cell>
        </row>
        <row r="2995">
          <cell r="A2995" t="str">
            <v>NL200046</v>
          </cell>
          <cell r="B2995" t="str">
            <v>Bột cốt nấm (1kg/hộp)</v>
          </cell>
          <cell r="C2995" t="str">
            <v>Hộp</v>
          </cell>
        </row>
        <row r="2996">
          <cell r="A2996" t="str">
            <v>NL200047</v>
          </cell>
          <cell r="B2996" t="str">
            <v>Bột năng (1kg/gói)</v>
          </cell>
          <cell r="C2996" t="str">
            <v>kg</v>
          </cell>
        </row>
        <row r="2997">
          <cell r="A2997" t="str">
            <v>NL200048</v>
          </cell>
          <cell r="B2997" t="str">
            <v>Bột năng Hà Lan</v>
          </cell>
          <cell r="C2997" t="str">
            <v>kg</v>
          </cell>
        </row>
        <row r="2998">
          <cell r="A2998" t="str">
            <v>NL200049</v>
          </cell>
          <cell r="B2998" t="str">
            <v>Bột nghệ (400g/gói)</v>
          </cell>
          <cell r="C2998" t="str">
            <v>kg</v>
          </cell>
        </row>
        <row r="2999">
          <cell r="A2999" t="str">
            <v>NL200050</v>
          </cell>
          <cell r="B2999" t="str">
            <v>Bột ngò (bột mùi)</v>
          </cell>
          <cell r="C2999" t="str">
            <v>kg</v>
          </cell>
        </row>
        <row r="3000">
          <cell r="A3000" t="str">
            <v>NL200051</v>
          </cell>
          <cell r="B3000" t="str">
            <v>Bột nở Barking powder 2.721kg</v>
          </cell>
          <cell r="C3000" t="str">
            <v>Hộp</v>
          </cell>
        </row>
        <row r="3001">
          <cell r="A3001" t="str">
            <v>NL200052</v>
          </cell>
          <cell r="B3001" t="str">
            <v>Bột gia vị phô mai ( 250g/ túi)</v>
          </cell>
          <cell r="C3001" t="str">
            <v>kg</v>
          </cell>
        </row>
        <row r="3002">
          <cell r="A3002" t="str">
            <v>NL200053</v>
          </cell>
          <cell r="B3002" t="str">
            <v>Bột phô mai cam 1kg</v>
          </cell>
          <cell r="C3002" t="str">
            <v>kg</v>
          </cell>
        </row>
        <row r="3003">
          <cell r="A3003" t="str">
            <v>NL200054</v>
          </cell>
          <cell r="B3003" t="str">
            <v>Bột phụ gia giòn dai (Chất giòn dai S1000A)</v>
          </cell>
          <cell r="C3003" t="str">
            <v>kg</v>
          </cell>
        </row>
        <row r="3004">
          <cell r="A3004" t="str">
            <v>NL200055</v>
          </cell>
          <cell r="B3004" t="str">
            <v>Bột sả</v>
          </cell>
          <cell r="C3004" t="str">
            <v>kg</v>
          </cell>
        </row>
        <row r="3005">
          <cell r="A3005" t="str">
            <v>NL200056</v>
          </cell>
          <cell r="B3005" t="str">
            <v>Bột sư tử</v>
          </cell>
          <cell r="C3005" t="str">
            <v>kg</v>
          </cell>
        </row>
        <row r="3006">
          <cell r="A3006" t="str">
            <v>NL200057</v>
          </cell>
          <cell r="B3006" t="str">
            <v>Bột tàn mỳ (1kg)</v>
          </cell>
          <cell r="C3006" t="str">
            <v>kg</v>
          </cell>
        </row>
        <row r="3007">
          <cell r="A3007" t="str">
            <v>NL200058</v>
          </cell>
          <cell r="B3007" t="str">
            <v>Bột tàn mỳ con gấu 25kg/B</v>
          </cell>
          <cell r="C3007" t="str">
            <v>kg</v>
          </cell>
        </row>
        <row r="3008">
          <cell r="A3008" t="str">
            <v>NL200059</v>
          </cell>
          <cell r="B3008" t="str">
            <v>Bột thính gạo</v>
          </cell>
          <cell r="C3008" t="str">
            <v>kg</v>
          </cell>
        </row>
        <row r="3009">
          <cell r="A3009" t="str">
            <v>NL200060</v>
          </cell>
          <cell r="B3009" t="str">
            <v>Bột tỏi</v>
          </cell>
          <cell r="C3009" t="str">
            <v>kg</v>
          </cell>
        </row>
        <row r="3010">
          <cell r="A3010" t="str">
            <v>NL200061</v>
          </cell>
          <cell r="B3010" t="str">
            <v>Bột trà xanh Neicha 500gr/gói</v>
          </cell>
          <cell r="C3010" t="str">
            <v>kg</v>
          </cell>
        </row>
        <row r="3011">
          <cell r="A3011" t="str">
            <v>NL200062</v>
          </cell>
          <cell r="B3011" t="str">
            <v>Bơ Tường An 800gr</v>
          </cell>
          <cell r="C3011" t="str">
            <v>Hộp</v>
          </cell>
        </row>
        <row r="3012">
          <cell r="A3012" t="str">
            <v>NL200063</v>
          </cell>
          <cell r="B3012" t="str">
            <v>Bột xù vàng</v>
          </cell>
          <cell r="C3012" t="str">
            <v>kg</v>
          </cell>
        </row>
        <row r="3013">
          <cell r="A3013" t="str">
            <v>NL200064</v>
          </cell>
          <cell r="B3013" t="str">
            <v>Nước chấm Bulgogi</v>
          </cell>
          <cell r="C3013" t="str">
            <v>Chai</v>
          </cell>
        </row>
        <row r="3014">
          <cell r="A3014" t="str">
            <v>NL200065</v>
          </cell>
          <cell r="B3014" t="str">
            <v>Cam thảo</v>
          </cell>
          <cell r="C3014" t="str">
            <v>kg</v>
          </cell>
        </row>
        <row r="3015">
          <cell r="A3015" t="str">
            <v>NL200066</v>
          </cell>
          <cell r="B3015" t="str">
            <v>Chà bông</v>
          </cell>
          <cell r="C3015" t="str">
            <v>kg</v>
          </cell>
        </row>
        <row r="3016">
          <cell r="A3016" t="str">
            <v>NL200067</v>
          </cell>
          <cell r="B3016" t="str">
            <v>Chân nấm hương khô</v>
          </cell>
          <cell r="C3016" t="str">
            <v>kg</v>
          </cell>
        </row>
        <row r="3017">
          <cell r="A3017" t="str">
            <v>NL200068</v>
          </cell>
          <cell r="B3017" t="str">
            <v>Chao đỏ 300gr/hủ</v>
          </cell>
          <cell r="C3017" t="str">
            <v>Lọ</v>
          </cell>
        </row>
        <row r="3018">
          <cell r="A3018" t="str">
            <v>NL200069</v>
          </cell>
          <cell r="B3018" t="str">
            <v>Chao trắng</v>
          </cell>
          <cell r="C3018" t="str">
            <v>Lọ</v>
          </cell>
        </row>
        <row r="3019">
          <cell r="A3019" t="str">
            <v>NL200070</v>
          </cell>
          <cell r="B3019" t="str">
            <v>Chất bảo quản (Postasium Sorbate)</v>
          </cell>
          <cell r="C3019" t="str">
            <v>kg</v>
          </cell>
        </row>
        <row r="3020">
          <cell r="A3020" t="str">
            <v>NL200071</v>
          </cell>
          <cell r="B3020" t="str">
            <v>Chất béo làm bánh (18 kg/thùng)</v>
          </cell>
          <cell r="C3020" t="str">
            <v>kg</v>
          </cell>
        </row>
        <row r="3021">
          <cell r="A3021" t="str">
            <v>NL200072</v>
          </cell>
          <cell r="B3021" t="str">
            <v>Chất làm dày (Xanthangum F80-Deosan-TQ 25kg/Thùng)</v>
          </cell>
          <cell r="C3021" t="str">
            <v>kg</v>
          </cell>
        </row>
        <row r="3022">
          <cell r="A3022" t="str">
            <v>NL200073</v>
          </cell>
          <cell r="B3022" t="str">
            <v>Chiết suất đạm (chiết suất nấm men)</v>
          </cell>
          <cell r="C3022" t="str">
            <v>kg</v>
          </cell>
        </row>
        <row r="3023">
          <cell r="A3023" t="str">
            <v>NL200074</v>
          </cell>
          <cell r="B3023" t="str">
            <v>Tương ớt chua ngọt Cholimex</v>
          </cell>
          <cell r="C3023" t="str">
            <v>Chai</v>
          </cell>
        </row>
        <row r="3024">
          <cell r="A3024" t="str">
            <v>NL200075</v>
          </cell>
          <cell r="B3024" t="str">
            <v>Nước cốt dừa Wonderfarm (400ml/hộp)</v>
          </cell>
          <cell r="C3024" t="str">
            <v>Hộp</v>
          </cell>
        </row>
        <row r="3025">
          <cell r="A3025" t="str">
            <v>NL200076</v>
          </cell>
          <cell r="B3025" t="str">
            <v>Nước cốt gà 580g</v>
          </cell>
          <cell r="C3025" t="str">
            <v>Chai</v>
          </cell>
        </row>
        <row r="3026">
          <cell r="A3026" t="str">
            <v>NL200077</v>
          </cell>
          <cell r="B3026" t="str">
            <v>Dấm Bỗng</v>
          </cell>
          <cell r="C3026" t="str">
            <v>Lít</v>
          </cell>
        </row>
        <row r="3027">
          <cell r="A3027" t="str">
            <v>NL200078</v>
          </cell>
          <cell r="B3027" t="str">
            <v>Dấm đen (420ml/chai)</v>
          </cell>
          <cell r="C3027" t="str">
            <v>Chai</v>
          </cell>
        </row>
        <row r="3028">
          <cell r="A3028" t="str">
            <v>NL200079</v>
          </cell>
          <cell r="B3028" t="str">
            <v>Dấm hồng (620ml)</v>
          </cell>
          <cell r="C3028" t="str">
            <v>Chai</v>
          </cell>
        </row>
        <row r="3029">
          <cell r="A3029" t="str">
            <v>NL200080</v>
          </cell>
          <cell r="B3029" t="str">
            <v>Dấm nho Balsamico (1l/chai)</v>
          </cell>
          <cell r="C3029" t="str">
            <v>Chai</v>
          </cell>
        </row>
        <row r="3030">
          <cell r="A3030" t="str">
            <v>NL200081</v>
          </cell>
          <cell r="B3030" t="str">
            <v>Dấm trắng (450ml)</v>
          </cell>
          <cell r="C3030" t="str">
            <v>Chai</v>
          </cell>
        </row>
        <row r="3031">
          <cell r="A3031" t="str">
            <v>NL200082</v>
          </cell>
          <cell r="B3031" t="str">
            <v>Dấm trắng (870ml/chai)</v>
          </cell>
          <cell r="C3031" t="str">
            <v>Chai</v>
          </cell>
        </row>
        <row r="3032">
          <cell r="A3032" t="str">
            <v>NL200083</v>
          </cell>
          <cell r="B3032" t="str">
            <v>Bánh đa nem vuông (1 cọc = 10 tập)</v>
          </cell>
          <cell r="C3032" t="str">
            <v>tập</v>
          </cell>
        </row>
        <row r="3033">
          <cell r="A3033" t="str">
            <v>NL200084</v>
          </cell>
          <cell r="B3033" t="str">
            <v>Đẳng sâm</v>
          </cell>
          <cell r="C3033" t="str">
            <v>kg</v>
          </cell>
        </row>
        <row r="3034">
          <cell r="A3034" t="str">
            <v>NL200085</v>
          </cell>
          <cell r="B3034" t="str">
            <v>Dầu ăn (9kg/can)</v>
          </cell>
          <cell r="C3034" t="str">
            <v>Can</v>
          </cell>
        </row>
        <row r="3035">
          <cell r="A3035" t="str">
            <v>NL200086</v>
          </cell>
          <cell r="B3035" t="str">
            <v>Dầu ăn 25kg/can</v>
          </cell>
          <cell r="C3035" t="str">
            <v>kg</v>
          </cell>
        </row>
        <row r="3036">
          <cell r="A3036" t="str">
            <v>NL200087</v>
          </cell>
          <cell r="B3036" t="str">
            <v>Dầu hào 820g</v>
          </cell>
          <cell r="C3036" t="str">
            <v>Chai</v>
          </cell>
        </row>
        <row r="3037">
          <cell r="A3037" t="str">
            <v>NL200088</v>
          </cell>
          <cell r="B3037" t="str">
            <v>Dầu hào 1.2kg (8chai/thùng)</v>
          </cell>
          <cell r="C3037" t="str">
            <v>Chai</v>
          </cell>
        </row>
        <row r="3038">
          <cell r="A3038" t="str">
            <v>NL200089</v>
          </cell>
          <cell r="B3038" t="str">
            <v>Dầu hào Thần Tài 907g</v>
          </cell>
          <cell r="C3038" t="str">
            <v>Chai</v>
          </cell>
        </row>
        <row r="3039">
          <cell r="A3039" t="str">
            <v>NL200090</v>
          </cell>
          <cell r="B3039" t="str">
            <v>Dầu hào Thần Tài 2.5kg</v>
          </cell>
          <cell r="C3039" t="str">
            <v>Chai</v>
          </cell>
        </row>
        <row r="3040">
          <cell r="A3040" t="str">
            <v>NL200091</v>
          </cell>
          <cell r="B3040" t="str">
            <v>Dầu mè 250ml</v>
          </cell>
          <cell r="C3040" t="str">
            <v>Chai</v>
          </cell>
        </row>
        <row r="3041">
          <cell r="A3041" t="str">
            <v>NL200092</v>
          </cell>
          <cell r="B3041" t="str">
            <v>Dầu ô liu 1L</v>
          </cell>
          <cell r="C3041" t="str">
            <v>Chai</v>
          </cell>
        </row>
        <row r="3042">
          <cell r="A3042" t="str">
            <v>NL200093</v>
          </cell>
          <cell r="B3042" t="str">
            <v>Dầu ô liu 1 lít/can</v>
          </cell>
          <cell r="C3042" t="str">
            <v>Chai</v>
          </cell>
        </row>
        <row r="3043">
          <cell r="A3043" t="str">
            <v>NL200094</v>
          </cell>
          <cell r="B3043" t="str">
            <v>Dầu ớt LKK 207ml</v>
          </cell>
          <cell r="C3043" t="str">
            <v>Chai</v>
          </cell>
        </row>
        <row r="3044">
          <cell r="A3044" t="str">
            <v>NL200095</v>
          </cell>
          <cell r="B3044" t="str">
            <v>Dầu ớt Koon Yick Wah 550ml</v>
          </cell>
          <cell r="C3044" t="str">
            <v>Chai</v>
          </cell>
        </row>
        <row r="3045">
          <cell r="A3045" t="str">
            <v>NL200096</v>
          </cell>
          <cell r="B3045" t="str">
            <v>Độ điều chỉnh Axít (Calcium Lactate TQ Food Grade 25kg/Bao)</v>
          </cell>
          <cell r="C3045" t="str">
            <v>kg</v>
          </cell>
        </row>
        <row r="3046">
          <cell r="A3046" t="str">
            <v>NL200097</v>
          </cell>
          <cell r="B3046" t="str">
            <v>Đinh hương</v>
          </cell>
          <cell r="C3046" t="str">
            <v>kg</v>
          </cell>
        </row>
        <row r="3047">
          <cell r="A3047" t="str">
            <v>NL200098</v>
          </cell>
          <cell r="B3047" t="str">
            <v>Đường phèn</v>
          </cell>
          <cell r="C3047" t="str">
            <v>kg</v>
          </cell>
        </row>
        <row r="3048">
          <cell r="A3048" t="str">
            <v>NL200099</v>
          </cell>
          <cell r="B3048" t="str">
            <v>đường phèn vàng</v>
          </cell>
          <cell r="C3048" t="str">
            <v>kg</v>
          </cell>
        </row>
        <row r="3049">
          <cell r="A3049" t="str">
            <v>NL200100</v>
          </cell>
          <cell r="B3049" t="str">
            <v>Đường trắng</v>
          </cell>
          <cell r="C3049" t="str">
            <v>kg</v>
          </cell>
        </row>
        <row r="3050">
          <cell r="A3050" t="str">
            <v>NL200101</v>
          </cell>
          <cell r="B3050" t="str">
            <v>Đỗ xanh dập bóc vỏ</v>
          </cell>
          <cell r="C3050" t="str">
            <v>kg</v>
          </cell>
        </row>
        <row r="3051">
          <cell r="A3051" t="str">
            <v>NL200102</v>
          </cell>
          <cell r="B3051" t="str">
            <v>Gạo nếp</v>
          </cell>
          <cell r="C3051" t="str">
            <v>kg</v>
          </cell>
        </row>
        <row r="3052">
          <cell r="A3052" t="str">
            <v>NL200103</v>
          </cell>
          <cell r="B3052" t="str">
            <v>Gạo ST25</v>
          </cell>
          <cell r="C3052" t="str">
            <v>kg</v>
          </cell>
        </row>
        <row r="3053">
          <cell r="A3053" t="str">
            <v>NL200104</v>
          </cell>
          <cell r="B3053" t="str">
            <v>Gạo tẻ</v>
          </cell>
          <cell r="C3053" t="str">
            <v>kg</v>
          </cell>
        </row>
        <row r="3054">
          <cell r="A3054" t="str">
            <v>NL200105</v>
          </cell>
          <cell r="B3054" t="str">
            <v>Gelatine Xanh (dạng lá)</v>
          </cell>
          <cell r="C3054" t="str">
            <v>kg</v>
          </cell>
        </row>
        <row r="3055">
          <cell r="A3055" t="str">
            <v>NL200106</v>
          </cell>
          <cell r="B3055" t="str">
            <v>Gelatine bột Đức (kg/gói) (dạng hạt)</v>
          </cell>
          <cell r="C3055" t="str">
            <v>kg</v>
          </cell>
        </row>
        <row r="3056">
          <cell r="A3056" t="str">
            <v>NL200107</v>
          </cell>
          <cell r="B3056" t="str">
            <v>Xốt gia vị bò kho 80gr (4 hộp x 20 gói)</v>
          </cell>
          <cell r="C3056" t="str">
            <v>Gói</v>
          </cell>
        </row>
        <row r="3057">
          <cell r="A3057" t="str">
            <v>NL200108</v>
          </cell>
          <cell r="B3057" t="str">
            <v>Gia vị bò kho dạng bột (25g/gói 20 gói/hộp, 4 hộp/thùng)</v>
          </cell>
          <cell r="C3057" t="str">
            <v>Gói</v>
          </cell>
        </row>
        <row r="3058">
          <cell r="A3058" t="str">
            <v>NL200109</v>
          </cell>
          <cell r="B3058" t="str">
            <v>Xốt gia vị cà ri 80gr (4 hộp x 20 gói)</v>
          </cell>
          <cell r="C3058" t="str">
            <v>Gói</v>
          </cell>
        </row>
        <row r="3059">
          <cell r="A3059" t="str">
            <v>NL200110</v>
          </cell>
          <cell r="B3059" t="str">
            <v>Xốt gia vị thịt nướng ngũ vị 80gr (4 hộp x 20 gói)</v>
          </cell>
          <cell r="C3059" t="str">
            <v>Gói</v>
          </cell>
        </row>
        <row r="3060">
          <cell r="A3060" t="str">
            <v>NL200111</v>
          </cell>
          <cell r="B3060" t="str">
            <v>Hắc xì dầu đặc biệt LKK 500ml</v>
          </cell>
          <cell r="C3060" t="str">
            <v>Chai</v>
          </cell>
        </row>
        <row r="3061">
          <cell r="A3061" t="str">
            <v>NL200112</v>
          </cell>
          <cell r="B3061" t="str">
            <v>Hắc xì dầu Singapo 640ml</v>
          </cell>
          <cell r="C3061" t="str">
            <v>Chai</v>
          </cell>
        </row>
        <row r="3062">
          <cell r="A3062" t="str">
            <v>NL200113</v>
          </cell>
          <cell r="B3062" t="str">
            <v>Hạt điều màu</v>
          </cell>
          <cell r="C3062" t="str">
            <v>kg</v>
          </cell>
        </row>
        <row r="3063">
          <cell r="A3063" t="str">
            <v>NL200114</v>
          </cell>
          <cell r="B3063" t="str">
            <v>Hạt dổi</v>
          </cell>
          <cell r="C3063" t="str">
            <v>kg</v>
          </cell>
        </row>
        <row r="3064">
          <cell r="A3064" t="str">
            <v>NL200115</v>
          </cell>
          <cell r="B3064" t="str">
            <v>Hạt mùi</v>
          </cell>
          <cell r="C3064" t="str">
            <v>kg</v>
          </cell>
        </row>
        <row r="3065">
          <cell r="A3065" t="str">
            <v>NL200116</v>
          </cell>
          <cell r="B3065" t="str">
            <v>Hạt nêm (3x5kg)</v>
          </cell>
          <cell r="C3065" t="str">
            <v>kg</v>
          </cell>
        </row>
        <row r="3066">
          <cell r="A3066" t="str">
            <v>NL200117</v>
          </cell>
          <cell r="B3066" t="str">
            <v>Hạt sen khô</v>
          </cell>
          <cell r="C3066" t="str">
            <v>kg</v>
          </cell>
        </row>
        <row r="3067">
          <cell r="A3067" t="str">
            <v>NL200118</v>
          </cell>
          <cell r="B3067" t="str">
            <v>Hoài sơn</v>
          </cell>
          <cell r="C3067" t="str">
            <v>kg</v>
          </cell>
        </row>
        <row r="3068">
          <cell r="A3068" t="str">
            <v>NL200119</v>
          </cell>
          <cell r="B3068" t="str">
            <v>Hồi</v>
          </cell>
          <cell r="C3068" t="str">
            <v>kg</v>
          </cell>
        </row>
        <row r="3069">
          <cell r="A3069" t="str">
            <v>NL200120</v>
          </cell>
          <cell r="B3069" t="str">
            <v>Hộp tàu xì</v>
          </cell>
          <cell r="C3069" t="str">
            <v>Hộp</v>
          </cell>
        </row>
        <row r="3070">
          <cell r="A3070" t="str">
            <v>NL200121</v>
          </cell>
          <cell r="B3070" t="str">
            <v>Hương tỏi</v>
          </cell>
          <cell r="C3070" t="str">
            <v>kg</v>
          </cell>
        </row>
        <row r="3071">
          <cell r="A3071" t="str">
            <v>NL200122</v>
          </cell>
          <cell r="B3071" t="str">
            <v>Kem béo 454g (24 hộp/thùng)</v>
          </cell>
          <cell r="C3071" t="str">
            <v>Hộp</v>
          </cell>
        </row>
        <row r="3072">
          <cell r="A3072" t="str">
            <v>NL200123</v>
          </cell>
          <cell r="B3072" t="str">
            <v>Kem tươi (1 lít/hộp) Whipping cream</v>
          </cell>
          <cell r="C3072" t="str">
            <v>Hộp</v>
          </cell>
        </row>
        <row r="3073">
          <cell r="A3073" t="str">
            <v>NL200124</v>
          </cell>
          <cell r="B3073" t="str">
            <v>Kem tươi Anchor 1L*12H/T</v>
          </cell>
          <cell r="C3073" t="str">
            <v>Hộp</v>
          </cell>
        </row>
        <row r="3074">
          <cell r="A3074" t="str">
            <v>NL200125</v>
          </cell>
          <cell r="B3074" t="str">
            <v>Kỳ tử (Kỷ tử)</v>
          </cell>
          <cell r="C3074" t="str">
            <v>kg</v>
          </cell>
        </row>
        <row r="3075">
          <cell r="A3075" t="str">
            <v>NL200126</v>
          </cell>
          <cell r="B3075" t="str">
            <v>Lạc sống (lạc đỏ)</v>
          </cell>
          <cell r="C3075" t="str">
            <v>kg</v>
          </cell>
        </row>
        <row r="3076">
          <cell r="A3076" t="str">
            <v>NL200127</v>
          </cell>
          <cell r="B3076" t="str">
            <v>La hán quả</v>
          </cell>
          <cell r="C3076" t="str">
            <v>kg</v>
          </cell>
        </row>
        <row r="3077">
          <cell r="A3077" t="str">
            <v>NL200128</v>
          </cell>
          <cell r="B3077" t="str">
            <v>Lẩu sáu (nước tạo màu)</v>
          </cell>
          <cell r="C3077" t="str">
            <v>Chai</v>
          </cell>
        </row>
        <row r="3078">
          <cell r="A3078" t="str">
            <v>NL200129</v>
          </cell>
          <cell r="B3078" t="str">
            <v>Long nhãn</v>
          </cell>
          <cell r="C3078" t="str">
            <v>kg</v>
          </cell>
        </row>
        <row r="3079">
          <cell r="A3079" t="str">
            <v>NL200130</v>
          </cell>
          <cell r="B3079" t="str">
            <v>Mạch nha</v>
          </cell>
          <cell r="C3079" t="str">
            <v>kg</v>
          </cell>
        </row>
        <row r="3080">
          <cell r="A3080" t="str">
            <v>NL200131</v>
          </cell>
          <cell r="B3080" t="str">
            <v>Mắc khén</v>
          </cell>
          <cell r="C3080" t="str">
            <v>kg</v>
          </cell>
        </row>
        <row r="3081">
          <cell r="A3081" t="str">
            <v>NL200132</v>
          </cell>
          <cell r="B3081" t="str">
            <v>Mắm mặn</v>
          </cell>
          <cell r="C3081" t="str">
            <v>Lít</v>
          </cell>
        </row>
        <row r="3082">
          <cell r="A3082" t="str">
            <v>NL200133</v>
          </cell>
          <cell r="B3082" t="str">
            <v>Mắm nêm Đà Nẵng</v>
          </cell>
          <cell r="C3082" t="str">
            <v>kg</v>
          </cell>
        </row>
        <row r="3083">
          <cell r="A3083" t="str">
            <v>NL200134</v>
          </cell>
          <cell r="B3083" t="str">
            <v>Mắm tép HQ (1kg/hộp)</v>
          </cell>
          <cell r="C3083" t="str">
            <v>Hộp</v>
          </cell>
        </row>
        <row r="3084">
          <cell r="A3084" t="str">
            <v>NL200135</v>
          </cell>
          <cell r="B3084" t="str">
            <v>Mắm tôm (Hải sản ba làng)</v>
          </cell>
          <cell r="C3084" t="str">
            <v>kg</v>
          </cell>
        </row>
        <row r="3085">
          <cell r="A3085" t="str">
            <v>NL200136</v>
          </cell>
          <cell r="B3085" t="str">
            <v>Mật ngô</v>
          </cell>
          <cell r="C3085" t="str">
            <v>kg</v>
          </cell>
        </row>
        <row r="3086">
          <cell r="A3086" t="str">
            <v>NL200137</v>
          </cell>
          <cell r="B3086" t="str">
            <v>Mật ong (600ml/chai)</v>
          </cell>
          <cell r="C3086" t="str">
            <v>Chai</v>
          </cell>
        </row>
        <row r="3087">
          <cell r="A3087" t="str">
            <v>NL200138</v>
          </cell>
          <cell r="B3087" t="str">
            <v>Màu vàng chanh Unicorn 210gr/chai</v>
          </cell>
          <cell r="C3087" t="str">
            <v>Chai</v>
          </cell>
        </row>
        <row r="3088">
          <cell r="A3088" t="str">
            <v>NL200139</v>
          </cell>
          <cell r="B3088" t="str">
            <v>Màu vàng tươi 60gr/chai</v>
          </cell>
          <cell r="C3088" t="str">
            <v>Chai</v>
          </cell>
        </row>
        <row r="3089">
          <cell r="A3089" t="str">
            <v>NL200140</v>
          </cell>
          <cell r="B3089" t="str">
            <v>Sốt Mayonnaise (4 hộp/thùng, 3kg/hộp)</v>
          </cell>
          <cell r="C3089" t="str">
            <v>kg</v>
          </cell>
        </row>
        <row r="3090">
          <cell r="A3090" t="str">
            <v>NL200141</v>
          </cell>
          <cell r="B3090" t="str">
            <v>Nước làm mềm thịt Hàn Quốc 1.8 lít/can</v>
          </cell>
          <cell r="C3090" t="str">
            <v>Can</v>
          </cell>
        </row>
        <row r="3091">
          <cell r="A3091" t="str">
            <v>NL200142</v>
          </cell>
          <cell r="B3091" t="str">
            <v>Men nở PHAP vàng 500gr*20G/T</v>
          </cell>
          <cell r="C3091" t="str">
            <v>Gói</v>
          </cell>
        </row>
        <row r="3092">
          <cell r="A3092" t="str">
            <v>NL200143</v>
          </cell>
          <cell r="B3092" t="str">
            <v>Me vàng</v>
          </cell>
          <cell r="C3092" t="str">
            <v>kg</v>
          </cell>
        </row>
        <row r="3093">
          <cell r="A3093" t="str">
            <v>NL200144</v>
          </cell>
          <cell r="B3093" t="str">
            <v>Mì Chính (2 kg/túi, 8 túi/thùng)</v>
          </cell>
          <cell r="C3093" t="str">
            <v>kg</v>
          </cell>
        </row>
        <row r="3094">
          <cell r="A3094" t="str">
            <v>NL200145</v>
          </cell>
          <cell r="B3094" t="str">
            <v>Mỳ tôm Miliket</v>
          </cell>
          <cell r="C3094" t="str">
            <v>Gói</v>
          </cell>
        </row>
        <row r="3095">
          <cell r="A3095" t="str">
            <v>NL200146</v>
          </cell>
          <cell r="B3095" t="str">
            <v>Mỳ tôm (100 gói/thùng)</v>
          </cell>
          <cell r="C3095" t="str">
            <v>Gói</v>
          </cell>
        </row>
        <row r="3096">
          <cell r="A3096" t="str">
            <v>NL200147</v>
          </cell>
          <cell r="B3096" t="str">
            <v>Mộc nhĩ ( Nấm mèo)</v>
          </cell>
          <cell r="C3096" t="str">
            <v>kg</v>
          </cell>
        </row>
        <row r="3097">
          <cell r="A3097" t="str">
            <v>NL200148</v>
          </cell>
          <cell r="B3097" t="str">
            <v>Mù tạt vàng Heinz - Chai 255g</v>
          </cell>
          <cell r="C3097" t="str">
            <v>Chai</v>
          </cell>
        </row>
        <row r="3098">
          <cell r="A3098" t="str">
            <v>NL200149</v>
          </cell>
          <cell r="B3098" t="str">
            <v>Muối đỏ</v>
          </cell>
          <cell r="C3098" t="str">
            <v>kg</v>
          </cell>
        </row>
        <row r="3099">
          <cell r="A3099" t="str">
            <v>NL200150</v>
          </cell>
          <cell r="B3099" t="str">
            <v>Muối hạt</v>
          </cell>
          <cell r="C3099" t="str">
            <v>kg</v>
          </cell>
        </row>
        <row r="3100">
          <cell r="A3100" t="str">
            <v>NL200151</v>
          </cell>
          <cell r="B3100" t="str">
            <v>Muối ớt, ô mai (chấm hoa quả)</v>
          </cell>
          <cell r="C3100" t="str">
            <v>Hộp</v>
          </cell>
        </row>
        <row r="3101">
          <cell r="A3101" t="str">
            <v>NL200152</v>
          </cell>
          <cell r="B3101" t="str">
            <v>Muối Thái sấy</v>
          </cell>
          <cell r="C3101" t="str">
            <v>kg</v>
          </cell>
        </row>
        <row r="3102">
          <cell r="A3102" t="str">
            <v>NL200153</v>
          </cell>
          <cell r="B3102" t="str">
            <v>Muối tinh</v>
          </cell>
          <cell r="C3102" t="str">
            <v>kg</v>
          </cell>
        </row>
        <row r="3103">
          <cell r="A3103" t="str">
            <v>NL200154</v>
          </cell>
          <cell r="B3103" t="str">
            <v>Muối tôm tây ninh 500gr (chấm hoa quả)</v>
          </cell>
          <cell r="C3103" t="str">
            <v>kg</v>
          </cell>
        </row>
        <row r="3104">
          <cell r="A3104" t="str">
            <v>NL200155</v>
          </cell>
          <cell r="B3104" t="str">
            <v>Mù tạt</v>
          </cell>
          <cell r="C3104" t="str">
            <v>Tuýp</v>
          </cell>
        </row>
        <row r="3105">
          <cell r="A3105" t="str">
            <v>NL200156</v>
          </cell>
          <cell r="B3105" t="str">
            <v>Mù tạt vàng</v>
          </cell>
          <cell r="C3105" t="str">
            <v>Hộp</v>
          </cell>
        </row>
        <row r="3106">
          <cell r="A3106" t="str">
            <v>NL200157</v>
          </cell>
          <cell r="B3106" t="str">
            <v>Nấm đông trùng</v>
          </cell>
          <cell r="C3106" t="str">
            <v>kg</v>
          </cell>
        </row>
        <row r="3107">
          <cell r="A3107" t="str">
            <v>NL200158</v>
          </cell>
          <cell r="B3107" t="str">
            <v>Nấm hương (Nấm đông cô khô)</v>
          </cell>
          <cell r="C3107" t="str">
            <v>kg</v>
          </cell>
        </row>
        <row r="3108">
          <cell r="A3108" t="str">
            <v>NL200159</v>
          </cell>
          <cell r="B3108" t="str">
            <v>Nấm tuyết nhĩ</v>
          </cell>
          <cell r="C3108" t="str">
            <v>kg</v>
          </cell>
        </row>
        <row r="3109">
          <cell r="A3109" t="str">
            <v>NL200160</v>
          </cell>
          <cell r="B3109" t="str">
            <v>Nước đường Hàn Quốc 5 lít/can (4can/thùng)</v>
          </cell>
          <cell r="C3109" t="str">
            <v>Can</v>
          </cell>
        </row>
        <row r="3110">
          <cell r="A3110" t="str">
            <v>NL200161</v>
          </cell>
          <cell r="B3110" t="str">
            <v>Ngũ vị hương 3g/gói</v>
          </cell>
          <cell r="C3110" t="str">
            <v>Gói</v>
          </cell>
        </row>
        <row r="3111">
          <cell r="A3111" t="str">
            <v>NL200162</v>
          </cell>
          <cell r="B3111" t="str">
            <v>Ngũ vị hương 1kg</v>
          </cell>
          <cell r="C3111" t="str">
            <v>kg</v>
          </cell>
        </row>
        <row r="3112">
          <cell r="A3112" t="str">
            <v>NL200163</v>
          </cell>
          <cell r="B3112" t="str">
            <v>Lá nguyệt quế ( Lá thơm)</v>
          </cell>
          <cell r="C3112" t="str">
            <v>kg</v>
          </cell>
        </row>
        <row r="3113">
          <cell r="A3113" t="str">
            <v>NL200164</v>
          </cell>
          <cell r="B3113" t="str">
            <v>Nhục đậu khấu</v>
          </cell>
          <cell r="C3113" t="str">
            <v>kg</v>
          </cell>
        </row>
        <row r="3114">
          <cell r="A3114" t="str">
            <v>NL200165</v>
          </cell>
          <cell r="B3114" t="str">
            <v>Nước ngọt 7Up (1.5 lít/chai)</v>
          </cell>
          <cell r="C3114" t="str">
            <v>Chai</v>
          </cell>
        </row>
        <row r="3115">
          <cell r="A3115" t="str">
            <v>NL200166</v>
          </cell>
          <cell r="B3115" t="str">
            <v>Nước ngọt 7Up (330ml/chai)</v>
          </cell>
          <cell r="C3115" t="str">
            <v>Chai</v>
          </cell>
        </row>
        <row r="3116">
          <cell r="A3116" t="str">
            <v>NL200167</v>
          </cell>
          <cell r="B3116" t="str">
            <v>Nước dứa cô đặc</v>
          </cell>
          <cell r="C3116" t="str">
            <v>kg</v>
          </cell>
        </row>
        <row r="3117">
          <cell r="A3117" t="str">
            <v>NL200168</v>
          </cell>
          <cell r="B3117" t="str">
            <v>Nước đường ngô HQ (18kg/thùng)</v>
          </cell>
          <cell r="C3117" t="str">
            <v>kg</v>
          </cell>
        </row>
        <row r="3118">
          <cell r="A3118" t="str">
            <v>NL200169</v>
          </cell>
          <cell r="B3118" t="str">
            <v>Nước mắm 750ML</v>
          </cell>
          <cell r="C3118" t="str">
            <v>Chai</v>
          </cell>
        </row>
        <row r="3119">
          <cell r="A3119" t="str">
            <v>NL200170</v>
          </cell>
          <cell r="B3119" t="str">
            <v>Nước mắm 900ML( 15 Chai/thùng )</v>
          </cell>
          <cell r="C3119" t="str">
            <v>Chai</v>
          </cell>
        </row>
        <row r="3120">
          <cell r="A3120" t="str">
            <v>NL200171</v>
          </cell>
          <cell r="B3120" t="str">
            <v>Nước mắm HQ 1L</v>
          </cell>
          <cell r="C3120" t="str">
            <v>Chai</v>
          </cell>
        </row>
        <row r="3121">
          <cell r="A3121" t="str">
            <v>NL200172</v>
          </cell>
          <cell r="B3121" t="str">
            <v>Nước mắm HQ (3kg/Can)</v>
          </cell>
          <cell r="C3121" t="str">
            <v>Can</v>
          </cell>
        </row>
        <row r="3122">
          <cell r="A3122" t="str">
            <v>NL200173</v>
          </cell>
          <cell r="B3122" t="str">
            <v>Ô liu có hạt 3kg</v>
          </cell>
          <cell r="C3122" t="str">
            <v>Hộp</v>
          </cell>
        </row>
        <row r="3123">
          <cell r="A3123" t="str">
            <v>NL200174</v>
          </cell>
          <cell r="B3123" t="str">
            <v>Ớt bột VN</v>
          </cell>
          <cell r="C3123" t="str">
            <v>kg</v>
          </cell>
        </row>
        <row r="3124">
          <cell r="A3124" t="str">
            <v>NL200175</v>
          </cell>
          <cell r="B3124" t="str">
            <v>Ớt bột Hàn Quốc</v>
          </cell>
          <cell r="C3124" t="str">
            <v>kg</v>
          </cell>
        </row>
        <row r="3125">
          <cell r="A3125" t="str">
            <v>NL200176</v>
          </cell>
          <cell r="B3125" t="str">
            <v>Ớt khô</v>
          </cell>
          <cell r="C3125" t="str">
            <v>kg</v>
          </cell>
        </row>
        <row r="3126">
          <cell r="A3126" t="str">
            <v>NL200177</v>
          </cell>
          <cell r="B3126" t="str">
            <v>Ớt ngâm</v>
          </cell>
          <cell r="C3126" t="str">
            <v>kg</v>
          </cell>
        </row>
        <row r="3127">
          <cell r="A3127" t="str">
            <v>NL200178</v>
          </cell>
          <cell r="B3127" t="str">
            <v>Phụ gia thực phẩm Sodium Benzoate</v>
          </cell>
          <cell r="C3127" t="str">
            <v>kg</v>
          </cell>
        </row>
        <row r="3128">
          <cell r="A3128" t="str">
            <v>NL200179</v>
          </cell>
          <cell r="B3128" t="str">
            <v>Phụ gia thực phẩm HYDROXYPROPYL METHYLCELLULOSE K20000-HPMC K20000 (LUZ)</v>
          </cell>
          <cell r="C3128" t="str">
            <v>kg</v>
          </cell>
        </row>
        <row r="3129">
          <cell r="A3129" t="str">
            <v>NL200180</v>
          </cell>
          <cell r="B3129" t="str">
            <v>Phẩm màu cam đỏ</v>
          </cell>
          <cell r="C3129" t="str">
            <v>gram</v>
          </cell>
        </row>
        <row r="3130">
          <cell r="A3130" t="str">
            <v>NL200181</v>
          </cell>
          <cell r="B3130" t="str">
            <v>Phẩm màu đỏ</v>
          </cell>
          <cell r="C3130" t="str">
            <v>ml</v>
          </cell>
        </row>
        <row r="3131">
          <cell r="A3131" t="str">
            <v>NL200182</v>
          </cell>
          <cell r="B3131" t="str">
            <v>Phẩm màu đỏ NM</v>
          </cell>
          <cell r="C3131" t="str">
            <v>kg</v>
          </cell>
        </row>
        <row r="3132">
          <cell r="A3132" t="str">
            <v>NL200183</v>
          </cell>
          <cell r="B3132" t="str">
            <v>Phẩm màu xanh nõn chuối 210gr/lọ</v>
          </cell>
          <cell r="C3132" t="str">
            <v>Lọ</v>
          </cell>
        </row>
        <row r="3133">
          <cell r="A3133" t="str">
            <v>NL200184</v>
          </cell>
          <cell r="B3133" t="str">
            <v>Phô mai bào</v>
          </cell>
          <cell r="C3133" t="str">
            <v>kg</v>
          </cell>
        </row>
        <row r="3134">
          <cell r="A3134" t="str">
            <v>NL200185</v>
          </cell>
          <cell r="B3134" t="str">
            <v>Phồng tôm nhỏ (100gr/gói)</v>
          </cell>
          <cell r="C3134" t="str">
            <v>Gói</v>
          </cell>
        </row>
        <row r="3135">
          <cell r="A3135" t="str">
            <v>NL200186</v>
          </cell>
          <cell r="B3135" t="str">
            <v>Phục linh</v>
          </cell>
          <cell r="C3135" t="str">
            <v>kg</v>
          </cell>
        </row>
        <row r="3136">
          <cell r="A3136" t="str">
            <v>NL200187</v>
          </cell>
          <cell r="B3136" t="str">
            <v>Phụ gia GELPRO HC48</v>
          </cell>
          <cell r="C3136" t="str">
            <v>kg</v>
          </cell>
        </row>
        <row r="3137">
          <cell r="A3137" t="str">
            <v>NL200188</v>
          </cell>
          <cell r="B3137" t="str">
            <v>Phụ gia thực phẩm IG Ashitide</v>
          </cell>
          <cell r="C3137" t="str">
            <v>kg</v>
          </cell>
        </row>
        <row r="3138">
          <cell r="A3138" t="str">
            <v>NL200189</v>
          </cell>
          <cell r="B3138" t="str">
            <v>Quế</v>
          </cell>
          <cell r="C3138" t="str">
            <v>kg</v>
          </cell>
        </row>
        <row r="3139">
          <cell r="A3139" t="str">
            <v>NL200190</v>
          </cell>
          <cell r="B3139" t="str">
            <v>Quy ( đương quy)</v>
          </cell>
          <cell r="C3139" t="str">
            <v>kg</v>
          </cell>
        </row>
        <row r="3140">
          <cell r="A3140" t="str">
            <v>NL200191</v>
          </cell>
          <cell r="B3140" t="str">
            <v>Rượu mai quế lộ (Trung Quốc)</v>
          </cell>
          <cell r="C3140" t="str">
            <v>Chai</v>
          </cell>
        </row>
        <row r="3141">
          <cell r="A3141" t="str">
            <v>NL200192</v>
          </cell>
          <cell r="B3141" t="str">
            <v>Rượu Soju Hàn Quốc 360ml/chai (20chai/thùng)</v>
          </cell>
          <cell r="C3141" t="str">
            <v>Chai</v>
          </cell>
        </row>
        <row r="3142">
          <cell r="A3142" t="str">
            <v>NL200193</v>
          </cell>
          <cell r="B3142" t="str">
            <v>Rượu trắng 60 độ (rượu đốt)</v>
          </cell>
          <cell r="C3142" t="str">
            <v>Lít</v>
          </cell>
        </row>
        <row r="3143">
          <cell r="A3143" t="str">
            <v>NL200194</v>
          </cell>
          <cell r="B3143" t="str">
            <v>Rượu trắng nhẹ (rửa chân gà)</v>
          </cell>
          <cell r="C3143" t="str">
            <v>Lít</v>
          </cell>
        </row>
        <row r="3144">
          <cell r="A3144" t="str">
            <v>NL200195</v>
          </cell>
          <cell r="B3144" t="str">
            <v>Sa nhân</v>
          </cell>
          <cell r="C3144" t="str">
            <v>kg</v>
          </cell>
        </row>
        <row r="3145">
          <cell r="A3145" t="str">
            <v>NL200196</v>
          </cell>
          <cell r="B3145" t="str">
            <v>Sa tế tôm (16 vỉ/thùng, 6 lọ/vỉ)</v>
          </cell>
          <cell r="C3145" t="str">
            <v>Vỉ</v>
          </cell>
        </row>
        <row r="3146">
          <cell r="A3146" t="str">
            <v>NL200197</v>
          </cell>
          <cell r="B3146" t="str">
            <v>Ớt khô Sa tế hủ thủy tinh 100g</v>
          </cell>
          <cell r="C3146" t="str">
            <v>Chai</v>
          </cell>
        </row>
        <row r="3147">
          <cell r="A3147" t="str">
            <v>NL200198</v>
          </cell>
          <cell r="B3147" t="str">
            <v>Sốt cà chua Thái Lan Chua Hah Seng 650g (12 chai/Thùng)</v>
          </cell>
          <cell r="C3147" t="str">
            <v>Chai</v>
          </cell>
        </row>
        <row r="3148">
          <cell r="A3148" t="str">
            <v>NL200199</v>
          </cell>
          <cell r="B3148" t="str">
            <v>Sốt chua ngọt</v>
          </cell>
          <cell r="C3148" t="str">
            <v>Chai</v>
          </cell>
        </row>
        <row r="3149">
          <cell r="A3149" t="str">
            <v>NL200200</v>
          </cell>
          <cell r="B3149" t="str">
            <v>Sốt gà Thái</v>
          </cell>
          <cell r="C3149" t="str">
            <v>Chai</v>
          </cell>
        </row>
        <row r="3150">
          <cell r="A3150" t="str">
            <v>NL200201</v>
          </cell>
          <cell r="B3150" t="str">
            <v>Sốt chấm Suki Chua Hah Seng 690g (12 chai/Thùng)</v>
          </cell>
          <cell r="C3150" t="str">
            <v>Chai</v>
          </cell>
        </row>
        <row r="3151">
          <cell r="A3151" t="str">
            <v>NL200202</v>
          </cell>
          <cell r="B3151" t="str">
            <v>Sốt tiêu đen</v>
          </cell>
          <cell r="C3151" t="str">
            <v>Hộp</v>
          </cell>
        </row>
        <row r="3152">
          <cell r="A3152" t="str">
            <v>NL200203</v>
          </cell>
          <cell r="B3152" t="str">
            <v>Sốt ướp cay Hàn Quốc</v>
          </cell>
          <cell r="C3152" t="str">
            <v>Chai</v>
          </cell>
        </row>
        <row r="3153">
          <cell r="A3153" t="str">
            <v>NL200204</v>
          </cell>
          <cell r="B3153" t="str">
            <v>Sốt ướp đồ nướng LKK 240g</v>
          </cell>
          <cell r="C3153" t="str">
            <v>Lọ</v>
          </cell>
        </row>
        <row r="3154">
          <cell r="A3154" t="str">
            <v>NL200205</v>
          </cell>
          <cell r="B3154" t="str">
            <v>Sốt Worcestershire Sauce (Sốt Steak Sauce)</v>
          </cell>
          <cell r="C3154" t="str">
            <v>Chai</v>
          </cell>
        </row>
        <row r="3155">
          <cell r="A3155" t="str">
            <v>NL200206</v>
          </cell>
          <cell r="B3155" t="str">
            <v>Sốt xá xíu Cholimex (200gr/hộp)</v>
          </cell>
          <cell r="C3155" t="str">
            <v>Hộp</v>
          </cell>
        </row>
        <row r="3156">
          <cell r="A3156" t="str">
            <v>NL200207</v>
          </cell>
          <cell r="B3156" t="str">
            <v>Sốt XO</v>
          </cell>
          <cell r="C3156" t="str">
            <v>Lọ</v>
          </cell>
        </row>
        <row r="3157">
          <cell r="A3157" t="str">
            <v>NL200208</v>
          </cell>
          <cell r="B3157" t="str">
            <v>Sữa bột nguyên kem cô gái</v>
          </cell>
          <cell r="C3157" t="str">
            <v>Hộp</v>
          </cell>
        </row>
        <row r="3158">
          <cell r="A3158" t="str">
            <v>NL200209</v>
          </cell>
          <cell r="B3158" t="str">
            <v>Sữa chua không đường VNM 100g</v>
          </cell>
          <cell r="C3158" t="str">
            <v>Hộp</v>
          </cell>
        </row>
        <row r="3159">
          <cell r="A3159" t="str">
            <v>NL200210</v>
          </cell>
          <cell r="B3159" t="str">
            <v>Sữa đặc hộp 1 lít</v>
          </cell>
          <cell r="C3159" t="str">
            <v>Hộp</v>
          </cell>
        </row>
        <row r="3160">
          <cell r="A3160" t="str">
            <v>NL200211</v>
          </cell>
          <cell r="B3160" t="str">
            <v>Sữa tươi có đường (1 lít/hộp) Vinamilk</v>
          </cell>
          <cell r="C3160" t="str">
            <v>Hộp</v>
          </cell>
        </row>
        <row r="3161">
          <cell r="A3161" t="str">
            <v>NL200212</v>
          </cell>
          <cell r="B3161" t="str">
            <v>Sữa tươi không đường (1 lít/hộp) Vinamilk</v>
          </cell>
          <cell r="C3161" t="str">
            <v>Hộp</v>
          </cell>
        </row>
        <row r="3162">
          <cell r="A3162" t="str">
            <v>NL200213</v>
          </cell>
          <cell r="B3162" t="str">
            <v>Sữa tươi không đường cô gái (1 lít/hộp)</v>
          </cell>
          <cell r="C3162" t="str">
            <v>Hộp</v>
          </cell>
        </row>
        <row r="3163">
          <cell r="A3163" t="str">
            <v>NL200214</v>
          </cell>
          <cell r="B3163" t="str">
            <v>Tai chua</v>
          </cell>
          <cell r="C3163" t="str">
            <v>kg</v>
          </cell>
        </row>
        <row r="3164">
          <cell r="A3164" t="str">
            <v>NL200215</v>
          </cell>
          <cell r="B3164" t="str">
            <v>Táo đen ( Táo tàu đen)</v>
          </cell>
          <cell r="C3164" t="str">
            <v>kg</v>
          </cell>
        </row>
        <row r="3165">
          <cell r="A3165" t="str">
            <v>NL200216</v>
          </cell>
          <cell r="B3165" t="str">
            <v>Táo đỏ ( khô )</v>
          </cell>
          <cell r="C3165" t="str">
            <v>kg</v>
          </cell>
        </row>
        <row r="3166">
          <cell r="A3166" t="str">
            <v>NL200217</v>
          </cell>
          <cell r="B3166" t="str">
            <v>Tàu xì (hạt)</v>
          </cell>
          <cell r="C3166" t="str">
            <v>kg</v>
          </cell>
        </row>
        <row r="3167">
          <cell r="A3167" t="str">
            <v>NL200218</v>
          </cell>
          <cell r="B3167" t="str">
            <v>Bột thạch rau con cá dẻo 10gr/gói</v>
          </cell>
          <cell r="C3167" t="str">
            <v>Gói</v>
          </cell>
        </row>
        <row r="3168">
          <cell r="A3168" t="str">
            <v>NL200219</v>
          </cell>
          <cell r="B3168" t="str">
            <v>Gia Vị Lẩu Thái AJQ</v>
          </cell>
          <cell r="C3168" t="str">
            <v>Gói</v>
          </cell>
        </row>
        <row r="3169">
          <cell r="A3169" t="str">
            <v>NL200220</v>
          </cell>
          <cell r="B3169" t="str">
            <v>Gia Vị Lẩu Thái Tom Yum Paste 454g</v>
          </cell>
          <cell r="C3169" t="str">
            <v>Lọ</v>
          </cell>
        </row>
        <row r="3170">
          <cell r="A3170" t="str">
            <v>NL200221</v>
          </cell>
          <cell r="B3170" t="str">
            <v>Thảo quả</v>
          </cell>
          <cell r="C3170" t="str">
            <v>kg</v>
          </cell>
        </row>
        <row r="3171">
          <cell r="A3171" t="str">
            <v>NL200222</v>
          </cell>
          <cell r="B3171" t="str">
            <v>Đường thốt nốt</v>
          </cell>
          <cell r="C3171" t="str">
            <v>kg</v>
          </cell>
        </row>
        <row r="3172">
          <cell r="A3172" t="str">
            <v>NL200223</v>
          </cell>
          <cell r="B3172" t="str">
            <v>Thục đen (Thục địa)</v>
          </cell>
          <cell r="C3172" t="str">
            <v>kg</v>
          </cell>
        </row>
        <row r="3173">
          <cell r="A3173" t="str">
            <v>NL200224</v>
          </cell>
          <cell r="B3173" t="str">
            <v>Tiêu bột Hàn Quốc 240gr/túi</v>
          </cell>
          <cell r="C3173" t="str">
            <v>Túi</v>
          </cell>
        </row>
        <row r="3174">
          <cell r="A3174" t="str">
            <v>NL200225</v>
          </cell>
          <cell r="B3174" t="str">
            <v>Tiêu sọ đen</v>
          </cell>
          <cell r="C3174" t="str">
            <v>kg</v>
          </cell>
        </row>
        <row r="3175">
          <cell r="A3175" t="str">
            <v>NL200226</v>
          </cell>
          <cell r="B3175" t="str">
            <v>Tiểu hồi</v>
          </cell>
          <cell r="C3175" t="str">
            <v>kg</v>
          </cell>
        </row>
        <row r="3176">
          <cell r="A3176" t="str">
            <v>NL200227</v>
          </cell>
          <cell r="B3176" t="str">
            <v>Tiêu sọ trắng</v>
          </cell>
          <cell r="C3176" t="str">
            <v>kg</v>
          </cell>
        </row>
        <row r="3177">
          <cell r="A3177" t="str">
            <v>NL200228</v>
          </cell>
          <cell r="B3177" t="str">
            <v>Tiêu xay</v>
          </cell>
          <cell r="C3177" t="str">
            <v>kg</v>
          </cell>
        </row>
        <row r="3178">
          <cell r="A3178" t="str">
            <v>NL200229</v>
          </cell>
          <cell r="B3178" t="str">
            <v>Tinh bột biến tính 06205</v>
          </cell>
          <cell r="C3178" t="str">
            <v>kg</v>
          </cell>
        </row>
        <row r="3179">
          <cell r="A3179" t="str">
            <v>NL200230</v>
          </cell>
          <cell r="B3179" t="str">
            <v>Tinh bột bắp Knorr 1kg*10G/T</v>
          </cell>
          <cell r="C3179" t="str">
            <v>kg</v>
          </cell>
        </row>
        <row r="3180">
          <cell r="A3180" t="str">
            <v>NL200231</v>
          </cell>
          <cell r="B3180" t="str">
            <v>Tinh bột biến tính - KREATION D8</v>
          </cell>
          <cell r="C3180" t="str">
            <v>kg</v>
          </cell>
        </row>
        <row r="3181">
          <cell r="A3181" t="str">
            <v>NL200232</v>
          </cell>
          <cell r="B3181" t="str">
            <v>Tinh than tre</v>
          </cell>
          <cell r="C3181" t="str">
            <v>kg</v>
          </cell>
        </row>
        <row r="3182">
          <cell r="A3182" t="str">
            <v>NL200233</v>
          </cell>
          <cell r="B3182" t="str">
            <v>Tôm nõn khô</v>
          </cell>
          <cell r="C3182" t="str">
            <v>kg</v>
          </cell>
        </row>
        <row r="3183">
          <cell r="A3183" t="str">
            <v>NL200234</v>
          </cell>
          <cell r="B3183" t="str">
            <v>Súp nền Tom Yum Park Knor</v>
          </cell>
          <cell r="C3183" t="str">
            <v>Hũ</v>
          </cell>
        </row>
        <row r="3184">
          <cell r="A3184" t="str">
            <v>NL200235</v>
          </cell>
          <cell r="B3184" t="str">
            <v>Tương ớt tỏi 226g Lee Kum Kee</v>
          </cell>
          <cell r="C3184" t="str">
            <v>Lọ</v>
          </cell>
        </row>
        <row r="3185">
          <cell r="A3185" t="str">
            <v>NL200236</v>
          </cell>
          <cell r="B3185" t="str">
            <v>Trần bì</v>
          </cell>
          <cell r="C3185" t="str">
            <v>kg</v>
          </cell>
        </row>
        <row r="3186">
          <cell r="A3186" t="str">
            <v>NL200237</v>
          </cell>
          <cell r="B3186" t="str">
            <v>Bánh tráng trảng bàng</v>
          </cell>
          <cell r="C3186" t="str">
            <v>Bịch</v>
          </cell>
        </row>
        <row r="3187">
          <cell r="A3187" t="str">
            <v>NL200238</v>
          </cell>
          <cell r="B3187" t="str">
            <v>Tương cà Trung Thành (6 can/thùng)</v>
          </cell>
          <cell r="C3187" t="str">
            <v>Can</v>
          </cell>
        </row>
        <row r="3188">
          <cell r="A3188" t="str">
            <v>NL200239</v>
          </cell>
          <cell r="B3188" t="str">
            <v>Tương cà Cholimex</v>
          </cell>
          <cell r="C3188" t="str">
            <v>Can</v>
          </cell>
        </row>
        <row r="3189">
          <cell r="A3189" t="str">
            <v>NL200240</v>
          </cell>
          <cell r="B3189" t="str">
            <v>Tương cà Chin Su 2.1kg (6 chai/thùng)</v>
          </cell>
          <cell r="C3189" t="str">
            <v>Chai</v>
          </cell>
        </row>
        <row r="3190">
          <cell r="A3190" t="str">
            <v>NL200241</v>
          </cell>
          <cell r="B3190" t="str">
            <v>Tương hột ớt ( Tương đậu bản) 226gr/hũ</v>
          </cell>
          <cell r="C3190" t="str">
            <v>Hộp</v>
          </cell>
        </row>
        <row r="3191">
          <cell r="A3191" t="str">
            <v>NL200242</v>
          </cell>
          <cell r="B3191" t="str">
            <v>Tương đậu Samjang HQ (14kg/thùng)</v>
          </cell>
          <cell r="C3191" t="str">
            <v>kg</v>
          </cell>
        </row>
        <row r="3192">
          <cell r="A3192" t="str">
            <v>NL200243</v>
          </cell>
          <cell r="B3192" t="str">
            <v>Nước tương đậu nành (Nam Dương)</v>
          </cell>
          <cell r="C3192" t="str">
            <v>Chai</v>
          </cell>
        </row>
        <row r="3193">
          <cell r="A3193" t="str">
            <v>NL200244</v>
          </cell>
          <cell r="B3193" t="str">
            <v>Tương hột ớt ( Tương đậu bản) 2,04 kg/ bình</v>
          </cell>
          <cell r="C3193" t="str">
            <v>kg</v>
          </cell>
        </row>
        <row r="3194">
          <cell r="A3194" t="str">
            <v>NL200245</v>
          </cell>
          <cell r="B3194" t="str">
            <v>Tương trụ hải sản Hải Thiên 7kg/bình</v>
          </cell>
          <cell r="C3194" t="str">
            <v>kg</v>
          </cell>
        </row>
        <row r="3195">
          <cell r="A3195" t="str">
            <v>NL200246</v>
          </cell>
          <cell r="B3195" t="str">
            <v>Nước tương Hải Thiên 1.9L</v>
          </cell>
          <cell r="C3195" t="str">
            <v>Chai</v>
          </cell>
        </row>
        <row r="3196">
          <cell r="A3196" t="str">
            <v>NL200247</v>
          </cell>
          <cell r="B3196" t="str">
            <v>Nước tương Kikkoman (Chai Thủy Tinh) 150ml</v>
          </cell>
          <cell r="C3196" t="str">
            <v>Chai</v>
          </cell>
        </row>
        <row r="3197">
          <cell r="A3197" t="str">
            <v>NL200248</v>
          </cell>
          <cell r="B3197" t="str">
            <v>Tương ớt Cholimex (6 can/thùng)</v>
          </cell>
          <cell r="C3197" t="str">
            <v>Can</v>
          </cell>
        </row>
        <row r="3198">
          <cell r="A3198" t="str">
            <v>NL200249</v>
          </cell>
          <cell r="B3198" t="str">
            <v>Tương bần ( 0.5kg/chai )</v>
          </cell>
          <cell r="C3198" t="str">
            <v>Chai</v>
          </cell>
        </row>
        <row r="3199">
          <cell r="A3199" t="str">
            <v>NL200250</v>
          </cell>
          <cell r="B3199" t="str">
            <v>Nước tương Maggi 700ml</v>
          </cell>
          <cell r="C3199" t="str">
            <v>Chai</v>
          </cell>
        </row>
        <row r="3200">
          <cell r="A3200" t="str">
            <v>NL200251</v>
          </cell>
          <cell r="B3200" t="str">
            <v>Tương ớt Trung Thành (6 can/thùng)</v>
          </cell>
          <cell r="C3200" t="str">
            <v>Chai</v>
          </cell>
        </row>
        <row r="3201">
          <cell r="A3201" t="str">
            <v>NL200252</v>
          </cell>
          <cell r="B3201" t="str">
            <v>Tương ớt Chin Su 2.1kg (6 chai/thùng)</v>
          </cell>
          <cell r="C3201" t="str">
            <v>Chai</v>
          </cell>
        </row>
        <row r="3202">
          <cell r="A3202" t="str">
            <v>NL200253</v>
          </cell>
          <cell r="B3202" t="str">
            <v>Tương ớt HQ (14kg/thùng)</v>
          </cell>
          <cell r="C3202" t="str">
            <v>kg</v>
          </cell>
        </row>
        <row r="3203">
          <cell r="A3203" t="str">
            <v>NL200254</v>
          </cell>
          <cell r="B3203" t="str">
            <v>Tương ớt tỏi 240g</v>
          </cell>
          <cell r="C3203" t="str">
            <v>Lọ</v>
          </cell>
        </row>
        <row r="3204">
          <cell r="A3204" t="str">
            <v>NL200255</v>
          </cell>
          <cell r="B3204" t="str">
            <v>Tương trụ hàu Hải Thiên 6.5kg/bình</v>
          </cell>
          <cell r="C3204" t="str">
            <v>kg</v>
          </cell>
        </row>
        <row r="3205">
          <cell r="A3205" t="str">
            <v>NL200256</v>
          </cell>
          <cell r="B3205" t="str">
            <v>Tương xí muội LKK 2.31kg/bình</v>
          </cell>
          <cell r="C3205" t="str">
            <v>kg</v>
          </cell>
        </row>
        <row r="3206">
          <cell r="A3206" t="str">
            <v>NL200257</v>
          </cell>
          <cell r="B3206" t="str">
            <v>Vang Đà Lạt (vang thăng long) 750ml</v>
          </cell>
          <cell r="C3206" t="str">
            <v>Chai</v>
          </cell>
        </row>
        <row r="3207">
          <cell r="A3207" t="str">
            <v>NL200258</v>
          </cell>
          <cell r="B3207" t="str">
            <v>Rượu Vang thăng long 700ml (12 chai/thùng)</v>
          </cell>
          <cell r="C3207" t="str">
            <v>Chai</v>
          </cell>
        </row>
        <row r="3208">
          <cell r="A3208" t="str">
            <v>NL200259</v>
          </cell>
          <cell r="B3208" t="str">
            <v>Bột Vani ống ( 1 hộp 10 ống )</v>
          </cell>
          <cell r="C3208" t="str">
            <v>Tuýp</v>
          </cell>
        </row>
        <row r="3209">
          <cell r="A3209" t="str">
            <v>NL200260</v>
          </cell>
          <cell r="B3209" t="str">
            <v>Vỏ bánh tráng đậu xanh</v>
          </cell>
          <cell r="C3209" t="str">
            <v>Gói</v>
          </cell>
        </row>
        <row r="3210">
          <cell r="A3210" t="str">
            <v>NL200261</v>
          </cell>
          <cell r="B3210" t="str">
            <v>Vỏ quýt khô</v>
          </cell>
          <cell r="C3210" t="str">
            <v>kg</v>
          </cell>
        </row>
        <row r="3211">
          <cell r="A3211" t="str">
            <v>NL200262</v>
          </cell>
          <cell r="B3211" t="str">
            <v>Vừng rang</v>
          </cell>
          <cell r="C3211" t="str">
            <v>kg</v>
          </cell>
        </row>
        <row r="3212">
          <cell r="A3212" t="str">
            <v>NL200263</v>
          </cell>
          <cell r="B3212" t="str">
            <v>Vừng sống</v>
          </cell>
          <cell r="C3212" t="str">
            <v>kg</v>
          </cell>
        </row>
        <row r="3213">
          <cell r="A3213" t="str">
            <v>NL200264</v>
          </cell>
          <cell r="B3213" t="str">
            <v>Xì dầu đặc hương nấm 500ml</v>
          </cell>
          <cell r="C3213" t="str">
            <v>Chai</v>
          </cell>
        </row>
        <row r="3214">
          <cell r="A3214" t="str">
            <v>NL200265</v>
          </cell>
          <cell r="B3214" t="str">
            <v>Xì dầu đậu nành thượng hạng lkk 500ml</v>
          </cell>
          <cell r="C3214" t="str">
            <v>Chai</v>
          </cell>
        </row>
        <row r="3215">
          <cell r="A3215" t="str">
            <v>NL200266</v>
          </cell>
          <cell r="B3215" t="str">
            <v>Xì dầu Hàn Quốc (13 lít/can)</v>
          </cell>
          <cell r="C3215" t="str">
            <v>Can</v>
          </cell>
        </row>
        <row r="3216">
          <cell r="A3216" t="str">
            <v>NL200267</v>
          </cell>
          <cell r="B3216" t="str">
            <v>Nước tương tam thái tử 2B*12C*500ml/thùng</v>
          </cell>
          <cell r="C3216" t="str">
            <v>Chai</v>
          </cell>
        </row>
        <row r="3217">
          <cell r="A3217" t="str">
            <v>NL200268</v>
          </cell>
          <cell r="B3217" t="str">
            <v>Xì dầu đặc biệt LKK 500ml</v>
          </cell>
          <cell r="C3217" t="str">
            <v>Chai</v>
          </cell>
        </row>
        <row r="3218">
          <cell r="A3218" t="str">
            <v>NL200269</v>
          </cell>
          <cell r="B3218" t="str">
            <v>Xì dầu loãng Nam Dương (500g) (Sd Sốt chấm thịt nướng)</v>
          </cell>
          <cell r="C3218" t="str">
            <v>Chai</v>
          </cell>
        </row>
        <row r="3219">
          <cell r="A3219" t="str">
            <v>NL200270</v>
          </cell>
          <cell r="B3219" t="str">
            <v>Xôi chiên phồng (500g)</v>
          </cell>
          <cell r="C3219" t="str">
            <v>Gói</v>
          </cell>
        </row>
        <row r="3220">
          <cell r="A3220" t="str">
            <v>NL200271</v>
          </cell>
          <cell r="B3220" t="str">
            <v>Xuyên tiêu đỏ</v>
          </cell>
          <cell r="C3220" t="str">
            <v>kg</v>
          </cell>
        </row>
        <row r="3221">
          <cell r="A3221" t="str">
            <v>NL200272</v>
          </cell>
          <cell r="B3221" t="str">
            <v>Xuyên tiêu xanh (Hoa tiêu)</v>
          </cell>
          <cell r="C3221" t="str">
            <v>kg</v>
          </cell>
        </row>
        <row r="3222">
          <cell r="A3222" t="str">
            <v>NL200273</v>
          </cell>
          <cell r="B3222" t="str">
            <v>Ý dĩ</v>
          </cell>
          <cell r="C3222" t="str">
            <v>kg</v>
          </cell>
        </row>
        <row r="3223">
          <cell r="A3223" t="str">
            <v>NL200274</v>
          </cell>
          <cell r="B3223" t="str">
            <v>Khoai tây chiên (cọng) (200g/suất)</v>
          </cell>
          <cell r="C3223" t="str">
            <v>Suất</v>
          </cell>
        </row>
        <row r="3224">
          <cell r="A3224" t="str">
            <v>NL200275</v>
          </cell>
          <cell r="B3224" t="str">
            <v>Hắc xì dầu đặc biệt LKK 1.75L</v>
          </cell>
          <cell r="C3224" t="str">
            <v>Can</v>
          </cell>
        </row>
        <row r="3225">
          <cell r="A3225" t="str">
            <v>NL200276</v>
          </cell>
          <cell r="B3225" t="str">
            <v>Dầu đậu nành sim ly 5L</v>
          </cell>
          <cell r="C3225" t="str">
            <v>Can</v>
          </cell>
        </row>
        <row r="3226">
          <cell r="A3226" t="str">
            <v>NL200277</v>
          </cell>
          <cell r="B3226" t="str">
            <v>Nước xốt hải sản LKK 410ml</v>
          </cell>
          <cell r="C3226" t="str">
            <v>Chai</v>
          </cell>
        </row>
        <row r="3227">
          <cell r="A3227" t="str">
            <v>NL200278</v>
          </cell>
          <cell r="B3227" t="str">
            <v>Rượu mận</v>
          </cell>
          <cell r="C3227" t="str">
            <v>Lít</v>
          </cell>
        </row>
        <row r="3228">
          <cell r="A3228" t="str">
            <v>NL200279</v>
          </cell>
          <cell r="B3228" t="str">
            <v>Khoai tây chiên (kg)</v>
          </cell>
          <cell r="C3228" t="str">
            <v>kg</v>
          </cell>
        </row>
        <row r="3229">
          <cell r="A3229" t="str">
            <v>NL200280</v>
          </cell>
          <cell r="B3229" t="str">
            <v>Kim chi</v>
          </cell>
          <cell r="C3229" t="str">
            <v>kg</v>
          </cell>
        </row>
        <row r="3230">
          <cell r="A3230" t="str">
            <v>NL200281</v>
          </cell>
          <cell r="B3230" t="str">
            <v>Sốt sa cha LKK 330gr</v>
          </cell>
          <cell r="C3230" t="str">
            <v>Hộp</v>
          </cell>
        </row>
        <row r="3231">
          <cell r="A3231" t="str">
            <v>NL200282</v>
          </cell>
          <cell r="B3231" t="str">
            <v>Phẩm màu gạch tôm</v>
          </cell>
          <cell r="C3231" t="str">
            <v>kg</v>
          </cell>
        </row>
        <row r="3232">
          <cell r="A3232" t="str">
            <v>NL200283</v>
          </cell>
          <cell r="B3232" t="str">
            <v>Tàu Hũ Ki Hongkong</v>
          </cell>
          <cell r="C3232" t="str">
            <v>Lá</v>
          </cell>
        </row>
        <row r="3233">
          <cell r="A3233" t="str">
            <v>NL200284</v>
          </cell>
          <cell r="B3233" t="str">
            <v>Lá Sủi Cảo (100 lá/ tập)</v>
          </cell>
          <cell r="C3233" t="str">
            <v>Tập</v>
          </cell>
        </row>
        <row r="3234">
          <cell r="A3234" t="str">
            <v>NL200285</v>
          </cell>
          <cell r="B3234" t="str">
            <v>Bột quế</v>
          </cell>
          <cell r="C3234" t="str">
            <v>kg</v>
          </cell>
        </row>
        <row r="3235">
          <cell r="A3235" t="str">
            <v>NL200286</v>
          </cell>
          <cell r="B3235" t="str">
            <v>Bột baking soda 454g</v>
          </cell>
          <cell r="C3235" t="str">
            <v>Hộp</v>
          </cell>
        </row>
        <row r="3236">
          <cell r="A3236" t="str">
            <v>NL200287</v>
          </cell>
          <cell r="B3236" t="str">
            <v>Mỡ trừu Criso Shortening 1,36kg/hộp</v>
          </cell>
          <cell r="C3236" t="str">
            <v>Hộp</v>
          </cell>
        </row>
        <row r="3237">
          <cell r="A3237" t="str">
            <v>NL200288</v>
          </cell>
          <cell r="B3237" t="str">
            <v>Phẩm màu cam đỏ H5507 500gr/hũ</v>
          </cell>
          <cell r="C3237" t="str">
            <v>Hũ</v>
          </cell>
        </row>
        <row r="3238">
          <cell r="A3238" t="str">
            <v>NL200289</v>
          </cell>
          <cell r="B3238" t="str">
            <v>Bột chiên Tempura (700gr/gói)</v>
          </cell>
          <cell r="C3238" t="str">
            <v>Gói</v>
          </cell>
        </row>
        <row r="3239">
          <cell r="A3239" t="str">
            <v>NL200290</v>
          </cell>
          <cell r="B3239" t="str">
            <v>Cơm lam</v>
          </cell>
          <cell r="C3239" t="str">
            <v>cái</v>
          </cell>
        </row>
        <row r="3240">
          <cell r="A3240" t="str">
            <v>NL200291</v>
          </cell>
          <cell r="B3240" t="str">
            <v>Gạo nếp đồi</v>
          </cell>
          <cell r="C3240" t="str">
            <v>kg</v>
          </cell>
        </row>
        <row r="3241">
          <cell r="A3241" t="str">
            <v>NL200292</v>
          </cell>
          <cell r="B3241" t="str">
            <v>Bột chiên Tempura (450gr/gói)</v>
          </cell>
          <cell r="C3241" t="str">
            <v>Gói</v>
          </cell>
        </row>
        <row r="3242">
          <cell r="A3242" t="str">
            <v>NL200293</v>
          </cell>
          <cell r="B3242" t="str">
            <v>Bột nở Barking Powder 2kg*6H/T</v>
          </cell>
          <cell r="C3242" t="str">
            <v>Hộp</v>
          </cell>
        </row>
        <row r="3243">
          <cell r="A3243" t="str">
            <v>NL200294</v>
          </cell>
          <cell r="B3243" t="str">
            <v>Súp nền thịt heo (Knor súp nền thịt heo) 1.5kg</v>
          </cell>
          <cell r="C3243" t="str">
            <v>Hũ</v>
          </cell>
        </row>
        <row r="3244">
          <cell r="A3244" t="str">
            <v>NL200296</v>
          </cell>
          <cell r="B3244" t="str">
            <v>Nước tương Tam thái tử nhất ca 500ml</v>
          </cell>
          <cell r="C3244" t="str">
            <v>Chai</v>
          </cell>
        </row>
        <row r="3245">
          <cell r="A3245" t="str">
            <v>NL200297</v>
          </cell>
          <cell r="B3245" t="str">
            <v>Mắm mặn Hưng Thịnh (5 lít/can)</v>
          </cell>
          <cell r="C3245" t="str">
            <v>Lít</v>
          </cell>
        </row>
        <row r="3246">
          <cell r="A3246" t="str">
            <v>NL200299</v>
          </cell>
          <cell r="B3246" t="str">
            <v>Xì dầu đậu nành LKK 1.75L</v>
          </cell>
          <cell r="C3246" t="str">
            <v>Chai</v>
          </cell>
        </row>
        <row r="3247">
          <cell r="A3247" t="str">
            <v>NL200300</v>
          </cell>
          <cell r="B3247" t="str">
            <v>Giấm đen LKK 500ml</v>
          </cell>
          <cell r="C3247" t="str">
            <v>Chai</v>
          </cell>
        </row>
        <row r="3248">
          <cell r="A3248" t="str">
            <v>NL200301</v>
          </cell>
          <cell r="B3248" t="str">
            <v>Rong biển tươi</v>
          </cell>
          <cell r="C3248" t="str">
            <v>kg</v>
          </cell>
        </row>
        <row r="3249">
          <cell r="A3249" t="str">
            <v>NL200302</v>
          </cell>
          <cell r="B3249" t="str">
            <v>Bánh đa nem Hà Tĩnh (Thổ Hà) (18 lá/tệp)</v>
          </cell>
          <cell r="C3249" t="str">
            <v>Lá</v>
          </cell>
        </row>
        <row r="3250">
          <cell r="A3250" t="str">
            <v>NL200303</v>
          </cell>
          <cell r="B3250" t="str">
            <v>Bột điều</v>
          </cell>
          <cell r="C3250" t="str">
            <v>kg</v>
          </cell>
        </row>
        <row r="3251">
          <cell r="A3251" t="str">
            <v>NL200304</v>
          </cell>
          <cell r="B3251" t="str">
            <v>Màu nhũ kim vàng (10g/lọ)</v>
          </cell>
          <cell r="C3251" t="str">
            <v>Lọ</v>
          </cell>
        </row>
        <row r="3252">
          <cell r="A3252" t="str">
            <v>NL200305</v>
          </cell>
          <cell r="B3252" t="str">
            <v>Xì dầu càng cua 500ml</v>
          </cell>
          <cell r="C3252" t="str">
            <v>Chai</v>
          </cell>
        </row>
        <row r="3253">
          <cell r="A3253" t="str">
            <v>NL200306</v>
          </cell>
          <cell r="B3253" t="str">
            <v>Mật ong (500ml/chai)</v>
          </cell>
          <cell r="C3253" t="str">
            <v>Chai</v>
          </cell>
        </row>
        <row r="3254">
          <cell r="A3254" t="str">
            <v>NL200307</v>
          </cell>
          <cell r="B3254" t="str">
            <v>Muối ớt chua cay Đức Hải (500gr*24G/T)</v>
          </cell>
          <cell r="C3254" t="str">
            <v>Gói</v>
          </cell>
        </row>
        <row r="3255">
          <cell r="A3255" t="str">
            <v>NL200308</v>
          </cell>
          <cell r="B3255" t="str">
            <v>Mắm tôm chua</v>
          </cell>
          <cell r="C3255" t="str">
            <v>kg</v>
          </cell>
        </row>
        <row r="3256">
          <cell r="A3256" t="str">
            <v>NL200309</v>
          </cell>
          <cell r="B3256" t="str">
            <v>Cá bào mỏng sấy khô 500Gr</v>
          </cell>
          <cell r="C3256" t="str">
            <v>Gói</v>
          </cell>
        </row>
        <row r="3257">
          <cell r="A3257" t="str">
            <v>NL200310</v>
          </cell>
          <cell r="B3257" t="str">
            <v>Nước sốt Shiro Dashi Ninben 1.8 lít</v>
          </cell>
          <cell r="C3257" t="str">
            <v>Chai</v>
          </cell>
        </row>
        <row r="3258">
          <cell r="A3258" t="str">
            <v>NL200311</v>
          </cell>
          <cell r="B3258" t="str">
            <v>Bơ lạc 510gr*12 lọ/T</v>
          </cell>
          <cell r="C3258" t="str">
            <v>Lọ</v>
          </cell>
        </row>
        <row r="3259">
          <cell r="A3259" t="str">
            <v>NL200312</v>
          </cell>
          <cell r="B3259" t="str">
            <v>Tương hột ớt ( Tương đậu bản) 2,04 kg/Hộp</v>
          </cell>
          <cell r="C3259" t="str">
            <v>Hộp</v>
          </cell>
        </row>
        <row r="3260">
          <cell r="A3260" t="str">
            <v>NL200313</v>
          </cell>
          <cell r="B3260" t="str">
            <v>Ngô hộp (230g/hộp) (24 hộp/thùng)</v>
          </cell>
          <cell r="C3260" t="str">
            <v>Hộp</v>
          </cell>
        </row>
        <row r="3261">
          <cell r="A3261" t="str">
            <v>NL200314</v>
          </cell>
          <cell r="B3261" t="str">
            <v>Đậu Hà lan đông lạnh</v>
          </cell>
          <cell r="C3261" t="str">
            <v>kg</v>
          </cell>
        </row>
        <row r="3262">
          <cell r="A3262" t="str">
            <v>NL200315</v>
          </cell>
          <cell r="B3262" t="str">
            <v>Dầu mè 150ml</v>
          </cell>
          <cell r="C3262" t="str">
            <v>Chai</v>
          </cell>
        </row>
        <row r="3263">
          <cell r="A3263" t="str">
            <v>NL200316</v>
          </cell>
          <cell r="B3263" t="str">
            <v>Phẩm màu siêu đỏ 210gr/lọ</v>
          </cell>
          <cell r="C3263" t="str">
            <v>Lọ</v>
          </cell>
        </row>
        <row r="3264">
          <cell r="A3264" t="str">
            <v>NL200317</v>
          </cell>
          <cell r="B3264" t="str">
            <v>Phẩm màu đen 210gr/lọ</v>
          </cell>
          <cell r="C3264" t="str">
            <v>Lọ</v>
          </cell>
        </row>
        <row r="3265">
          <cell r="A3265" t="str">
            <v>NL200318</v>
          </cell>
          <cell r="B3265" t="str">
            <v>Sốt Mayonnaise Aji-Mayo (4 hộp/thùng, 3kg/hộp)</v>
          </cell>
          <cell r="C3265" t="str">
            <v>kg</v>
          </cell>
        </row>
        <row r="3266">
          <cell r="A3266" t="str">
            <v>NL200319</v>
          </cell>
          <cell r="B3266" t="str">
            <v>Bơ Anchor (1kg/gói)</v>
          </cell>
          <cell r="C3266" t="str">
            <v>kg</v>
          </cell>
        </row>
        <row r="3267">
          <cell r="A3267" t="str">
            <v>NL200320</v>
          </cell>
          <cell r="B3267" t="str">
            <v>Bột hương bò</v>
          </cell>
          <cell r="C3267" t="str">
            <v>kg</v>
          </cell>
        </row>
        <row r="3268">
          <cell r="A3268" t="str">
            <v>NL200321</v>
          </cell>
          <cell r="B3268" t="str">
            <v>Vỏ ram vàng nghệ</v>
          </cell>
          <cell r="C3268" t="str">
            <v>kg</v>
          </cell>
        </row>
        <row r="3269">
          <cell r="A3269" t="str">
            <v>NL200322</v>
          </cell>
          <cell r="B3269" t="str">
            <v>Phẩm màu xanh lá 500gr/chai</v>
          </cell>
          <cell r="C3269" t="str">
            <v>Chai</v>
          </cell>
        </row>
        <row r="3270">
          <cell r="A3270" t="str">
            <v>NL200323</v>
          </cell>
          <cell r="B3270" t="str">
            <v>Bánh Đa Cua</v>
          </cell>
          <cell r="C3270" t="str">
            <v>kg</v>
          </cell>
        </row>
        <row r="3271">
          <cell r="A3271" t="str">
            <v>NL200324</v>
          </cell>
          <cell r="B3271" t="str">
            <v>Miến</v>
          </cell>
          <cell r="C3271" t="str">
            <v>kg</v>
          </cell>
        </row>
        <row r="3272">
          <cell r="A3272" t="str">
            <v>NL200325</v>
          </cell>
          <cell r="B3272" t="str">
            <v>Tàu hũ ki cuộn (14 cuộn/hộp, 15 hộp/thùng)</v>
          </cell>
          <cell r="C3272" t="str">
            <v>Hộp</v>
          </cell>
        </row>
        <row r="3273">
          <cell r="A3273" t="str">
            <v>NL200326</v>
          </cell>
          <cell r="B3273" t="str">
            <v>Phẩm màu cam đỏ Thái Lan (500gr/hộp)</v>
          </cell>
          <cell r="C3273" t="str">
            <v>Hộp</v>
          </cell>
        </row>
        <row r="3274">
          <cell r="A3274" t="str">
            <v>NL200327</v>
          </cell>
          <cell r="B3274" t="str">
            <v>Phẩm màu cam đỏ TQ (500gr/hộp)</v>
          </cell>
          <cell r="C3274" t="str">
            <v>Hộp</v>
          </cell>
        </row>
        <row r="3275">
          <cell r="A3275" t="str">
            <v>NL200328</v>
          </cell>
          <cell r="B3275" t="str">
            <v>Phẩm màu tím hoa cà (210gr/lọ)</v>
          </cell>
          <cell r="C3275" t="str">
            <v>Lọ</v>
          </cell>
        </row>
        <row r="3276">
          <cell r="A3276" t="str">
            <v>NL200329</v>
          </cell>
          <cell r="B3276" t="str">
            <v>Bột sầu riêng</v>
          </cell>
          <cell r="C3276" t="str">
            <v>kg</v>
          </cell>
        </row>
        <row r="3277">
          <cell r="A3277" t="str">
            <v>NL200330</v>
          </cell>
          <cell r="B3277" t="str">
            <v>Dầu hào chay LKK 255gr</v>
          </cell>
          <cell r="C3277" t="str">
            <v>Chai</v>
          </cell>
        </row>
        <row r="3278">
          <cell r="A3278" t="str">
            <v>NL200331</v>
          </cell>
          <cell r="B3278" t="str">
            <v>Mắm nêm chay 250gr</v>
          </cell>
          <cell r="C3278" t="str">
            <v>Chai</v>
          </cell>
        </row>
        <row r="3279">
          <cell r="A3279" t="str">
            <v>NL200332</v>
          </cell>
          <cell r="B3279" t="str">
            <v>Hạt nêm chay 220gr</v>
          </cell>
          <cell r="C3279" t="str">
            <v>Gói</v>
          </cell>
        </row>
        <row r="3280">
          <cell r="A3280" t="str">
            <v>NL200333</v>
          </cell>
          <cell r="B3280" t="str">
            <v>Nước mắm chay 330ml</v>
          </cell>
          <cell r="C3280" t="str">
            <v>Chai</v>
          </cell>
        </row>
        <row r="3281">
          <cell r="A3281" t="str">
            <v>NL200334</v>
          </cell>
          <cell r="B3281" t="str">
            <v>Rong biển sushi (100 lá/gói)</v>
          </cell>
          <cell r="C3281" t="str">
            <v>Gói</v>
          </cell>
        </row>
        <row r="3282">
          <cell r="A3282" t="str">
            <v>NL200335</v>
          </cell>
          <cell r="B3282" t="str">
            <v>Phô mai lá Emborg 200gr/gói</v>
          </cell>
          <cell r="C3282" t="str">
            <v>Gói</v>
          </cell>
        </row>
        <row r="3283">
          <cell r="A3283" t="str">
            <v>NL200336</v>
          </cell>
          <cell r="B3283" t="str">
            <v>Bột nở (baking powder) 100gr</v>
          </cell>
          <cell r="C3283" t="str">
            <v>Chai</v>
          </cell>
        </row>
        <row r="3284">
          <cell r="A3284" t="str">
            <v>NL200337</v>
          </cell>
          <cell r="B3284" t="str">
            <v>Nước cốt dừa xim 200ml/hộp</v>
          </cell>
          <cell r="C3284" t="str">
            <v>Hộp</v>
          </cell>
        </row>
        <row r="3285">
          <cell r="A3285" t="str">
            <v>NL200338</v>
          </cell>
          <cell r="B3285" t="str">
            <v>Miến dong 450gr/Gói</v>
          </cell>
          <cell r="C3285" t="str">
            <v>Gói</v>
          </cell>
        </row>
        <row r="3286">
          <cell r="A3286" t="str">
            <v>NL200339</v>
          </cell>
          <cell r="B3286" t="str">
            <v>Bột mì thủy tiên (22kg/bao)</v>
          </cell>
          <cell r="C3286" t="str">
            <v>kg</v>
          </cell>
        </row>
        <row r="3287">
          <cell r="A3287" t="str">
            <v>NL200340</v>
          </cell>
          <cell r="B3287" t="str">
            <v>Bột mì kim tượng 22kg</v>
          </cell>
          <cell r="C3287" t="str">
            <v>kg</v>
          </cell>
        </row>
        <row r="3288">
          <cell r="A3288" t="str">
            <v>NL200341</v>
          </cell>
          <cell r="B3288" t="str">
            <v>Rượu hoa tiêu</v>
          </cell>
          <cell r="C3288" t="str">
            <v>Chai</v>
          </cell>
        </row>
        <row r="3289">
          <cell r="A3289" t="str">
            <v>NL200342</v>
          </cell>
          <cell r="B3289" t="str">
            <v>Sốt bào ngư L1 390gr (12c/T)</v>
          </cell>
          <cell r="C3289" t="str">
            <v>Chai</v>
          </cell>
        </row>
        <row r="3290">
          <cell r="A3290" t="str">
            <v>NL200343</v>
          </cell>
          <cell r="B3290" t="str">
            <v>Sốt tương ngọt LKK 2.27kg*6H/T</v>
          </cell>
          <cell r="C3290" t="str">
            <v>Hộp</v>
          </cell>
        </row>
        <row r="3291">
          <cell r="A3291" t="str">
            <v>NL200344</v>
          </cell>
          <cell r="B3291" t="str">
            <v>Sữa tam hoa Extra 385gr*48 hộp/T</v>
          </cell>
          <cell r="C3291" t="str">
            <v>Hộp</v>
          </cell>
        </row>
        <row r="3292">
          <cell r="A3292" t="str">
            <v>NL200345</v>
          </cell>
          <cell r="B3292" t="str">
            <v>Tương trụ hầu LKK 240g/lọ</v>
          </cell>
          <cell r="C3292" t="str">
            <v>Lọ</v>
          </cell>
        </row>
        <row r="3293">
          <cell r="A3293" t="str">
            <v>NL200346</v>
          </cell>
          <cell r="B3293" t="str">
            <v>Sò điệp khô</v>
          </cell>
          <cell r="C3293" t="str">
            <v>kg</v>
          </cell>
        </row>
        <row r="3294">
          <cell r="A3294" t="str">
            <v>NL200347</v>
          </cell>
          <cell r="B3294" t="str">
            <v>Rượu nấu ăn Mirin Hàn Quốc 1.8L/chai</v>
          </cell>
          <cell r="C3294" t="str">
            <v>Chai</v>
          </cell>
        </row>
        <row r="3295">
          <cell r="A3295" t="str">
            <v>NL200348</v>
          </cell>
          <cell r="B3295" t="str">
            <v>Kem tươi Tatua NZ 1L</v>
          </cell>
          <cell r="C3295" t="str">
            <v>Túi</v>
          </cell>
        </row>
        <row r="3296">
          <cell r="A3296" t="str">
            <v>NL200349</v>
          </cell>
          <cell r="B3296" t="str">
            <v>Bơ lạc Đỉnh Hảo 400g</v>
          </cell>
          <cell r="C3296" t="str">
            <v>Lọ</v>
          </cell>
        </row>
        <row r="3297">
          <cell r="A3297" t="str">
            <v>NL200350</v>
          </cell>
          <cell r="B3297" t="str">
            <v>Bột nổi Mama Choice 800g</v>
          </cell>
          <cell r="C3297" t="str">
            <v>Lọ</v>
          </cell>
        </row>
        <row r="3298">
          <cell r="A3298" t="str">
            <v>NL200351</v>
          </cell>
          <cell r="B3298" t="str">
            <v>Bột cacao (500g/túi)</v>
          </cell>
          <cell r="C3298" t="str">
            <v>kg</v>
          </cell>
        </row>
        <row r="3299">
          <cell r="A3299" t="str">
            <v>NL200352</v>
          </cell>
          <cell r="B3299" t="str">
            <v>Bơ lạc 5kg/can</v>
          </cell>
          <cell r="C3299" t="str">
            <v>Can</v>
          </cell>
        </row>
        <row r="3300">
          <cell r="A3300" t="str">
            <v>NL200353</v>
          </cell>
          <cell r="B3300" t="str">
            <v>Rong biển sushi (50 lá/gói)</v>
          </cell>
          <cell r="C3300" t="str">
            <v>Gói</v>
          </cell>
        </row>
        <row r="3301">
          <cell r="A3301" t="str">
            <v>NL200354</v>
          </cell>
          <cell r="B3301" t="str">
            <v>Bột nổi</v>
          </cell>
          <cell r="C3301" t="str">
            <v>kg</v>
          </cell>
        </row>
        <row r="3302">
          <cell r="A3302" t="str">
            <v>NL200355</v>
          </cell>
          <cell r="B3302" t="str">
            <v>Nước xốt Ryorishi Cooking Sauce 1.8L</v>
          </cell>
          <cell r="C3302" t="str">
            <v>Chai</v>
          </cell>
        </row>
        <row r="3303">
          <cell r="A3303" t="str">
            <v>NL200356</v>
          </cell>
          <cell r="B3303" t="str">
            <v>Nước xốt Mirin Sweet Cooking Sauce 1.8L</v>
          </cell>
          <cell r="C3303" t="str">
            <v>Chai</v>
          </cell>
        </row>
        <row r="3304">
          <cell r="A3304" t="str">
            <v>NL200357</v>
          </cell>
          <cell r="B3304" t="str">
            <v>Nước tương Japanese 1L</v>
          </cell>
          <cell r="C3304" t="str">
            <v>Chai</v>
          </cell>
        </row>
        <row r="3305">
          <cell r="A3305" t="str">
            <v>NL200358</v>
          </cell>
          <cell r="B3305" t="str">
            <v>Cốt lẩu cà chua (200g/gói)</v>
          </cell>
          <cell r="C3305" t="str">
            <v>Gói</v>
          </cell>
        </row>
        <row r="3306">
          <cell r="A3306" t="str">
            <v>NL200359</v>
          </cell>
          <cell r="B3306" t="str">
            <v>Bột nêm cá (1kg/gói)</v>
          </cell>
          <cell r="C3306" t="str">
            <v>Gói</v>
          </cell>
        </row>
        <row r="3307">
          <cell r="A3307" t="str">
            <v>NL200360</v>
          </cell>
          <cell r="B3307" t="str">
            <v>Rượu nấu ăn Mirin Nhật Bản 1L/chai</v>
          </cell>
          <cell r="C3307" t="str">
            <v>Chai</v>
          </cell>
        </row>
        <row r="3308">
          <cell r="A3308" t="str">
            <v>NL200361</v>
          </cell>
          <cell r="B3308" t="str">
            <v>Gia vị nấu ăn Ryorishu umami 880ml (rượu sake 880ml)</v>
          </cell>
          <cell r="C3308" t="str">
            <v>Chai</v>
          </cell>
        </row>
        <row r="3309">
          <cell r="A3309" t="str">
            <v>NL200362</v>
          </cell>
          <cell r="B3309" t="str">
            <v>Gia vị nấu ăn Hon Mirin Umami 880ml (rượu mirin 880ml)</v>
          </cell>
          <cell r="C3309" t="str">
            <v>Chai</v>
          </cell>
        </row>
        <row r="3310">
          <cell r="A3310" t="str">
            <v>NL200363</v>
          </cell>
          <cell r="B3310" t="str">
            <v>Bún tàu 250gr/gói</v>
          </cell>
          <cell r="C3310" t="str">
            <v>Gói</v>
          </cell>
        </row>
        <row r="3311">
          <cell r="A3311" t="str">
            <v>NL200364</v>
          </cell>
          <cell r="B3311" t="str">
            <v>Nước cốt dừa Xim 400ml/hộp</v>
          </cell>
          <cell r="C3311" t="str">
            <v>Hộp</v>
          </cell>
        </row>
        <row r="3312">
          <cell r="A3312" t="str">
            <v>NL200365</v>
          </cell>
          <cell r="B3312" t="str">
            <v>Nước cốt lẩu dầu cay Mala (1kg/gói)</v>
          </cell>
          <cell r="C3312" t="str">
            <v>kg</v>
          </cell>
        </row>
        <row r="3313">
          <cell r="A3313" t="str">
            <v>NL200366</v>
          </cell>
          <cell r="B3313" t="str">
            <v>Xốt canh Malatang xương hầm cay nhẹ (200gr/gói)</v>
          </cell>
          <cell r="C3313" t="str">
            <v>Gói</v>
          </cell>
        </row>
        <row r="3314">
          <cell r="A3314" t="str">
            <v>NL200367</v>
          </cell>
          <cell r="B3314" t="str">
            <v>Sữa chua có đường 100g</v>
          </cell>
          <cell r="C3314" t="str">
            <v>Hộp</v>
          </cell>
        </row>
        <row r="3315">
          <cell r="A3315" t="str">
            <v>NL200368</v>
          </cell>
          <cell r="B3315" t="str">
            <v>Bột Cumin</v>
          </cell>
          <cell r="C3315" t="str">
            <v>kg</v>
          </cell>
        </row>
        <row r="3316">
          <cell r="A3316" t="str">
            <v>NL200369</v>
          </cell>
          <cell r="B3316" t="str">
            <v>Bột ớt Kim Dung</v>
          </cell>
          <cell r="C3316" t="str">
            <v>kg</v>
          </cell>
        </row>
        <row r="3317">
          <cell r="A3317" t="str">
            <v>NL200370</v>
          </cell>
          <cell r="B3317" t="str">
            <v>Sốt ướp đồ nướng LKK 2.45kg</v>
          </cell>
          <cell r="C3317" t="str">
            <v>Hũ</v>
          </cell>
        </row>
        <row r="3318">
          <cell r="A3318" t="str">
            <v>NL200371</v>
          </cell>
          <cell r="B3318" t="str">
            <v>Dầu mè LKK 5L</v>
          </cell>
          <cell r="C3318" t="str">
            <v>Can</v>
          </cell>
        </row>
        <row r="3319">
          <cell r="A3319" t="str">
            <v>NL200372</v>
          </cell>
          <cell r="B3319" t="str">
            <v>Nước cốt nấm 250gr/túi</v>
          </cell>
          <cell r="C3319" t="str">
            <v>Túi</v>
          </cell>
        </row>
        <row r="3320">
          <cell r="A3320" t="str">
            <v>NL200373</v>
          </cell>
          <cell r="B3320" t="str">
            <v>Bánh đa đỏ 300g/gói</v>
          </cell>
          <cell r="C3320" t="str">
            <v>Gói</v>
          </cell>
        </row>
        <row r="3321">
          <cell r="A3321" t="str">
            <v>NL200374</v>
          </cell>
          <cell r="B3321" t="str">
            <v>Gạo Bắc Hương</v>
          </cell>
          <cell r="C3321" t="str">
            <v>kg</v>
          </cell>
        </row>
        <row r="3322">
          <cell r="A3322" t="str">
            <v>NL200375</v>
          </cell>
          <cell r="B3322" t="str">
            <v>Miến rau củ (200gr/gói)</v>
          </cell>
          <cell r="C3322" t="str">
            <v>Gói</v>
          </cell>
        </row>
        <row r="3323">
          <cell r="A3323" t="str">
            <v>NL200376</v>
          </cell>
          <cell r="B3323" t="str">
            <v>Miến dong dẹt</v>
          </cell>
          <cell r="C3323" t="str">
            <v>kg</v>
          </cell>
        </row>
        <row r="3324">
          <cell r="A3324" t="str">
            <v>NL200377</v>
          </cell>
          <cell r="B3324" t="str">
            <v>Hoa cúc chi</v>
          </cell>
          <cell r="C3324" t="str">
            <v>kg</v>
          </cell>
        </row>
        <row r="3325">
          <cell r="A3325" t="str">
            <v>NL200378</v>
          </cell>
          <cell r="B3325" t="str">
            <v>Gia vị lẩu tứ xuyên Sanwu (150g/gói)</v>
          </cell>
          <cell r="C3325" t="str">
            <v>Gói</v>
          </cell>
        </row>
        <row r="3326">
          <cell r="A3326" t="str">
            <v>NL200379</v>
          </cell>
          <cell r="B3326" t="str">
            <v>Hắc xì dầu đen nấm hương lẩu 6(500ml)</v>
          </cell>
          <cell r="C3326" t="str">
            <v>Chai</v>
          </cell>
        </row>
        <row r="3327">
          <cell r="A3327" t="str">
            <v>NL200380</v>
          </cell>
          <cell r="B3327" t="str">
            <v>Ngũ vị hương 5g/gói</v>
          </cell>
          <cell r="C3327" t="str">
            <v>Gói</v>
          </cell>
        </row>
        <row r="3328">
          <cell r="A3328" t="str">
            <v>NL200381</v>
          </cell>
          <cell r="B3328" t="str">
            <v>Dấm trắng (500ml)</v>
          </cell>
          <cell r="C3328" t="str">
            <v>Chai</v>
          </cell>
        </row>
        <row r="3329">
          <cell r="A3329" t="str">
            <v>NL200382</v>
          </cell>
          <cell r="B3329" t="str">
            <v>Hạt điều</v>
          </cell>
          <cell r="C3329" t="str">
            <v>kg</v>
          </cell>
        </row>
        <row r="3330">
          <cell r="A3330" t="str">
            <v>NL200383</v>
          </cell>
          <cell r="B3330" t="str">
            <v>Sa tế Thái (3kg/hộp)</v>
          </cell>
          <cell r="C3330" t="str">
            <v>Hộp</v>
          </cell>
        </row>
        <row r="3331">
          <cell r="A3331" t="str">
            <v>NL200384</v>
          </cell>
          <cell r="B3331" t="str">
            <v>Bột tôm 10g/gói</v>
          </cell>
          <cell r="C3331" t="str">
            <v>Gói</v>
          </cell>
        </row>
        <row r="3332">
          <cell r="A3332" t="str">
            <v>NL200385</v>
          </cell>
          <cell r="B3332" t="str">
            <v>Nấm lộc nhung</v>
          </cell>
          <cell r="C3332" t="str">
            <v>kg</v>
          </cell>
        </row>
        <row r="3333">
          <cell r="A3333" t="str">
            <v>NL200386</v>
          </cell>
          <cell r="B3333" t="str">
            <v>Hương bò sệt MH (1kg/hộp)</v>
          </cell>
          <cell r="C3333" t="str">
            <v>Hộp</v>
          </cell>
        </row>
        <row r="3334">
          <cell r="A3334" t="str">
            <v>NL200387</v>
          </cell>
          <cell r="B3334" t="str">
            <v>Màu bò</v>
          </cell>
          <cell r="C3334" t="str">
            <v>kg</v>
          </cell>
        </row>
        <row r="3335">
          <cell r="A3335" t="str">
            <v>NL200388</v>
          </cell>
          <cell r="B3335" t="str">
            <v>Tạo căng nẩy MH Texture 89</v>
          </cell>
          <cell r="C3335" t="str">
            <v>kg</v>
          </cell>
        </row>
        <row r="3336">
          <cell r="A3336" t="str">
            <v>NL200389</v>
          </cell>
          <cell r="B3336" t="str">
            <v>Phẩm màu xanh lá 210gr/lọ</v>
          </cell>
          <cell r="C3336" t="str">
            <v>Lọ</v>
          </cell>
        </row>
        <row r="3337">
          <cell r="A3337" t="str">
            <v>NL200390</v>
          </cell>
          <cell r="B3337" t="str">
            <v>Hạnh nhân tươi</v>
          </cell>
          <cell r="C3337" t="str">
            <v>kg</v>
          </cell>
        </row>
        <row r="3338">
          <cell r="A3338" t="str">
            <v>NL200391</v>
          </cell>
          <cell r="B3338" t="str">
            <v>Gia vị nướng thịt xiên (35g/gói)</v>
          </cell>
          <cell r="C3338" t="str">
            <v>Gói</v>
          </cell>
        </row>
        <row r="3339">
          <cell r="A3339" t="str">
            <v>NL200392</v>
          </cell>
          <cell r="B3339" t="str">
            <v>Đường vàng</v>
          </cell>
          <cell r="C3339" t="str">
            <v>kg</v>
          </cell>
        </row>
        <row r="3340">
          <cell r="A3340" t="str">
            <v>NL200393</v>
          </cell>
          <cell r="B3340" t="str">
            <v>Dấm trắng Thanh Mai (500ml/chai)</v>
          </cell>
          <cell r="C3340" t="str">
            <v>Chai</v>
          </cell>
        </row>
        <row r="3341">
          <cell r="A3341" t="str">
            <v>NL200394</v>
          </cell>
          <cell r="B3341" t="str">
            <v>Bánh đa đỏ (500g/gói)</v>
          </cell>
          <cell r="C3341" t="str">
            <v>Gói</v>
          </cell>
        </row>
        <row r="3342">
          <cell r="A3342" t="str">
            <v>NL200395</v>
          </cell>
          <cell r="B3342" t="str">
            <v>Tương đậu Hải Thiên (Haday) 230g/lọ</v>
          </cell>
          <cell r="C3342" t="str">
            <v>Lọ</v>
          </cell>
        </row>
        <row r="3343">
          <cell r="A3343" t="str">
            <v>NL200396</v>
          </cell>
          <cell r="B3343" t="str">
            <v>Bún khô Long Phụng 500G/gói</v>
          </cell>
          <cell r="C3343" t="str">
            <v>Gói</v>
          </cell>
        </row>
        <row r="3344">
          <cell r="A3344" t="str">
            <v>NL200397</v>
          </cell>
          <cell r="B3344" t="str">
            <v>Sữa hoa hồng 385g/hộp</v>
          </cell>
          <cell r="C3344" t="str">
            <v>Hộp</v>
          </cell>
        </row>
        <row r="3345">
          <cell r="A3345" t="str">
            <v>NL200398</v>
          </cell>
          <cell r="B3345" t="str">
            <v>Nước ép chanh sunquick 700ml/chai</v>
          </cell>
          <cell r="C3345" t="str">
            <v>Chai</v>
          </cell>
        </row>
        <row r="3346">
          <cell r="A3346" t="str">
            <v>NL200399</v>
          </cell>
          <cell r="B3346" t="str">
            <v>Bột gạo 1kg</v>
          </cell>
          <cell r="C3346" t="str">
            <v>Gói</v>
          </cell>
        </row>
        <row r="3347">
          <cell r="A3347" t="str">
            <v>NL200400</v>
          </cell>
          <cell r="B3347" t="str">
            <v>Bột mỳ Cái Cân</v>
          </cell>
          <cell r="C3347" t="str">
            <v>kg</v>
          </cell>
        </row>
        <row r="3348">
          <cell r="A3348" t="str">
            <v>NL200401</v>
          </cell>
          <cell r="B3348" t="str">
            <v>Bơ lạt</v>
          </cell>
          <cell r="C3348" t="str">
            <v>kg</v>
          </cell>
        </row>
        <row r="3349">
          <cell r="A3349" t="str">
            <v>NL200402</v>
          </cell>
          <cell r="B3349" t="str">
            <v>Dầu điều</v>
          </cell>
          <cell r="C3349" t="str">
            <v>kg</v>
          </cell>
        </row>
        <row r="3350">
          <cell r="A3350" t="str">
            <v>NL200403</v>
          </cell>
          <cell r="B3350" t="str">
            <v>Dầu hào Kim Tiêu 750g</v>
          </cell>
          <cell r="C3350" t="str">
            <v>Chai</v>
          </cell>
        </row>
        <row r="3351">
          <cell r="A3351" t="str">
            <v>NL200404</v>
          </cell>
          <cell r="B3351" t="str">
            <v>Mì chính Ajinomoto 5kg</v>
          </cell>
          <cell r="C3351" t="str">
            <v>kg</v>
          </cell>
        </row>
        <row r="3352">
          <cell r="A3352" t="str">
            <v>NL200405</v>
          </cell>
          <cell r="B3352" t="str">
            <v>Nước mắm Nam Ngư đệ nhị 800ml</v>
          </cell>
          <cell r="C3352" t="str">
            <v>Chai</v>
          </cell>
        </row>
        <row r="3353">
          <cell r="A3353" t="str">
            <v>NL200406</v>
          </cell>
          <cell r="B3353" t="str">
            <v>Bột JELLY</v>
          </cell>
          <cell r="C3353" t="str">
            <v>kg</v>
          </cell>
        </row>
        <row r="3354">
          <cell r="A3354" t="str">
            <v>NL200407</v>
          </cell>
          <cell r="B3354" t="str">
            <v>Bột Hải Sư</v>
          </cell>
          <cell r="C3354" t="str">
            <v>kg</v>
          </cell>
        </row>
        <row r="3355">
          <cell r="A3355" t="str">
            <v>NL200408</v>
          </cell>
          <cell r="B3355" t="str">
            <v>Bột màu đỏ</v>
          </cell>
          <cell r="C3355" t="str">
            <v>kg</v>
          </cell>
        </row>
        <row r="3356">
          <cell r="A3356" t="str">
            <v>NL200409</v>
          </cell>
          <cell r="B3356" t="str">
            <v>Bột cari Babas</v>
          </cell>
          <cell r="C3356" t="str">
            <v>kg</v>
          </cell>
        </row>
        <row r="3357">
          <cell r="A3357" t="str">
            <v>NL200410</v>
          </cell>
          <cell r="B3357" t="str">
            <v>Bột canh Hải Châu 190g/gói</v>
          </cell>
          <cell r="C3357" t="str">
            <v>gói</v>
          </cell>
        </row>
        <row r="3358">
          <cell r="A3358" t="str">
            <v>NL200411</v>
          </cell>
          <cell r="B3358" t="str">
            <v>Rượu hoa tiêu Thiệu Hưng 620ml/chai</v>
          </cell>
          <cell r="C3358" t="str">
            <v>chai</v>
          </cell>
        </row>
        <row r="3359">
          <cell r="A3359" t="str">
            <v>NL200412</v>
          </cell>
          <cell r="B3359" t="str">
            <v>Mật ong Ong Việt 800gr/chai</v>
          </cell>
          <cell r="C3359" t="str">
            <v>chai</v>
          </cell>
        </row>
        <row r="3360">
          <cell r="A3360" t="str">
            <v>NL200413</v>
          </cell>
          <cell r="B3360" t="str">
            <v>Xốt cà chua Knorr 5kg/can</v>
          </cell>
          <cell r="C3360" t="str">
            <v>kg</v>
          </cell>
        </row>
        <row r="3361">
          <cell r="A3361" t="str">
            <v>NL200414</v>
          </cell>
          <cell r="B3361" t="str">
            <v>Dầu ăn Cái Lân</v>
          </cell>
          <cell r="C3361" t="str">
            <v>kg</v>
          </cell>
        </row>
        <row r="3362">
          <cell r="A3362" t="str">
            <v>NL200415</v>
          </cell>
          <cell r="B3362" t="str">
            <v>Bột năng Tài Ký</v>
          </cell>
          <cell r="C3362" t="str">
            <v>kg</v>
          </cell>
        </row>
        <row r="3363">
          <cell r="A3363" t="str">
            <v>NL200416</v>
          </cell>
          <cell r="B3363" t="str">
            <v>Quy râu</v>
          </cell>
          <cell r="C3363" t="str">
            <v>kg</v>
          </cell>
        </row>
        <row r="3364">
          <cell r="A3364" t="str">
            <v>NL200417</v>
          </cell>
          <cell r="B3364" t="str">
            <v>Quế cạo vỏ</v>
          </cell>
          <cell r="C3364" t="str">
            <v>kg</v>
          </cell>
        </row>
        <row r="3365">
          <cell r="A3365" t="str">
            <v>NL200418</v>
          </cell>
          <cell r="B3365" t="str">
            <v>Quy đầu</v>
          </cell>
          <cell r="C3365" t="str">
            <v>kg</v>
          </cell>
        </row>
        <row r="3366">
          <cell r="A3366" t="str">
            <v>NL200419</v>
          </cell>
          <cell r="B3366" t="str">
            <v>Sốt xá xíu lọ (chao đỏ) 280g/lọ</v>
          </cell>
          <cell r="C3366" t="str">
            <v>lọ</v>
          </cell>
        </row>
        <row r="3367">
          <cell r="A3367" t="str">
            <v>NL200420</v>
          </cell>
          <cell r="B3367" t="str">
            <v>Sốt đường đùi gà (Nước mật ngô Chungjungone) 5kg/can</v>
          </cell>
          <cell r="C3367" t="str">
            <v>kg</v>
          </cell>
        </row>
        <row r="3368">
          <cell r="A3368" t="str">
            <v>NL200421</v>
          </cell>
          <cell r="B3368" t="str">
            <v>Khoai tây cọng 6/6 Farm best 1kg</v>
          </cell>
          <cell r="C3368" t="str">
            <v>kg</v>
          </cell>
        </row>
        <row r="3369">
          <cell r="A3369" t="str">
            <v>NL200422</v>
          </cell>
          <cell r="B3369" t="str">
            <v>Sốt lea &amp; perins 290ml</v>
          </cell>
          <cell r="C3369" t="str">
            <v>Chai</v>
          </cell>
        </row>
        <row r="3370">
          <cell r="A3370" t="str">
            <v>NL200423</v>
          </cell>
          <cell r="B3370" t="str">
            <v>Tương đậu nành TQ 800g/lọ</v>
          </cell>
          <cell r="C3370" t="str">
            <v>Lọ</v>
          </cell>
        </row>
        <row r="3371">
          <cell r="A3371" t="str">
            <v>NL200424</v>
          </cell>
          <cell r="B3371" t="str">
            <v>Bột nở Barking powder 450g</v>
          </cell>
          <cell r="C3371" t="str">
            <v>Hộp</v>
          </cell>
        </row>
        <row r="3372">
          <cell r="A3372" t="str">
            <v>NL200427</v>
          </cell>
          <cell r="B3372" t="str">
            <v>Bột chanh knorr 400g</v>
          </cell>
          <cell r="C3372" t="str">
            <v>Túi</v>
          </cell>
        </row>
        <row r="3373">
          <cell r="A3373" t="str">
            <v>NL200428</v>
          </cell>
          <cell r="B3373" t="str">
            <v>Mật ong Ong Việt 500gr/chai</v>
          </cell>
          <cell r="C3373" t="str">
            <v>Chai</v>
          </cell>
        </row>
        <row r="3374">
          <cell r="A3374" t="str">
            <v>NL200429</v>
          </cell>
          <cell r="B3374" t="str">
            <v>Sốt mè rang KEWPIE 1 lít</v>
          </cell>
          <cell r="C3374" t="str">
            <v>Chai</v>
          </cell>
        </row>
        <row r="3375">
          <cell r="A3375" t="str">
            <v>NL200430</v>
          </cell>
          <cell r="B3375" t="str">
            <v>Sốt chua ngọt Trung thành 250g</v>
          </cell>
          <cell r="C3375" t="str">
            <v>Chai</v>
          </cell>
        </row>
        <row r="3376">
          <cell r="A3376" t="str">
            <v>NL200432</v>
          </cell>
          <cell r="B3376" t="str">
            <v>Tương cà Heinz 3.3kg</v>
          </cell>
          <cell r="C3376" t="str">
            <v>Can</v>
          </cell>
        </row>
        <row r="3377">
          <cell r="A3377" t="str">
            <v>NL200433</v>
          </cell>
          <cell r="B3377" t="str">
            <v>Bột sư tử 3.2kg</v>
          </cell>
          <cell r="C3377" t="str">
            <v>Hộp</v>
          </cell>
        </row>
        <row r="3378">
          <cell r="A3378" t="str">
            <v>NL200434</v>
          </cell>
          <cell r="B3378" t="str">
            <v>Quẩy</v>
          </cell>
          <cell r="C3378" t="str">
            <v>Cái</v>
          </cell>
        </row>
        <row r="3379">
          <cell r="A3379" t="str">
            <v>NL200435</v>
          </cell>
          <cell r="B3379" t="str">
            <v>Bột quy linh ( cao pha sẵn) 150g/ hộp</v>
          </cell>
          <cell r="C3379" t="str">
            <v>Hộp</v>
          </cell>
        </row>
        <row r="3380">
          <cell r="A3380" t="str">
            <v>NL200436</v>
          </cell>
          <cell r="B3380" t="str">
            <v>Rong biển khô (500g/ Túi)</v>
          </cell>
          <cell r="C3380" t="str">
            <v>Túi</v>
          </cell>
        </row>
        <row r="3381">
          <cell r="A3381" t="str">
            <v>NL200437</v>
          </cell>
          <cell r="B3381" t="str">
            <v>Bột khoai tây (1kg/Gói)</v>
          </cell>
          <cell r="C3381" t="str">
            <v>Gói</v>
          </cell>
        </row>
        <row r="3382">
          <cell r="A3382" t="str">
            <v>NL200438</v>
          </cell>
          <cell r="B3382" t="str">
            <v>Thạch QQ đường đen (1kg/ Gói)</v>
          </cell>
          <cell r="C3382" t="str">
            <v>Gói</v>
          </cell>
        </row>
        <row r="3383">
          <cell r="A3383" t="str">
            <v>NL200439</v>
          </cell>
          <cell r="B3383" t="str">
            <v>Tinh bột khoai Katakurio (1kg/gói)</v>
          </cell>
          <cell r="C3383" t="str">
            <v>Gói</v>
          </cell>
        </row>
        <row r="3384">
          <cell r="A3384" t="str">
            <v>NL200440</v>
          </cell>
          <cell r="B3384" t="str">
            <v>Nước tương đậm Kikoman Shoyu 18L/thùng</v>
          </cell>
          <cell r="C3384" t="str">
            <v>Lít</v>
          </cell>
        </row>
        <row r="3385">
          <cell r="A3385" t="str">
            <v>NL200441</v>
          </cell>
          <cell r="B3385" t="str">
            <v>Cốt lẩu cà chua 250g/gói</v>
          </cell>
          <cell r="C3385" t="str">
            <v>Gói</v>
          </cell>
        </row>
        <row r="3386">
          <cell r="A3386" t="str">
            <v>NL200442</v>
          </cell>
          <cell r="B3386" t="str">
            <v>Bột ớt bảy vị (300g/gói)</v>
          </cell>
          <cell r="C3386" t="str">
            <v>Gói</v>
          </cell>
        </row>
        <row r="3387">
          <cell r="A3387" t="str">
            <v>NL200443</v>
          </cell>
          <cell r="B3387" t="str">
            <v>Mắm tôm</v>
          </cell>
          <cell r="C3387" t="str">
            <v>Chai</v>
          </cell>
        </row>
        <row r="3388">
          <cell r="A3388" t="str">
            <v>NL200444</v>
          </cell>
          <cell r="B3388" t="str">
            <v>Gạo bắc thơm</v>
          </cell>
          <cell r="C3388" t="str">
            <v>kg</v>
          </cell>
        </row>
        <row r="3389">
          <cell r="A3389" t="str">
            <v>NL200445</v>
          </cell>
          <cell r="B3389" t="str">
            <v>Rong biển trộn mè gói 1kg</v>
          </cell>
          <cell r="C3389" t="str">
            <v>kg</v>
          </cell>
        </row>
        <row r="3390">
          <cell r="A3390" t="str">
            <v>NL200446</v>
          </cell>
          <cell r="B3390" t="str">
            <v>Rong biển tươi</v>
          </cell>
          <cell r="C3390" t="str">
            <v>kg</v>
          </cell>
        </row>
        <row r="3391">
          <cell r="A3391" t="str">
            <v>NL200447</v>
          </cell>
          <cell r="B3391" t="str">
            <v>Dầu hào Hải Thiên (HADAY) 6kg/can</v>
          </cell>
          <cell r="C3391" t="str">
            <v>kg</v>
          </cell>
        </row>
        <row r="3392">
          <cell r="A3392" t="str">
            <v>NL200448</v>
          </cell>
          <cell r="B3392" t="str">
            <v>Bột gia vị bò kho Thành Lộc (15g/gói)</v>
          </cell>
          <cell r="C3392" t="str">
            <v>Gói</v>
          </cell>
        </row>
        <row r="3393">
          <cell r="A3393" t="str">
            <v>NL200449</v>
          </cell>
          <cell r="B3393" t="str">
            <v>Phô mai mozzarella bào 500gr/gói</v>
          </cell>
          <cell r="C3393" t="str">
            <v>Gói</v>
          </cell>
        </row>
        <row r="3394">
          <cell r="A3394" t="str">
            <v>NL300001</v>
          </cell>
          <cell r="B3394" t="str">
            <v>Bạch quả</v>
          </cell>
          <cell r="C3394" t="str">
            <v>kg</v>
          </cell>
        </row>
        <row r="3395">
          <cell r="A3395" t="str">
            <v>NL300002</v>
          </cell>
          <cell r="B3395" t="str">
            <v>Bánh phở</v>
          </cell>
          <cell r="C3395" t="str">
            <v>kg</v>
          </cell>
        </row>
        <row r="3396">
          <cell r="A3396" t="str">
            <v>NL300003</v>
          </cell>
          <cell r="B3396" t="str">
            <v>Bắp cải tím</v>
          </cell>
          <cell r="C3396" t="str">
            <v>kg</v>
          </cell>
        </row>
        <row r="3397">
          <cell r="A3397" t="str">
            <v>NL300004</v>
          </cell>
          <cell r="B3397" t="str">
            <v>Bắp cải trắng</v>
          </cell>
          <cell r="C3397" t="str">
            <v>kg</v>
          </cell>
        </row>
        <row r="3398">
          <cell r="A3398" t="str">
            <v>NL300005</v>
          </cell>
          <cell r="B3398" t="str">
            <v>Bí non bao tử</v>
          </cell>
          <cell r="C3398" t="str">
            <v>kg</v>
          </cell>
        </row>
        <row r="3399">
          <cell r="A3399" t="str">
            <v>NL300006</v>
          </cell>
          <cell r="B3399" t="str">
            <v>Bí đỏ cô tiên</v>
          </cell>
          <cell r="C3399" t="str">
            <v>kg</v>
          </cell>
        </row>
        <row r="3400">
          <cell r="A3400" t="str">
            <v>NL300007</v>
          </cell>
          <cell r="B3400" t="str">
            <v>Bí đỏ</v>
          </cell>
          <cell r="C3400" t="str">
            <v>kg</v>
          </cell>
        </row>
        <row r="3401">
          <cell r="A3401" t="str">
            <v>NL300008</v>
          </cell>
          <cell r="B3401" t="str">
            <v>Bí ngòi</v>
          </cell>
          <cell r="C3401" t="str">
            <v>kg</v>
          </cell>
        </row>
        <row r="3402">
          <cell r="A3402" t="str">
            <v>NL300009</v>
          </cell>
          <cell r="B3402" t="str">
            <v>Bí nụ</v>
          </cell>
          <cell r="C3402" t="str">
            <v>kg</v>
          </cell>
        </row>
        <row r="3403">
          <cell r="A3403" t="str">
            <v>NL300010</v>
          </cell>
          <cell r="B3403" t="str">
            <v>Bí xanh</v>
          </cell>
          <cell r="C3403" t="str">
            <v>kg</v>
          </cell>
        </row>
        <row r="3404">
          <cell r="A3404" t="str">
            <v>NL300011</v>
          </cell>
          <cell r="B3404" t="str">
            <v>Bông súng</v>
          </cell>
          <cell r="C3404" t="str">
            <v>kg</v>
          </cell>
        </row>
        <row r="3405">
          <cell r="A3405" t="str">
            <v>NL300012</v>
          </cell>
          <cell r="B3405" t="str">
            <v>Bún</v>
          </cell>
          <cell r="C3405" t="str">
            <v>kg</v>
          </cell>
        </row>
        <row r="3406">
          <cell r="A3406" t="str">
            <v>NL300013</v>
          </cell>
          <cell r="B3406" t="str">
            <v>Cà chua</v>
          </cell>
          <cell r="C3406" t="str">
            <v>kg</v>
          </cell>
        </row>
        <row r="3407">
          <cell r="A3407" t="str">
            <v>NL300014</v>
          </cell>
          <cell r="B3407" t="str">
            <v>Cà chua bi</v>
          </cell>
          <cell r="C3407" t="str">
            <v>kg</v>
          </cell>
        </row>
        <row r="3408">
          <cell r="A3408" t="str">
            <v>NL300015</v>
          </cell>
          <cell r="B3408" t="str">
            <v>Bông cải xanh Baby</v>
          </cell>
          <cell r="C3408" t="str">
            <v>kg</v>
          </cell>
        </row>
        <row r="3409">
          <cell r="A3409" t="str">
            <v>NL300016</v>
          </cell>
          <cell r="B3409" t="str">
            <v>Cải bẹ xanh</v>
          </cell>
          <cell r="C3409" t="str">
            <v>kg</v>
          </cell>
        </row>
        <row r="3410">
          <cell r="A3410" t="str">
            <v>NL300017</v>
          </cell>
          <cell r="B3410" t="str">
            <v>Cải chíp (cải thìa)</v>
          </cell>
          <cell r="C3410" t="str">
            <v>kg</v>
          </cell>
        </row>
        <row r="3411">
          <cell r="A3411" t="str">
            <v>NL300018</v>
          </cell>
          <cell r="B3411" t="str">
            <v>Cải cúc</v>
          </cell>
          <cell r="C3411" t="str">
            <v>kg</v>
          </cell>
        </row>
        <row r="3412">
          <cell r="A3412" t="str">
            <v>NL300019</v>
          </cell>
          <cell r="B3412" t="str">
            <v>Cải làn</v>
          </cell>
          <cell r="C3412" t="str">
            <v>kg</v>
          </cell>
        </row>
        <row r="3413">
          <cell r="A3413" t="str">
            <v>NL300020</v>
          </cell>
          <cell r="B3413" t="str">
            <v>Cải ngồng</v>
          </cell>
          <cell r="C3413" t="str">
            <v>kg</v>
          </cell>
        </row>
        <row r="3414">
          <cell r="A3414" t="str">
            <v>NL300021</v>
          </cell>
          <cell r="B3414" t="str">
            <v>Cải ngọt</v>
          </cell>
          <cell r="C3414" t="str">
            <v>kg</v>
          </cell>
        </row>
        <row r="3415">
          <cell r="A3415" t="str">
            <v>NL300022</v>
          </cell>
          <cell r="B3415" t="str">
            <v>Cải thảo</v>
          </cell>
          <cell r="C3415" t="str">
            <v>kg</v>
          </cell>
        </row>
        <row r="3416">
          <cell r="A3416" t="str">
            <v>NL300023</v>
          </cell>
          <cell r="B3416" t="str">
            <v>Cải xanh</v>
          </cell>
          <cell r="C3416" t="str">
            <v>kg</v>
          </cell>
        </row>
        <row r="3417">
          <cell r="A3417" t="str">
            <v>NL300024</v>
          </cell>
          <cell r="B3417" t="str">
            <v>Cà muối</v>
          </cell>
          <cell r="C3417" t="str">
            <v>kg</v>
          </cell>
        </row>
        <row r="3418">
          <cell r="A3418" t="str">
            <v>NL300025</v>
          </cell>
          <cell r="B3418" t="str">
            <v>Rau cần tây</v>
          </cell>
          <cell r="C3418" t="str">
            <v>kg</v>
          </cell>
        </row>
        <row r="3419">
          <cell r="A3419" t="str">
            <v>NL300026</v>
          </cell>
          <cell r="B3419" t="str">
            <v>Rau tỏi tây</v>
          </cell>
          <cell r="C3419" t="str">
            <v>kg</v>
          </cell>
        </row>
        <row r="3420">
          <cell r="A3420" t="str">
            <v>NL300027</v>
          </cell>
          <cell r="B3420" t="str">
            <v>Cà rốt</v>
          </cell>
          <cell r="C3420" t="str">
            <v>kg</v>
          </cell>
        </row>
        <row r="3421">
          <cell r="A3421" t="str">
            <v>NL300028</v>
          </cell>
          <cell r="B3421" t="str">
            <v>Cà rốt baby</v>
          </cell>
          <cell r="C3421" t="str">
            <v>kg</v>
          </cell>
        </row>
        <row r="3422">
          <cell r="A3422" t="str">
            <v>NL300029</v>
          </cell>
          <cell r="B3422" t="str">
            <v>Chanh</v>
          </cell>
          <cell r="C3422" t="str">
            <v>kg</v>
          </cell>
        </row>
        <row r="3423">
          <cell r="A3423" t="str">
            <v>NL300030</v>
          </cell>
          <cell r="B3423" t="str">
            <v>Chanh dây (chanh leo)</v>
          </cell>
          <cell r="C3423" t="str">
            <v>kg</v>
          </cell>
        </row>
        <row r="3424">
          <cell r="A3424" t="str">
            <v>NL300031</v>
          </cell>
          <cell r="B3424" t="str">
            <v>Chanh leo</v>
          </cell>
          <cell r="C3424" t="str">
            <v>kg</v>
          </cell>
        </row>
        <row r="3425">
          <cell r="A3425" t="str">
            <v>NL300032</v>
          </cell>
          <cell r="B3425" t="str">
            <v>Chuối xanh</v>
          </cell>
          <cell r="C3425" t="str">
            <v>kg</v>
          </cell>
        </row>
        <row r="3426">
          <cell r="A3426" t="str">
            <v>NL300033</v>
          </cell>
          <cell r="B3426" t="str">
            <v>Củ cải trắng</v>
          </cell>
          <cell r="C3426" t="str">
            <v>kg</v>
          </cell>
        </row>
        <row r="3427">
          <cell r="A3427" t="str">
            <v>NL300034</v>
          </cell>
          <cell r="B3427" t="str">
            <v>Củ cải đỏ</v>
          </cell>
          <cell r="C3427" t="str">
            <v>kg</v>
          </cell>
        </row>
        <row r="3428">
          <cell r="A3428" t="str">
            <v>NL300035</v>
          </cell>
          <cell r="B3428" t="str">
            <v>Củ riềng</v>
          </cell>
          <cell r="C3428" t="str">
            <v>kg</v>
          </cell>
        </row>
        <row r="3429">
          <cell r="A3429" t="str">
            <v>NL300036</v>
          </cell>
          <cell r="B3429" t="str">
            <v>Củ sen</v>
          </cell>
          <cell r="C3429" t="str">
            <v>kg</v>
          </cell>
        </row>
        <row r="3430">
          <cell r="A3430" t="str">
            <v>NL300037</v>
          </cell>
          <cell r="B3430" t="str">
            <v>Đậu phụ</v>
          </cell>
          <cell r="C3430" t="str">
            <v>miếng</v>
          </cell>
        </row>
        <row r="3431">
          <cell r="A3431" t="str">
            <v>NL300038</v>
          </cell>
          <cell r="B3431" t="str">
            <v>Đậu bắp</v>
          </cell>
          <cell r="C3431" t="str">
            <v>kg</v>
          </cell>
        </row>
        <row r="3432">
          <cell r="A3432" t="str">
            <v>NL300039</v>
          </cell>
          <cell r="B3432" t="str">
            <v>Đậu phụ đóng hộp (Đậu bưởi)</v>
          </cell>
          <cell r="C3432" t="str">
            <v>miếng</v>
          </cell>
        </row>
        <row r="3433">
          <cell r="A3433" t="str">
            <v>NL300040</v>
          </cell>
          <cell r="B3433" t="str">
            <v>Đậu nành lông luộc đông lạnh</v>
          </cell>
          <cell r="C3433" t="str">
            <v>kg</v>
          </cell>
        </row>
        <row r="3434">
          <cell r="A3434" t="str">
            <v>NL300041</v>
          </cell>
          <cell r="B3434" t="str">
            <v>Đậu hủ non trứng</v>
          </cell>
          <cell r="C3434" t="str">
            <v>Cái</v>
          </cell>
        </row>
        <row r="3435">
          <cell r="A3435" t="str">
            <v>NL300042</v>
          </cell>
          <cell r="B3435" t="str">
            <v>Điên Điển</v>
          </cell>
          <cell r="C3435" t="str">
            <v>kg</v>
          </cell>
        </row>
        <row r="3436">
          <cell r="A3436" t="str">
            <v>NL300043</v>
          </cell>
          <cell r="B3436" t="str">
            <v>Đọt cóc</v>
          </cell>
          <cell r="C3436" t="str">
            <v>kg</v>
          </cell>
        </row>
        <row r="3437">
          <cell r="A3437" t="str">
            <v>NL300044</v>
          </cell>
          <cell r="B3437" t="str">
            <v>Đọt mọt ( Lá trăm )</v>
          </cell>
          <cell r="C3437" t="str">
            <v>kg</v>
          </cell>
        </row>
        <row r="3438">
          <cell r="A3438" t="str">
            <v>NL300045</v>
          </cell>
          <cell r="B3438" t="str">
            <v>Đọt su</v>
          </cell>
          <cell r="C3438" t="str">
            <v>kg</v>
          </cell>
        </row>
        <row r="3439">
          <cell r="A3439" t="str">
            <v>NL300046</v>
          </cell>
          <cell r="B3439" t="str">
            <v>Dứa quả</v>
          </cell>
          <cell r="C3439" t="str">
            <v>quả</v>
          </cell>
        </row>
        <row r="3440">
          <cell r="A3440" t="str">
            <v>NL300047</v>
          </cell>
          <cell r="B3440" t="str">
            <v>Dứa chưa gọt vỏ</v>
          </cell>
          <cell r="C3440" t="str">
            <v>quả</v>
          </cell>
        </row>
        <row r="3441">
          <cell r="A3441" t="str">
            <v>NL300048</v>
          </cell>
          <cell r="B3441" t="str">
            <v>Dưa chuột</v>
          </cell>
          <cell r="C3441" t="str">
            <v>kg</v>
          </cell>
        </row>
        <row r="3442">
          <cell r="A3442" t="str">
            <v>NL300049</v>
          </cell>
          <cell r="B3442" t="str">
            <v>Đu đủ xanh</v>
          </cell>
          <cell r="C3442" t="str">
            <v>kg</v>
          </cell>
        </row>
        <row r="3443">
          <cell r="A3443" t="str">
            <v>NL300050</v>
          </cell>
          <cell r="B3443" t="str">
            <v>Giá đỗ</v>
          </cell>
          <cell r="C3443" t="str">
            <v>kg</v>
          </cell>
        </row>
        <row r="3444">
          <cell r="A3444" t="str">
            <v>NL300051</v>
          </cell>
          <cell r="B3444" t="str">
            <v>Giềng củ</v>
          </cell>
          <cell r="C3444" t="str">
            <v>kg</v>
          </cell>
        </row>
        <row r="3445">
          <cell r="A3445" t="str">
            <v>NL300052</v>
          </cell>
          <cell r="B3445" t="str">
            <v>Giềng xay</v>
          </cell>
          <cell r="C3445" t="str">
            <v>kg</v>
          </cell>
        </row>
        <row r="3446">
          <cell r="A3446" t="str">
            <v>NL300053</v>
          </cell>
          <cell r="B3446" t="str">
            <v>Gừng ta</v>
          </cell>
          <cell r="C3446" t="str">
            <v>kg</v>
          </cell>
        </row>
        <row r="3447">
          <cell r="A3447" t="str">
            <v>NL300054</v>
          </cell>
          <cell r="B3447" t="str">
            <v>Gừng tàu</v>
          </cell>
          <cell r="C3447" t="str">
            <v>kg</v>
          </cell>
        </row>
        <row r="3448">
          <cell r="A3448" t="str">
            <v>NL300055</v>
          </cell>
          <cell r="B3448" t="str">
            <v>Hành bóc</v>
          </cell>
          <cell r="C3448" t="str">
            <v>kg</v>
          </cell>
        </row>
        <row r="3449">
          <cell r="A3449" t="str">
            <v>NL300056</v>
          </cell>
          <cell r="B3449" t="str">
            <v>Hành khô thái</v>
          </cell>
          <cell r="C3449" t="str">
            <v>kg</v>
          </cell>
        </row>
        <row r="3450">
          <cell r="A3450" t="str">
            <v>NL300057</v>
          </cell>
          <cell r="B3450" t="str">
            <v>Hành khô</v>
          </cell>
          <cell r="C3450" t="str">
            <v>kg</v>
          </cell>
        </row>
        <row r="3451">
          <cell r="A3451" t="str">
            <v>NL300058</v>
          </cell>
          <cell r="B3451" t="str">
            <v>Hành lá</v>
          </cell>
          <cell r="C3451" t="str">
            <v>kg</v>
          </cell>
        </row>
        <row r="3452">
          <cell r="A3452" t="str">
            <v>NL300059</v>
          </cell>
          <cell r="B3452" t="str">
            <v>Hành tây</v>
          </cell>
          <cell r="C3452" t="str">
            <v>kg</v>
          </cell>
        </row>
        <row r="3453">
          <cell r="A3453" t="str">
            <v>NL300060</v>
          </cell>
          <cell r="B3453" t="str">
            <v>Hoa chuối đã thái</v>
          </cell>
          <cell r="C3453" t="str">
            <v>kg</v>
          </cell>
        </row>
        <row r="3454">
          <cell r="A3454" t="str">
            <v>NL300061</v>
          </cell>
          <cell r="B3454" t="str">
            <v>Hành Paro (Hành Baro)</v>
          </cell>
          <cell r="C3454" t="str">
            <v>kg</v>
          </cell>
        </row>
        <row r="3455">
          <cell r="A3455" t="str">
            <v>NL300062</v>
          </cell>
          <cell r="B3455" t="str">
            <v>Húng Bạc Hà</v>
          </cell>
          <cell r="C3455" t="str">
            <v>kg</v>
          </cell>
        </row>
        <row r="3456">
          <cell r="A3456" t="str">
            <v>NL300063</v>
          </cell>
          <cell r="B3456" t="str">
            <v>Húng cây (Rau thơm)</v>
          </cell>
          <cell r="C3456" t="str">
            <v>kg</v>
          </cell>
        </row>
        <row r="3457">
          <cell r="A3457" t="str">
            <v>NL300064</v>
          </cell>
          <cell r="B3457" t="str">
            <v>Húng chó</v>
          </cell>
          <cell r="C3457" t="str">
            <v>kg</v>
          </cell>
        </row>
        <row r="3458">
          <cell r="A3458" t="str">
            <v>NL300065</v>
          </cell>
          <cell r="B3458" t="str">
            <v>Húng lai</v>
          </cell>
          <cell r="C3458" t="str">
            <v>kg</v>
          </cell>
        </row>
        <row r="3459">
          <cell r="A3459" t="str">
            <v>NL300066</v>
          </cell>
          <cell r="B3459" t="str">
            <v>Lá hương thảo tươi</v>
          </cell>
          <cell r="C3459" t="str">
            <v>kg</v>
          </cell>
        </row>
        <row r="3460">
          <cell r="A3460" t="str">
            <v>NL300067</v>
          </cell>
          <cell r="B3460" t="str">
            <v>Kèo Nèo</v>
          </cell>
          <cell r="C3460" t="str">
            <v>kg</v>
          </cell>
        </row>
        <row r="3461">
          <cell r="A3461" t="str">
            <v>NL300068</v>
          </cell>
          <cell r="B3461" t="str">
            <v>Khế</v>
          </cell>
          <cell r="C3461" t="str">
            <v>kg</v>
          </cell>
        </row>
        <row r="3462">
          <cell r="A3462" t="str">
            <v>NL300069</v>
          </cell>
          <cell r="B3462" t="str">
            <v>Khoai lang</v>
          </cell>
          <cell r="C3462" t="str">
            <v>kg</v>
          </cell>
        </row>
        <row r="3463">
          <cell r="A3463" t="str">
            <v>NL300070</v>
          </cell>
          <cell r="B3463" t="str">
            <v>Khoai lang Nhật</v>
          </cell>
          <cell r="C3463" t="str">
            <v>kg</v>
          </cell>
        </row>
        <row r="3464">
          <cell r="A3464" t="str">
            <v>NL300071</v>
          </cell>
          <cell r="B3464" t="str">
            <v>Khoai tây củ</v>
          </cell>
          <cell r="C3464" t="str">
            <v>kg</v>
          </cell>
        </row>
        <row r="3465">
          <cell r="A3465" t="str">
            <v>NL300072</v>
          </cell>
          <cell r="B3465" t="str">
            <v>Kinh giới</v>
          </cell>
          <cell r="C3465" t="str">
            <v>kg</v>
          </cell>
        </row>
        <row r="3466">
          <cell r="A3466" t="str">
            <v>NL300073</v>
          </cell>
          <cell r="B3466" t="str">
            <v>Lá chanh</v>
          </cell>
          <cell r="C3466" t="str">
            <v>kg</v>
          </cell>
        </row>
        <row r="3467">
          <cell r="A3467" t="str">
            <v>NL300074</v>
          </cell>
          <cell r="B3467" t="str">
            <v>Lá chuối</v>
          </cell>
          <cell r="C3467" t="str">
            <v>kg</v>
          </cell>
        </row>
        <row r="3468">
          <cell r="A3468" t="str">
            <v>NL300075</v>
          </cell>
          <cell r="B3468" t="str">
            <v>Lặc lè</v>
          </cell>
          <cell r="C3468" t="str">
            <v>kg</v>
          </cell>
        </row>
        <row r="3469">
          <cell r="A3469" t="str">
            <v>NL300076</v>
          </cell>
          <cell r="B3469" t="str">
            <v>Lá hẹ</v>
          </cell>
          <cell r="C3469" t="str">
            <v>kg</v>
          </cell>
        </row>
        <row r="3470">
          <cell r="A3470" t="str">
            <v>NL300077</v>
          </cell>
          <cell r="B3470" t="str">
            <v>Lá lốt (có cuống)</v>
          </cell>
          <cell r="C3470" t="str">
            <v>kg</v>
          </cell>
        </row>
        <row r="3471">
          <cell r="A3471" t="str">
            <v>NL300078</v>
          </cell>
          <cell r="B3471" t="str">
            <v>Lá móc mật</v>
          </cell>
          <cell r="C3471" t="str">
            <v>kg</v>
          </cell>
        </row>
        <row r="3472">
          <cell r="A3472" t="str">
            <v>NL300079</v>
          </cell>
          <cell r="B3472" t="str">
            <v>Lá nếp</v>
          </cell>
          <cell r="C3472" t="str">
            <v>kg</v>
          </cell>
        </row>
        <row r="3473">
          <cell r="A3473" t="str">
            <v>NL300080</v>
          </cell>
          <cell r="B3473" t="str">
            <v>Lá vừng Hàn Quốc - Lá kê nhíp</v>
          </cell>
          <cell r="C3473" t="str">
            <v>kg</v>
          </cell>
        </row>
        <row r="3474">
          <cell r="A3474" t="str">
            <v>NL300081</v>
          </cell>
          <cell r="B3474" t="str">
            <v>Lê vàng</v>
          </cell>
          <cell r="C3474" t="str">
            <v>kg</v>
          </cell>
        </row>
        <row r="3475">
          <cell r="A3475" t="str">
            <v>NL300082</v>
          </cell>
          <cell r="B3475" t="str">
            <v>Đinh lăng</v>
          </cell>
          <cell r="C3475" t="str">
            <v>kg</v>
          </cell>
        </row>
        <row r="3476">
          <cell r="A3476" t="str">
            <v>NL300083</v>
          </cell>
          <cell r="B3476" t="str">
            <v>Măng trúc</v>
          </cell>
          <cell r="C3476" t="str">
            <v>kg</v>
          </cell>
        </row>
        <row r="3477">
          <cell r="A3477" t="str">
            <v>NL300084</v>
          </cell>
          <cell r="B3477" t="str">
            <v>Mồng tơi nhặt</v>
          </cell>
          <cell r="C3477" t="str">
            <v>kg</v>
          </cell>
        </row>
        <row r="3478">
          <cell r="A3478" t="str">
            <v>NL300085</v>
          </cell>
          <cell r="B3478" t="str">
            <v>Mùi ta ( Ngò rí )</v>
          </cell>
          <cell r="C3478" t="str">
            <v>kg</v>
          </cell>
        </row>
        <row r="3479">
          <cell r="A3479" t="str">
            <v>NL300086</v>
          </cell>
          <cell r="B3479" t="str">
            <v>Mùi tàu ( Ngò gai )</v>
          </cell>
          <cell r="C3479" t="str">
            <v>kg</v>
          </cell>
        </row>
        <row r="3480">
          <cell r="A3480" t="str">
            <v>NL300087</v>
          </cell>
          <cell r="B3480" t="str">
            <v>Rau muống chẻ</v>
          </cell>
          <cell r="C3480" t="str">
            <v>kg</v>
          </cell>
        </row>
        <row r="3481">
          <cell r="A3481" t="str">
            <v>NL300088</v>
          </cell>
          <cell r="B3481" t="str">
            <v>Mướp hương</v>
          </cell>
          <cell r="C3481" t="str">
            <v>kg</v>
          </cell>
        </row>
        <row r="3482">
          <cell r="A3482" t="str">
            <v>NL300089</v>
          </cell>
          <cell r="B3482" t="str">
            <v>Mướp đắng</v>
          </cell>
          <cell r="C3482" t="str">
            <v>kg</v>
          </cell>
        </row>
        <row r="3483">
          <cell r="A3483" t="str">
            <v>NL300090</v>
          </cell>
          <cell r="B3483" t="str">
            <v>Nấm đông cô tươi</v>
          </cell>
          <cell r="C3483" t="str">
            <v>kg</v>
          </cell>
        </row>
        <row r="3484">
          <cell r="A3484" t="str">
            <v>NL300091</v>
          </cell>
          <cell r="B3484" t="str">
            <v>Nấm đùi gà</v>
          </cell>
          <cell r="C3484" t="str">
            <v>kg</v>
          </cell>
        </row>
        <row r="3485">
          <cell r="A3485" t="str">
            <v>NL300092</v>
          </cell>
          <cell r="B3485" t="str">
            <v>Nấm đùi gà baby</v>
          </cell>
          <cell r="C3485" t="str">
            <v>kg</v>
          </cell>
        </row>
        <row r="3486">
          <cell r="A3486" t="str">
            <v>NL300093</v>
          </cell>
          <cell r="B3486" t="str">
            <v>Nấm gan bò vàng</v>
          </cell>
          <cell r="C3486" t="str">
            <v>kg</v>
          </cell>
        </row>
        <row r="3487">
          <cell r="A3487" t="str">
            <v>NL300094</v>
          </cell>
          <cell r="B3487" t="str">
            <v>Nấm hải sản</v>
          </cell>
          <cell r="C3487" t="str">
            <v>kg</v>
          </cell>
        </row>
        <row r="3488">
          <cell r="A3488" t="str">
            <v>NL300095</v>
          </cell>
          <cell r="B3488" t="str">
            <v>Nấm kim châm</v>
          </cell>
          <cell r="C3488" t="str">
            <v>Túi</v>
          </cell>
        </row>
        <row r="3489">
          <cell r="A3489" t="str">
            <v>NL300096</v>
          </cell>
          <cell r="B3489" t="str">
            <v>Nấm kim châm tươi</v>
          </cell>
          <cell r="C3489" t="str">
            <v>kg</v>
          </cell>
        </row>
        <row r="3490">
          <cell r="A3490" t="str">
            <v>NL300097</v>
          </cell>
          <cell r="B3490" t="str">
            <v>Nấm Linh Chi nâu</v>
          </cell>
          <cell r="C3490" t="str">
            <v>kg</v>
          </cell>
        </row>
        <row r="3491">
          <cell r="A3491" t="str">
            <v>NL300098</v>
          </cell>
          <cell r="B3491" t="str">
            <v>Nấm Linh Chi trắng</v>
          </cell>
          <cell r="C3491" t="str">
            <v>kg</v>
          </cell>
        </row>
        <row r="3492">
          <cell r="A3492" t="str">
            <v>NL300099</v>
          </cell>
          <cell r="B3492" t="str">
            <v>Nấm Linh Chi</v>
          </cell>
          <cell r="C3492" t="str">
            <v>kg</v>
          </cell>
        </row>
        <row r="3493">
          <cell r="A3493" t="str">
            <v>NL300100</v>
          </cell>
          <cell r="B3493" t="str">
            <v>Nấm mỡ</v>
          </cell>
          <cell r="C3493" t="str">
            <v>kg</v>
          </cell>
        </row>
        <row r="3494">
          <cell r="A3494" t="str">
            <v>NL300101</v>
          </cell>
          <cell r="B3494" t="str">
            <v>Nấm Mối</v>
          </cell>
          <cell r="C3494" t="str">
            <v>kg</v>
          </cell>
        </row>
        <row r="3495">
          <cell r="A3495" t="str">
            <v>NL300102</v>
          </cell>
          <cell r="B3495" t="str">
            <v>Nấm sò nâu</v>
          </cell>
          <cell r="C3495" t="str">
            <v>kg</v>
          </cell>
        </row>
        <row r="3496">
          <cell r="A3496" t="str">
            <v>NL300103</v>
          </cell>
          <cell r="B3496" t="str">
            <v>Nấm sò trắng</v>
          </cell>
          <cell r="C3496" t="str">
            <v>kg</v>
          </cell>
        </row>
        <row r="3497">
          <cell r="A3497" t="str">
            <v>NL300104</v>
          </cell>
          <cell r="B3497" t="str">
            <v>Ngải cứu</v>
          </cell>
          <cell r="C3497" t="str">
            <v>kg</v>
          </cell>
        </row>
        <row r="3498">
          <cell r="A3498" t="str">
            <v>NL300105</v>
          </cell>
          <cell r="B3498" t="str">
            <v>Nghệ</v>
          </cell>
          <cell r="C3498" t="str">
            <v>kg</v>
          </cell>
        </row>
        <row r="3499">
          <cell r="A3499" t="str">
            <v>NL300106</v>
          </cell>
          <cell r="B3499" t="str">
            <v>Ngô bao tử</v>
          </cell>
          <cell r="C3499" t="str">
            <v>kg</v>
          </cell>
        </row>
        <row r="3500">
          <cell r="A3500" t="str">
            <v>NL300107</v>
          </cell>
          <cell r="B3500" t="str">
            <v>Ngô ngọt ( Bắp trái)</v>
          </cell>
          <cell r="C3500" t="str">
            <v>Cái</v>
          </cell>
        </row>
        <row r="3501">
          <cell r="A3501" t="str">
            <v>NL300108</v>
          </cell>
          <cell r="B3501" t="str">
            <v>Ngồng tỏi</v>
          </cell>
          <cell r="C3501" t="str">
            <v>kg</v>
          </cell>
        </row>
        <row r="3502">
          <cell r="A3502" t="str">
            <v>NL300109</v>
          </cell>
          <cell r="B3502" t="str">
            <v>Ngó xuân</v>
          </cell>
          <cell r="C3502" t="str">
            <v>kg</v>
          </cell>
        </row>
        <row r="3503">
          <cell r="A3503" t="str">
            <v>NL300110</v>
          </cell>
          <cell r="B3503" t="str">
            <v>Nước dừa tươi</v>
          </cell>
          <cell r="C3503" t="str">
            <v>Lít</v>
          </cell>
        </row>
        <row r="3504">
          <cell r="A3504" t="str">
            <v>NL300111</v>
          </cell>
          <cell r="B3504" t="str">
            <v>Ớt chỉ thiên</v>
          </cell>
          <cell r="C3504" t="str">
            <v>kg</v>
          </cell>
        </row>
        <row r="3505">
          <cell r="A3505" t="str">
            <v>NL300112</v>
          </cell>
          <cell r="B3505" t="str">
            <v>Ớt đỏ Đà Lạt</v>
          </cell>
          <cell r="C3505" t="str">
            <v>kg</v>
          </cell>
        </row>
        <row r="3506">
          <cell r="A3506" t="str">
            <v>NL300113</v>
          </cell>
          <cell r="B3506" t="str">
            <v>Ớt hiểm đỏ</v>
          </cell>
          <cell r="C3506" t="str">
            <v>kg</v>
          </cell>
        </row>
        <row r="3507">
          <cell r="A3507" t="str">
            <v>NL300114</v>
          </cell>
          <cell r="B3507" t="str">
            <v>Ớt kim</v>
          </cell>
          <cell r="C3507" t="str">
            <v>kg</v>
          </cell>
        </row>
        <row r="3508">
          <cell r="A3508" t="str">
            <v>NL300115</v>
          </cell>
          <cell r="B3508" t="str">
            <v>Ớt kim xanh (ớt hiểm xanh)</v>
          </cell>
          <cell r="C3508" t="str">
            <v>kg</v>
          </cell>
        </row>
        <row r="3509">
          <cell r="A3509" t="str">
            <v>NL300116</v>
          </cell>
          <cell r="B3509" t="str">
            <v>Ớt sừng</v>
          </cell>
          <cell r="C3509" t="str">
            <v>kg</v>
          </cell>
        </row>
        <row r="3510">
          <cell r="A3510" t="str">
            <v>NL300117</v>
          </cell>
          <cell r="B3510" t="str">
            <v>Ớt sừng xanh</v>
          </cell>
          <cell r="C3510" t="str">
            <v>kg</v>
          </cell>
        </row>
        <row r="3511">
          <cell r="A3511" t="str">
            <v>NL300118</v>
          </cell>
          <cell r="B3511" t="str">
            <v>Phở sợi</v>
          </cell>
          <cell r="C3511" t="str">
            <v>kg</v>
          </cell>
        </row>
        <row r="3512">
          <cell r="A3512" t="str">
            <v>NL300119</v>
          </cell>
          <cell r="B3512" t="str">
            <v>Quất ( Tắc trái )</v>
          </cell>
          <cell r="C3512" t="str">
            <v>kg</v>
          </cell>
        </row>
        <row r="3513">
          <cell r="A3513" t="str">
            <v>NL300120</v>
          </cell>
          <cell r="B3513" t="str">
            <v>Quế vị</v>
          </cell>
          <cell r="C3513" t="str">
            <v>kg</v>
          </cell>
        </row>
        <row r="3514">
          <cell r="A3514" t="str">
            <v>NL300121</v>
          </cell>
          <cell r="B3514" t="str">
            <v>Rau răm</v>
          </cell>
          <cell r="C3514" t="str">
            <v>kg</v>
          </cell>
        </row>
        <row r="3515">
          <cell r="A3515" t="str">
            <v>NL300122</v>
          </cell>
          <cell r="B3515" t="str">
            <v>Rau càng cua</v>
          </cell>
          <cell r="C3515" t="str">
            <v>kg</v>
          </cell>
        </row>
        <row r="3516">
          <cell r="A3516" t="str">
            <v>NL300123</v>
          </cell>
          <cell r="B3516" t="str">
            <v>Rau Đắng</v>
          </cell>
          <cell r="C3516" t="str">
            <v>kg</v>
          </cell>
        </row>
        <row r="3517">
          <cell r="A3517" t="str">
            <v>NL300124</v>
          </cell>
          <cell r="B3517" t="str">
            <v>Rau Dền</v>
          </cell>
          <cell r="C3517" t="str">
            <v>kg</v>
          </cell>
        </row>
        <row r="3518">
          <cell r="A3518" t="str">
            <v>NL300125</v>
          </cell>
          <cell r="B3518" t="str">
            <v>Rau má</v>
          </cell>
          <cell r="C3518" t="str">
            <v>kg</v>
          </cell>
        </row>
        <row r="3519">
          <cell r="A3519" t="str">
            <v>NL300126</v>
          </cell>
          <cell r="B3519" t="str">
            <v>Rau mùi tây</v>
          </cell>
          <cell r="C3519" t="str">
            <v>kg</v>
          </cell>
        </row>
        <row r="3520">
          <cell r="A3520" t="str">
            <v>NL300127</v>
          </cell>
          <cell r="B3520" t="str">
            <v>Rau muống</v>
          </cell>
          <cell r="C3520" t="str">
            <v>kg</v>
          </cell>
        </row>
        <row r="3521">
          <cell r="A3521" t="str">
            <v>NL300128</v>
          </cell>
          <cell r="B3521" t="str">
            <v>Rau ngổ</v>
          </cell>
          <cell r="C3521" t="str">
            <v>kg</v>
          </cell>
        </row>
        <row r="3522">
          <cell r="A3522" t="str">
            <v>NL300129</v>
          </cell>
          <cell r="B3522" t="str">
            <v>Rau Rừng</v>
          </cell>
          <cell r="C3522" t="str">
            <v>kg</v>
          </cell>
        </row>
        <row r="3523">
          <cell r="A3523" t="str">
            <v>NL300130</v>
          </cell>
          <cell r="B3523" t="str">
            <v>Rau tiến vua</v>
          </cell>
          <cell r="C3523" t="str">
            <v>kg</v>
          </cell>
        </row>
        <row r="3524">
          <cell r="A3524" t="str">
            <v>NL300131</v>
          </cell>
          <cell r="B3524" t="str">
            <v>Xà lách Rocket</v>
          </cell>
          <cell r="C3524" t="str">
            <v>kg</v>
          </cell>
        </row>
        <row r="3525">
          <cell r="A3525" t="str">
            <v>NL300132</v>
          </cell>
          <cell r="B3525" t="str">
            <v>Sả cây</v>
          </cell>
          <cell r="C3525" t="str">
            <v>kg</v>
          </cell>
        </row>
        <row r="3526">
          <cell r="A3526" t="str">
            <v>NL300133</v>
          </cell>
          <cell r="B3526" t="str">
            <v>Sả xay</v>
          </cell>
          <cell r="C3526" t="str">
            <v>kg</v>
          </cell>
        </row>
        <row r="3527">
          <cell r="A3527" t="str">
            <v>NL300134</v>
          </cell>
          <cell r="B3527" t="str">
            <v>Bông so đũa</v>
          </cell>
          <cell r="C3527" t="str">
            <v>kg</v>
          </cell>
        </row>
        <row r="3528">
          <cell r="A3528" t="str">
            <v>NL300135</v>
          </cell>
          <cell r="B3528" t="str">
            <v>Su hào</v>
          </cell>
          <cell r="C3528" t="str">
            <v>kg</v>
          </cell>
        </row>
        <row r="3529">
          <cell r="A3529" t="str">
            <v>NL300136</v>
          </cell>
          <cell r="B3529" t="str">
            <v>Súp lơ trắng</v>
          </cell>
          <cell r="C3529" t="str">
            <v>kg</v>
          </cell>
        </row>
        <row r="3530">
          <cell r="A3530" t="str">
            <v>NL300137</v>
          </cell>
          <cell r="B3530" t="str">
            <v>Súp lơ xanh</v>
          </cell>
          <cell r="C3530" t="str">
            <v>kg</v>
          </cell>
        </row>
        <row r="3531">
          <cell r="A3531" t="str">
            <v>NL300138</v>
          </cell>
          <cell r="B3531" t="str">
            <v>Su su quả</v>
          </cell>
          <cell r="C3531" t="str">
            <v>kg</v>
          </cell>
        </row>
        <row r="3532">
          <cell r="A3532" t="str">
            <v>NL300139</v>
          </cell>
          <cell r="B3532" t="str">
            <v>Thì là</v>
          </cell>
          <cell r="C3532" t="str">
            <v>kg</v>
          </cell>
        </row>
        <row r="3533">
          <cell r="A3533" t="str">
            <v>NL300140</v>
          </cell>
          <cell r="B3533" t="str">
            <v>Tía tô</v>
          </cell>
          <cell r="C3533" t="str">
            <v>kg</v>
          </cell>
        </row>
        <row r="3534">
          <cell r="A3534" t="str">
            <v>NL300141</v>
          </cell>
          <cell r="B3534" t="str">
            <v>Tiêu xanh</v>
          </cell>
          <cell r="C3534" t="str">
            <v>kg</v>
          </cell>
        </row>
        <row r="3535">
          <cell r="A3535" t="str">
            <v>NL300142</v>
          </cell>
          <cell r="B3535" t="str">
            <v>Tỏi bóc</v>
          </cell>
          <cell r="C3535" t="str">
            <v>kg</v>
          </cell>
        </row>
        <row r="3536">
          <cell r="A3536" t="str">
            <v>NL300143</v>
          </cell>
          <cell r="B3536" t="str">
            <v>Tỏi phi sẵn</v>
          </cell>
          <cell r="C3536" t="str">
            <v>kg</v>
          </cell>
        </row>
        <row r="3537">
          <cell r="A3537" t="str">
            <v>NL300144</v>
          </cell>
          <cell r="B3537" t="str">
            <v>Tỏi ta</v>
          </cell>
          <cell r="C3537" t="str">
            <v>kg</v>
          </cell>
        </row>
        <row r="3538">
          <cell r="A3538" t="str">
            <v>NL300145</v>
          </cell>
          <cell r="B3538" t="str">
            <v>Xà lách</v>
          </cell>
          <cell r="C3538" t="str">
            <v>kg</v>
          </cell>
        </row>
        <row r="3539">
          <cell r="A3539" t="str">
            <v>NL300146</v>
          </cell>
          <cell r="B3539" t="str">
            <v>Xà lách cuộn</v>
          </cell>
          <cell r="C3539" t="str">
            <v>kg</v>
          </cell>
        </row>
        <row r="3540">
          <cell r="A3540" t="str">
            <v>NL300147</v>
          </cell>
          <cell r="B3540" t="str">
            <v>Xà lách Roman</v>
          </cell>
          <cell r="C3540" t="str">
            <v>kg</v>
          </cell>
        </row>
        <row r="3541">
          <cell r="A3541" t="str">
            <v>NL300148</v>
          </cell>
          <cell r="B3541" t="str">
            <v>Xà lách tím</v>
          </cell>
          <cell r="C3541" t="str">
            <v>kg</v>
          </cell>
        </row>
        <row r="3542">
          <cell r="A3542" t="str">
            <v>NL300149</v>
          </cell>
          <cell r="B3542" t="str">
            <v>Xoài thái</v>
          </cell>
          <cell r="C3542" t="str">
            <v>kg</v>
          </cell>
        </row>
        <row r="3543">
          <cell r="A3543" t="str">
            <v>NL300150</v>
          </cell>
          <cell r="B3543" t="str">
            <v>Xoài xanh</v>
          </cell>
          <cell r="C3543" t="str">
            <v>kg</v>
          </cell>
        </row>
        <row r="3544">
          <cell r="A3544" t="str">
            <v>NL300151</v>
          </cell>
          <cell r="B3544" t="str">
            <v>Đỗ đen</v>
          </cell>
          <cell r="C3544" t="str">
            <v>kg</v>
          </cell>
        </row>
        <row r="3545">
          <cell r="A3545" t="str">
            <v>NL300152</v>
          </cell>
          <cell r="B3545" t="str">
            <v>Ớt vàng Đà Lạt</v>
          </cell>
          <cell r="C3545" t="str">
            <v>kg</v>
          </cell>
        </row>
        <row r="3546">
          <cell r="A3546" t="str">
            <v>NL300153</v>
          </cell>
          <cell r="B3546" t="str">
            <v>Ớt xanh Đà Lạt</v>
          </cell>
          <cell r="C3546" t="str">
            <v>kg</v>
          </cell>
        </row>
        <row r="3547">
          <cell r="A3547" t="str">
            <v>NL300154</v>
          </cell>
          <cell r="B3547" t="str">
            <v>Táo quả</v>
          </cell>
          <cell r="C3547" t="str">
            <v>kg</v>
          </cell>
        </row>
        <row r="3548">
          <cell r="A3548" t="str">
            <v>NL300155</v>
          </cell>
          <cell r="B3548" t="str">
            <v>Cải chua nguyên cây</v>
          </cell>
          <cell r="C3548" t="str">
            <v>kg</v>
          </cell>
        </row>
        <row r="3549">
          <cell r="A3549" t="str">
            <v>NL300156</v>
          </cell>
          <cell r="B3549" t="str">
            <v>Đậu cove Pháp</v>
          </cell>
          <cell r="C3549" t="str">
            <v>kg</v>
          </cell>
        </row>
        <row r="3550">
          <cell r="A3550" t="str">
            <v>NL300157</v>
          </cell>
          <cell r="B3550" t="str">
            <v>Khoai môn tím</v>
          </cell>
          <cell r="C3550" t="str">
            <v>kg</v>
          </cell>
        </row>
        <row r="3551">
          <cell r="A3551" t="str">
            <v>NL300158</v>
          </cell>
          <cell r="B3551" t="str">
            <v>Nấm mỡ đen</v>
          </cell>
          <cell r="C3551" t="str">
            <v>kg</v>
          </cell>
        </row>
        <row r="3552">
          <cell r="A3552" t="str">
            <v>NL300159</v>
          </cell>
          <cell r="B3552" t="str">
            <v>Bông Thiên Lý</v>
          </cell>
          <cell r="C3552" t="str">
            <v>kg</v>
          </cell>
        </row>
        <row r="3553">
          <cell r="A3553" t="str">
            <v>NL300160</v>
          </cell>
          <cell r="B3553" t="str">
            <v>Lá Lộc Vừng</v>
          </cell>
          <cell r="C3553" t="str">
            <v>kg</v>
          </cell>
        </row>
        <row r="3554">
          <cell r="A3554" t="str">
            <v>NL300161</v>
          </cell>
          <cell r="B3554" t="str">
            <v>Lá quế vị</v>
          </cell>
          <cell r="C3554" t="str">
            <v>kg</v>
          </cell>
        </row>
        <row r="3555">
          <cell r="A3555" t="str">
            <v>NL300162</v>
          </cell>
          <cell r="B3555" t="str">
            <v>Lá sao nhái</v>
          </cell>
          <cell r="C3555" t="str">
            <v>kg</v>
          </cell>
        </row>
        <row r="3556">
          <cell r="A3556" t="str">
            <v>NL300163</v>
          </cell>
          <cell r="B3556" t="str">
            <v>Lá san thuyền</v>
          </cell>
          <cell r="C3556" t="str">
            <v>kg</v>
          </cell>
        </row>
        <row r="3557">
          <cell r="A3557" t="str">
            <v>NL300164</v>
          </cell>
          <cell r="B3557" t="str">
            <v>Hành tây tím</v>
          </cell>
          <cell r="C3557" t="str">
            <v>kg</v>
          </cell>
        </row>
        <row r="3558">
          <cell r="A3558" t="str">
            <v>NL300165</v>
          </cell>
          <cell r="B3558" t="str">
            <v>Mẻ trắng</v>
          </cell>
          <cell r="C3558" t="str">
            <v>Lít</v>
          </cell>
        </row>
        <row r="3559">
          <cell r="A3559" t="str">
            <v>NL300166</v>
          </cell>
          <cell r="B3559" t="str">
            <v>Dưa chua</v>
          </cell>
          <cell r="C3559" t="str">
            <v>kg</v>
          </cell>
        </row>
        <row r="3560">
          <cell r="A3560" t="str">
            <v>NL300167</v>
          </cell>
          <cell r="B3560" t="str">
            <v>Đỗ cove</v>
          </cell>
          <cell r="C3560" t="str">
            <v>kg</v>
          </cell>
        </row>
        <row r="3561">
          <cell r="A3561" t="str">
            <v>NL300168</v>
          </cell>
          <cell r="B3561" t="str">
            <v>Ngồng cải dưa (ngồng cải bẹ)</v>
          </cell>
          <cell r="C3561" t="str">
            <v>kg</v>
          </cell>
        </row>
        <row r="3562">
          <cell r="A3562" t="str">
            <v>NL300169</v>
          </cell>
          <cell r="B3562" t="str">
            <v>Đu đủ nạo sợi</v>
          </cell>
          <cell r="C3562" t="str">
            <v>kg</v>
          </cell>
        </row>
        <row r="3563">
          <cell r="A3563" t="str">
            <v>NL300170</v>
          </cell>
          <cell r="B3563" t="str">
            <v>Lá lốt (không cuống)</v>
          </cell>
          <cell r="C3563" t="str">
            <v>kg</v>
          </cell>
        </row>
        <row r="3564">
          <cell r="A3564" t="str">
            <v>NL300171</v>
          </cell>
          <cell r="B3564" t="str">
            <v>Ngó sen</v>
          </cell>
          <cell r="C3564" t="str">
            <v>kg</v>
          </cell>
        </row>
        <row r="3565">
          <cell r="A3565" t="str">
            <v>NL300172</v>
          </cell>
          <cell r="B3565" t="str">
            <v>Rau Cần Tàu</v>
          </cell>
          <cell r="C3565" t="str">
            <v>kg</v>
          </cell>
        </row>
        <row r="3566">
          <cell r="A3566" t="str">
            <v>NL300173</v>
          </cell>
          <cell r="B3566" t="str">
            <v>Lá giang</v>
          </cell>
          <cell r="C3566" t="str">
            <v>kg</v>
          </cell>
        </row>
        <row r="3567">
          <cell r="A3567" t="str">
            <v>NL300174</v>
          </cell>
          <cell r="B3567" t="str">
            <v>Bầu</v>
          </cell>
          <cell r="C3567" t="str">
            <v>kg</v>
          </cell>
        </row>
        <row r="3568">
          <cell r="A3568" t="str">
            <v>NL300175</v>
          </cell>
          <cell r="B3568" t="str">
            <v>Mẻ chua</v>
          </cell>
          <cell r="C3568" t="str">
            <v>kg</v>
          </cell>
        </row>
        <row r="3569">
          <cell r="A3569" t="str">
            <v>NL300176</v>
          </cell>
          <cell r="B3569" t="str">
            <v>Lá sả</v>
          </cell>
          <cell r="C3569" t="str">
            <v>kg</v>
          </cell>
        </row>
        <row r="3570">
          <cell r="A3570" t="str">
            <v>NL300178</v>
          </cell>
          <cell r="B3570" t="str">
            <v>Húng láng</v>
          </cell>
          <cell r="C3570" t="str">
            <v>kg</v>
          </cell>
        </row>
        <row r="3571">
          <cell r="A3571" t="str">
            <v>NL300179</v>
          </cell>
          <cell r="B3571" t="str">
            <v>Dừa cùi</v>
          </cell>
          <cell r="C3571" t="str">
            <v>kg</v>
          </cell>
        </row>
        <row r="3572">
          <cell r="A3572" t="str">
            <v>NL300180</v>
          </cell>
          <cell r="B3572" t="str">
            <v>Măng tây</v>
          </cell>
          <cell r="C3572" t="str">
            <v>kg</v>
          </cell>
        </row>
        <row r="3573">
          <cell r="A3573" t="str">
            <v>NL300181</v>
          </cell>
          <cell r="B3573" t="str">
            <v>Dừa nạo</v>
          </cell>
          <cell r="C3573" t="str">
            <v>kg</v>
          </cell>
        </row>
        <row r="3574">
          <cell r="A3574" t="str">
            <v>NL300182</v>
          </cell>
          <cell r="B3574" t="str">
            <v>Cơm sầu riêng</v>
          </cell>
          <cell r="C3574" t="str">
            <v>kg</v>
          </cell>
        </row>
        <row r="3575">
          <cell r="A3575" t="str">
            <v>NL300183</v>
          </cell>
          <cell r="B3575" t="str">
            <v>Rau Đay</v>
          </cell>
          <cell r="C3575" t="str">
            <v>kg</v>
          </cell>
        </row>
        <row r="3576">
          <cell r="A3576" t="str">
            <v>NL300184</v>
          </cell>
          <cell r="B3576" t="str">
            <v>Lá Dứa</v>
          </cell>
          <cell r="C3576" t="str">
            <v>kg</v>
          </cell>
        </row>
        <row r="3577">
          <cell r="A3577" t="str">
            <v>NL300185</v>
          </cell>
          <cell r="B3577" t="str">
            <v>Rau ngót Lào (nhặt sẵn)</v>
          </cell>
          <cell r="C3577" t="str">
            <v>kg</v>
          </cell>
        </row>
        <row r="3578">
          <cell r="A3578" t="str">
            <v>NL300186</v>
          </cell>
          <cell r="B3578" t="str">
            <v>Lá sắn thuyền</v>
          </cell>
          <cell r="C3578" t="str">
            <v>kg</v>
          </cell>
        </row>
        <row r="3579">
          <cell r="A3579" t="str">
            <v>NL300187</v>
          </cell>
          <cell r="B3579" t="str">
            <v>Bí thơm</v>
          </cell>
          <cell r="C3579" t="str">
            <v>kg</v>
          </cell>
        </row>
        <row r="3580">
          <cell r="A3580" t="str">
            <v>NL300188</v>
          </cell>
          <cell r="B3580" t="str">
            <v>Củ Sắn ( Bếp)</v>
          </cell>
          <cell r="C3580" t="str">
            <v>kg</v>
          </cell>
        </row>
        <row r="3581">
          <cell r="A3581" t="str">
            <v>NL300189</v>
          </cell>
          <cell r="B3581" t="str">
            <v>Bánh ướt</v>
          </cell>
          <cell r="C3581" t="str">
            <v>kg</v>
          </cell>
        </row>
        <row r="3582">
          <cell r="A3582" t="str">
            <v>NL300190</v>
          </cell>
          <cell r="B3582" t="str">
            <v>Bánh hỏi (340g/gói)</v>
          </cell>
          <cell r="C3582" t="str">
            <v>Gói</v>
          </cell>
        </row>
        <row r="3583">
          <cell r="A3583" t="str">
            <v>NL300191</v>
          </cell>
          <cell r="B3583" t="str">
            <v>Tỏi bóc thái lát</v>
          </cell>
          <cell r="C3583" t="str">
            <v>kg</v>
          </cell>
        </row>
        <row r="3584">
          <cell r="A3584" t="str">
            <v>NL300192</v>
          </cell>
          <cell r="B3584" t="str">
            <v>Thanh long ruột đỏ</v>
          </cell>
          <cell r="C3584" t="str">
            <v>kg</v>
          </cell>
        </row>
        <row r="3585">
          <cell r="A3585" t="str">
            <v>NL300193</v>
          </cell>
          <cell r="B3585" t="str">
            <v>Nho khô</v>
          </cell>
          <cell r="C3585" t="str">
            <v>kg</v>
          </cell>
        </row>
        <row r="3586">
          <cell r="A3586" t="str">
            <v>NL300194</v>
          </cell>
          <cell r="B3586" t="str">
            <v>Rau cải wasabi (Xà Lách Frise)</v>
          </cell>
          <cell r="C3586" t="str">
            <v>kg</v>
          </cell>
        </row>
        <row r="3587">
          <cell r="A3587" t="str">
            <v>NL300195</v>
          </cell>
          <cell r="B3587" t="str">
            <v>Xà lách baby</v>
          </cell>
          <cell r="C3587" t="str">
            <v>kg</v>
          </cell>
        </row>
        <row r="3588">
          <cell r="A3588" t="str">
            <v>NL300196</v>
          </cell>
          <cell r="B3588" t="str">
            <v>Bí đỏ hồ lô</v>
          </cell>
          <cell r="C3588" t="str">
            <v>kg</v>
          </cell>
        </row>
        <row r="3589">
          <cell r="A3589" t="str">
            <v>NL300197</v>
          </cell>
          <cell r="B3589" t="str">
            <v>Củ dền</v>
          </cell>
          <cell r="C3589" t="str">
            <v>kg</v>
          </cell>
        </row>
        <row r="3590">
          <cell r="A3590" t="str">
            <v>NL300198</v>
          </cell>
          <cell r="B3590" t="str">
            <v>Ớt xiêm xanh</v>
          </cell>
          <cell r="C3590" t="str">
            <v>kg</v>
          </cell>
        </row>
        <row r="3591">
          <cell r="A3591" t="str">
            <v>NL300199</v>
          </cell>
          <cell r="B3591" t="str">
            <v>Rau diếp cá</v>
          </cell>
          <cell r="C3591" t="str">
            <v>kg</v>
          </cell>
        </row>
        <row r="3592">
          <cell r="A3592" t="str">
            <v>NL300200</v>
          </cell>
          <cell r="B3592" t="str">
            <v>Nấm bào ngư xám</v>
          </cell>
          <cell r="C3592" t="str">
            <v>kg</v>
          </cell>
        </row>
        <row r="3593">
          <cell r="A3593" t="str">
            <v>NL300201</v>
          </cell>
          <cell r="B3593" t="str">
            <v>Gừng ta gọt</v>
          </cell>
          <cell r="C3593" t="str">
            <v>kg</v>
          </cell>
        </row>
        <row r="3594">
          <cell r="A3594" t="str">
            <v>NL300202</v>
          </cell>
          <cell r="B3594" t="str">
            <v>Ngọn Su su</v>
          </cell>
          <cell r="C3594" t="str">
            <v>kg</v>
          </cell>
        </row>
        <row r="3595">
          <cell r="A3595" t="str">
            <v>NL300203</v>
          </cell>
          <cell r="B3595" t="str">
            <v>Cải bó xôi</v>
          </cell>
          <cell r="C3595" t="str">
            <v>kg</v>
          </cell>
        </row>
        <row r="3596">
          <cell r="A3596" t="str">
            <v>NL300204</v>
          </cell>
          <cell r="B3596" t="str">
            <v>Mồng tơi</v>
          </cell>
          <cell r="C3596" t="str">
            <v>Bó</v>
          </cell>
        </row>
        <row r="3597">
          <cell r="A3597" t="str">
            <v>NL300205</v>
          </cell>
          <cell r="B3597" t="str">
            <v>Dừa xay</v>
          </cell>
          <cell r="C3597" t="str">
            <v>kg</v>
          </cell>
        </row>
        <row r="3598">
          <cell r="A3598" t="str">
            <v>NL300206</v>
          </cell>
          <cell r="B3598" t="str">
            <v>Lá cách</v>
          </cell>
          <cell r="C3598" t="str">
            <v>kg</v>
          </cell>
        </row>
        <row r="3599">
          <cell r="A3599" t="str">
            <v>NL300207</v>
          </cell>
          <cell r="B3599" t="str">
            <v>Lá dong</v>
          </cell>
          <cell r="C3599" t="str">
            <v>Lá</v>
          </cell>
        </row>
        <row r="3600">
          <cell r="A3600" t="str">
            <v>NL300208</v>
          </cell>
          <cell r="B3600" t="str">
            <v>Gốc Mùi ta ( gốc Ngò rí )</v>
          </cell>
          <cell r="C3600" t="str">
            <v>kg</v>
          </cell>
        </row>
        <row r="3601">
          <cell r="A3601" t="str">
            <v>NL300209</v>
          </cell>
          <cell r="B3601" t="str">
            <v>Khoai môn</v>
          </cell>
          <cell r="C3601" t="str">
            <v>kg</v>
          </cell>
        </row>
        <row r="3602">
          <cell r="A3602" t="str">
            <v>NL300210</v>
          </cell>
          <cell r="B3602" t="str">
            <v>Hành bóc thái</v>
          </cell>
          <cell r="C3602" t="str">
            <v>kg</v>
          </cell>
        </row>
        <row r="3603">
          <cell r="A3603" t="str">
            <v>NL300211</v>
          </cell>
          <cell r="B3603" t="str">
            <v>Mồng tơi chưa nhặt</v>
          </cell>
          <cell r="C3603" t="str">
            <v>kg</v>
          </cell>
        </row>
        <row r="3604">
          <cell r="A3604" t="str">
            <v>NL300212</v>
          </cell>
          <cell r="B3604" t="str">
            <v>Ớt Xiêm</v>
          </cell>
          <cell r="C3604" t="str">
            <v>kg</v>
          </cell>
        </row>
        <row r="3605">
          <cell r="A3605" t="str">
            <v>NL300213</v>
          </cell>
          <cell r="B3605" t="str">
            <v>Rau cần tây Mỹ</v>
          </cell>
          <cell r="C3605" t="str">
            <v>kg</v>
          </cell>
        </row>
        <row r="3606">
          <cell r="A3606" t="str">
            <v>NL300214</v>
          </cell>
          <cell r="B3606" t="str">
            <v>Thân chuối bào</v>
          </cell>
          <cell r="C3606" t="str">
            <v>kg</v>
          </cell>
        </row>
        <row r="3607">
          <cell r="A3607" t="str">
            <v>NL300215</v>
          </cell>
          <cell r="B3607" t="str">
            <v>Lá nồm</v>
          </cell>
          <cell r="C3607" t="str">
            <v>kg</v>
          </cell>
        </row>
        <row r="3608">
          <cell r="A3608" t="str">
            <v>NL300216</v>
          </cell>
          <cell r="B3608" t="str">
            <v>Hóa cúc (Decor)</v>
          </cell>
          <cell r="C3608" t="str">
            <v>kg</v>
          </cell>
        </row>
        <row r="3609">
          <cell r="A3609" t="str">
            <v>NL300217</v>
          </cell>
          <cell r="B3609" t="str">
            <v>Ớt chuông đỏ</v>
          </cell>
          <cell r="C3609" t="str">
            <v>kg</v>
          </cell>
        </row>
        <row r="3610">
          <cell r="A3610" t="str">
            <v>NL410001</v>
          </cell>
          <cell r="B3610" t="str">
            <v>Bắp bò NV</v>
          </cell>
          <cell r="C3610" t="str">
            <v>kg</v>
          </cell>
        </row>
        <row r="3611">
          <cell r="A3611" t="str">
            <v>NL410002</v>
          </cell>
          <cell r="B3611" t="str">
            <v>Bì lợn NV</v>
          </cell>
          <cell r="C3611" t="str">
            <v>kg</v>
          </cell>
        </row>
        <row r="3612">
          <cell r="A3612" t="str">
            <v>NL410003</v>
          </cell>
          <cell r="B3612" t="str">
            <v>Bò tơ ( Ba chỉ ) NV</v>
          </cell>
          <cell r="C3612" t="str">
            <v>kg</v>
          </cell>
        </row>
        <row r="3613">
          <cell r="A3613" t="str">
            <v>NL410004</v>
          </cell>
          <cell r="B3613" t="str">
            <v>Cá bạc má NV</v>
          </cell>
          <cell r="C3613" t="str">
            <v>kg</v>
          </cell>
        </row>
        <row r="3614">
          <cell r="A3614" t="str">
            <v>NL410005</v>
          </cell>
          <cell r="B3614" t="str">
            <v>Cá bông lau NV</v>
          </cell>
          <cell r="C3614" t="str">
            <v>kg</v>
          </cell>
        </row>
        <row r="3615">
          <cell r="A3615" t="str">
            <v>NL410006</v>
          </cell>
          <cell r="B3615" t="str">
            <v>Cá chép NV</v>
          </cell>
          <cell r="C3615" t="str">
            <v>kg</v>
          </cell>
        </row>
        <row r="3616">
          <cell r="A3616" t="str">
            <v>NL410007</v>
          </cell>
          <cell r="B3616" t="str">
            <v>Cá cơm NV</v>
          </cell>
          <cell r="C3616" t="str">
            <v>kg</v>
          </cell>
        </row>
        <row r="3617">
          <cell r="A3617" t="str">
            <v>NL410008</v>
          </cell>
          <cell r="B3617" t="str">
            <v>Cá diêu hồng NV</v>
          </cell>
          <cell r="C3617" t="str">
            <v>kg</v>
          </cell>
        </row>
        <row r="3618">
          <cell r="A3618" t="str">
            <v>NL410009</v>
          </cell>
          <cell r="B3618" t="str">
            <v>Cá hú NV</v>
          </cell>
          <cell r="C3618" t="str">
            <v>kg</v>
          </cell>
        </row>
        <row r="3619">
          <cell r="A3619" t="str">
            <v>NL410010</v>
          </cell>
          <cell r="B3619" t="str">
            <v>Cá khô NV</v>
          </cell>
          <cell r="C3619" t="str">
            <v>kg</v>
          </cell>
        </row>
        <row r="3620">
          <cell r="A3620" t="str">
            <v>NL410011</v>
          </cell>
          <cell r="B3620" t="str">
            <v>Cá ngừ NV</v>
          </cell>
          <cell r="C3620" t="str">
            <v>kg</v>
          </cell>
        </row>
        <row r="3621">
          <cell r="A3621" t="str">
            <v>NL410012</v>
          </cell>
          <cell r="B3621" t="str">
            <v>Cánh gà NV</v>
          </cell>
          <cell r="C3621" t="str">
            <v>kg</v>
          </cell>
        </row>
        <row r="3622">
          <cell r="A3622" t="str">
            <v>NL410013</v>
          </cell>
          <cell r="B3622" t="str">
            <v>Cá nục NV</v>
          </cell>
          <cell r="C3622" t="str">
            <v>kg</v>
          </cell>
        </row>
        <row r="3623">
          <cell r="A3623" t="str">
            <v>NL410014</v>
          </cell>
          <cell r="B3623" t="str">
            <v>Cá rô phi phi lê NV</v>
          </cell>
          <cell r="C3623" t="str">
            <v>kg</v>
          </cell>
        </row>
        <row r="3624">
          <cell r="A3624" t="str">
            <v>NL410015</v>
          </cell>
          <cell r="B3624" t="str">
            <v>Cá quả NV</v>
          </cell>
          <cell r="C3624" t="str">
            <v>kg</v>
          </cell>
        </row>
        <row r="3625">
          <cell r="A3625" t="str">
            <v>NL410016</v>
          </cell>
          <cell r="B3625" t="str">
            <v>Cá rô phi (NV)</v>
          </cell>
          <cell r="C3625" t="str">
            <v>kg</v>
          </cell>
        </row>
        <row r="3626">
          <cell r="A3626" t="str">
            <v>NL410017</v>
          </cell>
          <cell r="B3626" t="str">
            <v>Cật lợn NV</v>
          </cell>
          <cell r="C3626" t="str">
            <v>kg</v>
          </cell>
        </row>
        <row r="3627">
          <cell r="A3627" t="str">
            <v>NL410018</v>
          </cell>
          <cell r="B3627" t="str">
            <v>Cá tra NV ( Cá basa NV )</v>
          </cell>
          <cell r="C3627" t="str">
            <v>kg</v>
          </cell>
        </row>
        <row r="3628">
          <cell r="A3628" t="str">
            <v>NL410019</v>
          </cell>
          <cell r="B3628" t="str">
            <v>Cá trắm NV</v>
          </cell>
          <cell r="C3628" t="str">
            <v>kg</v>
          </cell>
        </row>
        <row r="3629">
          <cell r="A3629" t="str">
            <v>NL410020</v>
          </cell>
          <cell r="B3629" t="str">
            <v>Cá trê NV</v>
          </cell>
          <cell r="C3629" t="str">
            <v>kg</v>
          </cell>
        </row>
        <row r="3630">
          <cell r="A3630" t="str">
            <v>NL410021</v>
          </cell>
          <cell r="B3630" t="str">
            <v>Cá trôi NV</v>
          </cell>
          <cell r="C3630" t="str">
            <v>kg</v>
          </cell>
        </row>
        <row r="3631">
          <cell r="A3631" t="str">
            <v>NL410022</v>
          </cell>
          <cell r="B3631" t="str">
            <v>Chả cá NV</v>
          </cell>
          <cell r="C3631" t="str">
            <v>kg</v>
          </cell>
        </row>
        <row r="3632">
          <cell r="A3632" t="str">
            <v>NL410023</v>
          </cell>
          <cell r="B3632" t="str">
            <v>Chả cốm NV</v>
          </cell>
          <cell r="C3632" t="str">
            <v>kg</v>
          </cell>
        </row>
        <row r="3633">
          <cell r="A3633" t="str">
            <v>NL410024</v>
          </cell>
          <cell r="B3633" t="str">
            <v>Chả lụa NV</v>
          </cell>
          <cell r="C3633" t="str">
            <v>kg</v>
          </cell>
        </row>
        <row r="3634">
          <cell r="A3634" t="str">
            <v>NL410025</v>
          </cell>
          <cell r="B3634" t="str">
            <v>Chả mỡ NV</v>
          </cell>
          <cell r="C3634" t="str">
            <v>kg</v>
          </cell>
        </row>
        <row r="3635">
          <cell r="A3635" t="str">
            <v>NL410026</v>
          </cell>
          <cell r="B3635" t="str">
            <v>Chả nạc NV</v>
          </cell>
          <cell r="C3635" t="str">
            <v>kg</v>
          </cell>
        </row>
        <row r="3636">
          <cell r="A3636" t="str">
            <v>NL410027</v>
          </cell>
          <cell r="B3636" t="str">
            <v>Chân giò NV</v>
          </cell>
          <cell r="C3636" t="str">
            <v>kg</v>
          </cell>
        </row>
        <row r="3637">
          <cell r="A3637" t="str">
            <v>NL410028</v>
          </cell>
          <cell r="B3637" t="str">
            <v>Chả quế NV</v>
          </cell>
          <cell r="C3637" t="str">
            <v>kg</v>
          </cell>
        </row>
        <row r="3638">
          <cell r="A3638" t="str">
            <v>NL410029</v>
          </cell>
          <cell r="B3638" t="str">
            <v>Thịt cốt lết (NV)</v>
          </cell>
          <cell r="C3638" t="str">
            <v>kg</v>
          </cell>
        </row>
        <row r="3639">
          <cell r="A3639" t="str">
            <v>NL410030</v>
          </cell>
          <cell r="B3639" t="str">
            <v>Cua (NV)</v>
          </cell>
          <cell r="C3639" t="str">
            <v>kg</v>
          </cell>
        </row>
        <row r="3640">
          <cell r="A3640" t="str">
            <v>NL410031</v>
          </cell>
          <cell r="B3640" t="str">
            <v>Cuống họng NV</v>
          </cell>
          <cell r="C3640" t="str">
            <v>kg</v>
          </cell>
        </row>
        <row r="3641">
          <cell r="A3641" t="str">
            <v>NL410032</v>
          </cell>
          <cell r="B3641" t="str">
            <v>Da heo NV</v>
          </cell>
          <cell r="C3641" t="str">
            <v>kg</v>
          </cell>
        </row>
        <row r="3642">
          <cell r="A3642" t="str">
            <v>NL410033</v>
          </cell>
          <cell r="B3642" t="str">
            <v>Dồi tiết (NV)</v>
          </cell>
          <cell r="C3642" t="str">
            <v>kg</v>
          </cell>
        </row>
        <row r="3643">
          <cell r="A3643" t="str">
            <v>NL410034</v>
          </cell>
          <cell r="B3643" t="str">
            <v>Đùi gà NV</v>
          </cell>
          <cell r="C3643" t="str">
            <v>kg</v>
          </cell>
        </row>
        <row r="3644">
          <cell r="A3644" t="str">
            <v>NL410035</v>
          </cell>
          <cell r="B3644" t="str">
            <v>Đuôi lợn NV</v>
          </cell>
          <cell r="C3644" t="str">
            <v>kg</v>
          </cell>
        </row>
        <row r="3645">
          <cell r="A3645" t="str">
            <v>NL410036</v>
          </cell>
          <cell r="B3645" t="str">
            <v>Ếch NV</v>
          </cell>
          <cell r="C3645" t="str">
            <v>kg</v>
          </cell>
        </row>
        <row r="3646">
          <cell r="A3646" t="str">
            <v>NL410037</v>
          </cell>
          <cell r="B3646" t="str">
            <v>Gà công nghiệp (NV)</v>
          </cell>
          <cell r="C3646" t="str">
            <v>kg</v>
          </cell>
        </row>
        <row r="3647">
          <cell r="A3647" t="str">
            <v>NL410038</v>
          </cell>
          <cell r="B3647" t="str">
            <v>Gà mía NV</v>
          </cell>
          <cell r="C3647" t="str">
            <v>kg</v>
          </cell>
        </row>
        <row r="3648">
          <cell r="A3648" t="str">
            <v>NL410039</v>
          </cell>
          <cell r="B3648" t="str">
            <v>Gân bò NV</v>
          </cell>
          <cell r="C3648" t="str">
            <v>kg</v>
          </cell>
        </row>
        <row r="3649">
          <cell r="A3649" t="str">
            <v>NL410040</v>
          </cell>
          <cell r="B3649" t="str">
            <v>Gan gà NV</v>
          </cell>
          <cell r="C3649" t="str">
            <v>kg</v>
          </cell>
        </row>
        <row r="3650">
          <cell r="A3650" t="str">
            <v>NL410041</v>
          </cell>
          <cell r="B3650" t="str">
            <v>Gan lợn NV</v>
          </cell>
          <cell r="C3650" t="str">
            <v>kg</v>
          </cell>
        </row>
        <row r="3651">
          <cell r="A3651" t="str">
            <v>NL410042</v>
          </cell>
          <cell r="B3651" t="str">
            <v>Gà nhân viên (NV)</v>
          </cell>
          <cell r="C3651" t="str">
            <v>kg</v>
          </cell>
        </row>
        <row r="3652">
          <cell r="A3652" t="str">
            <v>NL410043</v>
          </cell>
          <cell r="B3652" t="str">
            <v>Gầu bò NV</v>
          </cell>
          <cell r="C3652" t="str">
            <v>kg</v>
          </cell>
        </row>
        <row r="3653">
          <cell r="A3653" t="str">
            <v>NL410044</v>
          </cell>
          <cell r="B3653" t="str">
            <v>Giò bò NV</v>
          </cell>
          <cell r="C3653" t="str">
            <v>kg</v>
          </cell>
        </row>
        <row r="3654">
          <cell r="A3654" t="str">
            <v>NL410045</v>
          </cell>
          <cell r="B3654" t="str">
            <v>Giò lụa NV</v>
          </cell>
          <cell r="C3654" t="str">
            <v>kg</v>
          </cell>
        </row>
        <row r="3655">
          <cell r="A3655" t="str">
            <v>NL410046</v>
          </cell>
          <cell r="B3655" t="str">
            <v>Giò sống NV</v>
          </cell>
          <cell r="C3655" t="str">
            <v>kg</v>
          </cell>
        </row>
        <row r="3656">
          <cell r="A3656" t="str">
            <v>NL410047</v>
          </cell>
          <cell r="B3656" t="str">
            <v>Giò tai NV</v>
          </cell>
          <cell r="C3656" t="str">
            <v>kg</v>
          </cell>
        </row>
        <row r="3657">
          <cell r="A3657" t="str">
            <v>NL410048</v>
          </cell>
          <cell r="B3657" t="str">
            <v>Giò xào NV</v>
          </cell>
          <cell r="C3657" t="str">
            <v>kg</v>
          </cell>
        </row>
        <row r="3658">
          <cell r="A3658" t="str">
            <v>NL410049</v>
          </cell>
          <cell r="B3658" t="str">
            <v>Huyết heo NV</v>
          </cell>
          <cell r="C3658" t="str">
            <v>kg</v>
          </cell>
        </row>
        <row r="3659">
          <cell r="A3659" t="str">
            <v>NL410050</v>
          </cell>
          <cell r="B3659" t="str">
            <v>Lá Lách NV</v>
          </cell>
          <cell r="C3659" t="str">
            <v>kg</v>
          </cell>
        </row>
        <row r="3660">
          <cell r="A3660" t="str">
            <v>NL410051</v>
          </cell>
          <cell r="B3660" t="str">
            <v>Lòng (NV)</v>
          </cell>
          <cell r="C3660" t="str">
            <v>kg</v>
          </cell>
        </row>
        <row r="3661">
          <cell r="A3661" t="str">
            <v>NL410052</v>
          </cell>
          <cell r="B3661" t="str">
            <v>Lòng già (NV)</v>
          </cell>
          <cell r="C3661" t="str">
            <v>kg</v>
          </cell>
        </row>
        <row r="3662">
          <cell r="A3662" t="str">
            <v>NL410053</v>
          </cell>
          <cell r="B3662" t="str">
            <v>Lòng mề gà NV</v>
          </cell>
          <cell r="C3662" t="str">
            <v>kg</v>
          </cell>
        </row>
        <row r="3663">
          <cell r="A3663" t="str">
            <v>NL410054</v>
          </cell>
          <cell r="B3663" t="str">
            <v>Lưỡi lợn NV</v>
          </cell>
          <cell r="C3663" t="str">
            <v>kg</v>
          </cell>
        </row>
        <row r="3664">
          <cell r="A3664" t="str">
            <v>NL410055</v>
          </cell>
          <cell r="B3664" t="str">
            <v>Thịt lưỡi NV</v>
          </cell>
          <cell r="C3664" t="str">
            <v>kg</v>
          </cell>
        </row>
        <row r="3665">
          <cell r="A3665" t="str">
            <v>NL410056</v>
          </cell>
          <cell r="B3665" t="str">
            <v>Lườn ngỗng NV</v>
          </cell>
          <cell r="C3665" t="str">
            <v>kg</v>
          </cell>
        </row>
        <row r="3666">
          <cell r="A3666" t="str">
            <v>NL410057</v>
          </cell>
          <cell r="B3666" t="str">
            <v>Mắm cá linh NV</v>
          </cell>
          <cell r="C3666" t="str">
            <v>kg</v>
          </cell>
        </row>
        <row r="3667">
          <cell r="A3667" t="str">
            <v>NL410058</v>
          </cell>
          <cell r="B3667" t="str">
            <v>Mề gà NV</v>
          </cell>
          <cell r="C3667" t="str">
            <v>kg</v>
          </cell>
        </row>
        <row r="3668">
          <cell r="A3668" t="str">
            <v>NL410059</v>
          </cell>
          <cell r="B3668" t="str">
            <v>Mề Vịt NV</v>
          </cell>
          <cell r="C3668" t="str">
            <v>kg</v>
          </cell>
        </row>
        <row r="3669">
          <cell r="A3669" t="str">
            <v>NL410060</v>
          </cell>
          <cell r="B3669" t="str">
            <v>Mọc NV</v>
          </cell>
          <cell r="C3669" t="str">
            <v>kg</v>
          </cell>
        </row>
        <row r="3670">
          <cell r="A3670" t="str">
            <v>NL410061</v>
          </cell>
          <cell r="B3670" t="str">
            <v>Móng giò (NV)</v>
          </cell>
          <cell r="C3670" t="str">
            <v>kg</v>
          </cell>
        </row>
        <row r="3671">
          <cell r="A3671" t="str">
            <v>NL410062</v>
          </cell>
          <cell r="B3671" t="str">
            <v>Mỡ NV</v>
          </cell>
          <cell r="C3671" t="str">
            <v>kg</v>
          </cell>
        </row>
        <row r="3672">
          <cell r="A3672" t="str">
            <v>NL410063</v>
          </cell>
          <cell r="B3672" t="str">
            <v>Mỡ phần NV</v>
          </cell>
          <cell r="C3672" t="str">
            <v>kg</v>
          </cell>
        </row>
        <row r="3673">
          <cell r="A3673" t="str">
            <v>NL410064</v>
          </cell>
          <cell r="B3673" t="str">
            <v>Mực lá NV</v>
          </cell>
          <cell r="C3673" t="str">
            <v>kg</v>
          </cell>
        </row>
        <row r="3674">
          <cell r="A3674" t="str">
            <v>NL410065</v>
          </cell>
          <cell r="B3674" t="str">
            <v>Mực ống NV</v>
          </cell>
          <cell r="C3674" t="str">
            <v>kg</v>
          </cell>
        </row>
        <row r="3675">
          <cell r="A3675" t="str">
            <v>NL410066</v>
          </cell>
          <cell r="B3675" t="str">
            <v>Mũi lợn NV</v>
          </cell>
          <cell r="C3675" t="str">
            <v>kg</v>
          </cell>
        </row>
        <row r="3676">
          <cell r="A3676" t="str">
            <v>NL410067</v>
          </cell>
          <cell r="B3676" t="str">
            <v>Thịt nạc dăm NV</v>
          </cell>
          <cell r="C3676" t="str">
            <v>kg</v>
          </cell>
        </row>
        <row r="3677">
          <cell r="A3677" t="str">
            <v>NL410068</v>
          </cell>
          <cell r="B3677" t="str">
            <v>Nạm bò NV</v>
          </cell>
          <cell r="C3677" t="str">
            <v>kg</v>
          </cell>
        </row>
        <row r="3678">
          <cell r="A3678" t="str">
            <v>NL410069</v>
          </cell>
          <cell r="B3678" t="str">
            <v>Ngan NV</v>
          </cell>
          <cell r="C3678" t="str">
            <v>kg</v>
          </cell>
        </row>
        <row r="3679">
          <cell r="A3679" t="str">
            <v>NL410070</v>
          </cell>
          <cell r="B3679" t="str">
            <v>Ngao NV</v>
          </cell>
          <cell r="C3679" t="str">
            <v>kg</v>
          </cell>
        </row>
        <row r="3680">
          <cell r="A3680" t="str">
            <v>NL410071</v>
          </cell>
          <cell r="B3680" t="str">
            <v>Nhộng tằm NV</v>
          </cell>
          <cell r="C3680" t="str">
            <v>kg</v>
          </cell>
        </row>
        <row r="3681">
          <cell r="A3681" t="str">
            <v>NL410072</v>
          </cell>
          <cell r="B3681" t="str">
            <v>Nõn Đuôi Nhân Viên</v>
          </cell>
          <cell r="C3681" t="str">
            <v>kg</v>
          </cell>
        </row>
        <row r="3682">
          <cell r="A3682" t="str">
            <v>NL410073</v>
          </cell>
          <cell r="B3682" t="str">
            <v>Ruột ốc NV</v>
          </cell>
          <cell r="C3682" t="str">
            <v>kg</v>
          </cell>
        </row>
        <row r="3683">
          <cell r="A3683" t="str">
            <v>NL410074</v>
          </cell>
          <cell r="B3683" t="str">
            <v>Ốc NV</v>
          </cell>
          <cell r="C3683" t="str">
            <v>kg</v>
          </cell>
        </row>
        <row r="3684">
          <cell r="A3684" t="str">
            <v>NL410075</v>
          </cell>
          <cell r="B3684" t="str">
            <v>Phổi lơn NV</v>
          </cell>
          <cell r="C3684" t="str">
            <v>kg</v>
          </cell>
        </row>
        <row r="3685">
          <cell r="A3685" t="str">
            <v>NL410076</v>
          </cell>
          <cell r="B3685" t="str">
            <v>Sụn NV</v>
          </cell>
          <cell r="C3685" t="str">
            <v>kg</v>
          </cell>
        </row>
        <row r="3686">
          <cell r="A3686" t="str">
            <v>NL410077</v>
          </cell>
          <cell r="B3686" t="str">
            <v>Dẻ sườn bò NV</v>
          </cell>
          <cell r="C3686" t="str">
            <v>kg</v>
          </cell>
        </row>
        <row r="3687">
          <cell r="A3687" t="str">
            <v>NL410078</v>
          </cell>
          <cell r="B3687" t="str">
            <v>Sườn non(NV)</v>
          </cell>
          <cell r="C3687" t="str">
            <v>kg</v>
          </cell>
        </row>
        <row r="3688">
          <cell r="A3688" t="str">
            <v>NL410079</v>
          </cell>
          <cell r="B3688" t="str">
            <v>Sườn (NV)</v>
          </cell>
          <cell r="C3688" t="str">
            <v>kg</v>
          </cell>
        </row>
        <row r="3689">
          <cell r="A3689" t="str">
            <v>NL410080</v>
          </cell>
          <cell r="B3689" t="str">
            <v>Tai lợn NV</v>
          </cell>
          <cell r="C3689" t="str">
            <v>kg</v>
          </cell>
        </row>
        <row r="3690">
          <cell r="A3690" t="str">
            <v>NL410081</v>
          </cell>
          <cell r="B3690" t="str">
            <v>thịt tai mũi (NV)</v>
          </cell>
          <cell r="C3690" t="str">
            <v>kg</v>
          </cell>
        </row>
        <row r="3691">
          <cell r="A3691" t="str">
            <v>NL410082</v>
          </cell>
          <cell r="B3691" t="str">
            <v>Tép Khô NV</v>
          </cell>
          <cell r="C3691" t="str">
            <v>kg</v>
          </cell>
        </row>
        <row r="3692">
          <cell r="A3692" t="str">
            <v>NL410083</v>
          </cell>
          <cell r="B3692" t="str">
            <v>Tép tươi NV</v>
          </cell>
          <cell r="C3692" t="str">
            <v>kg</v>
          </cell>
        </row>
        <row r="3693">
          <cell r="A3693" t="str">
            <v>NL410084</v>
          </cell>
          <cell r="B3693" t="str">
            <v>Thăn bò  (NV)</v>
          </cell>
          <cell r="C3693" t="str">
            <v>kg</v>
          </cell>
        </row>
        <row r="3694">
          <cell r="A3694" t="str">
            <v>NL410085</v>
          </cell>
          <cell r="B3694" t="str">
            <v>Thịt ba chỉ (NV)</v>
          </cell>
          <cell r="C3694" t="str">
            <v>kg</v>
          </cell>
        </row>
        <row r="3695">
          <cell r="A3695" t="str">
            <v>NL410086</v>
          </cell>
          <cell r="B3695" t="str">
            <v>Thịt Bò NV</v>
          </cell>
          <cell r="C3695" t="str">
            <v>kg</v>
          </cell>
        </row>
        <row r="3696">
          <cell r="A3696" t="str">
            <v>NL410087</v>
          </cell>
          <cell r="B3696" t="str">
            <v>Thịt chân giò NV</v>
          </cell>
          <cell r="C3696" t="str">
            <v>kg</v>
          </cell>
        </row>
        <row r="3697">
          <cell r="A3697" t="str">
            <v>NL410088</v>
          </cell>
          <cell r="B3697" t="str">
            <v>Thịt dải lợn NV</v>
          </cell>
          <cell r="C3697" t="str">
            <v>kg</v>
          </cell>
        </row>
        <row r="3698">
          <cell r="A3698" t="str">
            <v>NL410089</v>
          </cell>
          <cell r="B3698" t="str">
            <v>Thịt đùi NV</v>
          </cell>
          <cell r="C3698" t="str">
            <v>kg</v>
          </cell>
        </row>
        <row r="3699">
          <cell r="A3699" t="str">
            <v>NL410090</v>
          </cell>
          <cell r="B3699" t="str">
            <v>Thịt má NV</v>
          </cell>
          <cell r="C3699" t="str">
            <v>kg</v>
          </cell>
        </row>
        <row r="3700">
          <cell r="A3700" t="str">
            <v>NL410091</v>
          </cell>
          <cell r="B3700" t="str">
            <v>Thịt Mông NV</v>
          </cell>
          <cell r="C3700" t="str">
            <v>kg</v>
          </cell>
        </row>
        <row r="3701">
          <cell r="A3701" t="str">
            <v>NL410092</v>
          </cell>
          <cell r="B3701" t="str">
            <v>Thịt thăn NV</v>
          </cell>
          <cell r="C3701" t="str">
            <v>kg</v>
          </cell>
        </row>
        <row r="3702">
          <cell r="A3702" t="str">
            <v>NL410093</v>
          </cell>
          <cell r="B3702" t="str">
            <v>Thịt thủ NV</v>
          </cell>
          <cell r="C3702" t="str">
            <v>kg</v>
          </cell>
        </row>
        <row r="3703">
          <cell r="A3703" t="str">
            <v>NL410094</v>
          </cell>
          <cell r="B3703" t="str">
            <v>Thịt vai bò NV</v>
          </cell>
          <cell r="C3703" t="str">
            <v>kg</v>
          </cell>
        </row>
        <row r="3704">
          <cell r="A3704" t="str">
            <v>NL410095</v>
          </cell>
          <cell r="B3704" t="str">
            <v>THỊT VAI NV</v>
          </cell>
          <cell r="C3704" t="str">
            <v>kg</v>
          </cell>
        </row>
        <row r="3705">
          <cell r="A3705" t="str">
            <v>NL410096</v>
          </cell>
          <cell r="B3705" t="str">
            <v>Thịt xay (NV)</v>
          </cell>
          <cell r="C3705" t="str">
            <v>kg</v>
          </cell>
        </row>
        <row r="3706">
          <cell r="A3706" t="str">
            <v>NL410097</v>
          </cell>
          <cell r="B3706" t="str">
            <v>Tiết NV</v>
          </cell>
          <cell r="C3706" t="str">
            <v>kg</v>
          </cell>
        </row>
        <row r="3707">
          <cell r="A3707" t="str">
            <v>NL410098</v>
          </cell>
          <cell r="B3707" t="str">
            <v>Tim bò NV</v>
          </cell>
          <cell r="C3707" t="str">
            <v>kg</v>
          </cell>
        </row>
        <row r="3708">
          <cell r="A3708" t="str">
            <v>NL410099</v>
          </cell>
          <cell r="B3708" t="str">
            <v>Tim gà NV</v>
          </cell>
          <cell r="C3708" t="str">
            <v>kg</v>
          </cell>
        </row>
        <row r="3709">
          <cell r="A3709" t="str">
            <v>NL410100</v>
          </cell>
          <cell r="B3709" t="str">
            <v>Tim NV</v>
          </cell>
          <cell r="C3709" t="str">
            <v>kg</v>
          </cell>
        </row>
        <row r="3710">
          <cell r="A3710" t="str">
            <v>NL410101</v>
          </cell>
          <cell r="B3710" t="str">
            <v>Tôm RIU (NV)</v>
          </cell>
          <cell r="C3710" t="str">
            <v>kg</v>
          </cell>
        </row>
        <row r="3711">
          <cell r="A3711" t="str">
            <v>NL410102</v>
          </cell>
          <cell r="B3711" t="str">
            <v>Tôm lớt (NV)</v>
          </cell>
          <cell r="C3711" t="str">
            <v>kg</v>
          </cell>
        </row>
        <row r="3712">
          <cell r="A3712" t="str">
            <v>NL410103</v>
          </cell>
          <cell r="B3712" t="str">
            <v>Tôm Nõn NV</v>
          </cell>
          <cell r="C3712" t="str">
            <v>kg</v>
          </cell>
        </row>
        <row r="3713">
          <cell r="A3713" t="str">
            <v>NL410104</v>
          </cell>
          <cell r="B3713" t="str">
            <v>Tôm to NV</v>
          </cell>
          <cell r="C3713" t="str">
            <v>kg</v>
          </cell>
        </row>
        <row r="3714">
          <cell r="A3714" t="str">
            <v>NL410105</v>
          </cell>
          <cell r="B3714" t="str">
            <v>Trứng vịt lộn NV</v>
          </cell>
          <cell r="C3714" t="str">
            <v>quả</v>
          </cell>
        </row>
        <row r="3715">
          <cell r="A3715" t="str">
            <v>NL410106</v>
          </cell>
          <cell r="B3715" t="str">
            <v>Trứng vịt NV</v>
          </cell>
          <cell r="C3715" t="str">
            <v>quả</v>
          </cell>
        </row>
        <row r="3716">
          <cell r="A3716" t="str">
            <v>NL410107</v>
          </cell>
          <cell r="B3716" t="str">
            <v>Ức gà NV</v>
          </cell>
          <cell r="C3716" t="str">
            <v>kg</v>
          </cell>
        </row>
        <row r="3717">
          <cell r="A3717" t="str">
            <v>NL410108</v>
          </cell>
          <cell r="B3717" t="str">
            <v>Thịt vai bỏ bì (NV)</v>
          </cell>
          <cell r="C3717" t="str">
            <v>kg</v>
          </cell>
        </row>
        <row r="3718">
          <cell r="A3718" t="str">
            <v>NL410109</v>
          </cell>
          <cell r="B3718" t="str">
            <v>Vịt NV</v>
          </cell>
          <cell r="C3718" t="str">
            <v>kg</v>
          </cell>
        </row>
        <row r="3719">
          <cell r="A3719" t="str">
            <v>NL410110</v>
          </cell>
          <cell r="B3719" t="str">
            <v>Xách Đen NV</v>
          </cell>
          <cell r="C3719" t="str">
            <v>kg</v>
          </cell>
        </row>
        <row r="3720">
          <cell r="A3720" t="str">
            <v>NL410111</v>
          </cell>
          <cell r="B3720" t="str">
            <v>Xương gà NV</v>
          </cell>
          <cell r="C3720" t="str">
            <v>kg</v>
          </cell>
        </row>
        <row r="3721">
          <cell r="A3721" t="str">
            <v>NL410112</v>
          </cell>
          <cell r="B3721" t="str">
            <v>Xương lợn NV</v>
          </cell>
          <cell r="C3721" t="str">
            <v>kg</v>
          </cell>
        </row>
        <row r="3722">
          <cell r="A3722" t="str">
            <v>NL410113</v>
          </cell>
          <cell r="B3722" t="str">
            <v>Giò khoanh NV</v>
          </cell>
          <cell r="C3722" t="str">
            <v>kg</v>
          </cell>
        </row>
        <row r="3723">
          <cell r="A3723" t="str">
            <v>NL410114</v>
          </cell>
          <cell r="B3723" t="str">
            <v>Cá đùi gà NV</v>
          </cell>
          <cell r="C3723" t="str">
            <v>kg</v>
          </cell>
        </row>
        <row r="3724">
          <cell r="A3724" t="str">
            <v>NL410115</v>
          </cell>
          <cell r="B3724" t="str">
            <v>Thịt trâu NV</v>
          </cell>
          <cell r="C3724" t="str">
            <v>kg</v>
          </cell>
        </row>
        <row r="3725">
          <cell r="A3725" t="str">
            <v>NL410116</v>
          </cell>
          <cell r="B3725" t="str">
            <v>Cá hường NV</v>
          </cell>
          <cell r="C3725" t="str">
            <v>kg</v>
          </cell>
        </row>
        <row r="3726">
          <cell r="A3726" t="str">
            <v>NL410117</v>
          </cell>
          <cell r="B3726" t="str">
            <v>Cá mó NV</v>
          </cell>
          <cell r="C3726" t="str">
            <v>kg</v>
          </cell>
        </row>
        <row r="3727">
          <cell r="A3727" t="str">
            <v>NL410118</v>
          </cell>
          <cell r="B3727" t="str">
            <v>Thịt chó NV</v>
          </cell>
          <cell r="C3727" t="str">
            <v>kg</v>
          </cell>
        </row>
        <row r="3728">
          <cell r="A3728" t="str">
            <v>NL410119</v>
          </cell>
          <cell r="B3728" t="str">
            <v>Ếch bỏ ruột NV</v>
          </cell>
          <cell r="C3728" t="str">
            <v>kg</v>
          </cell>
        </row>
        <row r="3729">
          <cell r="A3729" t="str">
            <v>NL410120</v>
          </cell>
          <cell r="B3729" t="str">
            <v>Thịt thủ NV</v>
          </cell>
          <cell r="C3729" t="str">
            <v>kg</v>
          </cell>
        </row>
        <row r="3730">
          <cell r="A3730" t="str">
            <v>NL410121</v>
          </cell>
          <cell r="B3730" t="str">
            <v>Đùi gà góc tư NV</v>
          </cell>
          <cell r="C3730" t="str">
            <v>kg</v>
          </cell>
        </row>
        <row r="3731">
          <cell r="A3731" t="str">
            <v>NL410200</v>
          </cell>
          <cell r="B3731" t="str">
            <v>Cá rô phi bỏ ruột NV</v>
          </cell>
          <cell r="C3731" t="str">
            <v>kg</v>
          </cell>
        </row>
        <row r="3732">
          <cell r="A3732" t="str">
            <v>NL410201</v>
          </cell>
          <cell r="B3732" t="str">
            <v>Cá trắm bỏ ruột NV</v>
          </cell>
          <cell r="C3732" t="str">
            <v>kg</v>
          </cell>
        </row>
        <row r="3733">
          <cell r="A3733" t="str">
            <v>NL410202</v>
          </cell>
          <cell r="B3733" t="str">
            <v>Cá chép bỏ ruột NV</v>
          </cell>
          <cell r="C3733" t="str">
            <v>kg</v>
          </cell>
        </row>
        <row r="3734">
          <cell r="A3734" t="str">
            <v>NL410203</v>
          </cell>
          <cell r="B3734" t="str">
            <v>Cá chỉ vàng khô NV</v>
          </cell>
          <cell r="C3734" t="str">
            <v>kg</v>
          </cell>
        </row>
        <row r="3735">
          <cell r="A3735" t="str">
            <v>NL410204</v>
          </cell>
          <cell r="B3735" t="str">
            <v>Xương đầu heo NV</v>
          </cell>
          <cell r="C3735" t="str">
            <v>kg</v>
          </cell>
        </row>
        <row r="3736">
          <cell r="A3736" t="str">
            <v>NL410205</v>
          </cell>
          <cell r="B3736" t="str">
            <v>Khấu đuôi NV</v>
          </cell>
          <cell r="C3736" t="str">
            <v>kg</v>
          </cell>
        </row>
        <row r="3737">
          <cell r="A3737" t="str">
            <v>NL410206</v>
          </cell>
          <cell r="B3737" t="str">
            <v>Cổ cánh vịt NV</v>
          </cell>
          <cell r="C3737" t="str">
            <v>kg</v>
          </cell>
        </row>
        <row r="3738">
          <cell r="A3738" t="str">
            <v>NL410207</v>
          </cell>
          <cell r="B3738" t="str">
            <v>Mực mai NV</v>
          </cell>
          <cell r="C3738" t="str">
            <v>kg</v>
          </cell>
        </row>
        <row r="3739">
          <cell r="A3739" t="str">
            <v>NL410208</v>
          </cell>
          <cell r="B3739" t="str">
            <v>Dồi sụn (NV)</v>
          </cell>
          <cell r="C3739" t="str">
            <v>kg</v>
          </cell>
        </row>
        <row r="3740">
          <cell r="A3740" t="str">
            <v>NL410209</v>
          </cell>
          <cell r="B3740" t="str">
            <v>Thịt Diềm Thăn Bò (NV)</v>
          </cell>
          <cell r="C3740" t="str">
            <v>kg</v>
          </cell>
        </row>
        <row r="3741">
          <cell r="A3741" t="str">
            <v>NL410210</v>
          </cell>
          <cell r="B3741" t="str">
            <v>Cá Tép (NV)</v>
          </cell>
          <cell r="C3741" t="str">
            <v>kg</v>
          </cell>
        </row>
        <row r="3742">
          <cell r="A3742" t="str">
            <v>NL410211</v>
          </cell>
          <cell r="B3742" t="str">
            <v>Ruột hàu NV</v>
          </cell>
          <cell r="C3742" t="str">
            <v>kg</v>
          </cell>
        </row>
        <row r="3743">
          <cell r="A3743" t="str">
            <v>NL410212</v>
          </cell>
          <cell r="B3743" t="str">
            <v>Chả cá tươi (NV)</v>
          </cell>
          <cell r="C3743" t="str">
            <v>kg</v>
          </cell>
        </row>
        <row r="3744">
          <cell r="A3744" t="str">
            <v>NL410213</v>
          </cell>
          <cell r="B3744" t="str">
            <v>Lưỡi bò NV</v>
          </cell>
          <cell r="C3744" t="str">
            <v>kg</v>
          </cell>
        </row>
        <row r="3745">
          <cell r="A3745" t="str">
            <v>NL410214</v>
          </cell>
          <cell r="B3745" t="str">
            <v>Xúc xích (NV)</v>
          </cell>
          <cell r="C3745" t="str">
            <v>kg</v>
          </cell>
        </row>
        <row r="3746">
          <cell r="A3746" t="str">
            <v>NL410215</v>
          </cell>
          <cell r="B3746" t="str">
            <v>Chả mực NV</v>
          </cell>
          <cell r="C3746" t="str">
            <v>kg</v>
          </cell>
        </row>
        <row r="3747">
          <cell r="A3747" t="str">
            <v>NL410216</v>
          </cell>
          <cell r="B3747" t="str">
            <v>Cá trắm khúc giữa NV</v>
          </cell>
          <cell r="C3747" t="str">
            <v>kg</v>
          </cell>
        </row>
        <row r="3748">
          <cell r="A3748" t="str">
            <v>NL410217</v>
          </cell>
          <cell r="B3748" t="str">
            <v>Khoai Từ (Củ Từ) NV</v>
          </cell>
          <cell r="C3748" t="str">
            <v>kg</v>
          </cell>
        </row>
        <row r="3749">
          <cell r="A3749" t="str">
            <v>NL410218</v>
          </cell>
          <cell r="B3749" t="str">
            <v>Cá thu NV</v>
          </cell>
          <cell r="C3749" t="str">
            <v>kg</v>
          </cell>
        </row>
        <row r="3750">
          <cell r="A3750" t="str">
            <v>NL420001</v>
          </cell>
          <cell r="B3750" t="str">
            <v>Bột canh NV</v>
          </cell>
          <cell r="C3750" t="str">
            <v>Gói</v>
          </cell>
        </row>
        <row r="3751">
          <cell r="A3751" t="str">
            <v>NL420002</v>
          </cell>
          <cell r="B3751" t="str">
            <v>Bột cà ri NV</v>
          </cell>
          <cell r="C3751" t="str">
            <v>Gói</v>
          </cell>
        </row>
        <row r="3752">
          <cell r="A3752" t="str">
            <v>NL420003</v>
          </cell>
          <cell r="B3752" t="str">
            <v>Bột chiên giòn NV</v>
          </cell>
          <cell r="C3752" t="str">
            <v>kg</v>
          </cell>
        </row>
        <row r="3753">
          <cell r="A3753" t="str">
            <v>NL420004</v>
          </cell>
          <cell r="B3753" t="str">
            <v>Bột chiên AJQJ (42gr/túi) NV</v>
          </cell>
          <cell r="C3753" t="str">
            <v>Gói</v>
          </cell>
        </row>
        <row r="3754">
          <cell r="A3754" t="str">
            <v>NL420005</v>
          </cell>
          <cell r="B3754" t="str">
            <v>Bột thính NV</v>
          </cell>
          <cell r="C3754" t="str">
            <v>Túi</v>
          </cell>
        </row>
        <row r="3755">
          <cell r="A3755" t="str">
            <v>NL420006</v>
          </cell>
          <cell r="B3755" t="str">
            <v>Bột tôm NV</v>
          </cell>
          <cell r="C3755" t="str">
            <v>Gói</v>
          </cell>
        </row>
        <row r="3756">
          <cell r="A3756" t="str">
            <v>NL420007</v>
          </cell>
          <cell r="B3756" t="str">
            <v>Bột chiên xù NV</v>
          </cell>
          <cell r="C3756" t="str">
            <v>Gói</v>
          </cell>
        </row>
        <row r="3757">
          <cell r="A3757" t="str">
            <v>NL420008</v>
          </cell>
          <cell r="B3757" t="str">
            <v>Chao đỏ NV</v>
          </cell>
          <cell r="C3757" t="str">
            <v>kg</v>
          </cell>
        </row>
        <row r="3758">
          <cell r="A3758" t="str">
            <v>NL420009</v>
          </cell>
          <cell r="B3758" t="str">
            <v>Nước cốt dừa NV</v>
          </cell>
          <cell r="C3758" t="str">
            <v>Hộp</v>
          </cell>
        </row>
        <row r="3759">
          <cell r="A3759" t="str">
            <v>NL420010</v>
          </cell>
          <cell r="B3759" t="str">
            <v>Dấm Bỗng NV</v>
          </cell>
          <cell r="C3759" t="str">
            <v>Lít</v>
          </cell>
        </row>
        <row r="3760">
          <cell r="A3760" t="str">
            <v>NL420011</v>
          </cell>
          <cell r="B3760" t="str">
            <v>Dấm gạo NV</v>
          </cell>
          <cell r="C3760" t="str">
            <v>Chai</v>
          </cell>
        </row>
        <row r="3761">
          <cell r="A3761" t="str">
            <v>NL420012</v>
          </cell>
          <cell r="B3761" t="str">
            <v>Dầu ăn NV</v>
          </cell>
          <cell r="C3761" t="str">
            <v>Can</v>
          </cell>
        </row>
        <row r="3762">
          <cell r="A3762" t="str">
            <v>NL420013</v>
          </cell>
          <cell r="B3762" t="str">
            <v>Đậu Đỏ NV</v>
          </cell>
          <cell r="C3762" t="str">
            <v>kg</v>
          </cell>
        </row>
        <row r="3763">
          <cell r="A3763" t="str">
            <v>NL420014</v>
          </cell>
          <cell r="B3763" t="str">
            <v>Dầu hào nhân viên</v>
          </cell>
          <cell r="C3763" t="str">
            <v>Chai</v>
          </cell>
        </row>
        <row r="3764">
          <cell r="A3764" t="str">
            <v>NL420015</v>
          </cell>
          <cell r="B3764" t="str">
            <v>Đỗ đen NV</v>
          </cell>
          <cell r="C3764" t="str">
            <v>kg</v>
          </cell>
        </row>
        <row r="3765">
          <cell r="A3765" t="str">
            <v>NL420016</v>
          </cell>
          <cell r="B3765" t="str">
            <v>Đỗ đỏ NV</v>
          </cell>
          <cell r="C3765" t="str">
            <v>kg</v>
          </cell>
        </row>
        <row r="3766">
          <cell r="A3766" t="str">
            <v>NL420017</v>
          </cell>
          <cell r="B3766" t="str">
            <v>Đỗ xanh NV</v>
          </cell>
          <cell r="C3766" t="str">
            <v>kg</v>
          </cell>
        </row>
        <row r="3767">
          <cell r="A3767" t="str">
            <v>NL420018</v>
          </cell>
          <cell r="B3767" t="str">
            <v>Dừa khô NV</v>
          </cell>
          <cell r="C3767" t="str">
            <v>Gói</v>
          </cell>
        </row>
        <row r="3768">
          <cell r="A3768" t="str">
            <v>NL420019</v>
          </cell>
          <cell r="B3768" t="str">
            <v>Đường NV</v>
          </cell>
          <cell r="C3768" t="str">
            <v>kg</v>
          </cell>
        </row>
        <row r="3769">
          <cell r="A3769" t="str">
            <v>NL420020</v>
          </cell>
          <cell r="B3769" t="str">
            <v>Gia vị bò kho NV</v>
          </cell>
          <cell r="C3769" t="str">
            <v>Gói</v>
          </cell>
        </row>
        <row r="3770">
          <cell r="A3770" t="str">
            <v>NL420021</v>
          </cell>
          <cell r="B3770" t="str">
            <v>Gia vị phở NV</v>
          </cell>
          <cell r="C3770" t="str">
            <v>Gói</v>
          </cell>
        </row>
        <row r="3771">
          <cell r="A3771" t="str">
            <v>NL420022</v>
          </cell>
          <cell r="B3771" t="str">
            <v>Hạt nêm NV</v>
          </cell>
          <cell r="C3771" t="str">
            <v>kg</v>
          </cell>
        </row>
        <row r="3772">
          <cell r="A3772" t="str">
            <v>NL420023</v>
          </cell>
          <cell r="B3772" t="str">
            <v>Hồi NV</v>
          </cell>
          <cell r="C3772" t="str">
            <v>kg</v>
          </cell>
        </row>
        <row r="3773">
          <cell r="A3773" t="str">
            <v>NL420024</v>
          </cell>
          <cell r="B3773" t="str">
            <v>Lạc sống NV</v>
          </cell>
          <cell r="C3773" t="str">
            <v>kg</v>
          </cell>
        </row>
        <row r="3774">
          <cell r="A3774" t="str">
            <v>NL420025</v>
          </cell>
          <cell r="B3774" t="str">
            <v>Mắm tép NV</v>
          </cell>
          <cell r="C3774" t="str">
            <v>Chai</v>
          </cell>
        </row>
        <row r="3775">
          <cell r="A3775" t="str">
            <v>NL420026</v>
          </cell>
          <cell r="B3775" t="str">
            <v>Mắm tôm (Hải sản ba làng) NV</v>
          </cell>
          <cell r="C3775" t="str">
            <v>kg</v>
          </cell>
        </row>
        <row r="3776">
          <cell r="A3776" t="str">
            <v>NL420027</v>
          </cell>
          <cell r="B3776" t="str">
            <v>Mẻ Trắng NV</v>
          </cell>
          <cell r="C3776" t="str">
            <v>Chai</v>
          </cell>
        </row>
        <row r="3777">
          <cell r="A3777" t="str">
            <v>NL420028</v>
          </cell>
          <cell r="B3777" t="str">
            <v>Me vàng NV</v>
          </cell>
          <cell r="C3777" t="str">
            <v>kg</v>
          </cell>
        </row>
        <row r="3778">
          <cell r="A3778" t="str">
            <v>NL420029</v>
          </cell>
          <cell r="B3778" t="str">
            <v>Mì chính NV</v>
          </cell>
          <cell r="C3778" t="str">
            <v>kg</v>
          </cell>
        </row>
        <row r="3779">
          <cell r="A3779" t="str">
            <v>NL420030</v>
          </cell>
          <cell r="B3779" t="str">
            <v>Mộc nhĩ NV</v>
          </cell>
          <cell r="C3779" t="str">
            <v>kg</v>
          </cell>
        </row>
        <row r="3780">
          <cell r="A3780" t="str">
            <v>NL420031</v>
          </cell>
          <cell r="B3780" t="str">
            <v>Muối hạt NV</v>
          </cell>
          <cell r="C3780" t="str">
            <v>kg</v>
          </cell>
        </row>
        <row r="3781">
          <cell r="A3781" t="str">
            <v>NL420032</v>
          </cell>
          <cell r="B3781" t="str">
            <v>Muối tinh (250g/gói, 60 gói/thùng) NV</v>
          </cell>
          <cell r="C3781" t="str">
            <v>kg</v>
          </cell>
        </row>
        <row r="3782">
          <cell r="A3782" t="str">
            <v>NL420033</v>
          </cell>
          <cell r="B3782" t="str">
            <v>Ngũ vị hương NV</v>
          </cell>
          <cell r="C3782" t="str">
            <v>Gói</v>
          </cell>
        </row>
        <row r="3783">
          <cell r="A3783" t="str">
            <v>NL420034</v>
          </cell>
          <cell r="B3783" t="str">
            <v>Nước mắm 900ML( 15 Chai/thùng ) NV</v>
          </cell>
          <cell r="C3783" t="str">
            <v>Chai</v>
          </cell>
        </row>
        <row r="3784">
          <cell r="A3784" t="str">
            <v>NL420035</v>
          </cell>
          <cell r="B3784" t="str">
            <v>Nước mắm Nam Ngư NV</v>
          </cell>
          <cell r="C3784" t="str">
            <v>Chai</v>
          </cell>
        </row>
        <row r="3785">
          <cell r="A3785" t="str">
            <v>NL420036</v>
          </cell>
          <cell r="B3785" t="str">
            <v>Phở gà NV</v>
          </cell>
          <cell r="C3785" t="str">
            <v>Gói</v>
          </cell>
        </row>
        <row r="3786">
          <cell r="A3786" t="str">
            <v>NL420037</v>
          </cell>
          <cell r="B3786" t="str">
            <v>Phở sợi NV</v>
          </cell>
          <cell r="C3786" t="str">
            <v>kg</v>
          </cell>
        </row>
        <row r="3787">
          <cell r="A3787" t="str">
            <v>NL420038</v>
          </cell>
          <cell r="B3787" t="str">
            <v>Phồng tôm NV</v>
          </cell>
          <cell r="C3787" t="str">
            <v>Gói</v>
          </cell>
        </row>
        <row r="3788">
          <cell r="A3788" t="str">
            <v>NL420039</v>
          </cell>
          <cell r="B3788" t="str">
            <v>Quế NV</v>
          </cell>
          <cell r="C3788" t="str">
            <v>kg</v>
          </cell>
        </row>
        <row r="3789">
          <cell r="A3789" t="str">
            <v>NL420040</v>
          </cell>
          <cell r="B3789" t="str">
            <v>Sa tế NV</v>
          </cell>
          <cell r="C3789" t="str">
            <v>Hộp</v>
          </cell>
        </row>
        <row r="3790">
          <cell r="A3790" t="str">
            <v>NL420041</v>
          </cell>
          <cell r="B3790" t="str">
            <v>Thảo quả NV</v>
          </cell>
          <cell r="C3790" t="str">
            <v>kg</v>
          </cell>
        </row>
        <row r="3791">
          <cell r="A3791" t="str">
            <v>NL420042</v>
          </cell>
          <cell r="B3791" t="str">
            <v>Trứng cút NV</v>
          </cell>
          <cell r="C3791" t="str">
            <v>quả</v>
          </cell>
        </row>
        <row r="3792">
          <cell r="A3792" t="str">
            <v>NL420043</v>
          </cell>
          <cell r="B3792" t="str">
            <v>Trứng gà NV</v>
          </cell>
          <cell r="C3792" t="str">
            <v>quả</v>
          </cell>
        </row>
        <row r="3793">
          <cell r="A3793" t="str">
            <v>NL420044</v>
          </cell>
          <cell r="B3793" t="str">
            <v>Tương bần NV</v>
          </cell>
          <cell r="C3793" t="str">
            <v>Chai</v>
          </cell>
        </row>
        <row r="3794">
          <cell r="A3794" t="str">
            <v>NL420045</v>
          </cell>
          <cell r="B3794" t="str">
            <v>Xì dầu đặc (NV)</v>
          </cell>
          <cell r="C3794" t="str">
            <v>Chai</v>
          </cell>
        </row>
        <row r="3795">
          <cell r="A3795" t="str">
            <v>NL420046</v>
          </cell>
          <cell r="B3795" t="str">
            <v>Xì dầu loãng (NV)</v>
          </cell>
          <cell r="C3795" t="str">
            <v>Chai</v>
          </cell>
        </row>
        <row r="3796">
          <cell r="A3796" t="str">
            <v>NL420047</v>
          </cell>
          <cell r="B3796" t="str">
            <v>Cổ gà NV</v>
          </cell>
          <cell r="C3796" t="str">
            <v>kg</v>
          </cell>
        </row>
        <row r="3797">
          <cell r="A3797" t="str">
            <v>NL420048</v>
          </cell>
          <cell r="B3797" t="str">
            <v>Lạc rang sẵn NV</v>
          </cell>
          <cell r="C3797" t="str">
            <v>kg</v>
          </cell>
        </row>
        <row r="3798">
          <cell r="A3798" t="str">
            <v>NL420049</v>
          </cell>
          <cell r="B3798" t="str">
            <v>Mỳ tôm NV</v>
          </cell>
          <cell r="C3798" t="str">
            <v>Gói</v>
          </cell>
        </row>
        <row r="3799">
          <cell r="A3799" t="str">
            <v>NL420050</v>
          </cell>
          <cell r="B3799" t="str">
            <v>Váng đậu NV</v>
          </cell>
          <cell r="C3799" t="str">
            <v>kg</v>
          </cell>
        </row>
        <row r="3800">
          <cell r="A3800" t="str">
            <v>NL420051</v>
          </cell>
          <cell r="B3800" t="str">
            <v>Chao trắng NV</v>
          </cell>
          <cell r="C3800" t="str">
            <v>Hũ</v>
          </cell>
        </row>
        <row r="3801">
          <cell r="A3801" t="str">
            <v>NL420052</v>
          </cell>
          <cell r="B3801" t="str">
            <v>Thạch đen NV</v>
          </cell>
          <cell r="C3801" t="str">
            <v>kg</v>
          </cell>
        </row>
        <row r="3802">
          <cell r="A3802" t="str">
            <v>NL420053</v>
          </cell>
          <cell r="B3802" t="str">
            <v>Bột mỳ NV</v>
          </cell>
          <cell r="C3802" t="str">
            <v>kg</v>
          </cell>
        </row>
        <row r="3803">
          <cell r="A3803" t="str">
            <v>NL420054</v>
          </cell>
          <cell r="B3803" t="str">
            <v>Sữa ông thọ (NV)</v>
          </cell>
          <cell r="C3803" t="str">
            <v>Hộp</v>
          </cell>
        </row>
        <row r="3804">
          <cell r="A3804" t="str">
            <v>NL420055</v>
          </cell>
          <cell r="B3804" t="str">
            <v>Sting (NV)</v>
          </cell>
          <cell r="C3804" t="str">
            <v>Chai</v>
          </cell>
        </row>
        <row r="3805">
          <cell r="A3805" t="str">
            <v>NL420056</v>
          </cell>
          <cell r="B3805" t="str">
            <v>Sữa milo hộp 48ml (NV)</v>
          </cell>
          <cell r="C3805" t="str">
            <v>Hộp</v>
          </cell>
        </row>
        <row r="3806">
          <cell r="A3806" t="str">
            <v>NL420057</v>
          </cell>
          <cell r="B3806" t="str">
            <v>Mắm tôm (NV)</v>
          </cell>
          <cell r="C3806" t="str">
            <v>kg</v>
          </cell>
        </row>
        <row r="3807">
          <cell r="A3807" t="str">
            <v>NL430001</v>
          </cell>
          <cell r="B3807" t="str">
            <v>Bánh Đa Cua NV</v>
          </cell>
          <cell r="C3807" t="str">
            <v>Gói</v>
          </cell>
        </row>
        <row r="3808">
          <cell r="A3808" t="str">
            <v>NL430002</v>
          </cell>
          <cell r="B3808" t="str">
            <v>Bánh phở NV</v>
          </cell>
          <cell r="C3808" t="str">
            <v>kg</v>
          </cell>
        </row>
        <row r="3809">
          <cell r="A3809" t="str">
            <v>NL430003</v>
          </cell>
          <cell r="B3809" t="str">
            <v>Bánh trưng NV</v>
          </cell>
          <cell r="C3809" t="str">
            <v>Cái</v>
          </cell>
        </row>
        <row r="3810">
          <cell r="A3810" t="str">
            <v>NL430004</v>
          </cell>
          <cell r="B3810" t="str">
            <v>Bắp cải NV</v>
          </cell>
          <cell r="C3810" t="str">
            <v>kg</v>
          </cell>
        </row>
        <row r="3811">
          <cell r="A3811" t="str">
            <v>NL430005</v>
          </cell>
          <cell r="B3811" t="str">
            <v>Bầu NV</v>
          </cell>
          <cell r="C3811" t="str">
            <v>kg</v>
          </cell>
        </row>
        <row r="3812">
          <cell r="A3812" t="str">
            <v>NL430006</v>
          </cell>
          <cell r="B3812" t="str">
            <v>Bí bao tử NV</v>
          </cell>
          <cell r="C3812" t="str">
            <v>kg</v>
          </cell>
        </row>
        <row r="3813">
          <cell r="A3813" t="str">
            <v>NL430007</v>
          </cell>
          <cell r="B3813" t="str">
            <v>Bí đỏ NV</v>
          </cell>
          <cell r="C3813" t="str">
            <v>kg</v>
          </cell>
        </row>
        <row r="3814">
          <cell r="A3814" t="str">
            <v>NL430008</v>
          </cell>
          <cell r="B3814" t="str">
            <v>Bí ngòi NV</v>
          </cell>
          <cell r="C3814" t="str">
            <v>kg</v>
          </cell>
        </row>
        <row r="3815">
          <cell r="A3815" t="str">
            <v>NL430009</v>
          </cell>
          <cell r="B3815" t="str">
            <v>Bí xanh NV</v>
          </cell>
          <cell r="C3815" t="str">
            <v>kg</v>
          </cell>
        </row>
        <row r="3816">
          <cell r="A3816" t="str">
            <v>NL430010</v>
          </cell>
          <cell r="B3816" t="str">
            <v>Bún lá NV</v>
          </cell>
          <cell r="C3816" t="str">
            <v>kg</v>
          </cell>
        </row>
        <row r="3817">
          <cell r="A3817" t="str">
            <v>NL430011</v>
          </cell>
          <cell r="B3817" t="str">
            <v>Bún NV</v>
          </cell>
          <cell r="C3817" t="str">
            <v>kg</v>
          </cell>
        </row>
        <row r="3818">
          <cell r="A3818" t="str">
            <v>NL430012</v>
          </cell>
          <cell r="B3818" t="str">
            <v>Cà chua NV</v>
          </cell>
          <cell r="C3818" t="str">
            <v>kg</v>
          </cell>
        </row>
        <row r="3819">
          <cell r="A3819" t="str">
            <v>NL430013</v>
          </cell>
          <cell r="B3819" t="str">
            <v>Cải bẹ xanh NV</v>
          </cell>
          <cell r="C3819" t="str">
            <v>kg</v>
          </cell>
        </row>
        <row r="3820">
          <cell r="A3820" t="str">
            <v>NL430014</v>
          </cell>
          <cell r="B3820" t="str">
            <v>Rau cải chíp NV</v>
          </cell>
          <cell r="C3820" t="str">
            <v>kg</v>
          </cell>
        </row>
        <row r="3821">
          <cell r="A3821" t="str">
            <v>NL430015</v>
          </cell>
          <cell r="B3821" t="str">
            <v>Cải cúc NV</v>
          </cell>
          <cell r="C3821" t="str">
            <v>kg</v>
          </cell>
        </row>
        <row r="3822">
          <cell r="A3822" t="str">
            <v>NL430016</v>
          </cell>
          <cell r="B3822" t="str">
            <v>Cải dưa NV</v>
          </cell>
          <cell r="C3822" t="str">
            <v>kg</v>
          </cell>
        </row>
        <row r="3823">
          <cell r="A3823" t="str">
            <v>NL430017</v>
          </cell>
          <cell r="B3823" t="str">
            <v>Cải làn NV</v>
          </cell>
          <cell r="C3823" t="str">
            <v>kg</v>
          </cell>
        </row>
        <row r="3824">
          <cell r="A3824" t="str">
            <v>NL430018</v>
          </cell>
          <cell r="B3824" t="str">
            <v>Cải ngồng NV</v>
          </cell>
          <cell r="C3824" t="str">
            <v>kg</v>
          </cell>
        </row>
        <row r="3825">
          <cell r="A3825" t="str">
            <v>NL430019</v>
          </cell>
          <cell r="B3825" t="str">
            <v>Cải ngọt NV</v>
          </cell>
          <cell r="C3825" t="str">
            <v>kg</v>
          </cell>
        </row>
        <row r="3826">
          <cell r="A3826" t="str">
            <v>NL430020</v>
          </cell>
          <cell r="B3826" t="str">
            <v>Cải thảo NV</v>
          </cell>
          <cell r="C3826" t="str">
            <v>kg</v>
          </cell>
        </row>
        <row r="3827">
          <cell r="A3827" t="str">
            <v>NL430021</v>
          </cell>
          <cell r="B3827" t="str">
            <v>Cải xanh NV</v>
          </cell>
          <cell r="C3827" t="str">
            <v>kg</v>
          </cell>
        </row>
        <row r="3828">
          <cell r="A3828" t="str">
            <v>NL430022</v>
          </cell>
          <cell r="B3828" t="str">
            <v>Cải xoong NV</v>
          </cell>
          <cell r="C3828" t="str">
            <v>kg</v>
          </cell>
        </row>
        <row r="3829">
          <cell r="A3829" t="str">
            <v>NL430023</v>
          </cell>
          <cell r="B3829" t="str">
            <v>Cà muối NV</v>
          </cell>
          <cell r="C3829" t="str">
            <v>kg</v>
          </cell>
        </row>
        <row r="3830">
          <cell r="A3830" t="str">
            <v>NL430024</v>
          </cell>
          <cell r="B3830" t="str">
            <v>Cần tỏi tây NV</v>
          </cell>
          <cell r="C3830" t="str">
            <v>kg</v>
          </cell>
        </row>
        <row r="3831">
          <cell r="A3831" t="str">
            <v>NL430025</v>
          </cell>
          <cell r="B3831" t="str">
            <v>Cà pháo NV</v>
          </cell>
          <cell r="C3831" t="str">
            <v>kg</v>
          </cell>
        </row>
        <row r="3832">
          <cell r="A3832" t="str">
            <v>NL430026</v>
          </cell>
          <cell r="B3832" t="str">
            <v>Cà rốt NV</v>
          </cell>
          <cell r="C3832" t="str">
            <v>kg</v>
          </cell>
        </row>
        <row r="3833">
          <cell r="A3833" t="str">
            <v>NL430027</v>
          </cell>
          <cell r="B3833" t="str">
            <v>Cà tím NV</v>
          </cell>
          <cell r="C3833" t="str">
            <v>kg</v>
          </cell>
        </row>
        <row r="3834">
          <cell r="A3834" t="str">
            <v>NL430028</v>
          </cell>
          <cell r="B3834" t="str">
            <v>Chanh quả NV</v>
          </cell>
          <cell r="C3834" t="str">
            <v>kg</v>
          </cell>
        </row>
        <row r="3835">
          <cell r="A3835" t="str">
            <v>NL430029</v>
          </cell>
          <cell r="B3835" t="str">
            <v>Chuối xanh NV</v>
          </cell>
          <cell r="C3835" t="str">
            <v>kg</v>
          </cell>
        </row>
        <row r="3836">
          <cell r="A3836" t="str">
            <v>NL430030</v>
          </cell>
          <cell r="B3836" t="str">
            <v>Củ Cải Muối NV</v>
          </cell>
          <cell r="C3836" t="str">
            <v>kg</v>
          </cell>
        </row>
        <row r="3837">
          <cell r="A3837" t="str">
            <v>NL430031</v>
          </cell>
          <cell r="B3837" t="str">
            <v>Củ cải NV</v>
          </cell>
          <cell r="C3837" t="str">
            <v>kg</v>
          </cell>
        </row>
        <row r="3838">
          <cell r="A3838" t="str">
            <v>NL430032</v>
          </cell>
          <cell r="B3838" t="str">
            <v>Củ đậu NV</v>
          </cell>
          <cell r="C3838" t="str">
            <v>kg</v>
          </cell>
        </row>
        <row r="3839">
          <cell r="A3839" t="str">
            <v>NL430033</v>
          </cell>
          <cell r="B3839" t="str">
            <v>Củ dền NV</v>
          </cell>
          <cell r="C3839" t="str">
            <v>kg</v>
          </cell>
        </row>
        <row r="3840">
          <cell r="A3840" t="str">
            <v>NL430034</v>
          </cell>
          <cell r="B3840" t="str">
            <v>Cùi dừa NV</v>
          </cell>
          <cell r="C3840" t="str">
            <v>kg</v>
          </cell>
        </row>
        <row r="3841">
          <cell r="A3841" t="str">
            <v>NL430035</v>
          </cell>
          <cell r="B3841" t="str">
            <v>Dạ dày (NV)</v>
          </cell>
          <cell r="C3841" t="str">
            <v>kg</v>
          </cell>
        </row>
        <row r="3842">
          <cell r="A3842" t="str">
            <v>NL430036</v>
          </cell>
          <cell r="B3842" t="str">
            <v>Bánh đa nem NV</v>
          </cell>
          <cell r="C3842" t="str">
            <v>tập</v>
          </cell>
        </row>
        <row r="3843">
          <cell r="A3843" t="str">
            <v>NL430037</v>
          </cell>
          <cell r="B3843" t="str">
            <v>Đậu bắp NV</v>
          </cell>
          <cell r="C3843" t="str">
            <v>kg</v>
          </cell>
        </row>
        <row r="3844">
          <cell r="A3844" t="str">
            <v>NL430038</v>
          </cell>
          <cell r="B3844" t="str">
            <v>Đậu đũa NV</v>
          </cell>
          <cell r="C3844" t="str">
            <v>kg</v>
          </cell>
        </row>
        <row r="3845">
          <cell r="A3845" t="str">
            <v>NL430039</v>
          </cell>
          <cell r="B3845" t="str">
            <v>Đậu phụ đóng hộp (Đậu bưởi) NV</v>
          </cell>
          <cell r="C3845" t="str">
            <v>miếng</v>
          </cell>
        </row>
        <row r="3846">
          <cell r="A3846" t="str">
            <v>NL430040</v>
          </cell>
          <cell r="B3846" t="str">
            <v>Đậu phụ (NV)</v>
          </cell>
          <cell r="C3846" t="str">
            <v>miếng</v>
          </cell>
        </row>
        <row r="3847">
          <cell r="A3847" t="str">
            <v>NL430041</v>
          </cell>
          <cell r="B3847" t="str">
            <v>Đậu rồng NV</v>
          </cell>
          <cell r="C3847" t="str">
            <v>kg</v>
          </cell>
        </row>
        <row r="3848">
          <cell r="A3848" t="str">
            <v>NL430042</v>
          </cell>
          <cell r="B3848" t="str">
            <v>Diếp cá NV</v>
          </cell>
          <cell r="C3848" t="str">
            <v>Mớ</v>
          </cell>
        </row>
        <row r="3849">
          <cell r="A3849" t="str">
            <v>NL430043</v>
          </cell>
          <cell r="B3849" t="str">
            <v>Dọc mùng NV</v>
          </cell>
          <cell r="C3849" t="str">
            <v>kg</v>
          </cell>
        </row>
        <row r="3850">
          <cell r="A3850" t="str">
            <v>NL430044</v>
          </cell>
          <cell r="B3850" t="str">
            <v>Đỗ cove NV</v>
          </cell>
          <cell r="C3850" t="str">
            <v>kg</v>
          </cell>
        </row>
        <row r="3851">
          <cell r="A3851" t="str">
            <v>NL430045</v>
          </cell>
          <cell r="B3851" t="str">
            <v>Dưa chua NV</v>
          </cell>
          <cell r="C3851" t="str">
            <v>kg</v>
          </cell>
        </row>
        <row r="3852">
          <cell r="A3852" t="str">
            <v>NL430046</v>
          </cell>
          <cell r="B3852" t="str">
            <v>Dưa chuột NV</v>
          </cell>
          <cell r="C3852" t="str">
            <v>kg</v>
          </cell>
        </row>
        <row r="3853">
          <cell r="A3853" t="str">
            <v>NL430047</v>
          </cell>
          <cell r="B3853" t="str">
            <v>Dưa hấu NV</v>
          </cell>
          <cell r="C3853" t="str">
            <v>kg</v>
          </cell>
        </row>
        <row r="3854">
          <cell r="A3854" t="str">
            <v>NL430048</v>
          </cell>
          <cell r="B3854" t="str">
            <v>Dứa quả NV</v>
          </cell>
          <cell r="C3854" t="str">
            <v>quả</v>
          </cell>
        </row>
        <row r="3855">
          <cell r="A3855" t="str">
            <v>NL430049</v>
          </cell>
          <cell r="B3855" t="str">
            <v>Dừa quả NV</v>
          </cell>
          <cell r="C3855" t="str">
            <v>quả</v>
          </cell>
        </row>
        <row r="3856">
          <cell r="A3856" t="str">
            <v>NL430050</v>
          </cell>
          <cell r="B3856" t="str">
            <v>Đu đủ NV</v>
          </cell>
          <cell r="C3856" t="str">
            <v>kg</v>
          </cell>
        </row>
        <row r="3857">
          <cell r="A3857" t="str">
            <v>NL430051</v>
          </cell>
          <cell r="B3857" t="str">
            <v>Giá đỗ NV</v>
          </cell>
          <cell r="C3857" t="str">
            <v>kg</v>
          </cell>
        </row>
        <row r="3858">
          <cell r="A3858" t="str">
            <v>NL430052</v>
          </cell>
          <cell r="B3858" t="str">
            <v>Giềng củ NV</v>
          </cell>
          <cell r="C3858" t="str">
            <v>kg</v>
          </cell>
        </row>
        <row r="3859">
          <cell r="A3859" t="str">
            <v>NL430053</v>
          </cell>
          <cell r="B3859" t="str">
            <v>Giềng xay NV</v>
          </cell>
          <cell r="C3859" t="str">
            <v>kg</v>
          </cell>
        </row>
        <row r="3860">
          <cell r="A3860" t="str">
            <v>NL430054</v>
          </cell>
          <cell r="B3860" t="str">
            <v>Gừng NV</v>
          </cell>
          <cell r="C3860" t="str">
            <v>kg</v>
          </cell>
        </row>
        <row r="3861">
          <cell r="A3861" t="str">
            <v>NL430055</v>
          </cell>
          <cell r="B3861" t="str">
            <v>Hành lá NV</v>
          </cell>
          <cell r="C3861" t="str">
            <v>kg</v>
          </cell>
        </row>
        <row r="3862">
          <cell r="A3862" t="str">
            <v>NL430056</v>
          </cell>
          <cell r="B3862" t="str">
            <v>Hành tây NV</v>
          </cell>
          <cell r="C3862" t="str">
            <v>kg</v>
          </cell>
        </row>
        <row r="3863">
          <cell r="A3863" t="str">
            <v>NL430057</v>
          </cell>
          <cell r="B3863" t="str">
            <v>Hành tím NV</v>
          </cell>
          <cell r="C3863" t="str">
            <v>kg</v>
          </cell>
        </row>
        <row r="3864">
          <cell r="A3864" t="str">
            <v>NL430058</v>
          </cell>
          <cell r="B3864" t="str">
            <v>Hoa chuối NV</v>
          </cell>
          <cell r="C3864" t="str">
            <v>kg</v>
          </cell>
        </row>
        <row r="3865">
          <cell r="A3865" t="str">
            <v>NL430059</v>
          </cell>
          <cell r="B3865" t="str">
            <v>Hành Paro NV</v>
          </cell>
          <cell r="C3865" t="str">
            <v>kg</v>
          </cell>
        </row>
        <row r="3866">
          <cell r="A3866" t="str">
            <v>NL430060</v>
          </cell>
          <cell r="B3866" t="str">
            <v>Húng Bạc Hà NV</v>
          </cell>
          <cell r="C3866" t="str">
            <v>kg</v>
          </cell>
        </row>
        <row r="3867">
          <cell r="A3867" t="str">
            <v>NL430061</v>
          </cell>
          <cell r="B3867" t="str">
            <v>Húng chó NV</v>
          </cell>
          <cell r="C3867" t="str">
            <v>kg</v>
          </cell>
        </row>
        <row r="3868">
          <cell r="A3868" t="str">
            <v>NL430062</v>
          </cell>
          <cell r="B3868" t="str">
            <v>Hủ tiếu NV</v>
          </cell>
          <cell r="C3868" t="str">
            <v>kg</v>
          </cell>
        </row>
        <row r="3869">
          <cell r="A3869" t="str">
            <v>NL430063</v>
          </cell>
          <cell r="B3869" t="str">
            <v>Khế NV</v>
          </cell>
          <cell r="C3869" t="str">
            <v>kg</v>
          </cell>
        </row>
        <row r="3870">
          <cell r="A3870" t="str">
            <v>NL430064</v>
          </cell>
          <cell r="B3870" t="str">
            <v>Khoai môn NV</v>
          </cell>
          <cell r="C3870" t="str">
            <v>kg</v>
          </cell>
        </row>
        <row r="3871">
          <cell r="A3871" t="str">
            <v>NL430065</v>
          </cell>
          <cell r="B3871" t="str">
            <v>Khoai mỡ NV</v>
          </cell>
          <cell r="C3871" t="str">
            <v>kg</v>
          </cell>
        </row>
        <row r="3872">
          <cell r="A3872" t="str">
            <v>NL430066</v>
          </cell>
          <cell r="B3872" t="str">
            <v>Khoai sọ nv</v>
          </cell>
          <cell r="C3872" t="str">
            <v>kg</v>
          </cell>
        </row>
        <row r="3873">
          <cell r="A3873" t="str">
            <v>NL430067</v>
          </cell>
          <cell r="B3873" t="str">
            <v>Khoai tây NV</v>
          </cell>
          <cell r="C3873" t="str">
            <v>kg</v>
          </cell>
        </row>
        <row r="3874">
          <cell r="A3874" t="str">
            <v>NL430068</v>
          </cell>
          <cell r="B3874" t="str">
            <v>Kinh giới NV</v>
          </cell>
          <cell r="C3874" t="str">
            <v>kg</v>
          </cell>
        </row>
        <row r="3875">
          <cell r="A3875" t="str">
            <v>NL430069</v>
          </cell>
          <cell r="B3875" t="str">
            <v>Lá chanh NV</v>
          </cell>
          <cell r="C3875" t="str">
            <v>kg</v>
          </cell>
        </row>
        <row r="3876">
          <cell r="A3876" t="str">
            <v>NL430070</v>
          </cell>
          <cell r="B3876" t="str">
            <v>Lặc lè NV</v>
          </cell>
          <cell r="C3876" t="str">
            <v>kg</v>
          </cell>
        </row>
        <row r="3877">
          <cell r="A3877" t="str">
            <v>NL430071</v>
          </cell>
          <cell r="B3877" t="str">
            <v>Lá giang NV</v>
          </cell>
          <cell r="C3877" t="str">
            <v>Bó</v>
          </cell>
        </row>
        <row r="3878">
          <cell r="A3878" t="str">
            <v>NL430072</v>
          </cell>
          <cell r="B3878" t="str">
            <v>Lá hẹ NV</v>
          </cell>
          <cell r="C3878" t="str">
            <v>kg</v>
          </cell>
        </row>
        <row r="3879">
          <cell r="A3879" t="str">
            <v>NL430073</v>
          </cell>
          <cell r="B3879" t="str">
            <v>Lá Lốt NV</v>
          </cell>
          <cell r="C3879" t="str">
            <v>kg</v>
          </cell>
        </row>
        <row r="3880">
          <cell r="A3880" t="str">
            <v>NL430074</v>
          </cell>
          <cell r="B3880" t="str">
            <v>Lá móc mật NV</v>
          </cell>
          <cell r="C3880" t="str">
            <v>kg</v>
          </cell>
        </row>
        <row r="3881">
          <cell r="A3881" t="str">
            <v>NL430075</v>
          </cell>
          <cell r="B3881" t="str">
            <v>Lá mơ NV</v>
          </cell>
          <cell r="C3881" t="str">
            <v>kg</v>
          </cell>
        </row>
        <row r="3882">
          <cell r="A3882" t="str">
            <v>NL430076</v>
          </cell>
          <cell r="B3882" t="str">
            <v>Rau + lá sung NV</v>
          </cell>
          <cell r="C3882" t="str">
            <v>kg</v>
          </cell>
        </row>
        <row r="3883">
          <cell r="A3883" t="str">
            <v>NL430077</v>
          </cell>
          <cell r="B3883" t="str">
            <v>Súp lơ trắng NV</v>
          </cell>
          <cell r="C3883" t="str">
            <v>kg</v>
          </cell>
        </row>
        <row r="3884">
          <cell r="A3884" t="str">
            <v>NL430078</v>
          </cell>
          <cell r="B3884" t="str">
            <v>Súp lơ xanh NV</v>
          </cell>
          <cell r="C3884" t="str">
            <v>kg</v>
          </cell>
        </row>
        <row r="3885">
          <cell r="A3885" t="str">
            <v>NL430079</v>
          </cell>
          <cell r="B3885" t="str">
            <v>Mầm đá NV</v>
          </cell>
          <cell r="C3885" t="str">
            <v>kg</v>
          </cell>
        </row>
        <row r="3886">
          <cell r="A3886" t="str">
            <v>NL430080</v>
          </cell>
          <cell r="B3886" t="str">
            <v>Mắm Ruốc NV</v>
          </cell>
          <cell r="C3886" t="str">
            <v>kg</v>
          </cell>
        </row>
        <row r="3887">
          <cell r="A3887" t="str">
            <v>NL430081</v>
          </cell>
          <cell r="B3887" t="str">
            <v>Mắm tôm NV</v>
          </cell>
          <cell r="C3887" t="str">
            <v>Chai</v>
          </cell>
        </row>
        <row r="3888">
          <cell r="A3888" t="str">
            <v>NL430082</v>
          </cell>
          <cell r="B3888" t="str">
            <v>Măng củ NV</v>
          </cell>
          <cell r="C3888" t="str">
            <v>kg</v>
          </cell>
        </row>
        <row r="3889">
          <cell r="A3889" t="str">
            <v>NL430083</v>
          </cell>
          <cell r="B3889" t="str">
            <v>Măng lá NV</v>
          </cell>
          <cell r="C3889" t="str">
            <v>kg</v>
          </cell>
        </row>
        <row r="3890">
          <cell r="A3890" t="str">
            <v>NL430084</v>
          </cell>
          <cell r="B3890" t="str">
            <v>Lọ măng ớt NV</v>
          </cell>
          <cell r="C3890" t="str">
            <v>Hộp</v>
          </cell>
        </row>
        <row r="3891">
          <cell r="A3891" t="str">
            <v>NL430085</v>
          </cell>
          <cell r="B3891" t="str">
            <v>Mận NV</v>
          </cell>
          <cell r="C3891" t="str">
            <v>kg</v>
          </cell>
        </row>
        <row r="3892">
          <cell r="A3892" t="str">
            <v>NL430086</v>
          </cell>
          <cell r="B3892" t="str">
            <v>Miến dong NV</v>
          </cell>
          <cell r="C3892" t="str">
            <v>kg</v>
          </cell>
        </row>
        <row r="3893">
          <cell r="A3893" t="str">
            <v>NL430087</v>
          </cell>
          <cell r="B3893" t="str">
            <v>Mồng tơi NV</v>
          </cell>
          <cell r="C3893" t="str">
            <v>kg</v>
          </cell>
        </row>
        <row r="3894">
          <cell r="A3894" t="str">
            <v>NL430088</v>
          </cell>
          <cell r="B3894" t="str">
            <v>Mùi ta NV</v>
          </cell>
          <cell r="C3894" t="str">
            <v>kg</v>
          </cell>
        </row>
        <row r="3895">
          <cell r="A3895" t="str">
            <v>NL430089</v>
          </cell>
          <cell r="B3895" t="str">
            <v>Mùi tàu NV</v>
          </cell>
          <cell r="C3895" t="str">
            <v>kg</v>
          </cell>
        </row>
        <row r="3896">
          <cell r="A3896" t="str">
            <v>NL430090</v>
          </cell>
          <cell r="B3896" t="str">
            <v>Rau muống (NV)</v>
          </cell>
          <cell r="C3896" t="str">
            <v>kg</v>
          </cell>
        </row>
        <row r="3897">
          <cell r="A3897" t="str">
            <v>NL430091</v>
          </cell>
          <cell r="B3897" t="str">
            <v>Rau muống chẻ NV</v>
          </cell>
          <cell r="C3897" t="str">
            <v>kg</v>
          </cell>
        </row>
        <row r="3898">
          <cell r="A3898" t="str">
            <v>NL430092</v>
          </cell>
          <cell r="B3898" t="str">
            <v>Mướp đắng NV ( Khổ qua NV )</v>
          </cell>
          <cell r="C3898" t="str">
            <v>kg</v>
          </cell>
        </row>
        <row r="3899">
          <cell r="A3899" t="str">
            <v>NL430093</v>
          </cell>
          <cell r="B3899" t="str">
            <v>Mướp NV</v>
          </cell>
          <cell r="C3899" t="str">
            <v>kg</v>
          </cell>
        </row>
        <row r="3900">
          <cell r="A3900" t="str">
            <v>NL430094</v>
          </cell>
          <cell r="B3900" t="str">
            <v>Nấm đùi gà NV</v>
          </cell>
          <cell r="C3900" t="str">
            <v>Túi</v>
          </cell>
        </row>
        <row r="3901">
          <cell r="A3901" t="str">
            <v>NL430095</v>
          </cell>
          <cell r="B3901" t="str">
            <v>Nấm hải sản NV</v>
          </cell>
          <cell r="C3901" t="str">
            <v>kg</v>
          </cell>
        </row>
        <row r="3902">
          <cell r="A3902" t="str">
            <v>NL430096</v>
          </cell>
          <cell r="B3902" t="str">
            <v>Nấm hương NV</v>
          </cell>
          <cell r="C3902" t="str">
            <v>Túi</v>
          </cell>
        </row>
        <row r="3903">
          <cell r="A3903" t="str">
            <v>NL430097</v>
          </cell>
          <cell r="B3903" t="str">
            <v>Nấm kim châm NV</v>
          </cell>
          <cell r="C3903" t="str">
            <v>Túi</v>
          </cell>
        </row>
        <row r="3904">
          <cell r="A3904" t="str">
            <v>NL430098</v>
          </cell>
          <cell r="B3904" t="str">
            <v>Nấm Rơm NV</v>
          </cell>
          <cell r="C3904" t="str">
            <v>kg</v>
          </cell>
        </row>
        <row r="3905">
          <cell r="A3905" t="str">
            <v>NL430099</v>
          </cell>
          <cell r="B3905" t="str">
            <v>Nấm sò NV</v>
          </cell>
          <cell r="C3905" t="str">
            <v>kg</v>
          </cell>
        </row>
        <row r="3906">
          <cell r="A3906" t="str">
            <v>NL430100</v>
          </cell>
          <cell r="B3906" t="str">
            <v>Nước dừa tươi NV</v>
          </cell>
          <cell r="C3906" t="str">
            <v>Lít</v>
          </cell>
        </row>
        <row r="3907">
          <cell r="A3907" t="str">
            <v>NL430101</v>
          </cell>
          <cell r="B3907" t="str">
            <v>Ngải cứu NV</v>
          </cell>
          <cell r="C3907" t="str">
            <v>kg</v>
          </cell>
        </row>
        <row r="3908">
          <cell r="A3908" t="str">
            <v>NL430102</v>
          </cell>
          <cell r="B3908" t="str">
            <v>Nghệ NV</v>
          </cell>
          <cell r="C3908" t="str">
            <v>kg</v>
          </cell>
        </row>
        <row r="3909">
          <cell r="A3909" t="str">
            <v>NL430103</v>
          </cell>
          <cell r="B3909" t="str">
            <v>Ngô bao tử NV</v>
          </cell>
          <cell r="C3909" t="str">
            <v>kg</v>
          </cell>
        </row>
        <row r="3910">
          <cell r="A3910" t="str">
            <v>NL430104</v>
          </cell>
          <cell r="B3910" t="str">
            <v>Ngô hộp (200g/hộp) NV</v>
          </cell>
          <cell r="C3910" t="str">
            <v>Hộp</v>
          </cell>
        </row>
        <row r="3911">
          <cell r="A3911" t="str">
            <v>NL430105</v>
          </cell>
          <cell r="B3911" t="str">
            <v>Ngọn su su NV</v>
          </cell>
          <cell r="C3911" t="str">
            <v>kg</v>
          </cell>
        </row>
        <row r="3912">
          <cell r="A3912" t="str">
            <v>NL430106</v>
          </cell>
          <cell r="B3912" t="str">
            <v>Ngô NV</v>
          </cell>
          <cell r="C3912" t="str">
            <v>Cái</v>
          </cell>
        </row>
        <row r="3913">
          <cell r="A3913" t="str">
            <v>NL430107</v>
          </cell>
          <cell r="B3913" t="str">
            <v>Ổi NV</v>
          </cell>
          <cell r="C3913" t="str">
            <v>kg</v>
          </cell>
        </row>
        <row r="3914">
          <cell r="A3914" t="str">
            <v>NL430108</v>
          </cell>
          <cell r="B3914" t="str">
            <v>Ớt NV</v>
          </cell>
          <cell r="C3914" t="str">
            <v>kg</v>
          </cell>
        </row>
        <row r="3915">
          <cell r="A3915" t="str">
            <v>NL430109</v>
          </cell>
          <cell r="B3915" t="str">
            <v>Ớt xanh NV</v>
          </cell>
          <cell r="C3915" t="str">
            <v>kg</v>
          </cell>
        </row>
        <row r="3916">
          <cell r="A3916" t="str">
            <v>NL430110</v>
          </cell>
          <cell r="B3916" t="str">
            <v>Phở cuốn NV</v>
          </cell>
          <cell r="C3916" t="str">
            <v>kg</v>
          </cell>
        </row>
        <row r="3917">
          <cell r="A3917" t="str">
            <v>NL430111</v>
          </cell>
          <cell r="B3917" t="str">
            <v>Quất nv</v>
          </cell>
          <cell r="C3917" t="str">
            <v>kg</v>
          </cell>
        </row>
        <row r="3918">
          <cell r="A3918" t="str">
            <v>NL430112</v>
          </cell>
          <cell r="B3918" t="str">
            <v>Quýt NV</v>
          </cell>
          <cell r="C3918" t="str">
            <v>kg</v>
          </cell>
        </row>
        <row r="3919">
          <cell r="A3919" t="str">
            <v>NL430113</v>
          </cell>
          <cell r="B3919" t="str">
            <v>Rau răm NV</v>
          </cell>
          <cell r="C3919" t="str">
            <v>kg</v>
          </cell>
        </row>
        <row r="3920">
          <cell r="A3920" t="str">
            <v>NL430114</v>
          </cell>
          <cell r="B3920" t="str">
            <v>Rau bí NV</v>
          </cell>
          <cell r="C3920" t="str">
            <v>kg</v>
          </cell>
        </row>
        <row r="3921">
          <cell r="A3921" t="str">
            <v>NL430115</v>
          </cell>
          <cell r="B3921" t="str">
            <v>Rau cần NV</v>
          </cell>
          <cell r="C3921" t="str">
            <v>kg</v>
          </cell>
        </row>
        <row r="3922">
          <cell r="A3922" t="str">
            <v>NL430116</v>
          </cell>
          <cell r="B3922" t="str">
            <v>Rau đắng NV</v>
          </cell>
          <cell r="C3922" t="str">
            <v>kg</v>
          </cell>
        </row>
        <row r="3923">
          <cell r="A3923" t="str">
            <v>NL430117</v>
          </cell>
          <cell r="B3923" t="str">
            <v>Rau đay NV</v>
          </cell>
          <cell r="C3923" t="str">
            <v>kg</v>
          </cell>
        </row>
        <row r="3924">
          <cell r="A3924" t="str">
            <v>NL430118</v>
          </cell>
          <cell r="B3924" t="str">
            <v>Rau dền NV</v>
          </cell>
          <cell r="C3924" t="str">
            <v>kg</v>
          </cell>
        </row>
        <row r="3925">
          <cell r="A3925" t="str">
            <v>NL430119</v>
          </cell>
          <cell r="B3925" t="str">
            <v>Rau lang NV</v>
          </cell>
          <cell r="C3925" t="str">
            <v>kg</v>
          </cell>
        </row>
        <row r="3926">
          <cell r="A3926" t="str">
            <v>NL430120</v>
          </cell>
          <cell r="B3926" t="str">
            <v>Rau má NV</v>
          </cell>
          <cell r="C3926" t="str">
            <v>kg</v>
          </cell>
        </row>
        <row r="3927">
          <cell r="A3927" t="str">
            <v>NL430121</v>
          </cell>
          <cell r="B3927" t="str">
            <v>Rau ngổ NV</v>
          </cell>
          <cell r="C3927" t="str">
            <v>kg</v>
          </cell>
        </row>
        <row r="3928">
          <cell r="A3928" t="str">
            <v>NL430122</v>
          </cell>
          <cell r="B3928" t="str">
            <v>Rau ngót NV</v>
          </cell>
          <cell r="C3928" t="str">
            <v>kg</v>
          </cell>
        </row>
        <row r="3929">
          <cell r="A3929" t="str">
            <v>NL430123</v>
          </cell>
          <cell r="B3929" t="str">
            <v>Rau Nhút (Rau Rút) NV</v>
          </cell>
          <cell r="C3929" t="str">
            <v>kg</v>
          </cell>
        </row>
        <row r="3930">
          <cell r="A3930" t="str">
            <v>NL430124</v>
          </cell>
          <cell r="B3930" t="str">
            <v>Rau rền cơm NV</v>
          </cell>
          <cell r="C3930" t="str">
            <v>kg</v>
          </cell>
        </row>
        <row r="3931">
          <cell r="A3931" t="str">
            <v>NL430125</v>
          </cell>
          <cell r="B3931" t="str">
            <v>Rau Tiến Vua NV</v>
          </cell>
          <cell r="C3931" t="str">
            <v>kg</v>
          </cell>
        </row>
        <row r="3932">
          <cell r="A3932" t="str">
            <v>NL430126</v>
          </cell>
          <cell r="B3932" t="str">
            <v>Rau rền cơm NV</v>
          </cell>
          <cell r="C3932" t="str">
            <v>kg</v>
          </cell>
        </row>
        <row r="3933">
          <cell r="A3933" t="str">
            <v>NL430127</v>
          </cell>
          <cell r="B3933" t="str">
            <v>Roi NV ( Mận NV )</v>
          </cell>
          <cell r="C3933" t="str">
            <v>kg</v>
          </cell>
        </row>
        <row r="3934">
          <cell r="A3934" t="str">
            <v>NL430128</v>
          </cell>
          <cell r="B3934" t="str">
            <v>Sả NV</v>
          </cell>
          <cell r="C3934" t="str">
            <v>kg</v>
          </cell>
        </row>
        <row r="3935">
          <cell r="A3935" t="str">
            <v>NL430129</v>
          </cell>
          <cell r="B3935" t="str">
            <v>Quả sấu NV</v>
          </cell>
          <cell r="C3935" t="str">
            <v>kg</v>
          </cell>
        </row>
        <row r="3936">
          <cell r="A3936" t="str">
            <v>NL430130</v>
          </cell>
          <cell r="B3936" t="str">
            <v>Sả xay NV</v>
          </cell>
          <cell r="C3936" t="str">
            <v>kg</v>
          </cell>
        </row>
        <row r="3937">
          <cell r="A3937" t="str">
            <v>NL430131</v>
          </cell>
          <cell r="B3937" t="str">
            <v>Su hào NV</v>
          </cell>
          <cell r="C3937" t="str">
            <v>kg</v>
          </cell>
        </row>
        <row r="3938">
          <cell r="A3938" t="str">
            <v>NL430132</v>
          </cell>
          <cell r="B3938" t="str">
            <v>Su su NV</v>
          </cell>
          <cell r="C3938" t="str">
            <v>kg</v>
          </cell>
        </row>
        <row r="3939">
          <cell r="A3939" t="str">
            <v>NL430133</v>
          </cell>
          <cell r="B3939" t="str">
            <v>Táo NV</v>
          </cell>
          <cell r="C3939" t="str">
            <v>kg</v>
          </cell>
        </row>
        <row r="3940">
          <cell r="A3940" t="str">
            <v>NL430134</v>
          </cell>
          <cell r="B3940" t="str">
            <v>Hoa thiên lý (NV)</v>
          </cell>
          <cell r="C3940" t="str">
            <v>kg</v>
          </cell>
        </row>
        <row r="3941">
          <cell r="A3941" t="str">
            <v>NL430135</v>
          </cell>
          <cell r="B3941" t="str">
            <v>Thì là NV</v>
          </cell>
          <cell r="C3941" t="str">
            <v>kg</v>
          </cell>
        </row>
        <row r="3942">
          <cell r="A3942" t="str">
            <v>NL430136</v>
          </cell>
          <cell r="B3942" t="str">
            <v>Tía tô NV</v>
          </cell>
          <cell r="C3942" t="str">
            <v>kg</v>
          </cell>
        </row>
        <row r="3943">
          <cell r="A3943" t="str">
            <v>NL430137</v>
          </cell>
          <cell r="B3943" t="str">
            <v>Tiêu xanh NV</v>
          </cell>
          <cell r="C3943" t="str">
            <v>kg</v>
          </cell>
        </row>
        <row r="3944">
          <cell r="A3944" t="str">
            <v>NL430138</v>
          </cell>
          <cell r="B3944" t="str">
            <v>Thanh long NV</v>
          </cell>
          <cell r="C3944" t="str">
            <v>kg</v>
          </cell>
        </row>
        <row r="3945">
          <cell r="A3945" t="str">
            <v>NL430139</v>
          </cell>
          <cell r="B3945" t="str">
            <v>Tỏi NV</v>
          </cell>
          <cell r="C3945" t="str">
            <v>kg</v>
          </cell>
        </row>
        <row r="3946">
          <cell r="A3946" t="str">
            <v>NL430140</v>
          </cell>
          <cell r="B3946" t="str">
            <v>Tỏi tây NV</v>
          </cell>
          <cell r="C3946" t="str">
            <v>kg</v>
          </cell>
        </row>
        <row r="3947">
          <cell r="A3947" t="str">
            <v>NL430141</v>
          </cell>
          <cell r="B3947" t="str">
            <v>Xà lách NV</v>
          </cell>
          <cell r="C3947" t="str">
            <v>kg</v>
          </cell>
        </row>
        <row r="3948">
          <cell r="A3948" t="str">
            <v>NL430142</v>
          </cell>
          <cell r="B3948" t="str">
            <v>Xoài NV</v>
          </cell>
          <cell r="C3948" t="str">
            <v>kg</v>
          </cell>
        </row>
        <row r="3949">
          <cell r="A3949" t="str">
            <v>NL430143</v>
          </cell>
          <cell r="B3949" t="str">
            <v>Xu hào NV</v>
          </cell>
          <cell r="C3949" t="str">
            <v>kg</v>
          </cell>
        </row>
        <row r="3950">
          <cell r="A3950" t="str">
            <v>NL430144</v>
          </cell>
          <cell r="B3950" t="str">
            <v>Xương xông NV</v>
          </cell>
          <cell r="C3950" t="str">
            <v>kg</v>
          </cell>
        </row>
        <row r="3951">
          <cell r="A3951" t="str">
            <v>NL430145</v>
          </cell>
          <cell r="B3951" t="str">
            <v>Cá hấp (NV)</v>
          </cell>
          <cell r="C3951" t="str">
            <v>Khay</v>
          </cell>
        </row>
        <row r="3952">
          <cell r="A3952" t="str">
            <v>NL430146</v>
          </cell>
          <cell r="B3952" t="str">
            <v>Bánh mỳ NV</v>
          </cell>
          <cell r="C3952" t="str">
            <v>cái</v>
          </cell>
        </row>
        <row r="3953">
          <cell r="A3953" t="str">
            <v>NL430147</v>
          </cell>
          <cell r="B3953" t="str">
            <v>Cải mèo NV</v>
          </cell>
          <cell r="C3953" t="str">
            <v>kg</v>
          </cell>
        </row>
        <row r="3954">
          <cell r="A3954" t="str">
            <v>NL430148</v>
          </cell>
          <cell r="B3954" t="str">
            <v>Gà Tre NV</v>
          </cell>
          <cell r="C3954" t="str">
            <v>kg</v>
          </cell>
        </row>
        <row r="3955">
          <cell r="A3955" t="str">
            <v>NL430149</v>
          </cell>
          <cell r="B3955" t="str">
            <v>Hành khô NV</v>
          </cell>
          <cell r="C3955" t="str">
            <v>kg</v>
          </cell>
        </row>
        <row r="3956">
          <cell r="A3956" t="str">
            <v>NL430150</v>
          </cell>
          <cell r="B3956" t="str">
            <v>Đinh lăng NV</v>
          </cell>
          <cell r="C3956" t="str">
            <v>kg</v>
          </cell>
        </row>
        <row r="3957">
          <cell r="A3957" t="str">
            <v>NL430151</v>
          </cell>
          <cell r="B3957" t="str">
            <v>Bánh canh NV</v>
          </cell>
          <cell r="C3957" t="str">
            <v>kg</v>
          </cell>
        </row>
        <row r="3958">
          <cell r="A3958" t="str">
            <v>NL430152</v>
          </cell>
          <cell r="B3958" t="str">
            <v>Gói sốt vang NV</v>
          </cell>
          <cell r="C3958" t="str">
            <v>Gói</v>
          </cell>
        </row>
        <row r="3959">
          <cell r="A3959" t="str">
            <v>NL430153</v>
          </cell>
          <cell r="B3959" t="str">
            <v>Măng cay NV</v>
          </cell>
          <cell r="C3959" t="str">
            <v>Lọ</v>
          </cell>
        </row>
        <row r="3960">
          <cell r="A3960" t="str">
            <v>NL430154</v>
          </cell>
          <cell r="B3960" t="str">
            <v>Cá rô phi bỏ ruột NV</v>
          </cell>
          <cell r="C3960" t="str">
            <v>Lọ</v>
          </cell>
        </row>
        <row r="3961">
          <cell r="A3961" t="str">
            <v>NL430155</v>
          </cell>
          <cell r="B3961" t="str">
            <v>Đậu cove NV</v>
          </cell>
          <cell r="C3961" t="str">
            <v>kg</v>
          </cell>
        </row>
        <row r="3962">
          <cell r="A3962" t="str">
            <v>NL430156</v>
          </cell>
          <cell r="B3962" t="str">
            <v>Đậu hũ chiên NV</v>
          </cell>
          <cell r="C3962" t="str">
            <v>miếng</v>
          </cell>
        </row>
        <row r="3963">
          <cell r="A3963" t="str">
            <v>NL430157</v>
          </cell>
          <cell r="B3963" t="str">
            <v>Da hoành thánh NV</v>
          </cell>
          <cell r="C3963" t="str">
            <v>kg</v>
          </cell>
        </row>
        <row r="3964">
          <cell r="A3964" t="str">
            <v>NL430158</v>
          </cell>
          <cell r="B3964" t="str">
            <v>Xà lách son NV</v>
          </cell>
          <cell r="C3964" t="str">
            <v>kg</v>
          </cell>
        </row>
        <row r="3965">
          <cell r="A3965" t="str">
            <v>NL430159</v>
          </cell>
          <cell r="B3965" t="str">
            <v>Hến ruột đông lạnh NV</v>
          </cell>
          <cell r="C3965" t="str">
            <v>kg</v>
          </cell>
        </row>
        <row r="3966">
          <cell r="A3966" t="str">
            <v>NL430160</v>
          </cell>
          <cell r="B3966" t="str">
            <v>Mùi tây NV</v>
          </cell>
          <cell r="C3966" t="str">
            <v>kg</v>
          </cell>
        </row>
        <row r="3967">
          <cell r="A3967" t="str">
            <v>NL430161</v>
          </cell>
          <cell r="B3967" t="str">
            <v>Khoai sọ gọt vỏ NV</v>
          </cell>
          <cell r="C3967" t="str">
            <v>kg</v>
          </cell>
        </row>
        <row r="3968">
          <cell r="A3968" t="str">
            <v>NL430162</v>
          </cell>
          <cell r="B3968" t="str">
            <v>Mì căn NV</v>
          </cell>
          <cell r="C3968" t="str">
            <v>kg</v>
          </cell>
        </row>
        <row r="3969">
          <cell r="A3969" t="str">
            <v>NL430163</v>
          </cell>
          <cell r="B3969" t="str">
            <v>Su su gọt vỏ NV</v>
          </cell>
          <cell r="C3969" t="str">
            <v>kg</v>
          </cell>
        </row>
        <row r="3970">
          <cell r="A3970" t="str">
            <v>NL430164</v>
          </cell>
          <cell r="B3970" t="str">
            <v>Xiên tre NV</v>
          </cell>
          <cell r="C3970" t="str">
            <v>kg</v>
          </cell>
        </row>
        <row r="3971">
          <cell r="A3971" t="str">
            <v>NL430165</v>
          </cell>
          <cell r="B3971" t="str">
            <v>Nước đậu NV</v>
          </cell>
          <cell r="C3971" t="str">
            <v>Lít</v>
          </cell>
        </row>
        <row r="3972">
          <cell r="A3972" t="str">
            <v>NL430166</v>
          </cell>
          <cell r="B3972" t="str">
            <v>Rau ngót (đã tuốt) NV</v>
          </cell>
          <cell r="C3972" t="str">
            <v>kg</v>
          </cell>
        </row>
        <row r="3973">
          <cell r="A3973" t="str">
            <v>NL430167</v>
          </cell>
          <cell r="B3973" t="str">
            <v>Lá nếp NV</v>
          </cell>
          <cell r="C3973" t="str">
            <v>kg</v>
          </cell>
        </row>
        <row r="3974">
          <cell r="A3974" t="str">
            <v>NL430168</v>
          </cell>
          <cell r="B3974" t="str">
            <v>Bí ngô xanh NV</v>
          </cell>
          <cell r="C3974" t="str">
            <v>kg</v>
          </cell>
        </row>
        <row r="3975">
          <cell r="A3975" t="str">
            <v>NL430169</v>
          </cell>
          <cell r="B3975" t="str">
            <v>Bún tàu NV</v>
          </cell>
          <cell r="C3975" t="str">
            <v>kg</v>
          </cell>
        </row>
        <row r="3976">
          <cell r="A3976" t="str">
            <v>NL430170</v>
          </cell>
          <cell r="B3976" t="str">
            <v>Óc heo (NV)</v>
          </cell>
          <cell r="C3976" t="str">
            <v>bộ</v>
          </cell>
        </row>
        <row r="3977">
          <cell r="A3977" t="str">
            <v>NL430171</v>
          </cell>
          <cell r="B3977" t="str">
            <v>Khoai lang Nhật NV</v>
          </cell>
          <cell r="C3977" t="str">
            <v>kg</v>
          </cell>
        </row>
        <row r="3978">
          <cell r="A3978" t="str">
            <v>NL430172</v>
          </cell>
          <cell r="B3978" t="str">
            <v>Nước hàng (NV)</v>
          </cell>
          <cell r="C3978" t="str">
            <v>Chai</v>
          </cell>
        </row>
        <row r="3979">
          <cell r="A3979" t="str">
            <v>NL430173</v>
          </cell>
          <cell r="B3979" t="str">
            <v>Quả sung NV</v>
          </cell>
          <cell r="C3979" t="str">
            <v>kg</v>
          </cell>
        </row>
        <row r="3980">
          <cell r="A3980" t="str">
            <v>NL430174</v>
          </cell>
          <cell r="B3980" t="str">
            <v>Thịt bò cổ (NV)</v>
          </cell>
          <cell r="C3980" t="str">
            <v>kg</v>
          </cell>
        </row>
        <row r="3981">
          <cell r="A3981" t="str">
            <v>NL430175</v>
          </cell>
          <cell r="B3981" t="str">
            <v>Khoai lang NV</v>
          </cell>
          <cell r="C3981" t="str">
            <v>kg</v>
          </cell>
        </row>
        <row r="3982">
          <cell r="A3982" t="str">
            <v>NL430176</v>
          </cell>
          <cell r="B3982" t="str">
            <v>Nấm Đông Cô NV</v>
          </cell>
          <cell r="C3982" t="str">
            <v>kg</v>
          </cell>
        </row>
        <row r="3983">
          <cell r="A3983" t="str">
            <v>NL430177</v>
          </cell>
          <cell r="B3983" t="str">
            <v>Bí thơm NV</v>
          </cell>
          <cell r="C3983" t="str">
            <v>kg</v>
          </cell>
        </row>
        <row r="3984">
          <cell r="A3984" t="str">
            <v>NL430178</v>
          </cell>
          <cell r="B3984" t="str">
            <v>Cà muối túi (NV)</v>
          </cell>
          <cell r="C3984" t="str">
            <v>Túi</v>
          </cell>
        </row>
        <row r="3985">
          <cell r="A3985" t="str">
            <v>NL430179</v>
          </cell>
          <cell r="B3985" t="str">
            <v>Lá gừng NV</v>
          </cell>
          <cell r="C3985" t="str">
            <v>kg</v>
          </cell>
        </row>
        <row r="3986">
          <cell r="A3986" t="str">
            <v>NL430180</v>
          </cell>
          <cell r="B3986" t="str">
            <v>Bắp cải tím NV</v>
          </cell>
          <cell r="C3986" t="str">
            <v>kg</v>
          </cell>
        </row>
        <row r="3987">
          <cell r="A3987" t="str">
            <v>NL430181</v>
          </cell>
          <cell r="B3987" t="str">
            <v>Củ sen NV</v>
          </cell>
          <cell r="C3987" t="str">
            <v>kg</v>
          </cell>
        </row>
        <row r="3988">
          <cell r="A3988" t="str">
            <v>NL430182</v>
          </cell>
          <cell r="B3988" t="str">
            <v>Cala thầu NV</v>
          </cell>
          <cell r="C3988" t="str">
            <v>kg</v>
          </cell>
        </row>
        <row r="3989">
          <cell r="A3989" t="str">
            <v>NL430183</v>
          </cell>
          <cell r="B3989" t="str">
            <v>Bông Súng NV</v>
          </cell>
          <cell r="C3989" t="str">
            <v>kg</v>
          </cell>
        </row>
        <row r="3990">
          <cell r="A3990" t="str">
            <v>NL430184</v>
          </cell>
          <cell r="B3990" t="str">
            <v>Cà pháo muối NV</v>
          </cell>
          <cell r="C3990" t="str">
            <v>kg</v>
          </cell>
        </row>
        <row r="3991">
          <cell r="A3991" t="str">
            <v>NL430185</v>
          </cell>
          <cell r="B3991" t="str">
            <v>Bánh cuốn NV</v>
          </cell>
          <cell r="C3991" t="str">
            <v>kg</v>
          </cell>
        </row>
        <row r="3992">
          <cell r="A3992" t="str">
            <v>NL430186</v>
          </cell>
          <cell r="B3992" t="str">
            <v>Cần tây NV</v>
          </cell>
          <cell r="C3992" t="str">
            <v>kg</v>
          </cell>
        </row>
        <row r="3993">
          <cell r="A3993" t="str">
            <v>NL430187</v>
          </cell>
          <cell r="B3993" t="str">
            <v>Dừa nạo (NV)</v>
          </cell>
          <cell r="C3993" t="str">
            <v>kg</v>
          </cell>
        </row>
        <row r="3994">
          <cell r="A3994" t="str">
            <v>NL430188</v>
          </cell>
          <cell r="B3994" t="str">
            <v>Kèo Nèo NV</v>
          </cell>
          <cell r="C3994" t="str">
            <v>kg</v>
          </cell>
        </row>
        <row r="3995">
          <cell r="A3995" t="str">
            <v>NL430189</v>
          </cell>
          <cell r="B3995" t="str">
            <v>Ớt chuông đỏ (NV)</v>
          </cell>
          <cell r="C3995" t="str">
            <v>kg</v>
          </cell>
        </row>
        <row r="3996">
          <cell r="A3996" t="str">
            <v>NL430190</v>
          </cell>
          <cell r="B3996" t="str">
            <v>Ớt chuông xanh (NV)</v>
          </cell>
          <cell r="C3996" t="str">
            <v>kg</v>
          </cell>
        </row>
        <row r="3997">
          <cell r="A3997" t="str">
            <v>NL430191</v>
          </cell>
          <cell r="B3997" t="str">
            <v>Ớt chuông vàng (NV)</v>
          </cell>
          <cell r="C3997" t="str">
            <v>kg</v>
          </cell>
        </row>
        <row r="3998">
          <cell r="A3998" t="str">
            <v>NL430192</v>
          </cell>
          <cell r="B3998" t="str">
            <v>Thịt nạc vai (NV)</v>
          </cell>
          <cell r="C3998" t="str">
            <v>kg</v>
          </cell>
        </row>
        <row r="3999">
          <cell r="A3999" t="str">
            <v>NL430193</v>
          </cell>
          <cell r="B3999" t="str">
            <v>Xương thịt NV</v>
          </cell>
          <cell r="C3999" t="str">
            <v>kg</v>
          </cell>
        </row>
        <row r="4000">
          <cell r="A4000" t="str">
            <v>NL430194</v>
          </cell>
          <cell r="B4000" t="str">
            <v>Củ canh NV</v>
          </cell>
          <cell r="C4000" t="str">
            <v>kg</v>
          </cell>
        </row>
        <row r="4001">
          <cell r="A4001" t="str">
            <v>NL430195</v>
          </cell>
          <cell r="B4001" t="str">
            <v>Trứng bắc thảo NV</v>
          </cell>
          <cell r="C4001" t="str">
            <v>Quả</v>
          </cell>
        </row>
        <row r="4002">
          <cell r="A4002" t="str">
            <v>NL430196</v>
          </cell>
          <cell r="B4002" t="str">
            <v>Nấm linh chi trắng NV</v>
          </cell>
          <cell r="C4002" t="str">
            <v>kg</v>
          </cell>
        </row>
        <row r="4003">
          <cell r="A4003" t="str">
            <v>NL430197</v>
          </cell>
          <cell r="B4003" t="str">
            <v>Bún bò NV</v>
          </cell>
          <cell r="C4003" t="str">
            <v>kg</v>
          </cell>
        </row>
        <row r="4004">
          <cell r="A4004" t="str">
            <v>NL430198</v>
          </cell>
          <cell r="B4004" t="str">
            <v>Cải bó xôi NV</v>
          </cell>
          <cell r="C4004" t="str">
            <v>kg</v>
          </cell>
        </row>
        <row r="4005">
          <cell r="A4005" t="str">
            <v>NL430199</v>
          </cell>
          <cell r="B4005" t="str">
            <v>Lòng mề gà NV (Bộ)</v>
          </cell>
          <cell r="C4005" t="str">
            <v>bộ</v>
          </cell>
        </row>
        <row r="4006">
          <cell r="A4006" t="str">
            <v>NL430200</v>
          </cell>
          <cell r="B4006" t="str">
            <v>Bắp non tươi NV</v>
          </cell>
          <cell r="C4006" t="str">
            <v>kg</v>
          </cell>
        </row>
        <row r="4007">
          <cell r="A4007" t="str">
            <v>NL430201</v>
          </cell>
          <cell r="B4007" t="str">
            <v>Thịt gà góc tư (NV)</v>
          </cell>
          <cell r="C4007" t="str">
            <v>kg</v>
          </cell>
        </row>
        <row r="4008">
          <cell r="A4008" t="str">
            <v>NL430202</v>
          </cell>
          <cell r="B4008" t="str">
            <v>Sườn sụn (NV)</v>
          </cell>
          <cell r="C4008" t="str">
            <v>kg</v>
          </cell>
        </row>
        <row r="4009">
          <cell r="A4009" t="str">
            <v>NL430203</v>
          </cell>
          <cell r="B4009" t="str">
            <v>Sườn vai (NV)</v>
          </cell>
          <cell r="C4009" t="str">
            <v>kg</v>
          </cell>
        </row>
        <row r="4010">
          <cell r="A4010" t="str">
            <v>NL430204</v>
          </cell>
          <cell r="B4010" t="str">
            <v>Bồng Khoai (NV)</v>
          </cell>
          <cell r="C4010" t="str">
            <v>kg</v>
          </cell>
        </row>
        <row r="4011">
          <cell r="A4011" t="str">
            <v>NL430205</v>
          </cell>
          <cell r="B4011" t="str">
            <v>Gạch cua (NV)</v>
          </cell>
          <cell r="C4011" t="str">
            <v>kg</v>
          </cell>
        </row>
        <row r="4012">
          <cell r="A4012" t="str">
            <v>NL430206</v>
          </cell>
          <cell r="B4012" t="str">
            <v>Bột bánh trôi NV</v>
          </cell>
          <cell r="C4012" t="str">
            <v>kg</v>
          </cell>
        </row>
        <row r="4013">
          <cell r="A4013" t="str">
            <v>NL430207</v>
          </cell>
          <cell r="B4013" t="str">
            <v>Thân chuối bào NV</v>
          </cell>
          <cell r="C4013" t="str">
            <v>kg</v>
          </cell>
        </row>
        <row r="4014">
          <cell r="A4014" t="str">
            <v>NL430208</v>
          </cell>
          <cell r="B4014" t="str">
            <v>Bắp giò heo rút xương NV</v>
          </cell>
          <cell r="C4014" t="str">
            <v>kg</v>
          </cell>
        </row>
        <row r="4015">
          <cell r="A4015" t="str">
            <v>NL430209</v>
          </cell>
          <cell r="B4015" t="str">
            <v>Măng trúc NV</v>
          </cell>
          <cell r="C4015" t="str">
            <v>kg</v>
          </cell>
        </row>
        <row r="4016">
          <cell r="A4016" t="str">
            <v>NL430210</v>
          </cell>
          <cell r="B4016" t="str">
            <v>Măng lá tước sẵn NV</v>
          </cell>
          <cell r="C4016" t="str">
            <v>kg</v>
          </cell>
        </row>
        <row r="4017">
          <cell r="A4017" t="str">
            <v>NL430211</v>
          </cell>
          <cell r="B4017" t="str">
            <v>Cải Đông Dư NV</v>
          </cell>
          <cell r="C4017" t="str">
            <v>kg</v>
          </cell>
        </row>
        <row r="4018">
          <cell r="A4018" t="str">
            <v>NL500001</v>
          </cell>
          <cell r="B4018" t="str">
            <v>Cồn thạch (50 viên/thùng)</v>
          </cell>
          <cell r="C4018" t="str">
            <v>Hộp</v>
          </cell>
        </row>
        <row r="4019">
          <cell r="A4019" t="str">
            <v>NL500002</v>
          </cell>
          <cell r="B4019" t="str">
            <v>Gas du lịch (1 thùng = 28 bình)</v>
          </cell>
          <cell r="C4019" t="str">
            <v>Bình</v>
          </cell>
        </row>
        <row r="4020">
          <cell r="A4020" t="str">
            <v>NL500003</v>
          </cell>
          <cell r="B4020" t="str">
            <v>Gas hóa lỏng 12kg</v>
          </cell>
          <cell r="C4020" t="str">
            <v>kg</v>
          </cell>
        </row>
        <row r="4021">
          <cell r="A4021" t="str">
            <v>NL500004</v>
          </cell>
          <cell r="B4021" t="str">
            <v>Gas hoá lỏng 48kg</v>
          </cell>
          <cell r="C4021" t="str">
            <v>kg</v>
          </cell>
        </row>
        <row r="4022">
          <cell r="A4022" t="str">
            <v>NL500005</v>
          </cell>
          <cell r="B4022" t="str">
            <v>Than</v>
          </cell>
          <cell r="C4022" t="str">
            <v>kg</v>
          </cell>
        </row>
        <row r="4023">
          <cell r="A4023" t="str">
            <v>NL500006</v>
          </cell>
          <cell r="B4023" t="str">
            <v>Gas hóa lỏng 22kg</v>
          </cell>
          <cell r="C4023" t="str">
            <v>kg</v>
          </cell>
        </row>
        <row r="4024">
          <cell r="A4024" t="str">
            <v>NL600001</v>
          </cell>
          <cell r="B4024" t="str">
            <v>Bưởi Da Xanh</v>
          </cell>
          <cell r="C4024" t="str">
            <v>quả</v>
          </cell>
        </row>
        <row r="4025">
          <cell r="A4025" t="str">
            <v>NL600002</v>
          </cell>
          <cell r="B4025" t="str">
            <v>Cam sành</v>
          </cell>
          <cell r="C4025" t="str">
            <v>kg</v>
          </cell>
        </row>
        <row r="4026">
          <cell r="A4026" t="str">
            <v>NL600003</v>
          </cell>
          <cell r="B4026" t="str">
            <v>Củ Đậu (Củ Sắn)</v>
          </cell>
          <cell r="C4026" t="str">
            <v>kg</v>
          </cell>
        </row>
        <row r="4027">
          <cell r="A4027" t="str">
            <v>NL600004</v>
          </cell>
          <cell r="B4027" t="str">
            <v>Dưa hấu</v>
          </cell>
          <cell r="C4027" t="str">
            <v>kg</v>
          </cell>
        </row>
        <row r="4028">
          <cell r="A4028" t="str">
            <v>NL600005</v>
          </cell>
          <cell r="B4028" t="str">
            <v>Nho xanh (tráng miệng)</v>
          </cell>
          <cell r="C4028" t="str">
            <v>kg</v>
          </cell>
        </row>
        <row r="4029">
          <cell r="A4029" t="str">
            <v>NL600006</v>
          </cell>
          <cell r="B4029" t="str">
            <v>Ổi (Tráng miệng)</v>
          </cell>
          <cell r="C4029" t="str">
            <v>kg</v>
          </cell>
        </row>
        <row r="4030">
          <cell r="A4030" t="str">
            <v>NL600007</v>
          </cell>
          <cell r="B4030" t="str">
            <v>Roi (Mận Nam) (tráng miệng)</v>
          </cell>
          <cell r="C4030" t="str">
            <v>kg</v>
          </cell>
        </row>
        <row r="4031">
          <cell r="A4031" t="str">
            <v>NL600008</v>
          </cell>
          <cell r="B4031" t="str">
            <v>Táo (tráng miệng)</v>
          </cell>
          <cell r="C4031" t="str">
            <v>kg</v>
          </cell>
        </row>
        <row r="4032">
          <cell r="A4032" t="str">
            <v>NL600009</v>
          </cell>
          <cell r="B4032" t="str">
            <v>Đào Ngâm HOSEN ( 1 Thùng 12 hộp, 1 hộp 820gr )</v>
          </cell>
          <cell r="C4032" t="str">
            <v>Hộp</v>
          </cell>
        </row>
        <row r="4033">
          <cell r="A4033" t="str">
            <v>NL600010</v>
          </cell>
          <cell r="B4033" t="str">
            <v>Đường trắng (Đồ Bar)</v>
          </cell>
          <cell r="C4033" t="str">
            <v>kg</v>
          </cell>
        </row>
        <row r="4034">
          <cell r="A4034" t="str">
            <v>NL600011</v>
          </cell>
          <cell r="B4034" t="str">
            <v>Đường phèn (đồ Bar)</v>
          </cell>
          <cell r="C4034" t="str">
            <v>kg</v>
          </cell>
        </row>
        <row r="4035">
          <cell r="A4035" t="str">
            <v>NL600012</v>
          </cell>
          <cell r="B4035" t="str">
            <v>Hạt chia</v>
          </cell>
          <cell r="C4035" t="str">
            <v>kg</v>
          </cell>
        </row>
        <row r="4036">
          <cell r="A4036" t="str">
            <v>NL600013</v>
          </cell>
          <cell r="B4036" t="str">
            <v>Hoa đông trùng</v>
          </cell>
          <cell r="C4036" t="str">
            <v>kg</v>
          </cell>
        </row>
        <row r="4037">
          <cell r="A4037" t="str">
            <v>NL600014</v>
          </cell>
          <cell r="B4037" t="str">
            <v>Kỳ tử (Đồ Bar)</v>
          </cell>
          <cell r="C4037" t="str">
            <v>kg</v>
          </cell>
        </row>
        <row r="4038">
          <cell r="A4038" t="str">
            <v>NL600015</v>
          </cell>
          <cell r="B4038" t="str">
            <v>Siro Đào 520ml</v>
          </cell>
          <cell r="C4038" t="str">
            <v>Chai</v>
          </cell>
        </row>
        <row r="4039">
          <cell r="A4039" t="str">
            <v>NL600016</v>
          </cell>
          <cell r="B4039" t="str">
            <v>Táo đỏ (Đồ Bar)</v>
          </cell>
          <cell r="C4039" t="str">
            <v>kg</v>
          </cell>
        </row>
        <row r="4040">
          <cell r="A4040" t="str">
            <v>NL600017</v>
          </cell>
          <cell r="B4040" t="str">
            <v>Trà đào túi lọc ( 1 thùng 30 túi, 1 túi 10 gói, 1 gói 20gr )</v>
          </cell>
          <cell r="C4040" t="str">
            <v>Gói</v>
          </cell>
        </row>
        <row r="4041">
          <cell r="A4041" t="str">
            <v>NL600018</v>
          </cell>
          <cell r="B4041" t="str">
            <v>Trà sâm dứa</v>
          </cell>
          <cell r="C4041" t="str">
            <v>Gói</v>
          </cell>
        </row>
        <row r="4042">
          <cell r="A4042" t="str">
            <v>NL600019</v>
          </cell>
          <cell r="B4042" t="str">
            <v>Đá lạnh</v>
          </cell>
          <cell r="C4042" t="str">
            <v>Túi</v>
          </cell>
        </row>
        <row r="4043">
          <cell r="A4043" t="str">
            <v>NL600020</v>
          </cell>
          <cell r="B4043" t="str">
            <v>Dứa quả (Đồ Bar)</v>
          </cell>
          <cell r="C4043" t="str">
            <v>Quả</v>
          </cell>
        </row>
        <row r="4044">
          <cell r="A4044" t="str">
            <v>NL600021</v>
          </cell>
          <cell r="B4044" t="str">
            <v>Xoài (tráng miệng)</v>
          </cell>
          <cell r="C4044" t="str">
            <v>kg</v>
          </cell>
        </row>
        <row r="4045">
          <cell r="A4045" t="str">
            <v>NL600022</v>
          </cell>
          <cell r="B4045" t="str">
            <v>Cà rốt (Đồ Bar)</v>
          </cell>
          <cell r="C4045" t="str">
            <v>kg</v>
          </cell>
        </row>
        <row r="4046">
          <cell r="A4046" t="str">
            <v>NL600023</v>
          </cell>
          <cell r="B4046" t="str">
            <v>Cam vàng decor</v>
          </cell>
          <cell r="C4046" t="str">
            <v>kg</v>
          </cell>
        </row>
        <row r="4047">
          <cell r="A4047" t="str">
            <v>NL600024</v>
          </cell>
          <cell r="B4047" t="str">
            <v>Đá cây</v>
          </cell>
          <cell r="C4047" t="str">
            <v>cây</v>
          </cell>
        </row>
        <row r="4048">
          <cell r="A4048" t="str">
            <v>NL600025</v>
          </cell>
          <cell r="B4048" t="str">
            <v>Đào Ngâm HOSEN ( 1 Thùng 12 hộp, 1 hộp 480gr )</v>
          </cell>
          <cell r="C4048" t="str">
            <v>Hộp</v>
          </cell>
        </row>
        <row r="4049">
          <cell r="A4049" t="str">
            <v>NL600026</v>
          </cell>
          <cell r="B4049" t="str">
            <v>Bia tươi Bubweiser 19.5 lít</v>
          </cell>
          <cell r="C4049" t="str">
            <v>Lít</v>
          </cell>
        </row>
        <row r="4050">
          <cell r="A4050" t="str">
            <v>NL600027</v>
          </cell>
          <cell r="B4050" t="str">
            <v>Bia tươi Hoegaarden 19.5 lít</v>
          </cell>
          <cell r="C4050" t="str">
            <v>Lít</v>
          </cell>
        </row>
        <row r="4051">
          <cell r="A4051" t="str">
            <v>NL600028</v>
          </cell>
          <cell r="B4051" t="str">
            <v>Bia tươi Hefeweizen 20 lít</v>
          </cell>
          <cell r="C4051" t="str">
            <v>Lít</v>
          </cell>
        </row>
        <row r="4052">
          <cell r="A4052" t="str">
            <v>NL600029</v>
          </cell>
          <cell r="B4052" t="str">
            <v>Bia tươi Golden Ale 20 lít</v>
          </cell>
          <cell r="C4052" t="str">
            <v>Lít</v>
          </cell>
        </row>
        <row r="4053">
          <cell r="A4053" t="str">
            <v>NL600030</v>
          </cell>
          <cell r="B4053" t="str">
            <v>Siro đào ( 1 Thùng 20 chai, 1 chai 600ml)</v>
          </cell>
          <cell r="C4053" t="str">
            <v>Chai</v>
          </cell>
        </row>
        <row r="4054">
          <cell r="A4054" t="str">
            <v>NL600031</v>
          </cell>
          <cell r="B4054" t="str">
            <v>Trà HABICUS Khô 100gr</v>
          </cell>
          <cell r="C4054" t="str">
            <v>Gói</v>
          </cell>
        </row>
        <row r="4055">
          <cell r="A4055" t="str">
            <v>NL600032</v>
          </cell>
          <cell r="B4055" t="str">
            <v>Bò khô miếng</v>
          </cell>
          <cell r="C4055" t="str">
            <v>Gói</v>
          </cell>
        </row>
        <row r="4056">
          <cell r="A4056" t="str">
            <v>NL600033</v>
          </cell>
          <cell r="B4056" t="str">
            <v>Siro Đào Golden Farm 500ml</v>
          </cell>
          <cell r="C4056" t="str">
            <v>Chai</v>
          </cell>
        </row>
        <row r="4057">
          <cell r="A4057" t="str">
            <v>NL600034</v>
          </cell>
          <cell r="B4057" t="str">
            <v>Hồng Trà Cozy (25 gói/hộp)</v>
          </cell>
          <cell r="C4057" t="str">
            <v>Gói</v>
          </cell>
        </row>
        <row r="4058">
          <cell r="A4058" t="str">
            <v>NL600035</v>
          </cell>
          <cell r="B4058" t="str">
            <v>Mứt Sinh Tố Ổi</v>
          </cell>
          <cell r="C4058" t="str">
            <v>Chai</v>
          </cell>
        </row>
        <row r="4059">
          <cell r="A4059" t="str">
            <v>NL600036</v>
          </cell>
          <cell r="B4059" t="str">
            <v>Ổi Ruột Đỏ</v>
          </cell>
          <cell r="C4059" t="str">
            <v>kg</v>
          </cell>
        </row>
        <row r="4060">
          <cell r="A4060" t="str">
            <v>NL600037</v>
          </cell>
          <cell r="B4060" t="str">
            <v>Mứt sinh tố Chanh dây</v>
          </cell>
          <cell r="C4060" t="str">
            <v>kg</v>
          </cell>
        </row>
        <row r="4061">
          <cell r="A4061" t="str">
            <v>NL600038</v>
          </cell>
          <cell r="B4061" t="str">
            <v>Mứt sinh tố Dâu</v>
          </cell>
          <cell r="C4061" t="str">
            <v>kg</v>
          </cell>
        </row>
        <row r="4062">
          <cell r="A4062" t="str">
            <v>NL600039</v>
          </cell>
          <cell r="B4062" t="str">
            <v>Siro dâu Golden Farm 500ml</v>
          </cell>
          <cell r="C4062" t="str">
            <v>Chai</v>
          </cell>
        </row>
        <row r="4063">
          <cell r="A4063" t="str">
            <v>NL600040</v>
          </cell>
          <cell r="B4063" t="str">
            <v>Trân Châu trắng 3Q</v>
          </cell>
          <cell r="C4063" t="str">
            <v>kg</v>
          </cell>
        </row>
        <row r="4064">
          <cell r="A4064" t="str">
            <v>NL600041</v>
          </cell>
          <cell r="B4064" t="str">
            <v>Long nhãn (Đồ Bar)</v>
          </cell>
          <cell r="C4064" t="str">
            <v>kg</v>
          </cell>
        </row>
        <row r="4065">
          <cell r="A4065" t="str">
            <v>NL600042</v>
          </cell>
          <cell r="B4065" t="str">
            <v>Táo quả (Đồ Bar)</v>
          </cell>
          <cell r="C4065" t="str">
            <v>kg</v>
          </cell>
        </row>
        <row r="4066">
          <cell r="A4066" t="str">
            <v>NL600043</v>
          </cell>
          <cell r="B4066" t="str">
            <v>Rau cần tây Mỹ (Đồ Bar)</v>
          </cell>
          <cell r="C4066" t="str">
            <v>kg</v>
          </cell>
        </row>
        <row r="4067">
          <cell r="A4067" t="str">
            <v>NL600044</v>
          </cell>
          <cell r="B4067" t="str">
            <v>Hồng trà Tân Nam Bắc 300gr</v>
          </cell>
          <cell r="C4067" t="str">
            <v>Gói</v>
          </cell>
        </row>
        <row r="4068">
          <cell r="A4068" t="str">
            <v>NL600045</v>
          </cell>
          <cell r="B4068" t="str">
            <v>Siro dâu ( 1 Thùng 20 chai, 1 chai 600ml)</v>
          </cell>
          <cell r="C4068" t="str">
            <v>Chai</v>
          </cell>
        </row>
        <row r="4069">
          <cell r="A4069" t="str">
            <v>NL600046</v>
          </cell>
          <cell r="B4069" t="str">
            <v>Trà hoa cúc</v>
          </cell>
          <cell r="C4069" t="str">
            <v>Gói</v>
          </cell>
        </row>
        <row r="4070">
          <cell r="A4070" t="str">
            <v>NL600047</v>
          </cell>
          <cell r="B4070" t="str">
            <v>Trà Xanh Lài 500Gr</v>
          </cell>
          <cell r="C4070" t="str">
            <v>Gói</v>
          </cell>
        </row>
        <row r="4071">
          <cell r="A4071" t="str">
            <v>NL600048</v>
          </cell>
          <cell r="B4071" t="str">
            <v>Tuyết Yến 500Gr</v>
          </cell>
          <cell r="C4071" t="str">
            <v>Gói</v>
          </cell>
        </row>
        <row r="4072">
          <cell r="A4072" t="str">
            <v>NL600049</v>
          </cell>
          <cell r="B4072" t="str">
            <v>Cam Sấy Khô</v>
          </cell>
          <cell r="C4072" t="str">
            <v>kg</v>
          </cell>
        </row>
        <row r="4073">
          <cell r="A4073" t="str">
            <v>NL600050</v>
          </cell>
          <cell r="B4073" t="str">
            <v>Mứt Chunky Quýt và hoa Nhài 1kg</v>
          </cell>
          <cell r="C4073" t="str">
            <v>Gói</v>
          </cell>
        </row>
        <row r="4074">
          <cell r="A4074" t="str">
            <v>NL600051</v>
          </cell>
          <cell r="B4074" t="str">
            <v>Nước ép vị Quýt SunQuick 800ml</v>
          </cell>
          <cell r="C4074" t="str">
            <v>Chai</v>
          </cell>
        </row>
        <row r="4075">
          <cell r="A4075" t="str">
            <v>NL600052</v>
          </cell>
          <cell r="B4075" t="str">
            <v>Sinh tố ổi đỏ (1000ml/chai)</v>
          </cell>
          <cell r="C4075" t="str">
            <v>Chai</v>
          </cell>
        </row>
        <row r="4076">
          <cell r="A4076" t="str">
            <v>NL600053</v>
          </cell>
          <cell r="B4076" t="str">
            <v>Táo đỏ Hàn Quốc (Đồ Bar) 780gr/gói</v>
          </cell>
          <cell r="C4076" t="str">
            <v>Gói</v>
          </cell>
        </row>
        <row r="4077">
          <cell r="A4077" t="str">
            <v>NL600054</v>
          </cell>
          <cell r="B4077" t="str">
            <v>Đá xay</v>
          </cell>
          <cell r="C4077" t="str">
            <v>Túi</v>
          </cell>
        </row>
        <row r="4078">
          <cell r="A4078" t="str">
            <v>NL600055</v>
          </cell>
          <cell r="B4078" t="str">
            <v>Sinh tố chanh dây (1000ml/chai)</v>
          </cell>
          <cell r="C4078" t="str">
            <v>Chai</v>
          </cell>
        </row>
        <row r="4079">
          <cell r="A4079" t="str">
            <v>NL600056</v>
          </cell>
          <cell r="B4079" t="str">
            <v>Sinh tố dâu (1000ml/chai)</v>
          </cell>
          <cell r="C4079" t="str">
            <v>Chai</v>
          </cell>
        </row>
        <row r="4080">
          <cell r="A4080" t="str">
            <v>NL600057</v>
          </cell>
          <cell r="B4080" t="str">
            <v>Siro Dâu (1000ml/chai)</v>
          </cell>
          <cell r="C4080" t="str">
            <v>Chai</v>
          </cell>
        </row>
        <row r="4081">
          <cell r="A4081" t="str">
            <v>NL600058</v>
          </cell>
          <cell r="B4081" t="str">
            <v>Siro Đào (1000ml/chai)</v>
          </cell>
          <cell r="C4081" t="str">
            <v>Chai</v>
          </cell>
        </row>
        <row r="4082">
          <cell r="A4082" t="str">
            <v>NL600059</v>
          </cell>
          <cell r="B4082" t="str">
            <v>Nấm tuyết nhĩ (đồ Bar)</v>
          </cell>
          <cell r="C4082" t="str">
            <v>kg</v>
          </cell>
        </row>
        <row r="4083">
          <cell r="A4083" t="str">
            <v>NL600060</v>
          </cell>
          <cell r="B4083" t="str">
            <v>Mứt Đào 1000ml/chai</v>
          </cell>
          <cell r="C4083" t="str">
            <v>Chai</v>
          </cell>
        </row>
        <row r="4084">
          <cell r="A4084" t="str">
            <v>NL600061</v>
          </cell>
          <cell r="B4084" t="str">
            <v>Trà Loving Teq (30 gói/hộp)</v>
          </cell>
          <cell r="C4084" t="str">
            <v>Gói</v>
          </cell>
        </row>
        <row r="4085">
          <cell r="A4085" t="str">
            <v>NL600062</v>
          </cell>
          <cell r="B4085" t="str">
            <v>Trà Olong 500gr/gói</v>
          </cell>
          <cell r="C4085" t="str">
            <v>Gói</v>
          </cell>
        </row>
        <row r="4086">
          <cell r="A4086" t="str">
            <v>NL600063</v>
          </cell>
          <cell r="B4086" t="str">
            <v>Mứt Thơm 1000ml/chai</v>
          </cell>
          <cell r="C4086" t="str">
            <v>Chai</v>
          </cell>
        </row>
        <row r="4087">
          <cell r="A4087" t="str">
            <v>NL600064</v>
          </cell>
          <cell r="B4087" t="str">
            <v>Sốt syrup Socola Hershey 1.36kg/Chai</v>
          </cell>
          <cell r="C4087" t="str">
            <v>Chai</v>
          </cell>
        </row>
        <row r="4088">
          <cell r="A4088" t="str">
            <v>NL600065</v>
          </cell>
          <cell r="B4088" t="str">
            <v>Trà Hoa Atiso Đỏ 500gr/gói</v>
          </cell>
          <cell r="C4088" t="str">
            <v>Gói</v>
          </cell>
        </row>
        <row r="4089">
          <cell r="A4089" t="str">
            <v>NL600066</v>
          </cell>
          <cell r="B4089" t="str">
            <v>Sinh tố đào (1000ml/chai)</v>
          </cell>
          <cell r="C4089" t="str">
            <v>Chai</v>
          </cell>
        </row>
        <row r="4090">
          <cell r="A4090" t="str">
            <v>NL600067</v>
          </cell>
          <cell r="B4090" t="str">
            <v>Cam vàng</v>
          </cell>
          <cell r="C4090" t="str">
            <v>kg</v>
          </cell>
        </row>
        <row r="4091">
          <cell r="A4091" t="str">
            <v>NL600068</v>
          </cell>
          <cell r="B4091" t="str">
            <v>Chanh vàng</v>
          </cell>
          <cell r="C4091" t="str">
            <v>kg</v>
          </cell>
        </row>
        <row r="4092">
          <cell r="A4092" t="str">
            <v>NL600069</v>
          </cell>
          <cell r="B4092" t="str">
            <v>Trà nhài 500g/gói</v>
          </cell>
          <cell r="C4092" t="str">
            <v>Gói</v>
          </cell>
        </row>
        <row r="4093">
          <cell r="A4093" t="str">
            <v>NL600070</v>
          </cell>
          <cell r="B4093" t="str">
            <v>Chanh leo (Đồ Bar)</v>
          </cell>
          <cell r="C4093" t="str">
            <v>kg</v>
          </cell>
        </row>
        <row r="4094">
          <cell r="A4094" t="str">
            <v>NL600071</v>
          </cell>
          <cell r="B4094" t="str">
            <v>Táo xanh Ninh Thuận</v>
          </cell>
          <cell r="C4094" t="str">
            <v>kg</v>
          </cell>
        </row>
        <row r="4095">
          <cell r="A4095" t="str">
            <v>NL600072</v>
          </cell>
          <cell r="B4095" t="str">
            <v>Sả (Đồ Bar)</v>
          </cell>
          <cell r="C4095" t="str">
            <v>kg</v>
          </cell>
        </row>
        <row r="4096">
          <cell r="A4096" t="str">
            <v>NL600073</v>
          </cell>
          <cell r="B4096" t="str">
            <v>Nha đam (đồ bar)</v>
          </cell>
          <cell r="C4096" t="str">
            <v>kg</v>
          </cell>
        </row>
        <row r="4097">
          <cell r="A4097" t="str">
            <v>NL600074</v>
          </cell>
          <cell r="B4097" t="str">
            <v>Xoài Chín ( đồ bar)</v>
          </cell>
          <cell r="C4097" t="str">
            <v>kg</v>
          </cell>
        </row>
        <row r="4098">
          <cell r="A4098" t="str">
            <v>NL600075</v>
          </cell>
          <cell r="B4098" t="str">
            <v>Thanh Long ruột trắng</v>
          </cell>
          <cell r="C4098" t="str">
            <v>kg</v>
          </cell>
        </row>
        <row r="4099">
          <cell r="A4099" t="str">
            <v>NL600076</v>
          </cell>
          <cell r="B4099" t="str">
            <v>Hạt é</v>
          </cell>
          <cell r="C4099" t="str">
            <v>kg</v>
          </cell>
        </row>
        <row r="4100">
          <cell r="A4100" t="str">
            <v>NL600077</v>
          </cell>
          <cell r="B4100" t="str">
            <v>Sữa lên men tự nhiên Betagen (700ml)</v>
          </cell>
          <cell r="C4100" t="str">
            <v>Hộp</v>
          </cell>
        </row>
        <row r="4101">
          <cell r="A4101" t="str">
            <v>NL600078</v>
          </cell>
          <cell r="B4101" t="str">
            <v>Sữa đậu nành 500g/Túi</v>
          </cell>
          <cell r="C4101" t="str">
            <v>Túi</v>
          </cell>
        </row>
        <row r="4102">
          <cell r="A4102" t="str">
            <v>NL600079</v>
          </cell>
          <cell r="B4102" t="str">
            <v>Caramen</v>
          </cell>
          <cell r="C4102" t="str">
            <v>Hộp</v>
          </cell>
        </row>
        <row r="4103">
          <cell r="A4103" t="str">
            <v>NL600080</v>
          </cell>
          <cell r="B4103" t="str">
            <v>Trà mạn</v>
          </cell>
          <cell r="C4103" t="str">
            <v>kg</v>
          </cell>
        </row>
        <row r="4104">
          <cell r="A4104" t="str">
            <v>NL600081</v>
          </cell>
          <cell r="B4104" t="str">
            <v>Dừa khô (270g/gói)</v>
          </cell>
          <cell r="C4104" t="str">
            <v>Gói</v>
          </cell>
        </row>
        <row r="4105">
          <cell r="A4105" t="str">
            <v>NL600082</v>
          </cell>
          <cell r="B4105" t="str">
            <v>Rong sụn khô (bar)</v>
          </cell>
          <cell r="C4105" t="str">
            <v>kg</v>
          </cell>
        </row>
        <row r="4106">
          <cell r="A4106" t="str">
            <v>NL600083</v>
          </cell>
          <cell r="B4106" t="str">
            <v>Thạch dừa Minh Châu</v>
          </cell>
          <cell r="C4106" t="str">
            <v>kg</v>
          </cell>
        </row>
        <row r="4107">
          <cell r="A4107" t="str">
            <v>NL600084</v>
          </cell>
          <cell r="B4107" t="str">
            <v>Trà lipton trà đen ( 1 gói 2g, 100 gói/ hộp)</v>
          </cell>
          <cell r="C4107" t="str">
            <v>Gói</v>
          </cell>
        </row>
        <row r="4108">
          <cell r="A4108" t="str">
            <v>NL600085</v>
          </cell>
          <cell r="B4108" t="str">
            <v>Sữa đặc hoàn hảo (380g/ hộp)</v>
          </cell>
          <cell r="C4108" t="str">
            <v>Hộp</v>
          </cell>
        </row>
        <row r="4109">
          <cell r="A4109" t="str">
            <v>NL600086</v>
          </cell>
          <cell r="B4109" t="str">
            <v>Bột muối NBCA-Hoaduoc 100g</v>
          </cell>
          <cell r="C4109" t="str">
            <v>Gói</v>
          </cell>
        </row>
        <row r="4110">
          <cell r="A4110" t="str">
            <v>NL600087</v>
          </cell>
          <cell r="B4110" t="str">
            <v>Tinh bột khoai mì 10kg</v>
          </cell>
          <cell r="C4110" t="str">
            <v>Bao</v>
          </cell>
        </row>
        <row r="4111">
          <cell r="A4111" t="str">
            <v>NL600088</v>
          </cell>
          <cell r="B4111" t="str">
            <v>Hoa nhài khô</v>
          </cell>
          <cell r="C4111" t="str">
            <v>kg</v>
          </cell>
        </row>
        <row r="4112">
          <cell r="A4112" t="str">
            <v>NL600089</v>
          </cell>
          <cell r="B4112" t="str">
            <v>Bột thạch xoài</v>
          </cell>
          <cell r="C4112" t="str">
            <v>kg</v>
          </cell>
        </row>
        <row r="4113">
          <cell r="A4113" t="str">
            <v>NL600090</v>
          </cell>
          <cell r="B4113" t="str">
            <v>Bột chân châu</v>
          </cell>
          <cell r="C4113" t="str">
            <v>kg</v>
          </cell>
        </row>
        <row r="4114">
          <cell r="A4114" t="str">
            <v>NL600091</v>
          </cell>
          <cell r="B4114" t="str">
            <v>Bột vani ống 100g/gói</v>
          </cell>
          <cell r="C4114" t="str">
            <v>Gói</v>
          </cell>
        </row>
        <row r="4115">
          <cell r="A4115" t="str">
            <v>NL600092</v>
          </cell>
          <cell r="B4115" t="str">
            <v>Bò khô (500gr)</v>
          </cell>
          <cell r="C4115" t="str">
            <v>Gói</v>
          </cell>
        </row>
        <row r="4116">
          <cell r="A4116" t="str">
            <v>NL610001</v>
          </cell>
          <cell r="B4116" t="str">
            <v>Rượu bách nhật</v>
          </cell>
          <cell r="C4116" t="str">
            <v>Lít</v>
          </cell>
        </row>
        <row r="4117">
          <cell r="A4117" t="str">
            <v>NL610002</v>
          </cell>
          <cell r="B4117" t="str">
            <v>Bia tươi Sapporo 20l</v>
          </cell>
          <cell r="C4117" t="str">
            <v>Lít</v>
          </cell>
        </row>
        <row r="4118">
          <cell r="A4118" t="str">
            <v>NL610003</v>
          </cell>
          <cell r="B4118" t="str">
            <v>Bia tươi Tiger 20L</v>
          </cell>
          <cell r="C4118" t="str">
            <v>Lít</v>
          </cell>
        </row>
        <row r="4119">
          <cell r="A4119" t="str">
            <v>NL610004</v>
          </cell>
          <cell r="B4119" t="str">
            <v>Hồng Trà Cozy (25 gói/hộp)</v>
          </cell>
          <cell r="C4119" t="str">
            <v>Hộp</v>
          </cell>
        </row>
        <row r="4120">
          <cell r="A4120" t="str">
            <v>NL610005</v>
          </cell>
          <cell r="B4120" t="str">
            <v>Tuyết Yến</v>
          </cell>
          <cell r="C4120" t="str">
            <v>kg</v>
          </cell>
        </row>
        <row r="4121">
          <cell r="A4121" t="str">
            <v>NL610006</v>
          </cell>
          <cell r="B4121" t="str">
            <v>Dừa khô (275g/gói)</v>
          </cell>
          <cell r="C4121" t="str">
            <v>Gói</v>
          </cell>
        </row>
        <row r="4122">
          <cell r="A4122" t="str">
            <v>NL610007</v>
          </cell>
          <cell r="B4122" t="str">
            <v>Lá nếp (Đồ Bar)</v>
          </cell>
          <cell r="C4122" t="str">
            <v>kg</v>
          </cell>
        </row>
        <row r="4123">
          <cell r="A4123" t="str">
            <v>NL610008</v>
          </cell>
          <cell r="B4123" t="str">
            <v>Củ dền (Đồ Bar)</v>
          </cell>
          <cell r="C4123" t="str">
            <v>kg</v>
          </cell>
        </row>
        <row r="4124">
          <cell r="A4124" t="str">
            <v>NL610009</v>
          </cell>
          <cell r="B4124" t="str">
            <v>Bột rau câu con cá dẻo (12g/gói)</v>
          </cell>
          <cell r="C4124" t="str">
            <v>Gói</v>
          </cell>
        </row>
        <row r="4125">
          <cell r="A4125" t="str">
            <v>NL610010</v>
          </cell>
          <cell r="B4125" t="str">
            <v>Nước cốt dừa (400ml/hộp) (Đồ Bar)</v>
          </cell>
          <cell r="C4125" t="str">
            <v>Gói</v>
          </cell>
        </row>
        <row r="4126">
          <cell r="A4126" t="str">
            <v>NL610011</v>
          </cell>
          <cell r="B4126" t="str">
            <v>Bột năng (1kg/gói) (Đồ Bar)</v>
          </cell>
          <cell r="C4126" t="str">
            <v>Gói</v>
          </cell>
        </row>
        <row r="4127">
          <cell r="A4127" t="str">
            <v>NL610012</v>
          </cell>
          <cell r="B4127" t="str">
            <v>Bột vani ống (10 tuýp/hộp)</v>
          </cell>
          <cell r="C4127" t="str">
            <v>Tuýp</v>
          </cell>
        </row>
        <row r="4128">
          <cell r="A4128" t="str">
            <v>NL610013</v>
          </cell>
          <cell r="B4128" t="str">
            <v>Sữa đậu nành 500g/Túi</v>
          </cell>
          <cell r="C4128" t="str">
            <v>Túi</v>
          </cell>
        </row>
        <row r="4129">
          <cell r="A4129" t="str">
            <v>NL610015</v>
          </cell>
          <cell r="B4129" t="str">
            <v>Caramen</v>
          </cell>
          <cell r="C4129" t="str">
            <v>Hộp</v>
          </cell>
        </row>
        <row r="4130">
          <cell r="A4130" t="str">
            <v>NL610016</v>
          </cell>
          <cell r="B4130" t="str">
            <v>Trà mạn</v>
          </cell>
          <cell r="C4130" t="str">
            <v>kg</v>
          </cell>
        </row>
        <row r="4131">
          <cell r="A4131" t="str">
            <v>NL610017</v>
          </cell>
          <cell r="B4131" t="str">
            <v>Dừa khô (270g/gói)</v>
          </cell>
          <cell r="C4131" t="str">
            <v>Gói</v>
          </cell>
        </row>
        <row r="4132">
          <cell r="A4132" t="str">
            <v>NL610018</v>
          </cell>
          <cell r="B4132" t="str">
            <v>Rong sụn khô (bar)</v>
          </cell>
          <cell r="C4132" t="str">
            <v>kg</v>
          </cell>
        </row>
        <row r="4133">
          <cell r="A4133" t="str">
            <v>NL610019</v>
          </cell>
          <cell r="B4133" t="str">
            <v>Thạch dừa Minh Châu</v>
          </cell>
          <cell r="C4133" t="str">
            <v>kg</v>
          </cell>
        </row>
        <row r="4134">
          <cell r="A4134" t="str">
            <v>NL610020</v>
          </cell>
          <cell r="B4134" t="str">
            <v>Trà lipton trà đen ( 1 gói 2g, 100 gói/ hộp)</v>
          </cell>
          <cell r="C4134" t="str">
            <v>Gói</v>
          </cell>
        </row>
        <row r="4135">
          <cell r="A4135" t="str">
            <v>NL610021</v>
          </cell>
          <cell r="B4135" t="str">
            <v>Sữa đặc hoàn hảo (380g/ hộp)</v>
          </cell>
          <cell r="C4135" t="str">
            <v>Hộp</v>
          </cell>
        </row>
        <row r="4136">
          <cell r="A4136" t="str">
            <v>NL610022</v>
          </cell>
          <cell r="B4136" t="str">
            <v>Bột muối NBCA-Hoaduoc 100g</v>
          </cell>
          <cell r="C4136" t="str">
            <v>Gói</v>
          </cell>
        </row>
        <row r="4137">
          <cell r="A4137" t="str">
            <v>NL610023</v>
          </cell>
          <cell r="B4137" t="str">
            <v>Tinh bột khoai mì 10kg</v>
          </cell>
          <cell r="C4137" t="str">
            <v>Bao</v>
          </cell>
        </row>
        <row r="4138">
          <cell r="A4138" t="str">
            <v>NL610024</v>
          </cell>
          <cell r="B4138" t="str">
            <v>Hoa nhài khô</v>
          </cell>
          <cell r="C4138" t="str">
            <v>kg</v>
          </cell>
        </row>
        <row r="4139">
          <cell r="A4139" t="str">
            <v>NL610025</v>
          </cell>
          <cell r="B4139" t="str">
            <v>Bột thạch xoài</v>
          </cell>
          <cell r="C4139" t="str">
            <v>kg</v>
          </cell>
        </row>
        <row r="4140">
          <cell r="A4140" t="str">
            <v>NL610026</v>
          </cell>
          <cell r="B4140" t="str">
            <v>Bột chân châu</v>
          </cell>
          <cell r="C4140" t="str">
            <v>kg</v>
          </cell>
        </row>
        <row r="4141">
          <cell r="A4141" t="str">
            <v>NL610027</v>
          </cell>
          <cell r="B4141" t="str">
            <v>Bột vani ống 100g/gói</v>
          </cell>
          <cell r="C4141" t="str">
            <v>Gói</v>
          </cell>
        </row>
        <row r="4142">
          <cell r="A4142" t="str">
            <v>NL610028</v>
          </cell>
          <cell r="B4142" t="str">
            <v>Trà bí đao</v>
          </cell>
          <cell r="C4142" t="str">
            <v>Gói</v>
          </cell>
        </row>
        <row r="4143">
          <cell r="A4143" t="str">
            <v>NL610029</v>
          </cell>
          <cell r="B4143" t="str">
            <v>Chè bưởi</v>
          </cell>
          <cell r="C4143" t="str">
            <v>kg</v>
          </cell>
        </row>
        <row r="4144">
          <cell r="A4144" t="str">
            <v>NL610030</v>
          </cell>
          <cell r="B4144" t="str">
            <v>Cốt cam 840ml (6chai/thùng)</v>
          </cell>
          <cell r="C4144" t="str">
            <v>Chai</v>
          </cell>
        </row>
        <row r="4145">
          <cell r="A4145" t="str">
            <v>NL610031</v>
          </cell>
          <cell r="B4145" t="str">
            <v>Thạch nha đam (1kg/gói)</v>
          </cell>
          <cell r="C4145" t="str">
            <v>kg</v>
          </cell>
        </row>
        <row r="4146">
          <cell r="A4146" t="str">
            <v>NL610032</v>
          </cell>
          <cell r="B4146" t="str">
            <v>Siro Đào (750ml/chai)</v>
          </cell>
          <cell r="C4146" t="str">
            <v>Chai</v>
          </cell>
        </row>
        <row r="4147">
          <cell r="A4147" t="str">
            <v>NL610033</v>
          </cell>
          <cell r="B4147" t="str">
            <v>Nước cốt dừa (kg)</v>
          </cell>
          <cell r="C4147" t="str">
            <v>kg</v>
          </cell>
        </row>
        <row r="4148">
          <cell r="A4148" t="str">
            <v>QUATET25</v>
          </cell>
          <cell r="B4148" t="str">
            <v>Sét quà tết nhân viên</v>
          </cell>
          <cell r="C4148" t="str">
            <v>set</v>
          </cell>
        </row>
        <row r="4149">
          <cell r="A4149" t="str">
            <v>THAKN001</v>
          </cell>
          <cell r="B4149" t="str">
            <v>Tàu hũ ki cuộn</v>
          </cell>
          <cell r="C4149" t="str">
            <v>Phần</v>
          </cell>
        </row>
        <row r="4150">
          <cell r="A4150" t="str">
            <v>THAKN002</v>
          </cell>
          <cell r="B4150" t="str">
            <v>Đậu Hũ Phô Mai</v>
          </cell>
          <cell r="C4150" t="str">
            <v>Phần</v>
          </cell>
        </row>
        <row r="4151">
          <cell r="A4151" t="str">
            <v>THAKN003</v>
          </cell>
          <cell r="B4151" t="str">
            <v>Xúc xích Phô Mai</v>
          </cell>
          <cell r="C4151" t="str">
            <v>Phần</v>
          </cell>
        </row>
        <row r="4152">
          <cell r="A4152" t="str">
            <v>THAKN004</v>
          </cell>
          <cell r="B4152" t="str">
            <v>Thanh Cua</v>
          </cell>
          <cell r="C4152" t="str">
            <v>Phần</v>
          </cell>
        </row>
        <row r="4153">
          <cell r="A4153" t="str">
            <v>THAKN005</v>
          </cell>
          <cell r="B4153" t="str">
            <v>Đậu Phụ Tuyết</v>
          </cell>
          <cell r="C4153" t="str">
            <v>Phần</v>
          </cell>
        </row>
        <row r="4154">
          <cell r="A4154" t="str">
            <v>THAKN006</v>
          </cell>
          <cell r="B4154" t="str">
            <v>Ngự vị Huyết Cay</v>
          </cell>
          <cell r="C4154" t="str">
            <v>Phần</v>
          </cell>
        </row>
        <row r="4155">
          <cell r="A4155" t="str">
            <v>THAKN007</v>
          </cell>
          <cell r="B4155" t="str">
            <v>Váng Đậu Chiên</v>
          </cell>
          <cell r="C4155" t="str">
            <v>Phần</v>
          </cell>
        </row>
        <row r="4156">
          <cell r="A4156" t="str">
            <v>THAKN008</v>
          </cell>
          <cell r="B4156" t="str">
            <v>Miến Bạch Ngọc</v>
          </cell>
          <cell r="C4156" t="str">
            <v>Phần</v>
          </cell>
        </row>
        <row r="4157">
          <cell r="A4157" t="str">
            <v>THAKN009</v>
          </cell>
          <cell r="B4157" t="str">
            <v>Miến Bích Diệp</v>
          </cell>
          <cell r="C4157" t="str">
            <v>Phần</v>
          </cell>
        </row>
        <row r="4158">
          <cell r="A4158" t="str">
            <v>THAKN010</v>
          </cell>
          <cell r="B4158" t="str">
            <v>Mỳ Tôm</v>
          </cell>
          <cell r="C4158" t="str">
            <v>Phần</v>
          </cell>
        </row>
        <row r="4159">
          <cell r="A4159" t="str">
            <v>THAKN011</v>
          </cell>
          <cell r="B4159" t="str">
            <v>Set Viên Thập Cẩm</v>
          </cell>
          <cell r="C4159" t="str">
            <v>Phần</v>
          </cell>
        </row>
        <row r="4160">
          <cell r="A4160" t="str">
            <v>THAKN012</v>
          </cell>
          <cell r="B4160" t="str">
            <v>Set viên thập cẩm size S</v>
          </cell>
          <cell r="C4160" t="str">
            <v>Phần</v>
          </cell>
        </row>
        <row r="4161">
          <cell r="A4161" t="str">
            <v>THCBO001</v>
          </cell>
          <cell r="B4161" t="str">
            <v>COMBO TIAN LONG 1 ( Dành cho 2 khách)</v>
          </cell>
          <cell r="C4161" t="str">
            <v>Set</v>
          </cell>
        </row>
        <row r="4162">
          <cell r="A4162" t="str">
            <v>THCBO002</v>
          </cell>
          <cell r="B4162" t="str">
            <v>COMBO TIAN LONG 2( Dành cho 3 khách)</v>
          </cell>
          <cell r="C4162" t="str">
            <v>Set</v>
          </cell>
        </row>
        <row r="4163">
          <cell r="A4163" t="str">
            <v>THCBO003</v>
          </cell>
          <cell r="B4163" t="str">
            <v>COMBO TIAN LONG 3 ( Dành cho 4 khách)</v>
          </cell>
          <cell r="C4163" t="str">
            <v>Set</v>
          </cell>
        </row>
        <row r="4164">
          <cell r="A4164" t="str">
            <v>THCBO004</v>
          </cell>
          <cell r="B4164" t="str">
            <v>COMBO TIAN LONG 4 ( Dành cho 5 khách)</v>
          </cell>
          <cell r="C4164" t="str">
            <v>Set</v>
          </cell>
        </row>
        <row r="4165">
          <cell r="A4165" t="str">
            <v>THCBO005</v>
          </cell>
          <cell r="B4165" t="str">
            <v>COMBO TIAN LONG 5 ( Dành cho 6 khách)</v>
          </cell>
          <cell r="C4165" t="str">
            <v>Set</v>
          </cell>
        </row>
        <row r="4166">
          <cell r="A4166" t="str">
            <v>THCBO006</v>
          </cell>
          <cell r="B4166" t="str">
            <v>Set tâm giao</v>
          </cell>
          <cell r="C4166" t="str">
            <v>Set</v>
          </cell>
        </row>
        <row r="4167">
          <cell r="A4167" t="str">
            <v>THDVI001</v>
          </cell>
          <cell r="B4167" t="str">
            <v>Tôm Tươi Phỉ Thúy</v>
          </cell>
          <cell r="C4167" t="str">
            <v>Phần</v>
          </cell>
        </row>
        <row r="4168">
          <cell r="A4168" t="str">
            <v>THDVI002</v>
          </cell>
          <cell r="B4168" t="str">
            <v>Tôm Tươi Trứng Cua</v>
          </cell>
          <cell r="C4168" t="str">
            <v>Phần</v>
          </cell>
        </row>
        <row r="4169">
          <cell r="A4169" t="str">
            <v>THDVI003</v>
          </cell>
          <cell r="B4169" t="str">
            <v>Mực Tươi Phỉ Thúy</v>
          </cell>
          <cell r="C4169" t="str">
            <v>Phần</v>
          </cell>
        </row>
        <row r="4170">
          <cell r="A4170" t="str">
            <v>THDVI004</v>
          </cell>
          <cell r="B4170" t="str">
            <v>Mực Tươi Trứng Cua</v>
          </cell>
          <cell r="C4170" t="str">
            <v>Phần</v>
          </cell>
        </row>
        <row r="4171">
          <cell r="A4171" t="str">
            <v>THDVI005</v>
          </cell>
          <cell r="B4171" t="str">
            <v>Chả Cá Thát Lát Tươi</v>
          </cell>
          <cell r="C4171" t="str">
            <v>Phần</v>
          </cell>
        </row>
        <row r="4172">
          <cell r="A4172" t="str">
            <v>THDVI006</v>
          </cell>
          <cell r="B4172" t="str">
            <v>Paste Hải Sản Mỹ Vị</v>
          </cell>
          <cell r="C4172" t="str">
            <v>Phần</v>
          </cell>
        </row>
        <row r="4173">
          <cell r="A4173" t="str">
            <v>THDVI007</v>
          </cell>
          <cell r="B4173" t="str">
            <v>Sủi Cảo Tứ Xuyên</v>
          </cell>
          <cell r="C4173" t="str">
            <v>Phần</v>
          </cell>
        </row>
        <row r="4174">
          <cell r="A4174" t="str">
            <v>THDVI008</v>
          </cell>
          <cell r="B4174" t="str">
            <v>Sủi Cảo Tôm Thịt</v>
          </cell>
          <cell r="C4174" t="str">
            <v>Phần</v>
          </cell>
        </row>
        <row r="4175">
          <cell r="A4175" t="str">
            <v>THDVI009</v>
          </cell>
          <cell r="B4175" t="str">
            <v>Sủi Cảo Tôm Hẹ</v>
          </cell>
          <cell r="C4175" t="str">
            <v>Phần</v>
          </cell>
        </row>
        <row r="4176">
          <cell r="A4176" t="str">
            <v>THDVI010</v>
          </cell>
          <cell r="B4176" t="str">
            <v>Sủi Cảo Tam Vị</v>
          </cell>
          <cell r="C4176" t="str">
            <v>Phần</v>
          </cell>
        </row>
        <row r="4177">
          <cell r="A4177" t="str">
            <v>THDVU001</v>
          </cell>
          <cell r="B4177" t="str">
            <v>Khăn lạnh</v>
          </cell>
          <cell r="C4177" t="str">
            <v>chiếc</v>
          </cell>
        </row>
        <row r="4178">
          <cell r="A4178" t="str">
            <v>THDVU002</v>
          </cell>
          <cell r="B4178" t="str">
            <v>Phí rượu quê</v>
          </cell>
          <cell r="C4178" t="str">
            <v>Phần</v>
          </cell>
        </row>
        <row r="4179">
          <cell r="A4179" t="str">
            <v>THDVU003</v>
          </cell>
          <cell r="B4179" t="str">
            <v>Phí đồ ăn</v>
          </cell>
          <cell r="C4179" t="str">
            <v>Phần</v>
          </cell>
        </row>
        <row r="4180">
          <cell r="A4180" t="str">
            <v>THDVU004</v>
          </cell>
          <cell r="B4180" t="str">
            <v>Phí rượu vang ngoại</v>
          </cell>
          <cell r="C4180" t="str">
            <v>Phần</v>
          </cell>
        </row>
        <row r="4181">
          <cell r="A4181" t="str">
            <v>THDVU005</v>
          </cell>
          <cell r="B4181" t="str">
            <v>Phí đồ uống(rượu mạnh/chai,bia/thùng, nước ngọt/két...)</v>
          </cell>
          <cell r="C4181" t="str">
            <v>Phần</v>
          </cell>
        </row>
        <row r="4182">
          <cell r="A4182" t="str">
            <v>THHQU001</v>
          </cell>
          <cell r="B4182" t="str">
            <v>Trà Táo Đỏ Hoa Cúc (Ly)</v>
          </cell>
          <cell r="C4182" t="str">
            <v>Ly</v>
          </cell>
        </row>
        <row r="4183">
          <cell r="A4183" t="str">
            <v>THHQU002</v>
          </cell>
          <cell r="B4183" t="str">
            <v>Trà Táo Đỏ Hoa Cúc (Bình)</v>
          </cell>
          <cell r="C4183" t="str">
            <v>Bình</v>
          </cell>
        </row>
        <row r="4184">
          <cell r="A4184" t="str">
            <v>THHQU003</v>
          </cell>
          <cell r="B4184" t="str">
            <v>Nước ép cam tươi</v>
          </cell>
          <cell r="C4184" t="str">
            <v>Ly</v>
          </cell>
        </row>
        <row r="4185">
          <cell r="A4185" t="str">
            <v>THHQU004</v>
          </cell>
          <cell r="B4185" t="str">
            <v>Nước ép dưa hấu</v>
          </cell>
          <cell r="C4185" t="str">
            <v>Ly</v>
          </cell>
        </row>
        <row r="4186">
          <cell r="A4186" t="str">
            <v>THHQU005</v>
          </cell>
          <cell r="B4186" t="str">
            <v>Nước ép ổi</v>
          </cell>
          <cell r="C4186" t="str">
            <v>Ly</v>
          </cell>
        </row>
        <row r="4187">
          <cell r="A4187" t="str">
            <v>THHQU006</v>
          </cell>
          <cell r="B4187" t="str">
            <v>Trà Ô long cam đào</v>
          </cell>
          <cell r="C4187" t="str">
            <v>Ly</v>
          </cell>
        </row>
        <row r="4188">
          <cell r="A4188" t="str">
            <v>THHQU007</v>
          </cell>
          <cell r="B4188" t="str">
            <v>Trà ổi hồng</v>
          </cell>
          <cell r="C4188" t="str">
            <v>Ly</v>
          </cell>
        </row>
        <row r="4189">
          <cell r="A4189" t="str">
            <v>THHQU008</v>
          </cell>
          <cell r="B4189" t="str">
            <v>Trà dưỡng nhan</v>
          </cell>
          <cell r="C4189" t="str">
            <v>Ly</v>
          </cell>
        </row>
        <row r="4190">
          <cell r="A4190" t="str">
            <v>THHQU009</v>
          </cell>
          <cell r="B4190" t="str">
            <v>Trà Hồng Sắc Mỹ Nhân</v>
          </cell>
          <cell r="C4190" t="str">
            <v>Ly</v>
          </cell>
        </row>
        <row r="4191">
          <cell r="A4191" t="str">
            <v>THHQU010</v>
          </cell>
          <cell r="B4191" t="str">
            <v>Băng Sa</v>
          </cell>
          <cell r="C4191" t="str">
            <v>Bình</v>
          </cell>
        </row>
        <row r="4192">
          <cell r="A4192" t="str">
            <v>THHQU011</v>
          </cell>
          <cell r="B4192" t="str">
            <v>Băng sa - Hàng tặng không bán</v>
          </cell>
          <cell r="C4192" t="str">
            <v>Bình</v>
          </cell>
        </row>
        <row r="4193">
          <cell r="A4193" t="str">
            <v>THHSA001</v>
          </cell>
          <cell r="B4193" t="str">
            <v>Tôm Sú</v>
          </cell>
          <cell r="C4193" t="str">
            <v>Phần</v>
          </cell>
        </row>
        <row r="4194">
          <cell r="A4194" t="str">
            <v>THHSA002</v>
          </cell>
          <cell r="B4194" t="str">
            <v>Cá Chép Giòn</v>
          </cell>
          <cell r="C4194" t="str">
            <v>Phần</v>
          </cell>
        </row>
        <row r="4195">
          <cell r="A4195" t="str">
            <v>THHSA003</v>
          </cell>
          <cell r="B4195" t="str">
            <v>Cá Chình</v>
          </cell>
          <cell r="C4195" t="str">
            <v>Phần</v>
          </cell>
        </row>
        <row r="4196">
          <cell r="A4196" t="str">
            <v>THHSA004</v>
          </cell>
          <cell r="B4196" t="str">
            <v>Mực Ống</v>
          </cell>
          <cell r="C4196" t="str">
            <v>Phần</v>
          </cell>
        </row>
        <row r="4197">
          <cell r="A4197" t="str">
            <v>THHSA005</v>
          </cell>
          <cell r="B4197" t="str">
            <v>Set Hải Sản</v>
          </cell>
          <cell r="C4197" t="str">
            <v>Phần</v>
          </cell>
        </row>
        <row r="4198">
          <cell r="A4198" t="str">
            <v>THKVI001</v>
          </cell>
          <cell r="B4198" t="str">
            <v>Khoai tây chiên</v>
          </cell>
          <cell r="C4198" t="str">
            <v>phần</v>
          </cell>
        </row>
        <row r="4199">
          <cell r="A4199" t="str">
            <v>THKVI002</v>
          </cell>
          <cell r="B4199" t="str">
            <v>Chân gà rang muối Hồng Kông</v>
          </cell>
          <cell r="C4199" t="str">
            <v>phần</v>
          </cell>
        </row>
        <row r="4200">
          <cell r="A4200" t="str">
            <v>THKVI003</v>
          </cell>
          <cell r="B4200" t="str">
            <v>Màn thầu chiên</v>
          </cell>
          <cell r="C4200" t="str">
            <v>phần</v>
          </cell>
        </row>
        <row r="4201">
          <cell r="A4201" t="str">
            <v>THLAU001</v>
          </cell>
          <cell r="B4201" t="str">
            <v>Lẩu Thảo Mộc Tian Long</v>
          </cell>
          <cell r="C4201" t="str">
            <v>Phần</v>
          </cell>
        </row>
        <row r="4202">
          <cell r="A4202" t="str">
            <v>THLAU002</v>
          </cell>
          <cell r="B4202" t="str">
            <v>Lẩu Cà Chua</v>
          </cell>
          <cell r="C4202" t="str">
            <v>Phần</v>
          </cell>
        </row>
        <row r="4203">
          <cell r="A4203" t="str">
            <v>THLAU003</v>
          </cell>
          <cell r="B4203" t="str">
            <v>Lẩu Cay Triều Châu</v>
          </cell>
          <cell r="C4203" t="str">
            <v>Phần</v>
          </cell>
        </row>
        <row r="4204">
          <cell r="A4204" t="str">
            <v>THLAU004</v>
          </cell>
          <cell r="B4204" t="str">
            <v>Lẩu Trường Thọ</v>
          </cell>
          <cell r="C4204" t="str">
            <v>Phần</v>
          </cell>
        </row>
        <row r="4205">
          <cell r="A4205" t="str">
            <v>THRAU001</v>
          </cell>
          <cell r="B4205" t="str">
            <v>Cải Thảo</v>
          </cell>
          <cell r="C4205" t="str">
            <v>Phần</v>
          </cell>
        </row>
        <row r="4206">
          <cell r="A4206" t="str">
            <v>THRAU002</v>
          </cell>
          <cell r="B4206" t="str">
            <v>Xà Lách Romaine</v>
          </cell>
          <cell r="C4206" t="str">
            <v>Phần</v>
          </cell>
        </row>
        <row r="4207">
          <cell r="A4207" t="str">
            <v>THRAU003</v>
          </cell>
          <cell r="B4207" t="str">
            <v>Mồng Tơi</v>
          </cell>
          <cell r="C4207" t="str">
            <v>Phần</v>
          </cell>
        </row>
        <row r="4208">
          <cell r="A4208" t="str">
            <v>THRAU004</v>
          </cell>
          <cell r="B4208" t="str">
            <v>Cải Bó Xôi</v>
          </cell>
          <cell r="C4208" t="str">
            <v>Phần</v>
          </cell>
        </row>
        <row r="4209">
          <cell r="A4209" t="str">
            <v>THRAU005</v>
          </cell>
          <cell r="B4209" t="str">
            <v>Cải Cúc</v>
          </cell>
          <cell r="C4209" t="str">
            <v>Phần</v>
          </cell>
        </row>
        <row r="4210">
          <cell r="A4210" t="str">
            <v>THRAU006</v>
          </cell>
          <cell r="B4210" t="str">
            <v>Nấm Hải Sản</v>
          </cell>
          <cell r="C4210" t="str">
            <v>Phần</v>
          </cell>
        </row>
        <row r="4211">
          <cell r="A4211" t="str">
            <v>THRAU007</v>
          </cell>
          <cell r="B4211" t="str">
            <v>Nấm Kim Châm</v>
          </cell>
          <cell r="C4211" t="str">
            <v>Phần</v>
          </cell>
        </row>
        <row r="4212">
          <cell r="A4212" t="str">
            <v>THRAU008</v>
          </cell>
          <cell r="B4212" t="str">
            <v>Nấm Linh Chi</v>
          </cell>
          <cell r="C4212" t="str">
            <v>Phần</v>
          </cell>
        </row>
        <row r="4213">
          <cell r="A4213" t="str">
            <v>THRAU009</v>
          </cell>
          <cell r="B4213" t="str">
            <v>Nấm Đùi Gà</v>
          </cell>
          <cell r="C4213" t="str">
            <v>Phần</v>
          </cell>
        </row>
        <row r="4214">
          <cell r="A4214" t="str">
            <v>THRAU010</v>
          </cell>
          <cell r="B4214" t="str">
            <v>Nấm Tuyết Nhĩ</v>
          </cell>
          <cell r="C4214" t="str">
            <v>Phần</v>
          </cell>
        </row>
        <row r="4215">
          <cell r="A4215" t="str">
            <v>THRAU011</v>
          </cell>
          <cell r="B4215" t="str">
            <v>Nấm Đông Cô</v>
          </cell>
          <cell r="C4215" t="str">
            <v>Phần</v>
          </cell>
        </row>
        <row r="4216">
          <cell r="A4216" t="str">
            <v>THRAU012</v>
          </cell>
          <cell r="B4216" t="str">
            <v>Nấm Lộc Nhung</v>
          </cell>
          <cell r="C4216" t="str">
            <v>Phần</v>
          </cell>
        </row>
        <row r="4217">
          <cell r="A4217" t="str">
            <v>THRAU013</v>
          </cell>
          <cell r="B4217" t="str">
            <v>Củ Cải</v>
          </cell>
          <cell r="C4217" t="str">
            <v>Phần</v>
          </cell>
        </row>
        <row r="4218">
          <cell r="A4218" t="str">
            <v>THRAU014</v>
          </cell>
          <cell r="B4218" t="str">
            <v>Khoai Môn</v>
          </cell>
          <cell r="C4218" t="str">
            <v>Phần</v>
          </cell>
        </row>
        <row r="4219">
          <cell r="A4219" t="str">
            <v>THRAU015</v>
          </cell>
          <cell r="B4219" t="str">
            <v>Ngô Ngọt</v>
          </cell>
          <cell r="C4219" t="str">
            <v>Phần</v>
          </cell>
        </row>
        <row r="4220">
          <cell r="A4220" t="str">
            <v>THRAU016</v>
          </cell>
          <cell r="B4220" t="str">
            <v>Củ Sen</v>
          </cell>
          <cell r="C4220" t="str">
            <v>Phần</v>
          </cell>
        </row>
        <row r="4221">
          <cell r="A4221" t="str">
            <v>THRAU017</v>
          </cell>
          <cell r="B4221" t="str">
            <v>Bí Đỏ</v>
          </cell>
          <cell r="C4221" t="str">
            <v>Phần</v>
          </cell>
        </row>
        <row r="4222">
          <cell r="A4222" t="str">
            <v>THRAU018</v>
          </cell>
          <cell r="B4222" t="str">
            <v>Ngó Xuân</v>
          </cell>
          <cell r="C4222" t="str">
            <v>Phần</v>
          </cell>
        </row>
        <row r="4223">
          <cell r="A4223" t="str">
            <v>THRAU019</v>
          </cell>
          <cell r="B4223" t="str">
            <v>Set Rau Nấm</v>
          </cell>
          <cell r="C4223" t="str">
            <v>Phần</v>
          </cell>
        </row>
        <row r="4224">
          <cell r="A4224" t="str">
            <v>THRAU020</v>
          </cell>
          <cell r="B4224" t="str">
            <v>Set Rau Củ</v>
          </cell>
          <cell r="C4224" t="str">
            <v>Phần</v>
          </cell>
        </row>
        <row r="4225">
          <cell r="A4225" t="str">
            <v>THRAU021</v>
          </cell>
          <cell r="B4225" t="str">
            <v>Set Rau Tươi</v>
          </cell>
          <cell r="C4225" t="str">
            <v>Phần</v>
          </cell>
        </row>
        <row r="4226">
          <cell r="A4226" t="str">
            <v>THRAU022</v>
          </cell>
          <cell r="B4226" t="str">
            <v>Set Nấm Tươi</v>
          </cell>
          <cell r="C4226" t="str">
            <v>Phần</v>
          </cell>
        </row>
        <row r="4227">
          <cell r="A4227" t="str">
            <v>THRAU023</v>
          </cell>
          <cell r="B4227" t="str">
            <v>Rau tiến vua</v>
          </cell>
          <cell r="C4227" t="str">
            <v>Phần</v>
          </cell>
        </row>
        <row r="4228">
          <cell r="A4228" t="str">
            <v>THTBO001</v>
          </cell>
          <cell r="B4228" t="str">
            <v>Set bò đặc biệt</v>
          </cell>
          <cell r="C4228" t="str">
            <v>Phần</v>
          </cell>
        </row>
        <row r="4229">
          <cell r="A4229" t="str">
            <v>THTBO002</v>
          </cell>
          <cell r="B4229" t="str">
            <v>Diềm Thăn</v>
          </cell>
          <cell r="C4229" t="str">
            <v>Phần</v>
          </cell>
        </row>
        <row r="4230">
          <cell r="A4230" t="str">
            <v>THTBO003</v>
          </cell>
          <cell r="B4230" t="str">
            <v>Gù Hoa</v>
          </cell>
          <cell r="C4230" t="str">
            <v>Phần</v>
          </cell>
        </row>
        <row r="4231">
          <cell r="A4231" t="str">
            <v>THTBO004</v>
          </cell>
          <cell r="B4231" t="str">
            <v>Đầu Rồng</v>
          </cell>
          <cell r="C4231" t="str">
            <v>Phần</v>
          </cell>
        </row>
        <row r="4232">
          <cell r="A4232" t="str">
            <v>THTBO005</v>
          </cell>
          <cell r="B4232" t="str">
            <v>Bắp Lõi Rùa</v>
          </cell>
          <cell r="C4232" t="str">
            <v>Phần</v>
          </cell>
        </row>
        <row r="4233">
          <cell r="A4233" t="str">
            <v>THTBO006</v>
          </cell>
          <cell r="B4233" t="str">
            <v>Bắp Hoa</v>
          </cell>
          <cell r="C4233" t="str">
            <v>Phần</v>
          </cell>
        </row>
        <row r="4234">
          <cell r="A4234" t="str">
            <v>THTBO007</v>
          </cell>
          <cell r="B4234" t="str">
            <v>Bò Viên Tươi</v>
          </cell>
          <cell r="C4234" t="str">
            <v>Phần</v>
          </cell>
        </row>
        <row r="4235">
          <cell r="A4235" t="str">
            <v>THTBO008</v>
          </cell>
          <cell r="B4235" t="str">
            <v>Thăn Nội</v>
          </cell>
          <cell r="C4235" t="str">
            <v>Phần</v>
          </cell>
        </row>
        <row r="4236">
          <cell r="A4236" t="str">
            <v>THTBO009</v>
          </cell>
          <cell r="B4236" t="str">
            <v>Dẻ Sườn</v>
          </cell>
          <cell r="C4236" t="str">
            <v>Phần</v>
          </cell>
        </row>
        <row r="4237">
          <cell r="A4237" t="str">
            <v>THTBO010</v>
          </cell>
          <cell r="B4237" t="str">
            <v>Gầu Giòn</v>
          </cell>
          <cell r="C4237" t="str">
            <v>Phần</v>
          </cell>
        </row>
        <row r="4238">
          <cell r="A4238" t="str">
            <v>THTBO011</v>
          </cell>
          <cell r="B4238" t="str">
            <v>Thịt Vai Bò</v>
          </cell>
          <cell r="C4238" t="str">
            <v>Phần</v>
          </cell>
        </row>
        <row r="4239">
          <cell r="A4239" t="str">
            <v>THTBO012</v>
          </cell>
          <cell r="B4239" t="str">
            <v>Lưỡi Bò</v>
          </cell>
          <cell r="C4239" t="str">
            <v>Phần</v>
          </cell>
        </row>
        <row r="4240">
          <cell r="A4240" t="str">
            <v>THTBO013</v>
          </cell>
          <cell r="B4240" t="str">
            <v>Tim Bò</v>
          </cell>
          <cell r="C4240" t="str">
            <v>Phần</v>
          </cell>
        </row>
        <row r="4241">
          <cell r="A4241" t="str">
            <v>THTBO014</v>
          </cell>
          <cell r="B4241" t="str">
            <v>Óc Bò</v>
          </cell>
          <cell r="C4241" t="str">
            <v>Phần</v>
          </cell>
        </row>
        <row r="4242">
          <cell r="A4242" t="str">
            <v>THTBO015</v>
          </cell>
          <cell r="B4242" t="str">
            <v>Tủy Bò</v>
          </cell>
          <cell r="C4242" t="str">
            <v>Phần</v>
          </cell>
        </row>
        <row r="4243">
          <cell r="A4243" t="str">
            <v>THTBO016</v>
          </cell>
          <cell r="B4243" t="str">
            <v>Lá sách Thiên Tầng</v>
          </cell>
          <cell r="C4243" t="str">
            <v>Phần</v>
          </cell>
        </row>
        <row r="4244">
          <cell r="A4244" t="str">
            <v>THTBO017</v>
          </cell>
          <cell r="B4244" t="str">
            <v>Đuôi Bò</v>
          </cell>
          <cell r="C4244" t="str">
            <v>Phần</v>
          </cell>
        </row>
        <row r="4245">
          <cell r="A4245" t="str">
            <v>THTBO018</v>
          </cell>
          <cell r="B4245" t="str">
            <v>Tổ Ong</v>
          </cell>
          <cell r="C4245" t="str">
            <v>Phần</v>
          </cell>
        </row>
        <row r="4246">
          <cell r="A4246" t="str">
            <v>THTBO019</v>
          </cell>
          <cell r="B4246" t="str">
            <v>Sách Bò</v>
          </cell>
          <cell r="C4246" t="str">
            <v>Phần</v>
          </cell>
        </row>
        <row r="4247">
          <cell r="A4247" t="str">
            <v>THTBO020</v>
          </cell>
          <cell r="B4247" t="str">
            <v>Bò Viên Triều Châu</v>
          </cell>
          <cell r="C4247" t="str">
            <v>Phần</v>
          </cell>
        </row>
        <row r="4248">
          <cell r="A4248" t="str">
            <v>THTBO021</v>
          </cell>
          <cell r="B4248" t="str">
            <v>Nạm Bò</v>
          </cell>
          <cell r="C4248" t="str">
            <v>Phần</v>
          </cell>
        </row>
        <row r="4249">
          <cell r="A4249" t="str">
            <v>THTBO022</v>
          </cell>
          <cell r="B4249" t="str">
            <v>Pín Bò</v>
          </cell>
          <cell r="C4249" t="str">
            <v>Phần</v>
          </cell>
        </row>
        <row r="4250">
          <cell r="A4250" t="str">
            <v>THTBO023</v>
          </cell>
          <cell r="B4250" t="str">
            <v>Gân Bò</v>
          </cell>
          <cell r="C4250" t="str">
            <v>Phần</v>
          </cell>
        </row>
        <row r="4251">
          <cell r="A4251" t="str">
            <v>THTBO024</v>
          </cell>
          <cell r="B4251" t="str">
            <v>Khay bò tươi 1 mét</v>
          </cell>
          <cell r="C4251" t="str">
            <v>Khay</v>
          </cell>
        </row>
        <row r="4252">
          <cell r="A4252" t="str">
            <v>THTBO025</v>
          </cell>
          <cell r="B4252" t="str">
            <v>Xách trắng</v>
          </cell>
          <cell r="C4252" t="str">
            <v>Phần</v>
          </cell>
        </row>
        <row r="4253">
          <cell r="A4253" t="str">
            <v>THTBO026</v>
          </cell>
          <cell r="B4253" t="str">
            <v>Cuống tim</v>
          </cell>
          <cell r="C4253" t="str">
            <v>Phần</v>
          </cell>
        </row>
        <row r="4254">
          <cell r="A4254" t="str">
            <v>THTBO027</v>
          </cell>
          <cell r="B4254" t="str">
            <v>Gầu bò</v>
          </cell>
          <cell r="C4254" t="str">
            <v>Phần</v>
          </cell>
        </row>
        <row r="4255">
          <cell r="A4255" t="str">
            <v>THTBO028</v>
          </cell>
          <cell r="B4255" t="str">
            <v>Bò viên tươi size S</v>
          </cell>
          <cell r="C4255" t="str">
            <v>Phần</v>
          </cell>
        </row>
        <row r="4256">
          <cell r="A4256" t="str">
            <v>WBCBO001</v>
          </cell>
          <cell r="B4256" t="str">
            <v>COMBO HEALTHY (BG)</v>
          </cell>
          <cell r="C4256" t="str">
            <v>Set</v>
          </cell>
        </row>
        <row r="4257">
          <cell r="A4257" t="str">
            <v>WBCBO002</v>
          </cell>
          <cell r="B4257" t="str">
            <v>COMBO DÁNG ĐẸP (BG)</v>
          </cell>
          <cell r="C4257" t="str">
            <v>Set</v>
          </cell>
        </row>
        <row r="4258">
          <cell r="A4258" t="str">
            <v>WBCBO003</v>
          </cell>
          <cell r="B4258" t="str">
            <v>COMBO AN LẠC (BG)</v>
          </cell>
          <cell r="C4258" t="str">
            <v>Set</v>
          </cell>
        </row>
        <row r="4259">
          <cell r="A4259" t="str">
            <v>WBCBO004</v>
          </cell>
          <cell r="B4259" t="str">
            <v>ĐẠI TIỆC DIMSUM (BG)</v>
          </cell>
          <cell r="C4259" t="str">
            <v>Set</v>
          </cell>
        </row>
        <row r="4260">
          <cell r="A4260" t="str">
            <v>WBCBO005</v>
          </cell>
          <cell r="B4260" t="str">
            <v>COMBO EO THON (BG)</v>
          </cell>
          <cell r="C4260" t="str">
            <v>Set</v>
          </cell>
        </row>
        <row r="4261">
          <cell r="A4261" t="str">
            <v>WBCBO006</v>
          </cell>
          <cell r="B4261" t="str">
            <v>COMBO TƯƠI TRẺ (BG)</v>
          </cell>
          <cell r="C4261" t="str">
            <v>Set</v>
          </cell>
        </row>
        <row r="4262">
          <cell r="A4262" t="str">
            <v>WBCBO007</v>
          </cell>
          <cell r="B4262" t="str">
            <v>Combo Xuân Sắc</v>
          </cell>
          <cell r="C4262" t="str">
            <v>Set</v>
          </cell>
        </row>
        <row r="4263">
          <cell r="A4263" t="str">
            <v>WBCBO008</v>
          </cell>
          <cell r="B4263" t="str">
            <v>Combo Rạng Ngời</v>
          </cell>
          <cell r="C4263" t="str">
            <v>Set</v>
          </cell>
        </row>
        <row r="4264">
          <cell r="A4264" t="str">
            <v>WBCBO009</v>
          </cell>
          <cell r="B4264" t="str">
            <v>Combo Như Ý</v>
          </cell>
          <cell r="C4264" t="str">
            <v>Set</v>
          </cell>
        </row>
        <row r="4265">
          <cell r="A4265" t="str">
            <v>WBCBO010</v>
          </cell>
          <cell r="B4265" t="str">
            <v>Combo Cát Tường</v>
          </cell>
          <cell r="C4265" t="str">
            <v>Set</v>
          </cell>
        </row>
        <row r="4266">
          <cell r="A4266" t="str">
            <v>WBCBO011</v>
          </cell>
          <cell r="B4266" t="str">
            <v>ComBo Thượng Hạng</v>
          </cell>
          <cell r="C4266" t="str">
            <v>Set</v>
          </cell>
        </row>
        <row r="4267">
          <cell r="A4267" t="str">
            <v>WBCBO012</v>
          </cell>
          <cell r="B4267" t="str">
            <v>Combo Viên Mãn</v>
          </cell>
          <cell r="C4267" t="str">
            <v>Set</v>
          </cell>
        </row>
        <row r="4268">
          <cell r="A4268" t="str">
            <v>WBCBO013</v>
          </cell>
          <cell r="B4268" t="str">
            <v>ComBo An Nhiên</v>
          </cell>
          <cell r="C4268" t="str">
            <v>Set</v>
          </cell>
        </row>
        <row r="4269">
          <cell r="A4269" t="str">
            <v>WBKVI001</v>
          </cell>
          <cell r="B4269" t="str">
            <v>Salad rau xanh sốt chanh leo</v>
          </cell>
          <cell r="C4269" t="str">
            <v>Suất</v>
          </cell>
        </row>
        <row r="4270">
          <cell r="A4270" t="str">
            <v>WBRAU001</v>
          </cell>
          <cell r="B4270" t="str">
            <v>Set rau nấm tươi</v>
          </cell>
          <cell r="C4270" t="str">
            <v>Suất</v>
          </cell>
        </row>
        <row r="4271">
          <cell r="A4271" t="str">
            <v>WBRAU002</v>
          </cell>
          <cell r="B4271" t="str">
            <v>Set rau củ đặc biệt</v>
          </cell>
          <cell r="C4271" t="str">
            <v>Suất</v>
          </cell>
        </row>
        <row r="4272">
          <cell r="A4272" t="str">
            <v>WHAKN003</v>
          </cell>
          <cell r="B4272" t="str">
            <v>Sốt sa tế tôm sò điệp</v>
          </cell>
          <cell r="C4272" t="str">
            <v>Lọ</v>
          </cell>
        </row>
        <row r="4273">
          <cell r="A4273" t="str">
            <v>WHAKO004</v>
          </cell>
          <cell r="B4273" t="str">
            <v>Sốt sa tế tôm sò điệp (MV)</v>
          </cell>
          <cell r="C4273" t="str">
            <v>Lọ</v>
          </cell>
        </row>
        <row r="4274">
          <cell r="A4274" t="str">
            <v>WHANO002</v>
          </cell>
          <cell r="B4274" t="str">
            <v>Cháo đậu xanh thịt bằm bí đỏ</v>
          </cell>
          <cell r="C4274" t="str">
            <v>Bát</v>
          </cell>
        </row>
        <row r="4275">
          <cell r="A4275" t="str">
            <v>WHCBO007</v>
          </cell>
          <cell r="B4275" t="str">
            <v>Combo Xuân Sắc</v>
          </cell>
          <cell r="C4275" t="str">
            <v>Set</v>
          </cell>
        </row>
        <row r="4276">
          <cell r="A4276" t="str">
            <v>WHCBO008</v>
          </cell>
          <cell r="B4276" t="str">
            <v>Combo Rạng Ngời</v>
          </cell>
          <cell r="C4276" t="str">
            <v>Set</v>
          </cell>
        </row>
        <row r="4277">
          <cell r="A4277" t="str">
            <v>WHCBO009</v>
          </cell>
          <cell r="B4277" t="str">
            <v>Combo Như Ý</v>
          </cell>
          <cell r="C4277" t="str">
            <v>Set</v>
          </cell>
        </row>
        <row r="4278">
          <cell r="A4278" t="str">
            <v>WHCBO010</v>
          </cell>
          <cell r="B4278" t="str">
            <v>Combo Cát Tường</v>
          </cell>
          <cell r="C4278" t="str">
            <v>Set</v>
          </cell>
        </row>
        <row r="4279">
          <cell r="A4279" t="str">
            <v>WHCBO011</v>
          </cell>
          <cell r="B4279" t="str">
            <v>ComBo Thượng Hạng</v>
          </cell>
          <cell r="C4279" t="str">
            <v>Set</v>
          </cell>
        </row>
        <row r="4280">
          <cell r="A4280" t="str">
            <v>WHCBO012</v>
          </cell>
          <cell r="B4280" t="str">
            <v>Combo Viên Mãn</v>
          </cell>
          <cell r="C4280" t="str">
            <v>Set</v>
          </cell>
        </row>
        <row r="4281">
          <cell r="A4281" t="str">
            <v>WHCBO013</v>
          </cell>
          <cell r="B4281" t="str">
            <v>Combo An Nhiên</v>
          </cell>
          <cell r="C4281" t="str">
            <v>Set</v>
          </cell>
        </row>
        <row r="4282">
          <cell r="A4282" t="str">
            <v>WHDSU023</v>
          </cell>
          <cell r="B4282" t="str">
            <v>Há cảo tam sắc</v>
          </cell>
          <cell r="C4282" t="str">
            <v>Suất</v>
          </cell>
        </row>
        <row r="4283">
          <cell r="A4283" t="str">
            <v>WHDSU024</v>
          </cell>
          <cell r="B4283" t="str">
            <v>Set bánh bao kim sa &amp; bánh bao bò phomai</v>
          </cell>
          <cell r="C4283" t="str">
            <v>Suất</v>
          </cell>
        </row>
        <row r="4284">
          <cell r="A4284" t="str">
            <v>WHDSU025</v>
          </cell>
          <cell r="B4284" t="str">
            <v>Set bánh bao khoai môn &amp; bánh bao kim sa</v>
          </cell>
          <cell r="C4284" t="str">
            <v>Suất</v>
          </cell>
        </row>
        <row r="4285">
          <cell r="A4285" t="str">
            <v>WHDSU026</v>
          </cell>
          <cell r="B4285" t="str">
            <v>Bánh bao chay (chiếc)</v>
          </cell>
          <cell r="C4285" t="str">
            <v>chiếc</v>
          </cell>
        </row>
        <row r="4286">
          <cell r="A4286" t="str">
            <v>WHDSU027</v>
          </cell>
          <cell r="B4286" t="str">
            <v>Bánh Bao Chay (suất)</v>
          </cell>
          <cell r="C4286" t="str">
            <v>Suất</v>
          </cell>
        </row>
        <row r="4287">
          <cell r="A4287" t="str">
            <v>WHDSU028</v>
          </cell>
          <cell r="B4287" t="str">
            <v>Bánh bao tứ vị</v>
          </cell>
          <cell r="C4287" t="str">
            <v>Suất</v>
          </cell>
        </row>
        <row r="4288">
          <cell r="A4288" t="str">
            <v>WHDSU029</v>
          </cell>
          <cell r="B4288" t="str">
            <v>Bánh bao tam vị</v>
          </cell>
          <cell r="C4288" t="str">
            <v>Suất</v>
          </cell>
        </row>
        <row r="4289">
          <cell r="A4289" t="str">
            <v>WHDSU030</v>
          </cell>
          <cell r="B4289" t="str">
            <v>Set bánh bao kim sa &amp; bánh bao nấm</v>
          </cell>
          <cell r="C4289" t="str">
            <v>Suất</v>
          </cell>
        </row>
        <row r="4290">
          <cell r="A4290" t="str">
            <v>WHDSU031</v>
          </cell>
          <cell r="B4290" t="str">
            <v>Há cảo nhân hải sản (4c)</v>
          </cell>
          <cell r="C4290" t="str">
            <v>Suất</v>
          </cell>
        </row>
        <row r="4291">
          <cell r="A4291" t="str">
            <v>WHDSU032</v>
          </cell>
          <cell r="B4291" t="str">
            <v>Bánh bao Thiên Kim</v>
          </cell>
          <cell r="C4291" t="str">
            <v>Suất</v>
          </cell>
        </row>
        <row r="4292">
          <cell r="A4292" t="str">
            <v>WHDSU033</v>
          </cell>
          <cell r="B4292" t="str">
            <v>Set bánh bao Longwang</v>
          </cell>
          <cell r="C4292" t="str">
            <v>Suất</v>
          </cell>
        </row>
        <row r="4293">
          <cell r="A4293" t="str">
            <v>WHDSU034</v>
          </cell>
          <cell r="B4293" t="str">
            <v>Há cảo nhân hải sản (5c)</v>
          </cell>
          <cell r="C4293" t="str">
            <v>Suất</v>
          </cell>
        </row>
        <row r="4294">
          <cell r="A4294" t="str">
            <v>WHDVI007</v>
          </cell>
          <cell r="B4294" t="str">
            <v>Set mọc tươi Longwang</v>
          </cell>
          <cell r="C4294" t="str">
            <v>Suất</v>
          </cell>
        </row>
        <row r="4295">
          <cell r="A4295" t="str">
            <v>WHDVI008</v>
          </cell>
          <cell r="B4295" t="str">
            <v>Tàu hũ tôm tươi cuộn nấm đông trùng</v>
          </cell>
          <cell r="C4295" t="str">
            <v>Suất</v>
          </cell>
        </row>
        <row r="4296">
          <cell r="A4296" t="str">
            <v>WHDVI009</v>
          </cell>
          <cell r="B4296" t="str">
            <v>Rong biển cuộn nhân tôm</v>
          </cell>
          <cell r="C4296" t="str">
            <v>Suất</v>
          </cell>
        </row>
        <row r="4297">
          <cell r="A4297" t="str">
            <v>WHDVI010</v>
          </cell>
          <cell r="B4297" t="str">
            <v>Tôm viên phô mai củ sen</v>
          </cell>
          <cell r="C4297" t="str">
            <v>Suất</v>
          </cell>
        </row>
        <row r="4298">
          <cell r="A4298" t="str">
            <v>WHDVI011</v>
          </cell>
          <cell r="B4298" t="str">
            <v>Tôm viên củ sen (4c)</v>
          </cell>
          <cell r="C4298" t="str">
            <v>Suất</v>
          </cell>
        </row>
        <row r="4299">
          <cell r="A4299" t="str">
            <v>WHDVU006</v>
          </cell>
          <cell r="B4299" t="str">
            <v>Gói Sinh nhật</v>
          </cell>
          <cell r="C4299" t="str">
            <v>Gói</v>
          </cell>
        </row>
        <row r="4300">
          <cell r="A4300" t="str">
            <v>WHDVU007</v>
          </cell>
          <cell r="B4300" t="str">
            <v>Bánh sinh nhật pana cotta</v>
          </cell>
          <cell r="C4300" t="str">
            <v>chiếc</v>
          </cell>
        </row>
        <row r="4301">
          <cell r="A4301" t="str">
            <v>WHDVU008</v>
          </cell>
          <cell r="B4301" t="str">
            <v>03 túi mù (02-04 khách) - Hàng tặng không bán</v>
          </cell>
          <cell r="C4301" t="str">
            <v>set</v>
          </cell>
        </row>
        <row r="4302">
          <cell r="A4302" t="str">
            <v>WHDVU009</v>
          </cell>
          <cell r="B4302" t="str">
            <v>04 túi mù (05-07 khách) - Hàng tặng không bán</v>
          </cell>
          <cell r="C4302" t="str">
            <v>set</v>
          </cell>
        </row>
        <row r="4303">
          <cell r="A4303" t="str">
            <v>WHDVU010</v>
          </cell>
          <cell r="B4303" t="str">
            <v>05 túi mù (08 khách trở lên) - Hàng tặng không bán</v>
          </cell>
          <cell r="C4303" t="str">
            <v>set</v>
          </cell>
        </row>
        <row r="4304">
          <cell r="A4304" t="str">
            <v>WHHAS025</v>
          </cell>
          <cell r="B4304" t="str">
            <v>Cá lăng hấp gừng</v>
          </cell>
          <cell r="C4304" t="str">
            <v>Suất</v>
          </cell>
        </row>
        <row r="4305">
          <cell r="A4305" t="str">
            <v>WHHAS026</v>
          </cell>
          <cell r="B4305" t="str">
            <v>Cá Lăng Hấp Bầu</v>
          </cell>
          <cell r="C4305" t="str">
            <v>Suất</v>
          </cell>
        </row>
        <row r="4306">
          <cell r="A4306" t="str">
            <v>WHHAS027</v>
          </cell>
          <cell r="B4306" t="str">
            <v>Cá lăng hấp xì dầu</v>
          </cell>
          <cell r="C4306" t="str">
            <v>Suất</v>
          </cell>
        </row>
        <row r="4307">
          <cell r="A4307" t="str">
            <v>WHHAS028</v>
          </cell>
          <cell r="B4307" t="str">
            <v>Tôm Hấp Trứng HongKong</v>
          </cell>
          <cell r="C4307" t="str">
            <v>Suất</v>
          </cell>
        </row>
        <row r="4308">
          <cell r="A4308" t="str">
            <v>WHHAS029</v>
          </cell>
          <cell r="B4308" t="str">
            <v>Tôm hấp trứng HongKong 4c</v>
          </cell>
          <cell r="C4308" t="str">
            <v>Suất</v>
          </cell>
        </row>
        <row r="4309">
          <cell r="A4309" t="str">
            <v>WHHAS030</v>
          </cell>
          <cell r="B4309" t="str">
            <v>Ốc nhồi ống tre 4c</v>
          </cell>
          <cell r="C4309" t="str">
            <v>Suất</v>
          </cell>
        </row>
        <row r="4310">
          <cell r="A4310" t="str">
            <v>WHHAS031</v>
          </cell>
          <cell r="B4310" t="str">
            <v>Cá lăng hấp bầu 6c</v>
          </cell>
          <cell r="C4310" t="str">
            <v>Suất</v>
          </cell>
        </row>
        <row r="4311">
          <cell r="A4311" t="str">
            <v>WHHAS032</v>
          </cell>
          <cell r="B4311" t="str">
            <v>Mực nút hấp hành gừng</v>
          </cell>
          <cell r="C4311" t="str">
            <v>Suất</v>
          </cell>
        </row>
        <row r="4312">
          <cell r="A4312" t="str">
            <v>WHHAS033</v>
          </cell>
          <cell r="B4312" t="str">
            <v>Vẹm hữu cơ New Zealand xốt hành</v>
          </cell>
          <cell r="C4312" t="str">
            <v>Suất</v>
          </cell>
        </row>
        <row r="4313">
          <cell r="A4313" t="str">
            <v>WHHAS034</v>
          </cell>
          <cell r="B4313" t="str">
            <v>Vẹm hữu cơ New Zealand xốt phomai</v>
          </cell>
          <cell r="C4313" t="str">
            <v>Suất</v>
          </cell>
        </row>
        <row r="4314">
          <cell r="A4314" t="str">
            <v>WHHAS035</v>
          </cell>
          <cell r="B4314" t="str">
            <v>Sò thưng xốt hành</v>
          </cell>
          <cell r="C4314" t="str">
            <v>Suất</v>
          </cell>
        </row>
        <row r="4315">
          <cell r="A4315" t="str">
            <v>WHHAS036</v>
          </cell>
          <cell r="B4315" t="str">
            <v>Hàu sữa xốt hành</v>
          </cell>
          <cell r="C4315" t="str">
            <v>Suất</v>
          </cell>
        </row>
        <row r="4316">
          <cell r="A4316" t="str">
            <v>WHHAS037</v>
          </cell>
          <cell r="B4316" t="str">
            <v>Sò điệp xốt hành</v>
          </cell>
          <cell r="C4316" t="str">
            <v>Suất</v>
          </cell>
        </row>
        <row r="4317">
          <cell r="A4317" t="str">
            <v>WHHAS038</v>
          </cell>
          <cell r="B4317" t="str">
            <v>Sò điệp xốt phomai</v>
          </cell>
          <cell r="C4317" t="str">
            <v>Suất</v>
          </cell>
        </row>
        <row r="4318">
          <cell r="A4318" t="str">
            <v>WHHAS039</v>
          </cell>
          <cell r="B4318" t="str">
            <v>Tôm hấp trứng Hongkong size nhỏ</v>
          </cell>
          <cell r="C4318" t="str">
            <v>Hũ</v>
          </cell>
        </row>
        <row r="4319">
          <cell r="A4319" t="str">
            <v>WHHAS040</v>
          </cell>
          <cell r="B4319" t="str">
            <v>Bạch Tuộc sốt chanh thái</v>
          </cell>
          <cell r="C4319" t="str">
            <v>Suất</v>
          </cell>
        </row>
        <row r="4320">
          <cell r="A4320" t="str">
            <v>WHHAS041</v>
          </cell>
          <cell r="B4320" t="str">
            <v>Bạch tuộc hấp gừng cần</v>
          </cell>
          <cell r="C4320" t="str">
            <v>Suất</v>
          </cell>
        </row>
        <row r="4321">
          <cell r="A4321" t="str">
            <v>WHHAS042</v>
          </cell>
          <cell r="B4321" t="str">
            <v>Cá hồi xốt tiêu xanh</v>
          </cell>
          <cell r="C4321" t="str">
            <v>Suất</v>
          </cell>
        </row>
        <row r="4322">
          <cell r="A4322" t="str">
            <v>WHHAS043</v>
          </cell>
          <cell r="B4322" t="str">
            <v>Hàu xốt phô mai</v>
          </cell>
          <cell r="C4322" t="str">
            <v>Suất</v>
          </cell>
        </row>
        <row r="4323">
          <cell r="A4323" t="str">
            <v>WHHAS044</v>
          </cell>
          <cell r="B4323" t="str">
            <v>Cá hồi</v>
          </cell>
          <cell r="C4323" t="str">
            <v>Suất</v>
          </cell>
        </row>
        <row r="4324">
          <cell r="A4324" t="str">
            <v>WHHAS045</v>
          </cell>
          <cell r="B4324" t="str">
            <v>Hàu sữa xốt hành (4 con)</v>
          </cell>
          <cell r="C4324" t="str">
            <v>Suất</v>
          </cell>
        </row>
        <row r="4325">
          <cell r="A4325" t="str">
            <v>WHHAS046</v>
          </cell>
          <cell r="B4325" t="str">
            <v>Hàu sữa xốt hành (5 con)</v>
          </cell>
          <cell r="C4325" t="str">
            <v>Suất</v>
          </cell>
        </row>
        <row r="4326">
          <cell r="A4326" t="str">
            <v>WHHGC006</v>
          </cell>
          <cell r="B4326" t="str">
            <v>Heo giòn xốt tiêu xanh</v>
          </cell>
          <cell r="C4326" t="str">
            <v>Suất</v>
          </cell>
        </row>
        <row r="4327">
          <cell r="A4327" t="str">
            <v>WHHQU011</v>
          </cell>
          <cell r="B4327" t="str">
            <v>Trà hồng sắc mỹ nhân (Bình)</v>
          </cell>
          <cell r="C4327" t="str">
            <v>Bình</v>
          </cell>
        </row>
        <row r="4328">
          <cell r="A4328" t="str">
            <v>WHHQU012</v>
          </cell>
          <cell r="B4328" t="str">
            <v>Trà Ô Long Cam Đào</v>
          </cell>
          <cell r="C4328" t="str">
            <v>Cốc</v>
          </cell>
        </row>
        <row r="4329">
          <cell r="A4329" t="str">
            <v>WHHQU013</v>
          </cell>
          <cell r="B4329" t="str">
            <v>Trà hồng sắc mỹ nhân (Cốc)</v>
          </cell>
          <cell r="C4329" t="str">
            <v>Cốc</v>
          </cell>
        </row>
        <row r="4330">
          <cell r="A4330" t="str">
            <v>WHHQU014</v>
          </cell>
          <cell r="B4330" t="str">
            <v>Trà dưỡng tâm</v>
          </cell>
          <cell r="C4330" t="str">
            <v>Cốc</v>
          </cell>
        </row>
        <row r="4331">
          <cell r="A4331" t="str">
            <v>WHHQU015</v>
          </cell>
          <cell r="B4331" t="str">
            <v>Trà hoa cúc táo đỏ</v>
          </cell>
          <cell r="C4331" t="str">
            <v>Cốc</v>
          </cell>
        </row>
        <row r="4332">
          <cell r="A4332" t="str">
            <v>WHMHQU004</v>
          </cell>
          <cell r="B4332" t="str">
            <v>Nước Ép rau má (MV)</v>
          </cell>
          <cell r="C4332" t="str">
            <v>Cốc</v>
          </cell>
        </row>
        <row r="4333">
          <cell r="A4333" t="str">
            <v>WHMHQU005</v>
          </cell>
          <cell r="B4333" t="str">
            <v>Nước Ép Dưa hấu (MV)</v>
          </cell>
          <cell r="C4333" t="str">
            <v>Cốc</v>
          </cell>
        </row>
        <row r="4334">
          <cell r="A4334" t="str">
            <v>WHMHQU006</v>
          </cell>
          <cell r="B4334" t="str">
            <v>Nước ép Thơm (MV)</v>
          </cell>
          <cell r="C4334" t="str">
            <v>Cốc</v>
          </cell>
        </row>
        <row r="4335">
          <cell r="A4335" t="str">
            <v>WHMHQU007</v>
          </cell>
          <cell r="B4335" t="str">
            <v>Trà Dưỡng Nhan (MV)</v>
          </cell>
          <cell r="C4335" t="str">
            <v>Cốc</v>
          </cell>
        </row>
        <row r="4336">
          <cell r="A4336" t="str">
            <v>WHMHQU008</v>
          </cell>
          <cell r="B4336" t="str">
            <v>Trà Ổi Hồng (MV)</v>
          </cell>
          <cell r="C4336" t="str">
            <v>Cốc</v>
          </cell>
        </row>
        <row r="4337">
          <cell r="A4337" t="str">
            <v>WHRAU020</v>
          </cell>
          <cell r="B4337" t="str">
            <v>Set rau củ bốn mùa</v>
          </cell>
          <cell r="C4337" t="str">
            <v>Suất</v>
          </cell>
        </row>
        <row r="4338">
          <cell r="A4338" t="str">
            <v>WHRAU021</v>
          </cell>
          <cell r="B4338" t="str">
            <v>Bắp Mỹ 4c</v>
          </cell>
          <cell r="C4338" t="str">
            <v>Suất</v>
          </cell>
        </row>
        <row r="4339">
          <cell r="A4339" t="str">
            <v>WHRAU022</v>
          </cell>
          <cell r="B4339" t="str">
            <v>Bí thơm Tây Bắc</v>
          </cell>
          <cell r="C4339" t="str">
            <v>Suất</v>
          </cell>
        </row>
        <row r="4340">
          <cell r="A4340" t="str">
            <v>WHTMI004</v>
          </cell>
          <cell r="B4340" t="str">
            <v>Dưa hấu tráng miệng</v>
          </cell>
          <cell r="C4340" t="str">
            <v>Suất</v>
          </cell>
        </row>
        <row r="4341">
          <cell r="A4341" t="str">
            <v>WPCBO007</v>
          </cell>
          <cell r="B4341" t="str">
            <v>Combo Xuân Sắc</v>
          </cell>
          <cell r="C4341" t="str">
            <v>Set</v>
          </cell>
        </row>
        <row r="4342">
          <cell r="A4342" t="str">
            <v>WPCBO008</v>
          </cell>
          <cell r="B4342" t="str">
            <v>Combo Rạng Ngời</v>
          </cell>
          <cell r="C4342" t="str">
            <v>Set</v>
          </cell>
        </row>
        <row r="4343">
          <cell r="A4343" t="str">
            <v>WPCBO009</v>
          </cell>
          <cell r="B4343" t="str">
            <v>Combo Như Ý</v>
          </cell>
          <cell r="C4343" t="str">
            <v>Set</v>
          </cell>
        </row>
        <row r="4344">
          <cell r="A4344" t="str">
            <v>WPCBO010</v>
          </cell>
          <cell r="B4344" t="str">
            <v>Combo Cát Tường</v>
          </cell>
          <cell r="C4344" t="str">
            <v>Set</v>
          </cell>
        </row>
        <row r="4345">
          <cell r="A4345" t="str">
            <v>WPCBO011</v>
          </cell>
          <cell r="B4345" t="str">
            <v>ComBo Thượng Hạng</v>
          </cell>
          <cell r="C4345" t="str">
            <v>Set</v>
          </cell>
        </row>
        <row r="4346">
          <cell r="A4346" t="str">
            <v>WPCBO012</v>
          </cell>
          <cell r="B4346" t="str">
            <v>Combo Viên Mãn</v>
          </cell>
          <cell r="C4346" t="str">
            <v>Set</v>
          </cell>
        </row>
        <row r="4347">
          <cell r="A4347" t="str">
            <v>WPCBO013</v>
          </cell>
          <cell r="B4347" t="str">
            <v>ComBo An Nhiên</v>
          </cell>
          <cell r="C4347" t="str">
            <v>Set</v>
          </cell>
        </row>
        <row r="4348">
          <cell r="A4348" t="str">
            <v>WPRAU001</v>
          </cell>
          <cell r="B4348" t="str">
            <v>Set rau nấm tươi</v>
          </cell>
          <cell r="C4348" t="str">
            <v>Suất</v>
          </cell>
        </row>
        <row r="4349">
          <cell r="A4349" t="str">
            <v>WPRAU002</v>
          </cell>
          <cell r="B4349" t="str">
            <v>Set rau củ đặc biệt</v>
          </cell>
          <cell r="C4349" t="str">
            <v>Suất</v>
          </cell>
        </row>
        <row r="4350">
          <cell r="A4350" t="str">
            <v>WSAKN001</v>
          </cell>
          <cell r="B4350" t="str">
            <v>Trứng Muối</v>
          </cell>
          <cell r="C4350" t="str">
            <v>Phần</v>
          </cell>
        </row>
        <row r="4351">
          <cell r="A4351" t="str">
            <v>WSAKN002</v>
          </cell>
          <cell r="B4351" t="str">
            <v>Sườn Heo Non</v>
          </cell>
          <cell r="C4351" t="str">
            <v>Phần</v>
          </cell>
        </row>
        <row r="4352">
          <cell r="A4352" t="str">
            <v>WSAKN003</v>
          </cell>
          <cell r="B4352" t="str">
            <v>Bánh Bao Kim Sa (Cái)</v>
          </cell>
          <cell r="C4352" t="str">
            <v>Phần</v>
          </cell>
        </row>
        <row r="4353">
          <cell r="A4353" t="str">
            <v>WSAKN004</v>
          </cell>
          <cell r="B4353" t="str">
            <v>Bánh Bao Trà Xanh (Cái)</v>
          </cell>
          <cell r="C4353" t="str">
            <v>Phần</v>
          </cell>
        </row>
        <row r="4354">
          <cell r="A4354" t="str">
            <v>WSAKN005</v>
          </cell>
          <cell r="B4354" t="str">
            <v>Bánh Bao Nấm (Cái)</v>
          </cell>
          <cell r="C4354" t="str">
            <v>Phần</v>
          </cell>
        </row>
        <row r="4355">
          <cell r="A4355" t="str">
            <v>WSAKN006</v>
          </cell>
          <cell r="B4355" t="str">
            <v>Gạo Cháo Thêm</v>
          </cell>
          <cell r="C4355" t="str">
            <v>Phần</v>
          </cell>
        </row>
        <row r="4356">
          <cell r="A4356" t="str">
            <v>WSAKN007</v>
          </cell>
          <cell r="B4356" t="str">
            <v>Bánh Bao Khoai Môn (Cái)</v>
          </cell>
          <cell r="C4356" t="str">
            <v>Cái</v>
          </cell>
        </row>
        <row r="4357">
          <cell r="A4357" t="str">
            <v>WSAKN008</v>
          </cell>
          <cell r="B4357" t="str">
            <v>Bánh Bao Sầu Riêng (Cái)</v>
          </cell>
          <cell r="C4357" t="str">
            <v>Cái</v>
          </cell>
        </row>
        <row r="4358">
          <cell r="A4358" t="str">
            <v>WSAKN009</v>
          </cell>
          <cell r="B4358" t="str">
            <v>Cá Hồi</v>
          </cell>
          <cell r="C4358" t="str">
            <v>phần</v>
          </cell>
        </row>
        <row r="4359">
          <cell r="A4359" t="str">
            <v>WSANO001</v>
          </cell>
          <cell r="B4359" t="str">
            <v>Cháo Long Wang</v>
          </cell>
          <cell r="C4359" t="str">
            <v>Phần</v>
          </cell>
        </row>
        <row r="4360">
          <cell r="A4360" t="str">
            <v>WSCBO001</v>
          </cell>
          <cell r="B4360" t="str">
            <v>Set Menu Healthy</v>
          </cell>
          <cell r="C4360" t="str">
            <v>Set</v>
          </cell>
        </row>
        <row r="4361">
          <cell r="A4361" t="str">
            <v>WSCBO002</v>
          </cell>
          <cell r="B4361" t="str">
            <v>Set Menu Tươi Trẻ</v>
          </cell>
          <cell r="C4361" t="str">
            <v>Set</v>
          </cell>
        </row>
        <row r="4362">
          <cell r="A4362" t="str">
            <v>WSCBO003</v>
          </cell>
          <cell r="B4362" t="str">
            <v>Set Menu  Dáng Đẹp</v>
          </cell>
          <cell r="C4362" t="str">
            <v>Set</v>
          </cell>
        </row>
        <row r="4363">
          <cell r="A4363" t="str">
            <v>WSCBO004</v>
          </cell>
          <cell r="B4363" t="str">
            <v>Set Menu Hạnh Phúc</v>
          </cell>
          <cell r="C4363" t="str">
            <v>Set</v>
          </cell>
        </row>
        <row r="4364">
          <cell r="A4364" t="str">
            <v>WSCBO005</v>
          </cell>
          <cell r="B4364" t="str">
            <v>Đại Tiệc Dimsum</v>
          </cell>
          <cell r="C4364" t="str">
            <v>Set</v>
          </cell>
        </row>
        <row r="4365">
          <cell r="A4365" t="str">
            <v>WSCBO006</v>
          </cell>
          <cell r="B4365" t="str">
            <v>Set Menu Thanh Lành</v>
          </cell>
          <cell r="C4365" t="str">
            <v>Set</v>
          </cell>
        </row>
        <row r="4366">
          <cell r="A4366" t="str">
            <v>WSCBO007</v>
          </cell>
          <cell r="B4366" t="str">
            <v>Set Menu Tươi Mát</v>
          </cell>
          <cell r="C4366" t="str">
            <v>Set</v>
          </cell>
        </row>
        <row r="4367">
          <cell r="A4367" t="str">
            <v>WSCBO008</v>
          </cell>
          <cell r="B4367" t="str">
            <v>Set Menu Hoa Đán</v>
          </cell>
          <cell r="C4367" t="str">
            <v>Set</v>
          </cell>
        </row>
        <row r="4368">
          <cell r="A4368" t="str">
            <v>WSCBO009</v>
          </cell>
          <cell r="B4368" t="str">
            <v>Set Menu Linh Lung</v>
          </cell>
          <cell r="C4368" t="str">
            <v>Set</v>
          </cell>
        </row>
        <row r="4369">
          <cell r="A4369" t="str">
            <v>WSCBO010</v>
          </cell>
          <cell r="B4369" t="str">
            <v>Set Menu Liên Hoa</v>
          </cell>
          <cell r="C4369" t="str">
            <v>Set</v>
          </cell>
        </row>
        <row r="4370">
          <cell r="A4370" t="str">
            <v>WSCBO011</v>
          </cell>
          <cell r="B4370" t="str">
            <v>Set Menu Tuyệt Sắc</v>
          </cell>
          <cell r="C4370" t="str">
            <v>Set</v>
          </cell>
        </row>
        <row r="4371">
          <cell r="A4371" t="str">
            <v>WSCBO012</v>
          </cell>
          <cell r="B4371" t="str">
            <v>Set Menu Thiên Hương</v>
          </cell>
          <cell r="C4371" t="str">
            <v>Set</v>
          </cell>
        </row>
        <row r="4372">
          <cell r="A4372" t="str">
            <v>WSCBO013</v>
          </cell>
          <cell r="B4372" t="str">
            <v>Set Menu Như Ý</v>
          </cell>
          <cell r="C4372" t="str">
            <v>Set</v>
          </cell>
        </row>
        <row r="4373">
          <cell r="A4373" t="str">
            <v>WSCBO014</v>
          </cell>
          <cell r="B4373" t="str">
            <v>Set Menu Cát Tường</v>
          </cell>
          <cell r="C4373" t="str">
            <v>Set</v>
          </cell>
        </row>
        <row r="4374">
          <cell r="A4374" t="str">
            <v>WSCBO015</v>
          </cell>
          <cell r="B4374" t="str">
            <v>Set Menu Thượng Phẩm</v>
          </cell>
          <cell r="C4374" t="str">
            <v>Set</v>
          </cell>
        </row>
        <row r="4375">
          <cell r="A4375" t="str">
            <v>WSDSU001</v>
          </cell>
          <cell r="B4375" t="str">
            <v>Há Cảo Tôm</v>
          </cell>
          <cell r="C4375" t="str">
            <v>Phần</v>
          </cell>
        </row>
        <row r="4376">
          <cell r="A4376" t="str">
            <v>WSDSU002</v>
          </cell>
          <cell r="B4376" t="str">
            <v>Bánh Bao Kim Sa</v>
          </cell>
          <cell r="C4376" t="str">
            <v>Phần</v>
          </cell>
        </row>
        <row r="4377">
          <cell r="A4377" t="str">
            <v>WSDSU003</v>
          </cell>
          <cell r="B4377" t="str">
            <v>Há Cảo Than Tre Nhân Tôm</v>
          </cell>
          <cell r="C4377" t="str">
            <v>Phần</v>
          </cell>
        </row>
        <row r="4378">
          <cell r="A4378" t="str">
            <v>WSDSU004</v>
          </cell>
          <cell r="B4378" t="str">
            <v>Bánh Bao Trà Xanh</v>
          </cell>
          <cell r="C4378" t="str">
            <v>Phần</v>
          </cell>
        </row>
        <row r="4379">
          <cell r="A4379" t="str">
            <v>WSDSU005</v>
          </cell>
          <cell r="B4379" t="str">
            <v>Bánh Bao Nấm</v>
          </cell>
          <cell r="C4379" t="str">
            <v>Phần</v>
          </cell>
        </row>
        <row r="4380">
          <cell r="A4380" t="str">
            <v>WSDSU006</v>
          </cell>
          <cell r="B4380" t="str">
            <v>Há Cảo Ngọc Bích Nhân Tôm</v>
          </cell>
          <cell r="C4380" t="str">
            <v>Phần</v>
          </cell>
        </row>
        <row r="4381">
          <cell r="A4381" t="str">
            <v>WSDSU007</v>
          </cell>
          <cell r="B4381" t="str">
            <v>Há Cảo Sò Điệp</v>
          </cell>
          <cell r="C4381" t="str">
            <v>Phần</v>
          </cell>
        </row>
        <row r="4382">
          <cell r="A4382" t="str">
            <v>WSDSU008</v>
          </cell>
          <cell r="B4382" t="str">
            <v>Tiểu Long Bao</v>
          </cell>
          <cell r="C4382" t="str">
            <v>Phần</v>
          </cell>
        </row>
        <row r="4383">
          <cell r="A4383" t="str">
            <v>WSDSU009</v>
          </cell>
          <cell r="B4383" t="str">
            <v>Xíu Mại Tôm Thịt</v>
          </cell>
          <cell r="C4383" t="str">
            <v>Phần</v>
          </cell>
        </row>
        <row r="4384">
          <cell r="A4384" t="str">
            <v>WSDSU010</v>
          </cell>
          <cell r="B4384" t="str">
            <v>Chân Gà Tàu Xì</v>
          </cell>
          <cell r="C4384" t="str">
            <v>Phần</v>
          </cell>
        </row>
        <row r="4385">
          <cell r="A4385" t="str">
            <v>WSDSU011</v>
          </cell>
          <cell r="B4385" t="str">
            <v>Sườn Hấp Tàu Xì</v>
          </cell>
          <cell r="C4385" t="str">
            <v>Phần</v>
          </cell>
        </row>
        <row r="4386">
          <cell r="A4386" t="str">
            <v>WSDSU012</v>
          </cell>
          <cell r="B4386" t="str">
            <v>Há Cảo Tam Sắc Long Wang</v>
          </cell>
          <cell r="C4386" t="str">
            <v>phần</v>
          </cell>
        </row>
        <row r="4387">
          <cell r="A4387" t="str">
            <v>WSDSU013</v>
          </cell>
          <cell r="B4387" t="str">
            <v>Há Cảo - Xíu Mại Long Wang</v>
          </cell>
          <cell r="C4387" t="str">
            <v>phần</v>
          </cell>
        </row>
        <row r="4388">
          <cell r="A4388" t="str">
            <v>WSDSU014</v>
          </cell>
          <cell r="B4388" t="str">
            <v>Set Bánh Bao Kim Sa &amp; Trà Xanh</v>
          </cell>
          <cell r="C4388" t="str">
            <v>phần</v>
          </cell>
        </row>
        <row r="4389">
          <cell r="A4389" t="str">
            <v>WSDSU015</v>
          </cell>
          <cell r="B4389" t="str">
            <v>Bánh Bao Khoai Môn</v>
          </cell>
          <cell r="C4389" t="str">
            <v>Phần</v>
          </cell>
        </row>
        <row r="4390">
          <cell r="A4390" t="str">
            <v>WSDSU016</v>
          </cell>
          <cell r="B4390" t="str">
            <v>Bánh Bao Sầu Riêng</v>
          </cell>
          <cell r="C4390" t="str">
            <v>Phần</v>
          </cell>
        </row>
        <row r="4391">
          <cell r="A4391" t="str">
            <v>WSDSU017</v>
          </cell>
          <cell r="B4391" t="str">
            <v>Bánh Bao Tứ Vị</v>
          </cell>
          <cell r="C4391" t="str">
            <v>Phần</v>
          </cell>
        </row>
        <row r="4392">
          <cell r="A4392" t="str">
            <v>WSDSU018</v>
          </cell>
          <cell r="B4392" t="str">
            <v>Bánh Bao Tam Vị</v>
          </cell>
          <cell r="C4392" t="str">
            <v>Phần</v>
          </cell>
        </row>
        <row r="4393">
          <cell r="A4393" t="str">
            <v>WSDSU019</v>
          </cell>
          <cell r="B4393" t="str">
            <v>Bánh Bao Song Vị</v>
          </cell>
          <cell r="C4393" t="str">
            <v>Phần</v>
          </cell>
        </row>
        <row r="4394">
          <cell r="A4394" t="str">
            <v>WSDVI001</v>
          </cell>
          <cell r="B4394" t="str">
            <v>Nấm Đông Cô Nhân Sò Điệp</v>
          </cell>
          <cell r="C4394" t="str">
            <v>Phần</v>
          </cell>
        </row>
        <row r="4395">
          <cell r="A4395" t="str">
            <v>WSDVI002</v>
          </cell>
          <cell r="B4395" t="str">
            <v>Nấm Đông Cô Nhân Tôm</v>
          </cell>
          <cell r="C4395" t="str">
            <v>Phần</v>
          </cell>
        </row>
        <row r="4396">
          <cell r="A4396" t="str">
            <v>WSDVI003</v>
          </cell>
          <cell r="B4396" t="str">
            <v>Nấm Đông Cô Nhân Bò Tươi</v>
          </cell>
          <cell r="C4396" t="str">
            <v>Phần</v>
          </cell>
        </row>
        <row r="4397">
          <cell r="A4397" t="str">
            <v>WSDVI004</v>
          </cell>
          <cell r="B4397" t="str">
            <v>Nấm Đông Cô Nhân Heo Tươi</v>
          </cell>
          <cell r="C4397" t="str">
            <v>Phần</v>
          </cell>
        </row>
        <row r="4398">
          <cell r="A4398" t="str">
            <v>WSDVI005</v>
          </cell>
          <cell r="B4398" t="str">
            <v>Đậu Hũ Phô Mai</v>
          </cell>
          <cell r="C4398" t="str">
            <v>Phần</v>
          </cell>
        </row>
        <row r="4399">
          <cell r="A4399" t="str">
            <v>WSDVI006</v>
          </cell>
          <cell r="B4399" t="str">
            <v>Xúc Xích Phô Mai</v>
          </cell>
          <cell r="C4399" t="str">
            <v>Phần</v>
          </cell>
        </row>
        <row r="4400">
          <cell r="A4400" t="str">
            <v>WSDVI007</v>
          </cell>
          <cell r="B4400" t="str">
            <v>Chả Cá Thác Lác Thì Là Hấp</v>
          </cell>
          <cell r="C4400" t="str">
            <v>Phần</v>
          </cell>
        </row>
        <row r="4401">
          <cell r="A4401" t="str">
            <v>WSDVI008</v>
          </cell>
          <cell r="B4401" t="str">
            <v>Chả Cá Thác Lác Nhồi Mướp Hương</v>
          </cell>
          <cell r="C4401" t="str">
            <v>Phần</v>
          </cell>
        </row>
        <row r="4402">
          <cell r="A4402" t="str">
            <v>WSDVI009</v>
          </cell>
          <cell r="B4402" t="str">
            <v>Tàu Hũ Tôm Tươi Cuộn Nấm Đông Trùng</v>
          </cell>
          <cell r="C4402" t="str">
            <v>phần</v>
          </cell>
        </row>
        <row r="4403">
          <cell r="A4403" t="str">
            <v>WSDVI010</v>
          </cell>
          <cell r="B4403" t="str">
            <v>Handmade Long Wang</v>
          </cell>
          <cell r="C4403" t="str">
            <v>phần</v>
          </cell>
        </row>
        <row r="4404">
          <cell r="A4404" t="str">
            <v>WSDVI011</v>
          </cell>
          <cell r="B4404" t="str">
            <v>Viên Nấm Long Wang</v>
          </cell>
          <cell r="C4404" t="str">
            <v>phần</v>
          </cell>
        </row>
        <row r="4405">
          <cell r="A4405" t="str">
            <v>WSDVI012</v>
          </cell>
          <cell r="B4405" t="str">
            <v>Rong Biển Cuốn Tôm Tươi</v>
          </cell>
          <cell r="C4405" t="str">
            <v>phần</v>
          </cell>
        </row>
        <row r="4406">
          <cell r="A4406" t="str">
            <v>WSDVI013</v>
          </cell>
          <cell r="B4406" t="str">
            <v>Hải Sản Cuốn Thanh Xuân</v>
          </cell>
          <cell r="C4406" t="str">
            <v>phần</v>
          </cell>
        </row>
        <row r="4407">
          <cell r="A4407" t="str">
            <v>WSDVI014</v>
          </cell>
          <cell r="B4407" t="str">
            <v>Trân Châu Tôm Phô Mai Củ Sen</v>
          </cell>
          <cell r="C4407" t="str">
            <v>phần</v>
          </cell>
        </row>
        <row r="4408">
          <cell r="A4408" t="str">
            <v>WSDVI015</v>
          </cell>
          <cell r="B4408" t="str">
            <v>Trân Châu Sò Điệp Củ Sen</v>
          </cell>
          <cell r="C4408" t="str">
            <v>phần</v>
          </cell>
        </row>
        <row r="4409">
          <cell r="A4409" t="str">
            <v>WSDVU001</v>
          </cell>
          <cell r="B4409" t="str">
            <v>Khăn ướt</v>
          </cell>
          <cell r="C4409" t="str">
            <v>Chiếc</v>
          </cell>
        </row>
        <row r="4410">
          <cell r="A4410" t="str">
            <v>WSDVU002</v>
          </cell>
          <cell r="B4410" t="str">
            <v>Phí Rượu Vang Ngoại</v>
          </cell>
          <cell r="C4410" t="str">
            <v>Chai</v>
          </cell>
        </row>
        <row r="4411">
          <cell r="A4411" t="str">
            <v>WSDVU003</v>
          </cell>
          <cell r="B4411" t="str">
            <v>Phí Rượu Mạnh Ngoại (Chai)/Bia (Thùng)/Nước Ngọt (Két)...</v>
          </cell>
          <cell r="C4411" t="str">
            <v>Lần</v>
          </cell>
        </row>
        <row r="4412">
          <cell r="A4412" t="str">
            <v>WSDVU004</v>
          </cell>
          <cell r="B4412" t="str">
            <v>Phí Rượu Quê/Lít</v>
          </cell>
          <cell r="C4412" t="str">
            <v>Lít</v>
          </cell>
        </row>
        <row r="4413">
          <cell r="A4413" t="str">
            <v>WSDVU005</v>
          </cell>
          <cell r="B4413" t="str">
            <v>Phí Đồ Ăn</v>
          </cell>
          <cell r="C4413" t="str">
            <v>Đĩa</v>
          </cell>
        </row>
        <row r="4414">
          <cell r="A4414" t="str">
            <v>WSHAS001</v>
          </cell>
          <cell r="B4414" t="str">
            <v>Cá Chình Hấp Tiêu</v>
          </cell>
          <cell r="C4414" t="str">
            <v>Phần</v>
          </cell>
        </row>
        <row r="4415">
          <cell r="A4415" t="str">
            <v>WSHAS002</v>
          </cell>
          <cell r="B4415" t="str">
            <v>Cá Chép Giòn Hấp Gừng</v>
          </cell>
          <cell r="C4415" t="str">
            <v>Phần</v>
          </cell>
        </row>
        <row r="4416">
          <cell r="A4416" t="str">
            <v>WSHAS003</v>
          </cell>
          <cell r="B4416" t="str">
            <v>Cá Tầm Hấp Hành</v>
          </cell>
          <cell r="C4416" t="str">
            <v>Phần</v>
          </cell>
        </row>
        <row r="4417">
          <cell r="A4417" t="str">
            <v>WSHAS004</v>
          </cell>
          <cell r="B4417" t="str">
            <v>Ngao Hoa Hấp Nấm</v>
          </cell>
          <cell r="C4417" t="str">
            <v>Phần</v>
          </cell>
        </row>
        <row r="4418">
          <cell r="A4418" t="str">
            <v>WSHAS005</v>
          </cell>
          <cell r="B4418" t="str">
            <v>Tôm Sú Hấp Nấm</v>
          </cell>
          <cell r="C4418" t="str">
            <v>Phần</v>
          </cell>
        </row>
        <row r="4419">
          <cell r="A4419" t="str">
            <v>WSHAS006</v>
          </cell>
          <cell r="B4419" t="str">
            <v>Tôm Sú Nhảy</v>
          </cell>
          <cell r="C4419" t="str">
            <v>Phần</v>
          </cell>
        </row>
        <row r="4420">
          <cell r="A4420" t="str">
            <v>WSHAS007</v>
          </cell>
          <cell r="B4420" t="str">
            <v>Mực Nút Hấp Gừng</v>
          </cell>
          <cell r="C4420" t="str">
            <v>Phần</v>
          </cell>
        </row>
        <row r="4421">
          <cell r="A4421" t="str">
            <v>WSHAS008</v>
          </cell>
          <cell r="B4421" t="str">
            <v>Tôm Sú Hấp Phô Mai</v>
          </cell>
          <cell r="C4421" t="str">
            <v>Phần</v>
          </cell>
        </row>
        <row r="4422">
          <cell r="A4422" t="str">
            <v>WSHAS009</v>
          </cell>
          <cell r="B4422" t="str">
            <v>Ốc Hương Hấp Sả</v>
          </cell>
          <cell r="C4422" t="str">
            <v>Phần</v>
          </cell>
        </row>
        <row r="4423">
          <cell r="A4423" t="str">
            <v>WSHAS010</v>
          </cell>
          <cell r="B4423" t="str">
            <v>Bào ngư tiềm nấm đông trùng</v>
          </cell>
          <cell r="C4423" t="str">
            <v>Phần</v>
          </cell>
        </row>
        <row r="4424">
          <cell r="A4424" t="str">
            <v>WSHAS011</v>
          </cell>
          <cell r="B4424" t="str">
            <v>Bào Ngư Xốt Xá Xíu</v>
          </cell>
          <cell r="C4424" t="str">
            <v>Phần</v>
          </cell>
        </row>
        <row r="4425">
          <cell r="A4425" t="str">
            <v>WSHAS012</v>
          </cell>
          <cell r="B4425" t="str">
            <v>Ngao Sần Lưỡi Đỏ</v>
          </cell>
          <cell r="C4425" t="str">
            <v>Phần</v>
          </cell>
        </row>
        <row r="4426">
          <cell r="A4426" t="str">
            <v>WSHAS013</v>
          </cell>
          <cell r="B4426" t="str">
            <v>Hàu Phô Mai Trứng Muối</v>
          </cell>
          <cell r="C4426" t="str">
            <v>Phần</v>
          </cell>
        </row>
        <row r="4427">
          <cell r="A4427" t="str">
            <v>WSHAS014</v>
          </cell>
          <cell r="B4427" t="str">
            <v>Hàu Hấp Gừng</v>
          </cell>
          <cell r="C4427" t="str">
            <v>Phần</v>
          </cell>
        </row>
        <row r="4428">
          <cell r="A4428" t="str">
            <v>WSHAS015</v>
          </cell>
          <cell r="B4428" t="str">
            <v>Cá Bống Mú Trân Châu Hấp Hongkong</v>
          </cell>
          <cell r="C4428" t="str">
            <v>Phần</v>
          </cell>
        </row>
        <row r="4429">
          <cell r="A4429" t="str">
            <v>WSHAS016</v>
          </cell>
          <cell r="B4429" t="str">
            <v>Mực Ống Hấp Gừng</v>
          </cell>
          <cell r="C4429" t="str">
            <v>Phần</v>
          </cell>
        </row>
        <row r="4430">
          <cell r="A4430" t="str">
            <v>WSHAS017</v>
          </cell>
          <cell r="B4430" t="str">
            <v>Mực Ống Hấp Thái</v>
          </cell>
          <cell r="C4430" t="str">
            <v>Phần</v>
          </cell>
        </row>
        <row r="4431">
          <cell r="A4431" t="str">
            <v>WSHAS018</v>
          </cell>
          <cell r="B4431" t="str">
            <v>Ngao Trắng Hấp Gừng</v>
          </cell>
          <cell r="C4431" t="str">
            <v>Phần</v>
          </cell>
        </row>
        <row r="4432">
          <cell r="A4432" t="str">
            <v>WSHAS019</v>
          </cell>
          <cell r="B4432" t="str">
            <v>Ngao Trắng Hấp Thái</v>
          </cell>
          <cell r="C4432" t="str">
            <v>Phần</v>
          </cell>
        </row>
        <row r="4433">
          <cell r="A4433" t="str">
            <v>WSHAS020</v>
          </cell>
          <cell r="B4433" t="str">
            <v>Sò thưng hấp sả</v>
          </cell>
          <cell r="C4433" t="str">
            <v>Phần</v>
          </cell>
        </row>
        <row r="4434">
          <cell r="A4434" t="str">
            <v>WSHAS021</v>
          </cell>
          <cell r="B4434" t="str">
            <v>Ốc bulot hấp sả</v>
          </cell>
          <cell r="C4434" t="str">
            <v>Phần</v>
          </cell>
        </row>
        <row r="4435">
          <cell r="A4435" t="str">
            <v>WSHAS022</v>
          </cell>
          <cell r="B4435" t="str">
            <v>Sò Dương Baby Hấp Nấm</v>
          </cell>
          <cell r="C4435" t="str">
            <v>Phần</v>
          </cell>
        </row>
        <row r="4436">
          <cell r="A4436" t="str">
            <v>WSHAS023</v>
          </cell>
          <cell r="B4436" t="str">
            <v>Sò Lụa Lưỡi Đỏ Hấp Nấm</v>
          </cell>
          <cell r="C4436" t="str">
            <v>Phần</v>
          </cell>
        </row>
        <row r="4437">
          <cell r="A4437" t="str">
            <v>WSHAS024</v>
          </cell>
          <cell r="B4437" t="str">
            <v>Cá Dìa Hấp Xì Dầu</v>
          </cell>
          <cell r="C4437" t="str">
            <v>phần</v>
          </cell>
        </row>
        <row r="4438">
          <cell r="A4438" t="str">
            <v>WSHAS025</v>
          </cell>
          <cell r="B4438" t="str">
            <v>Ngao Sần Xốt Nấm Mối</v>
          </cell>
          <cell r="C4438" t="str">
            <v>phần</v>
          </cell>
        </row>
        <row r="4439">
          <cell r="A4439" t="str">
            <v>WSHAS026</v>
          </cell>
          <cell r="B4439" t="str">
            <v>Ốc Bulot Xốt Nấm</v>
          </cell>
          <cell r="C4439" t="str">
            <v>phần</v>
          </cell>
        </row>
        <row r="4440">
          <cell r="A4440" t="str">
            <v>WSHAS027</v>
          </cell>
          <cell r="B4440" t="str">
            <v>Tôm Hấp Trứng Hongkong</v>
          </cell>
          <cell r="C4440" t="str">
            <v>phần</v>
          </cell>
        </row>
        <row r="4441">
          <cell r="A4441" t="str">
            <v>WSHAS028</v>
          </cell>
          <cell r="B4441" t="str">
            <v>Tôm Hấp Trứng Hongkong (Size Nhỏ)</v>
          </cell>
          <cell r="C4441" t="str">
            <v>phần</v>
          </cell>
        </row>
        <row r="4442">
          <cell r="A4442" t="str">
            <v>WSHAS029</v>
          </cell>
          <cell r="B4442" t="str">
            <v>Vẹm Xanh Xốt Gratin</v>
          </cell>
          <cell r="C4442" t="str">
            <v>phần</v>
          </cell>
        </row>
        <row r="4443">
          <cell r="A4443" t="str">
            <v>WSHAS030</v>
          </cell>
          <cell r="B4443" t="str">
            <v>Vẹm Xanh Xốt Hành Baro</v>
          </cell>
          <cell r="C4443" t="str">
            <v>phần</v>
          </cell>
        </row>
        <row r="4444">
          <cell r="A4444" t="str">
            <v>WSHAS031</v>
          </cell>
          <cell r="B4444" t="str">
            <v>Vẹm Xanh Xốt XO</v>
          </cell>
          <cell r="C4444" t="str">
            <v>phần</v>
          </cell>
        </row>
        <row r="4445">
          <cell r="A4445" t="str">
            <v>WSHAS032</v>
          </cell>
          <cell r="B4445" t="str">
            <v>Vẹm Xanh Xốt Thái</v>
          </cell>
          <cell r="C4445" t="str">
            <v>phần</v>
          </cell>
        </row>
        <row r="4446">
          <cell r="A4446" t="str">
            <v>WSHAS033</v>
          </cell>
          <cell r="B4446" t="str">
            <v>Cồi Sò Điệp Xốt Gratin</v>
          </cell>
          <cell r="C4446" t="str">
            <v>phần</v>
          </cell>
        </row>
        <row r="4447">
          <cell r="A4447" t="str">
            <v>WSHAS034</v>
          </cell>
          <cell r="B4447" t="str">
            <v>Cồi Sò Điệp Xốt Hành Baro</v>
          </cell>
          <cell r="C4447" t="str">
            <v>phần</v>
          </cell>
        </row>
        <row r="4448">
          <cell r="A4448" t="str">
            <v>WSHAS035</v>
          </cell>
          <cell r="B4448" t="str">
            <v>Cồi Sò Điệp Xốt XO</v>
          </cell>
          <cell r="C4448" t="str">
            <v>phần</v>
          </cell>
        </row>
        <row r="4449">
          <cell r="A4449" t="str">
            <v>WSHAS036</v>
          </cell>
          <cell r="B4449" t="str">
            <v>Cá Chẽm Xốt Hongkong</v>
          </cell>
          <cell r="C4449" t="str">
            <v>phần</v>
          </cell>
        </row>
        <row r="4450">
          <cell r="A4450" t="str">
            <v>WSHAS037</v>
          </cell>
          <cell r="B4450" t="str">
            <v>Cá Chẽm Xốt Chanh Thái</v>
          </cell>
          <cell r="C4450" t="str">
            <v>phần</v>
          </cell>
        </row>
        <row r="4451">
          <cell r="A4451" t="str">
            <v>WSHAS038</v>
          </cell>
          <cell r="B4451" t="str">
            <v>Cá Bống Mú Xốt Chanh Thái</v>
          </cell>
          <cell r="C4451" t="str">
            <v>phần</v>
          </cell>
        </row>
        <row r="4452">
          <cell r="A4452" t="str">
            <v>WSHAS039</v>
          </cell>
          <cell r="B4452" t="str">
            <v>Hàu Xốt Hành Baro</v>
          </cell>
          <cell r="C4452" t="str">
            <v>phần</v>
          </cell>
        </row>
        <row r="4453">
          <cell r="A4453" t="str">
            <v>WSHAS040</v>
          </cell>
          <cell r="B4453" t="str">
            <v>Cá Hồi Xốt Tiêu Xanh</v>
          </cell>
          <cell r="C4453" t="str">
            <v>phần</v>
          </cell>
        </row>
        <row r="4454">
          <cell r="A4454" t="str">
            <v>WSHAS041</v>
          </cell>
          <cell r="B4454" t="str">
            <v>Bạch Tuộc Khổng Lồ Xốt Thái</v>
          </cell>
          <cell r="C4454" t="str">
            <v>phần</v>
          </cell>
        </row>
        <row r="4455">
          <cell r="A4455" t="str">
            <v>WSHAS042</v>
          </cell>
          <cell r="B4455" t="str">
            <v>Bạch Tuộc Khổng Lồ Hấp Gừng</v>
          </cell>
          <cell r="C4455" t="str">
            <v>phần</v>
          </cell>
        </row>
        <row r="4456">
          <cell r="A4456" t="str">
            <v>WSHGC001</v>
          </cell>
          <cell r="B4456" t="str">
            <v>Gà Ác Hấp Thuốc Bắc</v>
          </cell>
          <cell r="C4456" t="str">
            <v>Phần</v>
          </cell>
        </row>
        <row r="4457">
          <cell r="A4457" t="str">
            <v>WSHGC002</v>
          </cell>
          <cell r="B4457" t="str">
            <v>Tim Heo</v>
          </cell>
          <cell r="C4457" t="str">
            <v>Phần</v>
          </cell>
        </row>
        <row r="4458">
          <cell r="A4458" t="str">
            <v>WSHGC003</v>
          </cell>
          <cell r="B4458" t="str">
            <v>Lưỡi Heo</v>
          </cell>
          <cell r="C4458" t="str">
            <v>Phần</v>
          </cell>
        </row>
        <row r="4459">
          <cell r="A4459" t="str">
            <v>WSHGC004</v>
          </cell>
          <cell r="B4459" t="str">
            <v>Gà Ta Hầm Sâm</v>
          </cell>
          <cell r="C4459" t="str">
            <v>Phần</v>
          </cell>
        </row>
        <row r="4460">
          <cell r="A4460" t="str">
            <v>WSHGC005</v>
          </cell>
          <cell r="B4460" t="str">
            <v>Heo Giòn Xốt Tiêu Xanh</v>
          </cell>
          <cell r="C4460" t="str">
            <v>Phần</v>
          </cell>
        </row>
        <row r="4461">
          <cell r="A4461" t="str">
            <v>WSHQU001</v>
          </cell>
          <cell r="B4461" t="str">
            <v>Trà Đào Hibicus</v>
          </cell>
          <cell r="C4461" t="str">
            <v>Phần</v>
          </cell>
        </row>
        <row r="4462">
          <cell r="A4462" t="str">
            <v>WSHQU002</v>
          </cell>
          <cell r="B4462" t="str">
            <v>Trà Ổi Hồng</v>
          </cell>
          <cell r="C4462" t="str">
            <v>Phần</v>
          </cell>
        </row>
        <row r="4463">
          <cell r="A4463" t="str">
            <v>WSHQU003</v>
          </cell>
          <cell r="B4463" t="str">
            <v>Trà Dâu Rừng Nhiệt Đới</v>
          </cell>
          <cell r="C4463" t="str">
            <v>Phần</v>
          </cell>
        </row>
        <row r="4464">
          <cell r="A4464" t="str">
            <v>WSHQU004</v>
          </cell>
          <cell r="B4464" t="str">
            <v>Trà Dưỡng Tâm</v>
          </cell>
          <cell r="C4464" t="str">
            <v>Phần</v>
          </cell>
        </row>
        <row r="4465">
          <cell r="A4465" t="str">
            <v>WSHQU005</v>
          </cell>
          <cell r="B4465" t="str">
            <v>Siêu Detox Rocket</v>
          </cell>
          <cell r="C4465" t="str">
            <v>Phần</v>
          </cell>
        </row>
        <row r="4466">
          <cell r="A4466" t="str">
            <v>WSHQU006</v>
          </cell>
          <cell r="B4466" t="str">
            <v>Siêu "C"</v>
          </cell>
          <cell r="C4466" t="str">
            <v>Phần</v>
          </cell>
        </row>
        <row r="4467">
          <cell r="A4467" t="str">
            <v>WSHQU007</v>
          </cell>
          <cell r="B4467" t="str">
            <v>Rau Má Đậu</v>
          </cell>
          <cell r="C4467" t="str">
            <v>Phần</v>
          </cell>
        </row>
        <row r="4468">
          <cell r="A4468" t="str">
            <v>WSHQU008</v>
          </cell>
          <cell r="B4468" t="str">
            <v>Nước Cam Ép</v>
          </cell>
          <cell r="C4468" t="str">
            <v>Phần</v>
          </cell>
        </row>
        <row r="4469">
          <cell r="A4469" t="str">
            <v>WSHQU009</v>
          </cell>
          <cell r="B4469" t="str">
            <v>Thơm Ép</v>
          </cell>
          <cell r="C4469" t="str">
            <v>Phần</v>
          </cell>
        </row>
        <row r="4470">
          <cell r="A4470" t="str">
            <v>WSHQU010</v>
          </cell>
          <cell r="B4470" t="str">
            <v>Dưa Hấu Ép</v>
          </cell>
          <cell r="C4470" t="str">
            <v>Phần</v>
          </cell>
        </row>
        <row r="4471">
          <cell r="A4471" t="str">
            <v>WSHQU011</v>
          </cell>
          <cell r="B4471" t="str">
            <v>Trà Thanh Nhiệt</v>
          </cell>
          <cell r="C4471" t="str">
            <v>Phần</v>
          </cell>
        </row>
        <row r="4472">
          <cell r="A4472" t="str">
            <v>WSHQU012</v>
          </cell>
          <cell r="B4472" t="str">
            <v>Trà Dưỡng Nhan</v>
          </cell>
          <cell r="C4472" t="str">
            <v>Phần</v>
          </cell>
        </row>
        <row r="4473">
          <cell r="A4473" t="str">
            <v>WSHQU013</v>
          </cell>
          <cell r="B4473" t="str">
            <v>Trà Đại Cát</v>
          </cell>
          <cell r="C4473" t="str">
            <v>Phần</v>
          </cell>
        </row>
        <row r="4474">
          <cell r="A4474" t="str">
            <v>WSHQU014</v>
          </cell>
          <cell r="B4474" t="str">
            <v>Trà Ô Long Lá Dứa</v>
          </cell>
          <cell r="C4474" t="str">
            <v>Phần</v>
          </cell>
        </row>
        <row r="4475">
          <cell r="A4475" t="str">
            <v>WSHQU015</v>
          </cell>
          <cell r="B4475" t="str">
            <v>Trà Ô Long Cam Đào</v>
          </cell>
          <cell r="C4475" t="str">
            <v>Phần</v>
          </cell>
        </row>
        <row r="4476">
          <cell r="A4476" t="str">
            <v>WSHQU016</v>
          </cell>
          <cell r="B4476" t="str">
            <v>Trà Thanh Xuân</v>
          </cell>
          <cell r="C4476" t="str">
            <v>Phần</v>
          </cell>
        </row>
        <row r="4477">
          <cell r="A4477" t="str">
            <v>WSHQU017</v>
          </cell>
          <cell r="B4477" t="str">
            <v>Trà Kim Sắc Mỹ Nhân</v>
          </cell>
          <cell r="C4477" t="str">
            <v>Phần</v>
          </cell>
        </row>
        <row r="4478">
          <cell r="A4478" t="str">
            <v>WSHQU018</v>
          </cell>
          <cell r="B4478" t="str">
            <v>Trà Kim Sắc Mỹ Nhân (Bình)</v>
          </cell>
          <cell r="C4478" t="str">
            <v>Phần</v>
          </cell>
        </row>
        <row r="4479">
          <cell r="A4479" t="str">
            <v>WSHQU019</v>
          </cell>
          <cell r="B4479" t="str">
            <v>Trà Hoa Cúc Táo Đỏ</v>
          </cell>
          <cell r="C4479" t="str">
            <v>Phần</v>
          </cell>
        </row>
        <row r="4480">
          <cell r="A4480" t="str">
            <v>WSKVI001</v>
          </cell>
          <cell r="B4480" t="str">
            <v>Tóp Mỡ Mắm Tỏi</v>
          </cell>
          <cell r="C4480" t="str">
            <v>Phần</v>
          </cell>
        </row>
        <row r="4481">
          <cell r="A4481" t="str">
            <v>WSKVI002</v>
          </cell>
          <cell r="B4481" t="str">
            <v>Đu Đủ Ngâm Chua</v>
          </cell>
          <cell r="C4481" t="str">
            <v>Phần</v>
          </cell>
        </row>
        <row r="4482">
          <cell r="A4482" t="str">
            <v>WSKVI003</v>
          </cell>
          <cell r="B4482" t="str">
            <v>Cá Cơm Đậu Phộng Rang Mắm Tỏi</v>
          </cell>
          <cell r="C4482" t="str">
            <v>Phần</v>
          </cell>
        </row>
        <row r="4483">
          <cell r="A4483" t="str">
            <v>WSKVI004</v>
          </cell>
          <cell r="B4483" t="str">
            <v>Miến Thiên Hương</v>
          </cell>
          <cell r="C4483" t="str">
            <v>Phần</v>
          </cell>
        </row>
        <row r="4484">
          <cell r="A4484" t="str">
            <v>WSKVI005</v>
          </cell>
          <cell r="B4484" t="str">
            <v>Bánh Cuốn Nhân Tôm</v>
          </cell>
          <cell r="C4484" t="str">
            <v>Phần</v>
          </cell>
        </row>
        <row r="4485">
          <cell r="A4485" t="str">
            <v>WSKVI006</v>
          </cell>
          <cell r="B4485" t="str">
            <v>Tôm Hấp Miến Hongkong</v>
          </cell>
          <cell r="C4485" t="str">
            <v>Phần</v>
          </cell>
        </row>
        <row r="4486">
          <cell r="A4486" t="str">
            <v>WSRAU001</v>
          </cell>
          <cell r="B4486" t="str">
            <v>Súp Lơ Xanh</v>
          </cell>
          <cell r="C4486" t="str">
            <v>Phần</v>
          </cell>
        </row>
        <row r="4487">
          <cell r="A4487" t="str">
            <v>WSRAU002</v>
          </cell>
          <cell r="B4487" t="str">
            <v>Xà Lách Romaine</v>
          </cell>
          <cell r="C4487" t="str">
            <v>Phần</v>
          </cell>
        </row>
        <row r="4488">
          <cell r="A4488" t="str">
            <v>WSRAU003</v>
          </cell>
          <cell r="B4488" t="str">
            <v>Khoai Lang</v>
          </cell>
          <cell r="C4488" t="str">
            <v>Phần</v>
          </cell>
        </row>
        <row r="4489">
          <cell r="A4489" t="str">
            <v>WSRAU004</v>
          </cell>
          <cell r="B4489" t="str">
            <v>Bắp Mỹ</v>
          </cell>
          <cell r="C4489" t="str">
            <v>Phần</v>
          </cell>
        </row>
        <row r="4490">
          <cell r="A4490" t="str">
            <v>WSRAU005</v>
          </cell>
          <cell r="B4490" t="str">
            <v>Bí Ngòi Hấp</v>
          </cell>
          <cell r="C4490" t="str">
            <v>Phần</v>
          </cell>
        </row>
        <row r="4491">
          <cell r="A4491" t="str">
            <v>WSRAU006</v>
          </cell>
          <cell r="B4491" t="str">
            <v>Set Rau Củ Tươi</v>
          </cell>
          <cell r="C4491" t="str">
            <v>Phần</v>
          </cell>
        </row>
        <row r="4492">
          <cell r="A4492" t="str">
            <v>WSRAU007</v>
          </cell>
          <cell r="B4492" t="str">
            <v>Set Nấm Tươi</v>
          </cell>
          <cell r="C4492" t="str">
            <v>Phần</v>
          </cell>
        </row>
        <row r="4493">
          <cell r="A4493" t="str">
            <v>WSRAU008</v>
          </cell>
          <cell r="B4493" t="str">
            <v>Cà Rốt Baby</v>
          </cell>
          <cell r="C4493" t="str">
            <v>Phần</v>
          </cell>
        </row>
        <row r="4494">
          <cell r="A4494" t="str">
            <v>WSRAU009</v>
          </cell>
          <cell r="B4494" t="str">
            <v>Bí Bao Tử</v>
          </cell>
          <cell r="C4494" t="str">
            <v>Phần</v>
          </cell>
        </row>
        <row r="4495">
          <cell r="A4495" t="str">
            <v>WSRAU010</v>
          </cell>
          <cell r="B4495" t="str">
            <v>Bí Đỏ</v>
          </cell>
          <cell r="C4495" t="str">
            <v>Phần</v>
          </cell>
        </row>
        <row r="4496">
          <cell r="A4496" t="str">
            <v>WSRAU011</v>
          </cell>
          <cell r="B4496" t="str">
            <v>Cải Ngồng</v>
          </cell>
          <cell r="C4496" t="str">
            <v>Phần</v>
          </cell>
        </row>
        <row r="4497">
          <cell r="A4497" t="str">
            <v>WSRAU012</v>
          </cell>
          <cell r="B4497" t="str">
            <v>Bông Cải Baby</v>
          </cell>
          <cell r="C4497" t="str">
            <v>Phần</v>
          </cell>
        </row>
        <row r="4498">
          <cell r="A4498" t="str">
            <v>WSRAU013</v>
          </cell>
          <cell r="B4498" t="str">
            <v>Bí Nụ Có Hoa</v>
          </cell>
          <cell r="C4498" t="str">
            <v>Phần</v>
          </cell>
        </row>
        <row r="4499">
          <cell r="A4499" t="str">
            <v>WSRAU014</v>
          </cell>
          <cell r="B4499" t="str">
            <v>Nấm Kim Châm</v>
          </cell>
          <cell r="C4499" t="str">
            <v>Phần</v>
          </cell>
        </row>
        <row r="4500">
          <cell r="A4500" t="str">
            <v>WSRAU015</v>
          </cell>
          <cell r="B4500" t="str">
            <v>Nấm Linh Chi Trắng</v>
          </cell>
          <cell r="C4500" t="str">
            <v>Phần</v>
          </cell>
        </row>
        <row r="4501">
          <cell r="A4501" t="str">
            <v>WSRAU016</v>
          </cell>
          <cell r="B4501" t="str">
            <v>Nấm Linh Chi Nâu</v>
          </cell>
          <cell r="C4501" t="str">
            <v>Phần</v>
          </cell>
        </row>
        <row r="4502">
          <cell r="A4502" t="str">
            <v>WSRAU017</v>
          </cell>
          <cell r="B4502" t="str">
            <v>Nấm Đùi Gà</v>
          </cell>
          <cell r="C4502" t="str">
            <v>Phần</v>
          </cell>
        </row>
        <row r="4503">
          <cell r="A4503" t="str">
            <v>WSRAU018</v>
          </cell>
          <cell r="B4503" t="str">
            <v>Nấm Đùi Gà Baby</v>
          </cell>
          <cell r="C4503" t="str">
            <v>Phần</v>
          </cell>
        </row>
        <row r="4504">
          <cell r="A4504" t="str">
            <v>WSRAU019</v>
          </cell>
          <cell r="B4504" t="str">
            <v>Nấm Sò Nâu</v>
          </cell>
          <cell r="C4504" t="str">
            <v>Phần</v>
          </cell>
        </row>
        <row r="4505">
          <cell r="A4505" t="str">
            <v>WSRAU020</v>
          </cell>
          <cell r="B4505" t="str">
            <v>Nấm Mối</v>
          </cell>
          <cell r="C4505" t="str">
            <v>Phần</v>
          </cell>
        </row>
        <row r="4506">
          <cell r="A4506" t="str">
            <v>WSRAU021</v>
          </cell>
          <cell r="B4506" t="str">
            <v>Set Nấm Tươi Đặc Biệt</v>
          </cell>
          <cell r="C4506" t="str">
            <v>phần</v>
          </cell>
        </row>
        <row r="4507">
          <cell r="A4507" t="str">
            <v>WSRAU022</v>
          </cell>
          <cell r="B4507" t="str">
            <v>Set Rau Nấm Tươi</v>
          </cell>
          <cell r="C4507" t="str">
            <v>phần</v>
          </cell>
        </row>
        <row r="4508">
          <cell r="A4508" t="str">
            <v>WSRAU023</v>
          </cell>
          <cell r="B4508" t="str">
            <v>Set Rau Tươi</v>
          </cell>
          <cell r="C4508" t="str">
            <v>phần</v>
          </cell>
        </row>
        <row r="4509">
          <cell r="A4509" t="str">
            <v>WSRAU024</v>
          </cell>
          <cell r="B4509" t="str">
            <v>Set Rau Nấm Xuân Sắc</v>
          </cell>
          <cell r="C4509" t="str">
            <v>phần</v>
          </cell>
        </row>
        <row r="4510">
          <cell r="A4510" t="str">
            <v>WSTBO001</v>
          </cell>
          <cell r="B4510" t="str">
            <v>Dẻ Sườn Bò Mỹ</v>
          </cell>
          <cell r="C4510" t="str">
            <v>Phần</v>
          </cell>
        </row>
        <row r="4511">
          <cell r="A4511" t="str">
            <v>WSTBO002</v>
          </cell>
          <cell r="B4511" t="str">
            <v>Ba Chỉ Bò Mỹ Hấp</v>
          </cell>
          <cell r="C4511" t="str">
            <v>Phần</v>
          </cell>
        </row>
        <row r="4512">
          <cell r="A4512" t="str">
            <v>WSTBO003</v>
          </cell>
          <cell r="B4512" t="str">
            <v>Lưỡi Bò Hấp Hành Gừng</v>
          </cell>
          <cell r="C4512" t="str">
            <v>Phần</v>
          </cell>
        </row>
        <row r="4513">
          <cell r="A4513" t="str">
            <v>WSTBO004</v>
          </cell>
          <cell r="B4513" t="str">
            <v>Thăn Ngoại Bò Aukobe</v>
          </cell>
          <cell r="C4513" t="str">
            <v>Phần</v>
          </cell>
        </row>
        <row r="4514">
          <cell r="A4514" t="str">
            <v>WSTBO005</v>
          </cell>
          <cell r="B4514" t="str">
            <v>Ba Chỉ Bò Mỹ Cuộn Nấm Kim Châm</v>
          </cell>
          <cell r="C4514" t="str">
            <v>Phần</v>
          </cell>
        </row>
        <row r="4515">
          <cell r="A4515" t="str">
            <v>WSTBO006</v>
          </cell>
          <cell r="B4515" t="str">
            <v>Đuôi Bò Tiềm Thuốc Bắc Củ Sen</v>
          </cell>
          <cell r="C4515" t="str">
            <v>Phần</v>
          </cell>
        </row>
        <row r="4516">
          <cell r="A4516" t="str">
            <v>WSTBO007</v>
          </cell>
          <cell r="B4516" t="str">
            <v>Lõi Vai Bò Aukobe</v>
          </cell>
          <cell r="C4516" t="str">
            <v>Phần</v>
          </cell>
        </row>
        <row r="4517">
          <cell r="A4517" t="str">
            <v>WSTBO008</v>
          </cell>
          <cell r="B4517" t="str">
            <v>Lõi Vai Bò Aukobe cuộn nấm kim châm</v>
          </cell>
          <cell r="C4517" t="str">
            <v>Phần</v>
          </cell>
        </row>
        <row r="4518">
          <cell r="A4518" t="str">
            <v>WSTMI001</v>
          </cell>
          <cell r="B4518" t="str">
            <v>Sữa Chua Handmade</v>
          </cell>
          <cell r="C4518" t="str">
            <v>Phần</v>
          </cell>
        </row>
        <row r="4519">
          <cell r="A4519" t="str">
            <v>WSTMI002</v>
          </cell>
          <cell r="B4519" t="str">
            <v>Ổi</v>
          </cell>
          <cell r="C4519" t="str">
            <v>Phần</v>
          </cell>
        </row>
        <row r="4520">
          <cell r="A4520" t="str">
            <v>WSTMI003</v>
          </cell>
          <cell r="B4520" t="str">
            <v>Dưa Hấu</v>
          </cell>
          <cell r="C4520" t="str">
            <v>Phần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D482"/>
  <sheetViews>
    <sheetView showGridLines="0" tabSelected="1" topLeftCell="A4" zoomScaleNormal="100" workbookViewId="0">
      <pane ySplit="11" topLeftCell="A15" activePane="bottomLeft" state="frozen"/>
      <selection activeCell="C4" sqref="C4"/>
      <selection pane="bottomLeft" activeCell="V453" sqref="V453"/>
    </sheetView>
  </sheetViews>
  <sheetFormatPr defaultColWidth="9" defaultRowHeight="15" x14ac:dyDescent="0.25"/>
  <cols>
    <col min="1" max="1" width="2.28515625" customWidth="1"/>
    <col min="2" max="2" width="18.7109375" bestFit="1" customWidth="1"/>
    <col min="3" max="3" width="10.7109375" bestFit="1" customWidth="1"/>
    <col min="4" max="4" width="11.42578125" bestFit="1" customWidth="1"/>
    <col min="5" max="5" width="15.5703125" customWidth="1"/>
    <col min="6" max="6" width="7.85546875" hidden="1" customWidth="1"/>
    <col min="7" max="7" width="13.7109375" hidden="1" customWidth="1"/>
    <col min="8" max="8" width="11" hidden="1" customWidth="1"/>
    <col min="9" max="9" width="12.85546875" hidden="1" customWidth="1"/>
    <col min="10" max="10" width="24.5703125" bestFit="1" customWidth="1"/>
    <col min="11" max="11" width="9.28515625" customWidth="1"/>
    <col min="12" max="12" width="14.5703125" bestFit="1" customWidth="1"/>
    <col min="13" max="13" width="12.5703125" bestFit="1" customWidth="1"/>
    <col min="14" max="14" width="19.7109375" bestFit="1" customWidth="1"/>
    <col min="15" max="15" width="8.28515625" hidden="1" customWidth="1"/>
    <col min="16" max="17" width="2.85546875" hidden="1" customWidth="1"/>
    <col min="18" max="18" width="7.28515625" hidden="1" customWidth="1"/>
    <col min="19" max="19" width="9.28515625" hidden="1" customWidth="1"/>
    <col min="20" max="20" width="7.42578125" hidden="1" customWidth="1"/>
    <col min="21" max="21" width="11.42578125" customWidth="1"/>
    <col min="22" max="22" width="18.42578125" bestFit="1" customWidth="1"/>
    <col min="23" max="23" width="13.42578125" bestFit="1" customWidth="1"/>
    <col min="24" max="24" width="14.85546875" bestFit="1" customWidth="1"/>
    <col min="25" max="25" width="13" style="75" bestFit="1" customWidth="1"/>
    <col min="26" max="26" width="12.5703125" style="75" bestFit="1" customWidth="1"/>
    <col min="27" max="27" width="19.7109375" style="76" bestFit="1" customWidth="1"/>
    <col min="28" max="28" width="17" customWidth="1"/>
    <col min="29" max="29" width="12.7109375" customWidth="1"/>
    <col min="30" max="30" width="20.5703125" bestFit="1" customWidth="1"/>
  </cols>
  <sheetData>
    <row r="1" spans="1:30" ht="9.6" customHeight="1" x14ac:dyDescent="0.25"/>
    <row r="2" spans="1:30" ht="102.95" customHeight="1" x14ac:dyDescent="0.25">
      <c r="B2" s="115"/>
      <c r="C2" s="113"/>
      <c r="D2" s="114"/>
      <c r="E2" s="116" t="s">
        <v>384</v>
      </c>
      <c r="F2" s="113"/>
      <c r="G2" s="113"/>
      <c r="H2" s="113"/>
      <c r="I2" s="113"/>
      <c r="J2" s="113"/>
      <c r="K2" s="113"/>
      <c r="L2" s="114"/>
    </row>
    <row r="3" spans="1:30" ht="1.1499999999999999" customHeight="1" x14ac:dyDescent="0.25"/>
    <row r="4" spans="1:30" ht="24.75" customHeight="1" x14ac:dyDescent="0.25">
      <c r="B4" s="117" t="s">
        <v>329</v>
      </c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30" ht="2.1" customHeight="1" x14ac:dyDescent="0.25"/>
    <row r="6" spans="1:30" ht="22.5" customHeight="1" x14ac:dyDescent="0.25">
      <c r="B6" s="118"/>
      <c r="C6" s="113"/>
      <c r="D6" s="113"/>
      <c r="E6" s="113"/>
      <c r="F6" s="113"/>
      <c r="G6" s="113"/>
      <c r="H6" s="113"/>
      <c r="I6" s="113"/>
      <c r="J6" s="113"/>
      <c r="K6" s="113"/>
      <c r="L6" s="114"/>
    </row>
    <row r="7" spans="1:30" ht="3" customHeight="1" x14ac:dyDescent="0.25"/>
    <row r="8" spans="1:30" ht="24.95" customHeight="1" x14ac:dyDescent="0.3">
      <c r="B8" s="112" t="s">
        <v>398</v>
      </c>
      <c r="C8" s="113"/>
      <c r="D8" s="113"/>
      <c r="E8" s="113"/>
      <c r="F8" s="113"/>
      <c r="G8" s="113"/>
      <c r="H8" s="113"/>
      <c r="I8" s="113"/>
      <c r="J8" s="113"/>
      <c r="K8" s="113"/>
      <c r="L8" s="114"/>
      <c r="X8" s="62" t="s">
        <v>374</v>
      </c>
      <c r="Y8" s="85">
        <f>FAST!M5</f>
        <v>2023.1599999999999</v>
      </c>
      <c r="Z8" s="85"/>
      <c r="AA8" s="85">
        <f>FAST!P5</f>
        <v>49683590</v>
      </c>
    </row>
    <row r="9" spans="1:30" ht="4.1500000000000004" customHeight="1" x14ac:dyDescent="0.25">
      <c r="X9" s="62"/>
    </row>
    <row r="10" spans="1:30" ht="23.25" customHeight="1" x14ac:dyDescent="0.25">
      <c r="B10" s="112" t="s">
        <v>399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  <c r="X10" s="62" t="s">
        <v>375</v>
      </c>
      <c r="Y10" s="75">
        <f>Y12-Y8</f>
        <v>0</v>
      </c>
      <c r="AA10" s="75">
        <f>AA12-AA8</f>
        <v>0</v>
      </c>
      <c r="AB10" s="101" t="s">
        <v>401</v>
      </c>
      <c r="AC10" s="102"/>
      <c r="AD10" s="101" t="s">
        <v>402</v>
      </c>
    </row>
    <row r="11" spans="1:30" ht="3.95" customHeight="1" x14ac:dyDescent="0.25">
      <c r="X11" s="62"/>
      <c r="AB11" s="41"/>
      <c r="AD11" s="41"/>
    </row>
    <row r="12" spans="1:30" ht="23.85" customHeight="1" x14ac:dyDescent="0.3">
      <c r="B12" s="112" t="s">
        <v>331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  <c r="X12" s="84" t="s">
        <v>373</v>
      </c>
      <c r="Y12" s="86">
        <f>SUBTOTAL(9,Y13:Y482)</f>
        <v>2023.1599999999999</v>
      </c>
      <c r="Z12" s="86"/>
      <c r="AA12" s="86">
        <f>SUBTOTAL(9,AA13:AA800)</f>
        <v>49683590</v>
      </c>
      <c r="AB12" s="100">
        <f>SUBTOTAL(9,AB13:AB1001)</f>
        <v>-107.19999999999999</v>
      </c>
      <c r="AC12" s="87"/>
      <c r="AD12" s="100">
        <f>SUBTOTAL(9,AD13:AD5001)</f>
        <v>-2932400</v>
      </c>
    </row>
    <row r="13" spans="1:30" ht="26.25" customHeight="1" x14ac:dyDescent="0.3">
      <c r="L13" s="110">
        <f>SUBTOTAL(9,L15:L5000)</f>
        <v>2130.3599999999988</v>
      </c>
      <c r="N13" s="77">
        <f>SUBTOTAL(9,N15:N5001)</f>
        <v>52615990</v>
      </c>
    </row>
    <row r="14" spans="1:30" s="79" customFormat="1" ht="15.75" x14ac:dyDescent="0.25">
      <c r="A14"/>
      <c r="B14" s="105" t="s">
        <v>332</v>
      </c>
      <c r="C14" s="105" t="s">
        <v>1</v>
      </c>
      <c r="D14" s="105" t="s">
        <v>333</v>
      </c>
      <c r="E14" s="105" t="s">
        <v>2</v>
      </c>
      <c r="F14" s="105" t="s">
        <v>3</v>
      </c>
      <c r="G14" s="105" t="s">
        <v>4</v>
      </c>
      <c r="H14" s="105" t="s">
        <v>5</v>
      </c>
      <c r="I14" s="105" t="s">
        <v>6</v>
      </c>
      <c r="J14" s="105" t="s">
        <v>7</v>
      </c>
      <c r="K14" s="106" t="s">
        <v>8</v>
      </c>
      <c r="L14" s="106" t="s">
        <v>9</v>
      </c>
      <c r="M14" s="106" t="s">
        <v>10</v>
      </c>
      <c r="N14" s="106" t="s">
        <v>11</v>
      </c>
      <c r="O14" s="83"/>
      <c r="P14" s="78" t="s">
        <v>12</v>
      </c>
      <c r="Q14" s="78" t="s">
        <v>335</v>
      </c>
      <c r="R14" s="78" t="s">
        <v>13</v>
      </c>
      <c r="S14" s="78" t="s">
        <v>14</v>
      </c>
      <c r="T14" s="88" t="s">
        <v>15</v>
      </c>
      <c r="U14" s="90"/>
      <c r="V14" s="90"/>
      <c r="W14" s="90"/>
      <c r="X14" s="90"/>
      <c r="Y14" s="91" t="s">
        <v>400</v>
      </c>
      <c r="Z14" s="92" t="s">
        <v>326</v>
      </c>
      <c r="AA14" s="91" t="s">
        <v>327</v>
      </c>
      <c r="AB14" s="93" t="s">
        <v>322</v>
      </c>
      <c r="AC14" s="93" t="s">
        <v>323</v>
      </c>
      <c r="AD14" s="93" t="s">
        <v>324</v>
      </c>
    </row>
    <row r="15" spans="1:30" x14ac:dyDescent="0.25">
      <c r="A15" s="41"/>
      <c r="B15" s="80"/>
      <c r="C15" s="52" t="s">
        <v>476</v>
      </c>
      <c r="D15" s="52" t="s">
        <v>426</v>
      </c>
      <c r="E15" s="52" t="s">
        <v>427</v>
      </c>
      <c r="F15" s="107" t="s">
        <v>428</v>
      </c>
      <c r="G15" s="107" t="s">
        <v>429</v>
      </c>
      <c r="H15" s="107" t="s">
        <v>54</v>
      </c>
      <c r="I15" s="107" t="s">
        <v>17</v>
      </c>
      <c r="J15" s="53" t="s">
        <v>54</v>
      </c>
      <c r="K15" s="53" t="s">
        <v>17</v>
      </c>
      <c r="L15" s="73">
        <v>1.5</v>
      </c>
      <c r="M15" s="103">
        <v>15000</v>
      </c>
      <c r="N15" s="74">
        <v>22500</v>
      </c>
      <c r="O15" s="104"/>
      <c r="P15" s="82" t="s">
        <v>18</v>
      </c>
      <c r="Q15" s="82" t="s">
        <v>347</v>
      </c>
      <c r="R15" s="82"/>
      <c r="S15" s="82"/>
      <c r="T15" s="89" t="s">
        <v>19</v>
      </c>
      <c r="U15" s="41" t="str">
        <f>VLOOKUP(J15,Sheet1!$A$2:$D$200,4,0)</f>
        <v>NL300189</v>
      </c>
      <c r="V15" s="41" t="str">
        <f>VLOOKUP(U15,Sheet1!$D$2:$E$200,2,0)</f>
        <v>Bánh ướt</v>
      </c>
      <c r="W15" s="94" t="str">
        <f>DAY(C15)&amp;MONTH(C15)&amp;U15</f>
        <v>11NL300189</v>
      </c>
      <c r="X15" s="94" t="str">
        <f>COUNTIF($R$15:W15,W15)&amp;W15</f>
        <v>111NL300189</v>
      </c>
      <c r="Y15" s="95">
        <f>IFERROR(VLOOKUP(X15,FAST!$B$7:$M$9722,12,0),"0")</f>
        <v>1.5</v>
      </c>
      <c r="Z15" s="95">
        <f>IFERROR(VLOOKUP(X15,FAST!$B$7:$N$9722,13,0),"0")</f>
        <v>15000</v>
      </c>
      <c r="AA15" s="96">
        <f>Y15*Z15</f>
        <v>22500</v>
      </c>
      <c r="AB15" s="97">
        <f>Y15-L15</f>
        <v>0</v>
      </c>
      <c r="AC15" s="98">
        <f>Z15-M15</f>
        <v>0</v>
      </c>
      <c r="AD15" s="99">
        <f>AA15-N15</f>
        <v>0</v>
      </c>
    </row>
    <row r="16" spans="1:30" x14ac:dyDescent="0.25">
      <c r="A16" s="41"/>
      <c r="B16" s="80"/>
      <c r="C16" s="52" t="s">
        <v>476</v>
      </c>
      <c r="D16" s="52" t="s">
        <v>426</v>
      </c>
      <c r="E16" s="52" t="s">
        <v>427</v>
      </c>
      <c r="F16" s="107" t="s">
        <v>428</v>
      </c>
      <c r="G16" s="107" t="s">
        <v>430</v>
      </c>
      <c r="H16" s="107" t="s">
        <v>16</v>
      </c>
      <c r="I16" s="107" t="s">
        <v>17</v>
      </c>
      <c r="J16" s="53" t="s">
        <v>16</v>
      </c>
      <c r="K16" s="53" t="s">
        <v>17</v>
      </c>
      <c r="L16" s="73">
        <v>1.5</v>
      </c>
      <c r="M16" s="103">
        <v>19000</v>
      </c>
      <c r="N16" s="74">
        <v>28500</v>
      </c>
      <c r="O16" s="104"/>
      <c r="P16" s="82" t="s">
        <v>18</v>
      </c>
      <c r="Q16" s="82" t="s">
        <v>347</v>
      </c>
      <c r="R16" s="82"/>
      <c r="S16" s="82"/>
      <c r="T16" s="89" t="s">
        <v>19</v>
      </c>
      <c r="U16" s="41" t="str">
        <f>VLOOKUP(J16,Sheet1!$A$2:$D$200,4,0)</f>
        <v>NL300004</v>
      </c>
      <c r="V16" s="41" t="str">
        <f>VLOOKUP(U16,Sheet1!$D$2:$E$200,2,0)</f>
        <v>Bắp cải trắng</v>
      </c>
      <c r="W16" s="94" t="str">
        <f t="shared" ref="W16:W79" si="0">DAY(C16)&amp;MONTH(C16)&amp;U16</f>
        <v>11NL300004</v>
      </c>
      <c r="X16" s="94" t="str">
        <f>COUNTIF($R$15:W16,W16)&amp;W16</f>
        <v>111NL300004</v>
      </c>
      <c r="Y16" s="95">
        <f>IFERROR(VLOOKUP(X16,FAST!$B$7:$M$9722,12,0),"0")</f>
        <v>1.5</v>
      </c>
      <c r="Z16" s="95">
        <f>IFERROR(VLOOKUP(X16,FAST!$B$7:$N$9722,13,0),"0")</f>
        <v>19000</v>
      </c>
      <c r="AA16" s="96">
        <f t="shared" ref="AA16:AA79" si="1">Y16*Z16</f>
        <v>28500</v>
      </c>
      <c r="AB16" s="97">
        <f t="shared" ref="AB16:AB79" si="2">Y16-L16</f>
        <v>0</v>
      </c>
      <c r="AC16" s="98">
        <f t="shared" ref="AC16:AC79" si="3">Z16-M16</f>
        <v>0</v>
      </c>
      <c r="AD16" s="99">
        <f t="shared" ref="AD16:AD79" si="4">AA16-N16</f>
        <v>0</v>
      </c>
    </row>
    <row r="17" spans="1:30" x14ac:dyDescent="0.25">
      <c r="A17" s="41"/>
      <c r="B17" s="80"/>
      <c r="C17" s="52" t="s">
        <v>476</v>
      </c>
      <c r="D17" s="52" t="s">
        <v>426</v>
      </c>
      <c r="E17" s="52" t="s">
        <v>427</v>
      </c>
      <c r="F17" s="107" t="s">
        <v>428</v>
      </c>
      <c r="G17" s="107" t="s">
        <v>404</v>
      </c>
      <c r="H17" s="107" t="s">
        <v>20</v>
      </c>
      <c r="I17" s="107" t="s">
        <v>21</v>
      </c>
      <c r="J17" s="53" t="s">
        <v>20</v>
      </c>
      <c r="K17" s="53" t="s">
        <v>21</v>
      </c>
      <c r="L17" s="73">
        <v>20</v>
      </c>
      <c r="M17" s="103">
        <v>8500</v>
      </c>
      <c r="N17" s="74">
        <v>170000</v>
      </c>
      <c r="O17" s="104"/>
      <c r="P17" s="82" t="s">
        <v>18</v>
      </c>
      <c r="Q17" s="82" t="s">
        <v>347</v>
      </c>
      <c r="R17" s="82"/>
      <c r="S17" s="82"/>
      <c r="T17" s="89" t="s">
        <v>19</v>
      </c>
      <c r="U17" s="41" t="str">
        <f>VLOOKUP(J17,Sheet1!$A$2:$D$200,4,0)</f>
        <v>NL300107</v>
      </c>
      <c r="V17" s="41" t="str">
        <f>VLOOKUP(U17,Sheet1!$D$2:$E$200,2,0)</f>
        <v>Ngô ngọt ( Bắp trái)</v>
      </c>
      <c r="W17" s="94" t="str">
        <f t="shared" si="0"/>
        <v>11NL300107</v>
      </c>
      <c r="X17" s="94" t="str">
        <f>COUNTIF($R$15:W17,W17)&amp;W17</f>
        <v>111NL300107</v>
      </c>
      <c r="Y17" s="95">
        <f>IFERROR(VLOOKUP(X17,FAST!$B$7:$M$9722,12,0),"0")</f>
        <v>20</v>
      </c>
      <c r="Z17" s="95">
        <f>IFERROR(VLOOKUP(X17,FAST!$B$7:$N$9722,13,0),"0")</f>
        <v>8500</v>
      </c>
      <c r="AA17" s="96">
        <f t="shared" si="1"/>
        <v>170000</v>
      </c>
      <c r="AB17" s="97">
        <f t="shared" si="2"/>
        <v>0</v>
      </c>
      <c r="AC17" s="98">
        <f t="shared" si="3"/>
        <v>0</v>
      </c>
      <c r="AD17" s="99">
        <f t="shared" si="4"/>
        <v>0</v>
      </c>
    </row>
    <row r="18" spans="1:30" x14ac:dyDescent="0.25">
      <c r="A18" s="41"/>
      <c r="B18" s="80"/>
      <c r="C18" s="52" t="s">
        <v>476</v>
      </c>
      <c r="D18" s="52" t="s">
        <v>426</v>
      </c>
      <c r="E18" s="52" t="s">
        <v>427</v>
      </c>
      <c r="F18" s="107" t="s">
        <v>428</v>
      </c>
      <c r="G18" s="107" t="s">
        <v>405</v>
      </c>
      <c r="H18" s="107" t="s">
        <v>22</v>
      </c>
      <c r="I18" s="107" t="s">
        <v>17</v>
      </c>
      <c r="J18" s="53" t="s">
        <v>22</v>
      </c>
      <c r="K18" s="53" t="s">
        <v>17</v>
      </c>
      <c r="L18" s="73">
        <v>4</v>
      </c>
      <c r="M18" s="103">
        <v>30000</v>
      </c>
      <c r="N18" s="74">
        <v>120000</v>
      </c>
      <c r="O18" s="104"/>
      <c r="P18" s="82" t="s">
        <v>18</v>
      </c>
      <c r="Q18" s="82" t="s">
        <v>347</v>
      </c>
      <c r="R18" s="82"/>
      <c r="S18" s="82"/>
      <c r="T18" s="89" t="s">
        <v>19</v>
      </c>
      <c r="U18" s="41" t="str">
        <f>VLOOKUP(J18,Sheet1!$A$2:$D$200,4,0)</f>
        <v>NL300007</v>
      </c>
      <c r="V18" s="41" t="str">
        <f>VLOOKUP(U18,Sheet1!$D$2:$E$200,2,0)</f>
        <v>Bí đỏ</v>
      </c>
      <c r="W18" s="94" t="str">
        <f t="shared" si="0"/>
        <v>11NL300007</v>
      </c>
      <c r="X18" s="94" t="str">
        <f>COUNTIF($R$15:W18,W18)&amp;W18</f>
        <v>111NL300007</v>
      </c>
      <c r="Y18" s="95">
        <f>IFERROR(VLOOKUP(X18,FAST!$B$7:$M$9722,12,0),"0")</f>
        <v>4</v>
      </c>
      <c r="Z18" s="95">
        <f>IFERROR(VLOOKUP(X18,FAST!$B$7:$N$9722,13,0),"0")</f>
        <v>30000</v>
      </c>
      <c r="AA18" s="96">
        <f t="shared" si="1"/>
        <v>120000</v>
      </c>
      <c r="AB18" s="97">
        <f t="shared" si="2"/>
        <v>0</v>
      </c>
      <c r="AC18" s="98">
        <f t="shared" si="3"/>
        <v>0</v>
      </c>
      <c r="AD18" s="99">
        <f t="shared" si="4"/>
        <v>0</v>
      </c>
    </row>
    <row r="19" spans="1:30" x14ac:dyDescent="0.25">
      <c r="A19" s="41"/>
      <c r="B19" s="80"/>
      <c r="C19" s="52" t="s">
        <v>476</v>
      </c>
      <c r="D19" s="52" t="s">
        <v>426</v>
      </c>
      <c r="E19" s="52" t="s">
        <v>427</v>
      </c>
      <c r="F19" s="107" t="s">
        <v>428</v>
      </c>
      <c r="G19" s="107" t="s">
        <v>431</v>
      </c>
      <c r="H19" s="107" t="s">
        <v>23</v>
      </c>
      <c r="I19" s="107" t="s">
        <v>17</v>
      </c>
      <c r="J19" s="53" t="s">
        <v>23</v>
      </c>
      <c r="K19" s="53" t="s">
        <v>17</v>
      </c>
      <c r="L19" s="73">
        <v>15</v>
      </c>
      <c r="M19" s="103">
        <v>40000</v>
      </c>
      <c r="N19" s="74">
        <v>600000</v>
      </c>
      <c r="O19" s="104"/>
      <c r="P19" s="82" t="s">
        <v>18</v>
      </c>
      <c r="Q19" s="82" t="s">
        <v>347</v>
      </c>
      <c r="R19" s="82"/>
      <c r="S19" s="82"/>
      <c r="T19" s="89" t="s">
        <v>19</v>
      </c>
      <c r="U19" s="41" t="str">
        <f>VLOOKUP(J19,Sheet1!$A$2:$D$200,4,0)</f>
        <v>NL300008</v>
      </c>
      <c r="V19" s="41" t="str">
        <f>VLOOKUP(U19,Sheet1!$D$2:$E$200,2,0)</f>
        <v>Bí ngòi</v>
      </c>
      <c r="W19" s="94" t="str">
        <f t="shared" si="0"/>
        <v>11NL300008</v>
      </c>
      <c r="X19" s="94" t="str">
        <f>COUNTIF($R$15:W19,W19)&amp;W19</f>
        <v>111NL300008</v>
      </c>
      <c r="Y19" s="95">
        <f>IFERROR(VLOOKUP(X19,FAST!$B$7:$M$9722,12,0),"0")</f>
        <v>15</v>
      </c>
      <c r="Z19" s="95">
        <f>IFERROR(VLOOKUP(X19,FAST!$B$7:$N$9722,13,0),"0")</f>
        <v>40000</v>
      </c>
      <c r="AA19" s="96">
        <f t="shared" si="1"/>
        <v>600000</v>
      </c>
      <c r="AB19" s="97">
        <f t="shared" si="2"/>
        <v>0</v>
      </c>
      <c r="AC19" s="98">
        <f t="shared" si="3"/>
        <v>0</v>
      </c>
      <c r="AD19" s="99">
        <f t="shared" si="4"/>
        <v>0</v>
      </c>
    </row>
    <row r="20" spans="1:30" x14ac:dyDescent="0.25">
      <c r="A20" s="41"/>
      <c r="B20" s="80"/>
      <c r="C20" s="52" t="s">
        <v>476</v>
      </c>
      <c r="D20" s="52" t="s">
        <v>426</v>
      </c>
      <c r="E20" s="52" t="s">
        <v>427</v>
      </c>
      <c r="F20" s="107" t="s">
        <v>428</v>
      </c>
      <c r="G20" s="107" t="s">
        <v>432</v>
      </c>
      <c r="H20" s="107" t="s">
        <v>50</v>
      </c>
      <c r="I20" s="107" t="s">
        <v>17</v>
      </c>
      <c r="J20" s="53" t="s">
        <v>50</v>
      </c>
      <c r="K20" s="53" t="s">
        <v>17</v>
      </c>
      <c r="L20" s="73">
        <v>6.5</v>
      </c>
      <c r="M20" s="103">
        <v>52000</v>
      </c>
      <c r="N20" s="74">
        <v>338000</v>
      </c>
      <c r="O20" s="104"/>
      <c r="P20" s="82" t="s">
        <v>18</v>
      </c>
      <c r="Q20" s="82" t="s">
        <v>347</v>
      </c>
      <c r="R20" s="82"/>
      <c r="S20" s="82"/>
      <c r="T20" s="89" t="s">
        <v>19</v>
      </c>
      <c r="U20" s="41" t="str">
        <f>VLOOKUP(J20,Sheet1!$A$2:$D$200,4,0)</f>
        <v>NL300137</v>
      </c>
      <c r="V20" s="41" t="str">
        <f>VLOOKUP(U20,Sheet1!$D$2:$E$200,2,0)</f>
        <v>Súp lơ xanh</v>
      </c>
      <c r="W20" s="94" t="str">
        <f t="shared" si="0"/>
        <v>11NL300137</v>
      </c>
      <c r="X20" s="94" t="str">
        <f>COUNTIF($R$15:W20,W20)&amp;W20</f>
        <v>111NL300137</v>
      </c>
      <c r="Y20" s="95">
        <f>IFERROR(VLOOKUP(X20,FAST!$B$7:$M$9722,12,0),"0")</f>
        <v>6.5</v>
      </c>
      <c r="Z20" s="95">
        <f>IFERROR(VLOOKUP(X20,FAST!$B$7:$N$9722,13,0),"0")</f>
        <v>52000</v>
      </c>
      <c r="AA20" s="96">
        <f t="shared" si="1"/>
        <v>338000</v>
      </c>
      <c r="AB20" s="97">
        <f t="shared" si="2"/>
        <v>0</v>
      </c>
      <c r="AC20" s="98">
        <f t="shared" si="3"/>
        <v>0</v>
      </c>
      <c r="AD20" s="99">
        <f t="shared" si="4"/>
        <v>0</v>
      </c>
    </row>
    <row r="21" spans="1:30" x14ac:dyDescent="0.25">
      <c r="A21" s="41"/>
      <c r="B21" s="80"/>
      <c r="C21" s="52" t="s">
        <v>476</v>
      </c>
      <c r="D21" s="52" t="s">
        <v>426</v>
      </c>
      <c r="E21" s="52" t="s">
        <v>427</v>
      </c>
      <c r="F21" s="107" t="s">
        <v>428</v>
      </c>
      <c r="G21" s="107" t="s">
        <v>433</v>
      </c>
      <c r="H21" s="107" t="s">
        <v>70</v>
      </c>
      <c r="I21" s="107" t="s">
        <v>17</v>
      </c>
      <c r="J21" s="53" t="s">
        <v>70</v>
      </c>
      <c r="K21" s="53" t="s">
        <v>17</v>
      </c>
      <c r="L21" s="73">
        <v>0.3</v>
      </c>
      <c r="M21" s="103">
        <v>75000</v>
      </c>
      <c r="N21" s="74">
        <v>22500</v>
      </c>
      <c r="O21" s="104"/>
      <c r="P21" s="82" t="s">
        <v>18</v>
      </c>
      <c r="Q21" s="82" t="s">
        <v>347</v>
      </c>
      <c r="R21" s="82"/>
      <c r="S21" s="82"/>
      <c r="T21" s="89" t="s">
        <v>19</v>
      </c>
      <c r="U21" s="41" t="str">
        <f>VLOOKUP(J21,Sheet1!$A$2:$D$200,4,0)</f>
        <v>NL300028</v>
      </c>
      <c r="V21" s="41" t="str">
        <f>VLOOKUP(U21,Sheet1!$D$2:$E$200,2,0)</f>
        <v>Cà rốt baby</v>
      </c>
      <c r="W21" s="94" t="str">
        <f t="shared" si="0"/>
        <v>11NL300028</v>
      </c>
      <c r="X21" s="94" t="str">
        <f>COUNTIF($R$15:W21,W21)&amp;W21</f>
        <v>111NL300028</v>
      </c>
      <c r="Y21" s="95">
        <f>IFERROR(VLOOKUP(X21,FAST!$B$7:$M$9722,12,0),"0")</f>
        <v>0.3</v>
      </c>
      <c r="Z21" s="95">
        <f>IFERROR(VLOOKUP(X21,FAST!$B$7:$N$9722,13,0),"0")</f>
        <v>75000</v>
      </c>
      <c r="AA21" s="96">
        <f t="shared" si="1"/>
        <v>22500</v>
      </c>
      <c r="AB21" s="97">
        <f t="shared" si="2"/>
        <v>0</v>
      </c>
      <c r="AC21" s="98">
        <f t="shared" si="3"/>
        <v>0</v>
      </c>
      <c r="AD21" s="99">
        <f t="shared" si="4"/>
        <v>0</v>
      </c>
    </row>
    <row r="22" spans="1:30" x14ac:dyDescent="0.25">
      <c r="A22" s="41"/>
      <c r="B22" s="80"/>
      <c r="C22" s="52" t="s">
        <v>476</v>
      </c>
      <c r="D22" s="52" t="s">
        <v>426</v>
      </c>
      <c r="E22" s="52" t="s">
        <v>427</v>
      </c>
      <c r="F22" s="107" t="s">
        <v>428</v>
      </c>
      <c r="G22" s="107" t="s">
        <v>434</v>
      </c>
      <c r="H22" s="107" t="s">
        <v>24</v>
      </c>
      <c r="I22" s="107" t="s">
        <v>17</v>
      </c>
      <c r="J22" s="53" t="s">
        <v>24</v>
      </c>
      <c r="K22" s="53" t="s">
        <v>17</v>
      </c>
      <c r="L22" s="73">
        <v>1.5</v>
      </c>
      <c r="M22" s="103">
        <v>30000</v>
      </c>
      <c r="N22" s="74">
        <v>45000</v>
      </c>
      <c r="O22" s="104"/>
      <c r="P22" s="82" t="s">
        <v>18</v>
      </c>
      <c r="Q22" s="82" t="s">
        <v>347</v>
      </c>
      <c r="R22" s="82"/>
      <c r="S22" s="82"/>
      <c r="T22" s="89" t="s">
        <v>19</v>
      </c>
      <c r="U22" s="41" t="str">
        <f>VLOOKUP(J22,Sheet1!$A$2:$D$200,4,0)</f>
        <v>NL300020</v>
      </c>
      <c r="V22" s="41" t="str">
        <f>VLOOKUP(U22,Sheet1!$D$2:$E$200,2,0)</f>
        <v>Cải ngồng</v>
      </c>
      <c r="W22" s="94" t="str">
        <f t="shared" si="0"/>
        <v>11NL300020</v>
      </c>
      <c r="X22" s="94" t="str">
        <f>COUNTIF($R$15:W22,W22)&amp;W22</f>
        <v>111NL300020</v>
      </c>
      <c r="Y22" s="95">
        <f>IFERROR(VLOOKUP(X22,FAST!$B$7:$M$9722,12,0),"0")</f>
        <v>1.5</v>
      </c>
      <c r="Z22" s="95">
        <f>IFERROR(VLOOKUP(X22,FAST!$B$7:$N$9722,13,0),"0")</f>
        <v>30000</v>
      </c>
      <c r="AA22" s="96">
        <f t="shared" si="1"/>
        <v>45000</v>
      </c>
      <c r="AB22" s="97">
        <f t="shared" si="2"/>
        <v>0</v>
      </c>
      <c r="AC22" s="98">
        <f t="shared" si="3"/>
        <v>0</v>
      </c>
      <c r="AD22" s="99">
        <f t="shared" si="4"/>
        <v>0</v>
      </c>
    </row>
    <row r="23" spans="1:30" x14ac:dyDescent="0.25">
      <c r="A23" s="41"/>
      <c r="B23" s="80"/>
      <c r="C23" s="52" t="s">
        <v>476</v>
      </c>
      <c r="D23" s="52" t="s">
        <v>426</v>
      </c>
      <c r="E23" s="52" t="s">
        <v>427</v>
      </c>
      <c r="F23" s="107" t="s">
        <v>428</v>
      </c>
      <c r="G23" s="107" t="s">
        <v>435</v>
      </c>
      <c r="H23" s="107" t="s">
        <v>25</v>
      </c>
      <c r="I23" s="107" t="s">
        <v>17</v>
      </c>
      <c r="J23" s="53" t="s">
        <v>25</v>
      </c>
      <c r="K23" s="53" t="s">
        <v>17</v>
      </c>
      <c r="L23" s="73">
        <v>1</v>
      </c>
      <c r="M23" s="103">
        <v>44000</v>
      </c>
      <c r="N23" s="74">
        <v>44000</v>
      </c>
      <c r="O23" s="104"/>
      <c r="P23" s="82" t="s">
        <v>18</v>
      </c>
      <c r="Q23" s="82" t="s">
        <v>347</v>
      </c>
      <c r="R23" s="82"/>
      <c r="S23" s="82"/>
      <c r="T23" s="89" t="s">
        <v>19</v>
      </c>
      <c r="U23" s="41" t="str">
        <f>VLOOKUP(J23,Sheet1!$A$2:$D$200,4,0)</f>
        <v>NL300025</v>
      </c>
      <c r="V23" s="41" t="str">
        <f>VLOOKUP(U23,Sheet1!$D$2:$E$200,2,0)</f>
        <v>Rau cần tây</v>
      </c>
      <c r="W23" s="94" t="str">
        <f t="shared" si="0"/>
        <v>11NL300025</v>
      </c>
      <c r="X23" s="94" t="str">
        <f>COUNTIF($R$15:W23,W23)&amp;W23</f>
        <v>111NL300025</v>
      </c>
      <c r="Y23" s="95">
        <f>IFERROR(VLOOKUP(X23,FAST!$B$7:$M$9722,12,0),"0")</f>
        <v>1</v>
      </c>
      <c r="Z23" s="95">
        <f>IFERROR(VLOOKUP(X23,FAST!$B$7:$N$9722,13,0),"0")</f>
        <v>44000</v>
      </c>
      <c r="AA23" s="96">
        <f t="shared" si="1"/>
        <v>44000</v>
      </c>
      <c r="AB23" s="97">
        <f t="shared" si="2"/>
        <v>0</v>
      </c>
      <c r="AC23" s="98">
        <f t="shared" si="3"/>
        <v>0</v>
      </c>
      <c r="AD23" s="99">
        <f t="shared" si="4"/>
        <v>0</v>
      </c>
    </row>
    <row r="24" spans="1:30" x14ac:dyDescent="0.25">
      <c r="A24" s="41"/>
      <c r="B24" s="80"/>
      <c r="C24" s="52" t="s">
        <v>476</v>
      </c>
      <c r="D24" s="52" t="s">
        <v>426</v>
      </c>
      <c r="E24" s="52" t="s">
        <v>427</v>
      </c>
      <c r="F24" s="107" t="s">
        <v>428</v>
      </c>
      <c r="G24" s="107" t="s">
        <v>406</v>
      </c>
      <c r="H24" s="107" t="s">
        <v>46</v>
      </c>
      <c r="I24" s="107" t="s">
        <v>17</v>
      </c>
      <c r="J24" s="53" t="s">
        <v>46</v>
      </c>
      <c r="K24" s="53" t="s">
        <v>17</v>
      </c>
      <c r="L24" s="73">
        <v>3</v>
      </c>
      <c r="M24" s="103">
        <v>22000</v>
      </c>
      <c r="N24" s="74">
        <v>66000</v>
      </c>
      <c r="O24" s="104"/>
      <c r="P24" s="82" t="s">
        <v>18</v>
      </c>
      <c r="Q24" s="82" t="s">
        <v>347</v>
      </c>
      <c r="R24" s="82"/>
      <c r="S24" s="82"/>
      <c r="T24" s="89" t="s">
        <v>19</v>
      </c>
      <c r="U24" s="41" t="str">
        <f>VLOOKUP(J24,Sheet1!$A$2:$D$200,4,0)</f>
        <v>NL300029</v>
      </c>
      <c r="V24" s="41" t="str">
        <f>VLOOKUP(U24,Sheet1!$D$2:$E$200,2,0)</f>
        <v>Chanh</v>
      </c>
      <c r="W24" s="94" t="str">
        <f t="shared" si="0"/>
        <v>11NL300029</v>
      </c>
      <c r="X24" s="94" t="str">
        <f>COUNTIF($R$15:W24,W24)&amp;W24</f>
        <v>111NL300029</v>
      </c>
      <c r="Y24" s="95">
        <f>IFERROR(VLOOKUP(X24,FAST!$B$7:$M$9722,12,0),"0")</f>
        <v>3</v>
      </c>
      <c r="Z24" s="95">
        <f>IFERROR(VLOOKUP(X24,FAST!$B$7:$N$9722,13,0),"0")</f>
        <v>22000</v>
      </c>
      <c r="AA24" s="96">
        <f t="shared" si="1"/>
        <v>66000</v>
      </c>
      <c r="AB24" s="97">
        <f t="shared" si="2"/>
        <v>0</v>
      </c>
      <c r="AC24" s="98">
        <f t="shared" si="3"/>
        <v>0</v>
      </c>
      <c r="AD24" s="99">
        <f t="shared" si="4"/>
        <v>0</v>
      </c>
    </row>
    <row r="25" spans="1:30" x14ac:dyDescent="0.25">
      <c r="A25" s="41"/>
      <c r="B25" s="80"/>
      <c r="C25" s="52" t="s">
        <v>476</v>
      </c>
      <c r="D25" s="52" t="s">
        <v>426</v>
      </c>
      <c r="E25" s="52" t="s">
        <v>427</v>
      </c>
      <c r="F25" s="107" t="s">
        <v>428</v>
      </c>
      <c r="G25" s="107" t="s">
        <v>436</v>
      </c>
      <c r="H25" s="107" t="s">
        <v>56</v>
      </c>
      <c r="I25" s="107" t="s">
        <v>17</v>
      </c>
      <c r="J25" s="53" t="s">
        <v>56</v>
      </c>
      <c r="K25" s="53" t="s">
        <v>17</v>
      </c>
      <c r="L25" s="73">
        <v>2</v>
      </c>
      <c r="M25" s="103">
        <v>38000</v>
      </c>
      <c r="N25" s="74">
        <v>76000</v>
      </c>
      <c r="O25" s="104"/>
      <c r="P25" s="82" t="s">
        <v>18</v>
      </c>
      <c r="Q25" s="82" t="s">
        <v>347</v>
      </c>
      <c r="R25" s="82"/>
      <c r="S25" s="82"/>
      <c r="T25" s="89" t="s">
        <v>19</v>
      </c>
      <c r="U25" s="41" t="str">
        <f>VLOOKUP(J25,Sheet1!$A$2:$D$200,4,0)</f>
        <v>NL300054</v>
      </c>
      <c r="V25" s="41" t="str">
        <f>VLOOKUP(U25,Sheet1!$D$2:$E$200,2,0)</f>
        <v>Gừng tàu</v>
      </c>
      <c r="W25" s="94" t="str">
        <f t="shared" si="0"/>
        <v>11NL300054</v>
      </c>
      <c r="X25" s="94" t="str">
        <f>COUNTIF($R$15:W25,W25)&amp;W25</f>
        <v>111NL300054</v>
      </c>
      <c r="Y25" s="95">
        <f>IFERROR(VLOOKUP(X25,FAST!$B$7:$M$9722,12,0),"0")</f>
        <v>2</v>
      </c>
      <c r="Z25" s="95">
        <f>IFERROR(VLOOKUP(X25,FAST!$B$7:$N$9722,13,0),"0")</f>
        <v>38000</v>
      </c>
      <c r="AA25" s="96">
        <f t="shared" si="1"/>
        <v>76000</v>
      </c>
      <c r="AB25" s="97">
        <f t="shared" si="2"/>
        <v>0</v>
      </c>
      <c r="AC25" s="98">
        <f t="shared" si="3"/>
        <v>0</v>
      </c>
      <c r="AD25" s="99">
        <f t="shared" si="4"/>
        <v>0</v>
      </c>
    </row>
    <row r="26" spans="1:30" x14ac:dyDescent="0.25">
      <c r="A26" s="41"/>
      <c r="B26" s="80"/>
      <c r="C26" s="52" t="s">
        <v>476</v>
      </c>
      <c r="D26" s="52" t="s">
        <v>426</v>
      </c>
      <c r="E26" s="52" t="s">
        <v>427</v>
      </c>
      <c r="F26" s="107" t="s">
        <v>428</v>
      </c>
      <c r="G26" s="107" t="s">
        <v>407</v>
      </c>
      <c r="H26" s="107" t="s">
        <v>27</v>
      </c>
      <c r="I26" s="107" t="s">
        <v>17</v>
      </c>
      <c r="J26" s="53" t="s">
        <v>27</v>
      </c>
      <c r="K26" s="53" t="s">
        <v>17</v>
      </c>
      <c r="L26" s="73">
        <v>0.7</v>
      </c>
      <c r="M26" s="103">
        <v>47000</v>
      </c>
      <c r="N26" s="74">
        <v>32900</v>
      </c>
      <c r="O26" s="104"/>
      <c r="P26" s="82" t="s">
        <v>18</v>
      </c>
      <c r="Q26" s="82" t="s">
        <v>347</v>
      </c>
      <c r="R26" s="82"/>
      <c r="S26" s="82"/>
      <c r="T26" s="89" t="s">
        <v>19</v>
      </c>
      <c r="U26" s="41" t="str">
        <f>VLOOKUP(J26,Sheet1!$A$2:$D$200,4,0)</f>
        <v>NL300036</v>
      </c>
      <c r="V26" s="41" t="str">
        <f>VLOOKUP(U26,Sheet1!$D$2:$E$200,2,0)</f>
        <v>Củ sen</v>
      </c>
      <c r="W26" s="94" t="str">
        <f t="shared" si="0"/>
        <v>11NL300036</v>
      </c>
      <c r="X26" s="94" t="str">
        <f>COUNTIF($R$15:W26,W26)&amp;W26</f>
        <v>111NL300036</v>
      </c>
      <c r="Y26" s="95">
        <f>IFERROR(VLOOKUP(X26,FAST!$B$7:$M$9722,12,0),"0")</f>
        <v>0.7</v>
      </c>
      <c r="Z26" s="95">
        <f>IFERROR(VLOOKUP(X26,FAST!$B$7:$N$9722,13,0),"0")</f>
        <v>47000</v>
      </c>
      <c r="AA26" s="96">
        <f t="shared" si="1"/>
        <v>32900</v>
      </c>
      <c r="AB26" s="97">
        <f t="shared" si="2"/>
        <v>0</v>
      </c>
      <c r="AC26" s="98">
        <f t="shared" si="3"/>
        <v>0</v>
      </c>
      <c r="AD26" s="99">
        <f t="shared" si="4"/>
        <v>0</v>
      </c>
    </row>
    <row r="27" spans="1:30" x14ac:dyDescent="0.25">
      <c r="A27" s="41"/>
      <c r="B27" s="80"/>
      <c r="C27" s="52" t="s">
        <v>476</v>
      </c>
      <c r="D27" s="52" t="s">
        <v>426</v>
      </c>
      <c r="E27" s="52" t="s">
        <v>427</v>
      </c>
      <c r="F27" s="107" t="s">
        <v>428</v>
      </c>
      <c r="G27" s="107" t="s">
        <v>437</v>
      </c>
      <c r="H27" s="107" t="s">
        <v>28</v>
      </c>
      <c r="I27" s="107" t="s">
        <v>17</v>
      </c>
      <c r="J27" s="53" t="s">
        <v>28</v>
      </c>
      <c r="K27" s="53" t="s">
        <v>17</v>
      </c>
      <c r="L27" s="73">
        <v>1.5</v>
      </c>
      <c r="M27" s="103">
        <v>32000</v>
      </c>
      <c r="N27" s="74">
        <v>48000</v>
      </c>
      <c r="O27" s="104"/>
      <c r="P27" s="82" t="s">
        <v>18</v>
      </c>
      <c r="Q27" s="82" t="s">
        <v>347</v>
      </c>
      <c r="R27" s="82"/>
      <c r="S27" s="82"/>
      <c r="T27" s="89" t="s">
        <v>19</v>
      </c>
      <c r="U27" s="41" t="str">
        <f>VLOOKUP(J27,Sheet1!$A$2:$D$200,4,0)</f>
        <v>NL300038</v>
      </c>
      <c r="V27" s="41" t="str">
        <f>VLOOKUP(U27,Sheet1!$D$2:$E$200,2,0)</f>
        <v>Đậu bắp</v>
      </c>
      <c r="W27" s="94" t="str">
        <f t="shared" si="0"/>
        <v>11NL300038</v>
      </c>
      <c r="X27" s="94" t="str">
        <f>COUNTIF($R$15:W27,W27)&amp;W27</f>
        <v>111NL300038</v>
      </c>
      <c r="Y27" s="95">
        <f>IFERROR(VLOOKUP(X27,FAST!$B$7:$M$9722,12,0),"0")</f>
        <v>1.5</v>
      </c>
      <c r="Z27" s="95">
        <f>IFERROR(VLOOKUP(X27,FAST!$B$7:$N$9722,13,0),"0")</f>
        <v>32000</v>
      </c>
      <c r="AA27" s="96">
        <f t="shared" si="1"/>
        <v>48000</v>
      </c>
      <c r="AB27" s="97">
        <f t="shared" si="2"/>
        <v>0</v>
      </c>
      <c r="AC27" s="98">
        <f t="shared" si="3"/>
        <v>0</v>
      </c>
      <c r="AD27" s="99">
        <f t="shared" si="4"/>
        <v>0</v>
      </c>
    </row>
    <row r="28" spans="1:30" x14ac:dyDescent="0.25">
      <c r="A28" s="41"/>
      <c r="B28" s="80"/>
      <c r="C28" s="52" t="s">
        <v>476</v>
      </c>
      <c r="D28" s="52" t="s">
        <v>426</v>
      </c>
      <c r="E28" s="52" t="s">
        <v>427</v>
      </c>
      <c r="F28" s="107" t="s">
        <v>428</v>
      </c>
      <c r="G28" s="107" t="s">
        <v>419</v>
      </c>
      <c r="H28" s="107" t="s">
        <v>47</v>
      </c>
      <c r="I28" s="107" t="s">
        <v>17</v>
      </c>
      <c r="J28" s="53" t="s">
        <v>44</v>
      </c>
      <c r="K28" s="53" t="s">
        <v>45</v>
      </c>
      <c r="L28" s="73">
        <v>7</v>
      </c>
      <c r="M28" s="103">
        <v>15000</v>
      </c>
      <c r="N28" s="74">
        <v>105000</v>
      </c>
      <c r="O28" s="104"/>
      <c r="P28" s="82" t="s">
        <v>18</v>
      </c>
      <c r="Q28" s="82" t="s">
        <v>347</v>
      </c>
      <c r="R28" s="82"/>
      <c r="S28" s="82"/>
      <c r="T28" s="89" t="s">
        <v>19</v>
      </c>
      <c r="U28" s="41" t="str">
        <f>VLOOKUP(J28,Sheet1!$A$2:$D$200,4,0)</f>
        <v>NL300041</v>
      </c>
      <c r="V28" s="41" t="str">
        <f>VLOOKUP(U28,Sheet1!$D$2:$E$200,2,0)</f>
        <v>Đậu hủ non trứng</v>
      </c>
      <c r="W28" s="94" t="str">
        <f t="shared" si="0"/>
        <v>11NL300041</v>
      </c>
      <c r="X28" s="94" t="str">
        <f>COUNTIF($R$15:W28,W28)&amp;W28</f>
        <v>111NL300041</v>
      </c>
      <c r="Y28" s="95">
        <f>IFERROR(VLOOKUP(X28,FAST!$B$7:$M$9722,12,0),"0")</f>
        <v>7</v>
      </c>
      <c r="Z28" s="95">
        <f>IFERROR(VLOOKUP(X28,FAST!$B$7:$N$9722,13,0),"0")</f>
        <v>15000</v>
      </c>
      <c r="AA28" s="96">
        <f t="shared" si="1"/>
        <v>105000</v>
      </c>
      <c r="AB28" s="97">
        <f t="shared" si="2"/>
        <v>0</v>
      </c>
      <c r="AC28" s="98">
        <f t="shared" si="3"/>
        <v>0</v>
      </c>
      <c r="AD28" s="99">
        <f t="shared" si="4"/>
        <v>0</v>
      </c>
    </row>
    <row r="29" spans="1:30" x14ac:dyDescent="0.25">
      <c r="A29" s="41"/>
      <c r="B29" s="80"/>
      <c r="C29" s="52" t="s">
        <v>476</v>
      </c>
      <c r="D29" s="52" t="s">
        <v>426</v>
      </c>
      <c r="E29" s="52" t="s">
        <v>427</v>
      </c>
      <c r="F29" s="107" t="s">
        <v>428</v>
      </c>
      <c r="G29" s="107" t="s">
        <v>408</v>
      </c>
      <c r="H29" s="107" t="s">
        <v>29</v>
      </c>
      <c r="I29" s="107" t="s">
        <v>17</v>
      </c>
      <c r="J29" s="53" t="s">
        <v>47</v>
      </c>
      <c r="K29" s="53" t="s">
        <v>17</v>
      </c>
      <c r="L29" s="73">
        <v>75</v>
      </c>
      <c r="M29" s="103">
        <v>18000</v>
      </c>
      <c r="N29" s="74">
        <v>1350000</v>
      </c>
      <c r="O29" s="104"/>
      <c r="P29" s="82" t="s">
        <v>18</v>
      </c>
      <c r="Q29" s="82" t="s">
        <v>347</v>
      </c>
      <c r="R29" s="82"/>
      <c r="S29" s="82"/>
      <c r="T29" s="89" t="s">
        <v>19</v>
      </c>
      <c r="U29" s="41" t="str">
        <f>VLOOKUP(J29,Sheet1!$A$2:$D$200,4,0)</f>
        <v>NL600004</v>
      </c>
      <c r="V29" s="41" t="str">
        <f>VLOOKUP(U29,Sheet1!$D$2:$E$200,2,0)</f>
        <v>Dưa hấu</v>
      </c>
      <c r="W29" s="94" t="str">
        <f t="shared" si="0"/>
        <v>11NL600004</v>
      </c>
      <c r="X29" s="94" t="str">
        <f>COUNTIF($R$15:W29,W29)&amp;W29</f>
        <v>111NL600004</v>
      </c>
      <c r="Y29" s="95">
        <f>IFERROR(VLOOKUP(X29,FAST!$B$7:$M$9722,12,0),"0")</f>
        <v>75</v>
      </c>
      <c r="Z29" s="95">
        <f>IFERROR(VLOOKUP(X29,FAST!$B$7:$N$9722,13,0),"0")</f>
        <v>18000</v>
      </c>
      <c r="AA29" s="96">
        <f t="shared" si="1"/>
        <v>1350000</v>
      </c>
      <c r="AB29" s="97">
        <f t="shared" si="2"/>
        <v>0</v>
      </c>
      <c r="AC29" s="98">
        <f t="shared" si="3"/>
        <v>0</v>
      </c>
      <c r="AD29" s="99">
        <f t="shared" si="4"/>
        <v>0</v>
      </c>
    </row>
    <row r="30" spans="1:30" x14ac:dyDescent="0.25">
      <c r="A30" s="41"/>
      <c r="B30" s="80"/>
      <c r="C30" s="52" t="s">
        <v>476</v>
      </c>
      <c r="D30" s="52" t="s">
        <v>426</v>
      </c>
      <c r="E30" s="52" t="s">
        <v>427</v>
      </c>
      <c r="F30" s="107" t="s">
        <v>428</v>
      </c>
      <c r="G30" s="107" t="s">
        <v>438</v>
      </c>
      <c r="H30" s="107" t="s">
        <v>71</v>
      </c>
      <c r="I30" s="107" t="s">
        <v>17</v>
      </c>
      <c r="J30" s="53" t="s">
        <v>29</v>
      </c>
      <c r="K30" s="53" t="s">
        <v>17</v>
      </c>
      <c r="L30" s="73">
        <v>4.25</v>
      </c>
      <c r="M30" s="103">
        <v>55000</v>
      </c>
      <c r="N30" s="74">
        <v>233750</v>
      </c>
      <c r="O30" s="104"/>
      <c r="P30" s="82" t="s">
        <v>18</v>
      </c>
      <c r="Q30" s="82" t="s">
        <v>347</v>
      </c>
      <c r="R30" s="82"/>
      <c r="S30" s="82"/>
      <c r="T30" s="89" t="s">
        <v>19</v>
      </c>
      <c r="U30" s="41" t="str">
        <f>VLOOKUP(J30,Sheet1!$A$2:$D$200,4,0)</f>
        <v>NL300058</v>
      </c>
      <c r="V30" s="41" t="str">
        <f>VLOOKUP(U30,Sheet1!$D$2:$E$200,2,0)</f>
        <v>Hành lá</v>
      </c>
      <c r="W30" s="94" t="str">
        <f t="shared" si="0"/>
        <v>11NL300058</v>
      </c>
      <c r="X30" s="94" t="str">
        <f>COUNTIF($R$15:W30,W30)&amp;W30</f>
        <v>111NL300058</v>
      </c>
      <c r="Y30" s="95">
        <f>IFERROR(VLOOKUP(X30,FAST!$B$7:$M$9722,12,0),"0")</f>
        <v>4.25</v>
      </c>
      <c r="Z30" s="95">
        <f>IFERROR(VLOOKUP(X30,FAST!$B$7:$N$9722,13,0),"0")</f>
        <v>55000</v>
      </c>
      <c r="AA30" s="96">
        <f t="shared" si="1"/>
        <v>233750</v>
      </c>
      <c r="AB30" s="97">
        <f t="shared" si="2"/>
        <v>0</v>
      </c>
      <c r="AC30" s="98">
        <f t="shared" si="3"/>
        <v>0</v>
      </c>
      <c r="AD30" s="99">
        <f t="shared" si="4"/>
        <v>0</v>
      </c>
    </row>
    <row r="31" spans="1:30" x14ac:dyDescent="0.25">
      <c r="A31" s="41"/>
      <c r="B31" s="80"/>
      <c r="C31" s="52" t="s">
        <v>476</v>
      </c>
      <c r="D31" s="52" t="s">
        <v>426</v>
      </c>
      <c r="E31" s="52" t="s">
        <v>427</v>
      </c>
      <c r="F31" s="107" t="s">
        <v>428</v>
      </c>
      <c r="G31" s="107" t="s">
        <v>409</v>
      </c>
      <c r="H31" s="107" t="s">
        <v>69</v>
      </c>
      <c r="I31" s="107" t="s">
        <v>17</v>
      </c>
      <c r="J31" s="53" t="s">
        <v>30</v>
      </c>
      <c r="K31" s="53" t="s">
        <v>17</v>
      </c>
      <c r="L31" s="73">
        <v>0.5</v>
      </c>
      <c r="M31" s="103">
        <v>38000</v>
      </c>
      <c r="N31" s="74">
        <v>19000</v>
      </c>
      <c r="O31" s="104"/>
      <c r="P31" s="82" t="s">
        <v>18</v>
      </c>
      <c r="Q31" s="82" t="s">
        <v>347</v>
      </c>
      <c r="R31" s="82"/>
      <c r="S31" s="82"/>
      <c r="T31" s="89" t="s">
        <v>19</v>
      </c>
      <c r="U31" s="41" t="str">
        <f>VLOOKUP(J31,Sheet1!$A$2:$D$200,4,0)</f>
        <v>NL300061</v>
      </c>
      <c r="V31" s="41" t="str">
        <f>VLOOKUP(U31,Sheet1!$D$2:$E$200,2,0)</f>
        <v>Hành Paro (Hành Baro)</v>
      </c>
      <c r="W31" s="94" t="str">
        <f t="shared" si="0"/>
        <v>11NL300061</v>
      </c>
      <c r="X31" s="94" t="str">
        <f>COUNTIF($R$15:W31,W31)&amp;W31</f>
        <v>111NL300061</v>
      </c>
      <c r="Y31" s="95">
        <f>IFERROR(VLOOKUP(X31,FAST!$B$7:$M$9722,12,0),"0")</f>
        <v>0.5</v>
      </c>
      <c r="Z31" s="95">
        <f>IFERROR(VLOOKUP(X31,FAST!$B$7:$N$9722,13,0),"0")</f>
        <v>38000</v>
      </c>
      <c r="AA31" s="96">
        <f t="shared" si="1"/>
        <v>19000</v>
      </c>
      <c r="AB31" s="97">
        <f t="shared" si="2"/>
        <v>0</v>
      </c>
      <c r="AC31" s="98">
        <f t="shared" si="3"/>
        <v>0</v>
      </c>
      <c r="AD31" s="99">
        <f t="shared" si="4"/>
        <v>0</v>
      </c>
    </row>
    <row r="32" spans="1:30" x14ac:dyDescent="0.25">
      <c r="A32" s="41"/>
      <c r="B32" s="80"/>
      <c r="C32" s="52" t="s">
        <v>476</v>
      </c>
      <c r="D32" s="52" t="s">
        <v>426</v>
      </c>
      <c r="E32" s="52" t="s">
        <v>427</v>
      </c>
      <c r="F32" s="107" t="s">
        <v>428</v>
      </c>
      <c r="G32" s="107" t="s">
        <v>439</v>
      </c>
      <c r="H32" s="107" t="s">
        <v>57</v>
      </c>
      <c r="I32" s="107" t="s">
        <v>17</v>
      </c>
      <c r="J32" s="53" t="s">
        <v>57</v>
      </c>
      <c r="K32" s="53" t="s">
        <v>17</v>
      </c>
      <c r="L32" s="73">
        <v>0.5</v>
      </c>
      <c r="M32" s="103">
        <v>23000</v>
      </c>
      <c r="N32" s="74">
        <v>11500</v>
      </c>
      <c r="O32" s="104"/>
      <c r="P32" s="82" t="s">
        <v>18</v>
      </c>
      <c r="Q32" s="82" t="s">
        <v>347</v>
      </c>
      <c r="R32" s="82"/>
      <c r="S32" s="82"/>
      <c r="T32" s="89" t="s">
        <v>19</v>
      </c>
      <c r="U32" s="41" t="str">
        <f>VLOOKUP(J32,Sheet1!$A$2:$D$200,4,0)</f>
        <v>NL300070</v>
      </c>
      <c r="V32" s="41" t="str">
        <f>VLOOKUP(U32,Sheet1!$D$2:$E$200,2,0)</f>
        <v>Khoai lang Nhật</v>
      </c>
      <c r="W32" s="94" t="str">
        <f t="shared" si="0"/>
        <v>11NL300070</v>
      </c>
      <c r="X32" s="94" t="str">
        <f>COUNTIF($R$15:W32,W32)&amp;W32</f>
        <v>111NL300070</v>
      </c>
      <c r="Y32" s="95">
        <f>IFERROR(VLOOKUP(X32,FAST!$B$7:$M$9722,12,0),"0")</f>
        <v>0.5</v>
      </c>
      <c r="Z32" s="95">
        <f>IFERROR(VLOOKUP(X32,FAST!$B$7:$N$9722,13,0),"0")</f>
        <v>23000</v>
      </c>
      <c r="AA32" s="96">
        <f t="shared" si="1"/>
        <v>11500</v>
      </c>
      <c r="AB32" s="97">
        <f t="shared" si="2"/>
        <v>0</v>
      </c>
      <c r="AC32" s="98">
        <f t="shared" si="3"/>
        <v>0</v>
      </c>
      <c r="AD32" s="99">
        <f t="shared" si="4"/>
        <v>0</v>
      </c>
    </row>
    <row r="33" spans="1:30" x14ac:dyDescent="0.25">
      <c r="A33" s="41"/>
      <c r="B33" s="80"/>
      <c r="C33" s="52" t="s">
        <v>476</v>
      </c>
      <c r="D33" s="52" t="s">
        <v>426</v>
      </c>
      <c r="E33" s="52" t="s">
        <v>427</v>
      </c>
      <c r="F33" s="107" t="s">
        <v>428</v>
      </c>
      <c r="G33" s="107" t="s">
        <v>440</v>
      </c>
      <c r="H33" s="107" t="s">
        <v>31</v>
      </c>
      <c r="I33" s="107" t="s">
        <v>17</v>
      </c>
      <c r="J33" s="53" t="s">
        <v>75</v>
      </c>
      <c r="K33" s="53" t="s">
        <v>17</v>
      </c>
      <c r="L33" s="73">
        <v>1.1000000000000001</v>
      </c>
      <c r="M33" s="103">
        <v>18000</v>
      </c>
      <c r="N33" s="74">
        <v>19800</v>
      </c>
      <c r="O33" s="104"/>
      <c r="P33" s="82" t="s">
        <v>18</v>
      </c>
      <c r="Q33" s="82" t="s">
        <v>347</v>
      </c>
      <c r="R33" s="82"/>
      <c r="S33" s="82"/>
      <c r="T33" s="89" t="s">
        <v>19</v>
      </c>
      <c r="U33" s="41" t="str">
        <f>VLOOKUP(J33,Sheet1!$A$2:$D$200,4,0)</f>
        <v>NL300184</v>
      </c>
      <c r="V33" s="41" t="str">
        <f>VLOOKUP(U33,Sheet1!$D$2:$E$200,2,0)</f>
        <v>Lá Dứa</v>
      </c>
      <c r="W33" s="94" t="str">
        <f t="shared" si="0"/>
        <v>11NL300184</v>
      </c>
      <c r="X33" s="94" t="str">
        <f>COUNTIF($R$15:W33,W33)&amp;W33</f>
        <v>111NL300184</v>
      </c>
      <c r="Y33" s="95">
        <f>IFERROR(VLOOKUP(X33,FAST!$B$7:$M$9722,12,0),"0")</f>
        <v>1.1000000000000001</v>
      </c>
      <c r="Z33" s="95">
        <f>IFERROR(VLOOKUP(X33,FAST!$B$7:$N$9722,13,0),"0")</f>
        <v>18000</v>
      </c>
      <c r="AA33" s="96">
        <f t="shared" si="1"/>
        <v>19800</v>
      </c>
      <c r="AB33" s="97">
        <f t="shared" si="2"/>
        <v>0</v>
      </c>
      <c r="AC33" s="98">
        <f t="shared" si="3"/>
        <v>0</v>
      </c>
      <c r="AD33" s="99">
        <f t="shared" si="4"/>
        <v>0</v>
      </c>
    </row>
    <row r="34" spans="1:30" x14ac:dyDescent="0.25">
      <c r="A34" s="41"/>
      <c r="B34" s="80"/>
      <c r="C34" s="52" t="s">
        <v>476</v>
      </c>
      <c r="D34" s="52" t="s">
        <v>426</v>
      </c>
      <c r="E34" s="52" t="s">
        <v>427</v>
      </c>
      <c r="F34" s="107" t="s">
        <v>428</v>
      </c>
      <c r="G34" s="107" t="s">
        <v>410</v>
      </c>
      <c r="H34" s="107" t="s">
        <v>39</v>
      </c>
      <c r="I34" s="107" t="s">
        <v>17</v>
      </c>
      <c r="J34" s="53" t="s">
        <v>31</v>
      </c>
      <c r="K34" s="53" t="s">
        <v>17</v>
      </c>
      <c r="L34" s="73">
        <v>3</v>
      </c>
      <c r="M34" s="103">
        <v>27000</v>
      </c>
      <c r="N34" s="74">
        <v>81000</v>
      </c>
      <c r="O34" s="104"/>
      <c r="P34" s="82" t="s">
        <v>18</v>
      </c>
      <c r="Q34" s="82" t="s">
        <v>347</v>
      </c>
      <c r="R34" s="82"/>
      <c r="S34" s="82"/>
      <c r="T34" s="89" t="s">
        <v>19</v>
      </c>
      <c r="U34" s="41" t="str">
        <f>VLOOKUP(J34,Sheet1!$A$2:$D$200,4,0)</f>
        <v>NL300088</v>
      </c>
      <c r="V34" s="41" t="str">
        <f>VLOOKUP(U34,Sheet1!$D$2:$E$200,2,0)</f>
        <v>Mướp hương</v>
      </c>
      <c r="W34" s="94" t="str">
        <f t="shared" si="0"/>
        <v>11NL300088</v>
      </c>
      <c r="X34" s="94" t="str">
        <f>COUNTIF($R$15:W34,W34)&amp;W34</f>
        <v>111NL300088</v>
      </c>
      <c r="Y34" s="95">
        <f>IFERROR(VLOOKUP(X34,FAST!$B$7:$M$9722,12,0),"0")</f>
        <v>3</v>
      </c>
      <c r="Z34" s="95">
        <f>IFERROR(VLOOKUP(X34,FAST!$B$7:$N$9722,13,0),"0")</f>
        <v>27000</v>
      </c>
      <c r="AA34" s="96">
        <f t="shared" si="1"/>
        <v>81000</v>
      </c>
      <c r="AB34" s="97">
        <f t="shared" si="2"/>
        <v>0</v>
      </c>
      <c r="AC34" s="98">
        <f t="shared" si="3"/>
        <v>0</v>
      </c>
      <c r="AD34" s="99">
        <f t="shared" si="4"/>
        <v>0</v>
      </c>
    </row>
    <row r="35" spans="1:30" x14ac:dyDescent="0.25">
      <c r="A35" s="41"/>
      <c r="B35" s="80"/>
      <c r="C35" s="52" t="s">
        <v>476</v>
      </c>
      <c r="D35" s="52" t="s">
        <v>426</v>
      </c>
      <c r="E35" s="52" t="s">
        <v>427</v>
      </c>
      <c r="F35" s="107" t="s">
        <v>428</v>
      </c>
      <c r="G35" s="107" t="s">
        <v>411</v>
      </c>
      <c r="H35" s="107" t="s">
        <v>40</v>
      </c>
      <c r="I35" s="107" t="s">
        <v>17</v>
      </c>
      <c r="J35" s="53" t="s">
        <v>39</v>
      </c>
      <c r="K35" s="53" t="s">
        <v>17</v>
      </c>
      <c r="L35" s="73">
        <v>2</v>
      </c>
      <c r="M35" s="103">
        <v>145000</v>
      </c>
      <c r="N35" s="74">
        <v>290000</v>
      </c>
      <c r="O35" s="104"/>
      <c r="P35" s="82" t="s">
        <v>18</v>
      </c>
      <c r="Q35" s="82" t="s">
        <v>347</v>
      </c>
      <c r="R35" s="82"/>
      <c r="S35" s="82"/>
      <c r="T35" s="89" t="s">
        <v>19</v>
      </c>
      <c r="U35" s="41" t="str">
        <f>VLOOKUP(J35,Sheet1!$A$2:$D$200,4,0)</f>
        <v>NL300090</v>
      </c>
      <c r="V35" s="41" t="str">
        <f>VLOOKUP(U35,Sheet1!$D$2:$E$200,2,0)</f>
        <v>Nấm đông cô tươi</v>
      </c>
      <c r="W35" s="94" t="str">
        <f t="shared" si="0"/>
        <v>11NL300090</v>
      </c>
      <c r="X35" s="94" t="str">
        <f>COUNTIF($R$15:W35,W35)&amp;W35</f>
        <v>111NL300090</v>
      </c>
      <c r="Y35" s="95">
        <f>IFERROR(VLOOKUP(X35,FAST!$B$7:$M$9722,12,0),"0")</f>
        <v>2</v>
      </c>
      <c r="Z35" s="95">
        <f>IFERROR(VLOOKUP(X35,FAST!$B$7:$N$9722,13,0),"0")</f>
        <v>145000</v>
      </c>
      <c r="AA35" s="96">
        <f t="shared" si="1"/>
        <v>290000</v>
      </c>
      <c r="AB35" s="97">
        <f t="shared" si="2"/>
        <v>0</v>
      </c>
      <c r="AC35" s="98">
        <f t="shared" si="3"/>
        <v>0</v>
      </c>
      <c r="AD35" s="99">
        <f t="shared" si="4"/>
        <v>0</v>
      </c>
    </row>
    <row r="36" spans="1:30" x14ac:dyDescent="0.25">
      <c r="A36" s="41"/>
      <c r="B36" s="80"/>
      <c r="C36" s="52" t="s">
        <v>476</v>
      </c>
      <c r="D36" s="52" t="s">
        <v>426</v>
      </c>
      <c r="E36" s="52" t="s">
        <v>427</v>
      </c>
      <c r="F36" s="107" t="s">
        <v>428</v>
      </c>
      <c r="G36" s="107" t="s">
        <v>441</v>
      </c>
      <c r="H36" s="107" t="s">
        <v>43</v>
      </c>
      <c r="I36" s="107" t="s">
        <v>17</v>
      </c>
      <c r="J36" s="53" t="s">
        <v>40</v>
      </c>
      <c r="K36" s="53" t="s">
        <v>17</v>
      </c>
      <c r="L36" s="73">
        <v>1.7</v>
      </c>
      <c r="M36" s="103">
        <v>47000</v>
      </c>
      <c r="N36" s="74">
        <v>79900</v>
      </c>
      <c r="O36" s="104"/>
      <c r="P36" s="82" t="s">
        <v>18</v>
      </c>
      <c r="Q36" s="82" t="s">
        <v>347</v>
      </c>
      <c r="R36" s="82"/>
      <c r="S36" s="82"/>
      <c r="T36" s="89" t="s">
        <v>19</v>
      </c>
      <c r="U36" s="41" t="str">
        <f>VLOOKUP(J36,Sheet1!$A$2:$D$200,4,0)</f>
        <v>NL300091</v>
      </c>
      <c r="V36" s="41" t="str">
        <f>VLOOKUP(U36,Sheet1!$D$2:$E$200,2,0)</f>
        <v>Nấm đùi gà</v>
      </c>
      <c r="W36" s="94" t="str">
        <f t="shared" si="0"/>
        <v>11NL300091</v>
      </c>
      <c r="X36" s="94" t="str">
        <f>COUNTIF($R$15:W36,W36)&amp;W36</f>
        <v>111NL300091</v>
      </c>
      <c r="Y36" s="95">
        <f>IFERROR(VLOOKUP(X36,FAST!$B$7:$M$9722,12,0),"0")</f>
        <v>1.7</v>
      </c>
      <c r="Z36" s="95">
        <f>IFERROR(VLOOKUP(X36,FAST!$B$7:$N$9722,13,0),"0")</f>
        <v>47000</v>
      </c>
      <c r="AA36" s="96">
        <f t="shared" si="1"/>
        <v>79900</v>
      </c>
      <c r="AB36" s="97">
        <f t="shared" si="2"/>
        <v>0</v>
      </c>
      <c r="AC36" s="98">
        <f t="shared" si="3"/>
        <v>0</v>
      </c>
      <c r="AD36" s="99">
        <f t="shared" si="4"/>
        <v>0</v>
      </c>
    </row>
    <row r="37" spans="1:30" x14ac:dyDescent="0.25">
      <c r="A37" s="41"/>
      <c r="B37" s="80"/>
      <c r="C37" s="52" t="s">
        <v>476</v>
      </c>
      <c r="D37" s="52" t="s">
        <v>426</v>
      </c>
      <c r="E37" s="52" t="s">
        <v>427</v>
      </c>
      <c r="F37" s="107" t="s">
        <v>428</v>
      </c>
      <c r="G37" s="107" t="s">
        <v>422</v>
      </c>
      <c r="H37" s="107" t="s">
        <v>41</v>
      </c>
      <c r="I37" s="107" t="s">
        <v>17</v>
      </c>
      <c r="J37" s="53" t="s">
        <v>43</v>
      </c>
      <c r="K37" s="53" t="s">
        <v>17</v>
      </c>
      <c r="L37" s="73">
        <v>2.5</v>
      </c>
      <c r="M37" s="103">
        <v>90000</v>
      </c>
      <c r="N37" s="74">
        <v>225000</v>
      </c>
      <c r="O37" s="104"/>
      <c r="P37" s="82" t="s">
        <v>18</v>
      </c>
      <c r="Q37" s="82" t="s">
        <v>347</v>
      </c>
      <c r="R37" s="82"/>
      <c r="S37" s="82"/>
      <c r="T37" s="89" t="s">
        <v>19</v>
      </c>
      <c r="U37" s="41" t="str">
        <f>VLOOKUP(J37,Sheet1!$A$2:$D$200,4,0)</f>
        <v>NL300092</v>
      </c>
      <c r="V37" s="41" t="str">
        <f>VLOOKUP(U37,Sheet1!$D$2:$E$200,2,0)</f>
        <v>Nấm đùi gà baby</v>
      </c>
      <c r="W37" s="94" t="str">
        <f t="shared" si="0"/>
        <v>11NL300092</v>
      </c>
      <c r="X37" s="94" t="str">
        <f>COUNTIF($R$15:W37,W37)&amp;W37</f>
        <v>111NL300092</v>
      </c>
      <c r="Y37" s="95">
        <f>IFERROR(VLOOKUP(X37,FAST!$B$7:$M$9722,12,0),"0")</f>
        <v>2.5</v>
      </c>
      <c r="Z37" s="95">
        <f>IFERROR(VLOOKUP(X37,FAST!$B$7:$N$9722,13,0),"0")</f>
        <v>90000</v>
      </c>
      <c r="AA37" s="96">
        <f t="shared" si="1"/>
        <v>225000</v>
      </c>
      <c r="AB37" s="97">
        <f t="shared" si="2"/>
        <v>0</v>
      </c>
      <c r="AC37" s="98">
        <f t="shared" si="3"/>
        <v>0</v>
      </c>
      <c r="AD37" s="99">
        <f t="shared" si="4"/>
        <v>0</v>
      </c>
    </row>
    <row r="38" spans="1:30" x14ac:dyDescent="0.25">
      <c r="A38" s="41"/>
      <c r="B38" s="80"/>
      <c r="C38" s="52" t="s">
        <v>476</v>
      </c>
      <c r="D38" s="52" t="s">
        <v>426</v>
      </c>
      <c r="E38" s="52" t="s">
        <v>427</v>
      </c>
      <c r="F38" s="107" t="s">
        <v>428</v>
      </c>
      <c r="G38" s="107" t="s">
        <v>442</v>
      </c>
      <c r="H38" s="107" t="s">
        <v>65</v>
      </c>
      <c r="I38" s="107" t="s">
        <v>17</v>
      </c>
      <c r="J38" s="53" t="s">
        <v>67</v>
      </c>
      <c r="K38" s="53" t="s">
        <v>17</v>
      </c>
      <c r="L38" s="73">
        <v>0.5</v>
      </c>
      <c r="M38" s="103">
        <v>80000</v>
      </c>
      <c r="N38" s="74">
        <v>40000</v>
      </c>
      <c r="O38" s="104"/>
      <c r="P38" s="82" t="s">
        <v>18</v>
      </c>
      <c r="Q38" s="82" t="s">
        <v>347</v>
      </c>
      <c r="R38" s="82"/>
      <c r="S38" s="82"/>
      <c r="T38" s="89" t="s">
        <v>19</v>
      </c>
      <c r="U38" s="41" t="str">
        <f>VLOOKUP(J38,Sheet1!$A$2:$D$200,4,0)</f>
        <v>NL300094</v>
      </c>
      <c r="V38" s="41" t="str">
        <f>VLOOKUP(U38,Sheet1!$D$2:$E$200,2,0)</f>
        <v>Nấm hải sản</v>
      </c>
      <c r="W38" s="94" t="str">
        <f t="shared" si="0"/>
        <v>11NL300094</v>
      </c>
      <c r="X38" s="94" t="str">
        <f>COUNTIF($R$15:W38,W38)&amp;W38</f>
        <v>111NL300094</v>
      </c>
      <c r="Y38" s="95">
        <f>IFERROR(VLOOKUP(X38,FAST!$B$7:$M$9722,12,0),"0")</f>
        <v>0.5</v>
      </c>
      <c r="Z38" s="95">
        <f>IFERROR(VLOOKUP(X38,FAST!$B$7:$N$9722,13,0),"0")</f>
        <v>80000</v>
      </c>
      <c r="AA38" s="96">
        <f t="shared" si="1"/>
        <v>40000</v>
      </c>
      <c r="AB38" s="97">
        <f t="shared" si="2"/>
        <v>0</v>
      </c>
      <c r="AC38" s="98">
        <f t="shared" si="3"/>
        <v>0</v>
      </c>
      <c r="AD38" s="99">
        <f t="shared" si="4"/>
        <v>0</v>
      </c>
    </row>
    <row r="39" spans="1:30" x14ac:dyDescent="0.25">
      <c r="A39" s="41"/>
      <c r="B39" s="80"/>
      <c r="C39" s="52" t="s">
        <v>476</v>
      </c>
      <c r="D39" s="52" t="s">
        <v>426</v>
      </c>
      <c r="E39" s="52" t="s">
        <v>427</v>
      </c>
      <c r="F39" s="107" t="s">
        <v>428</v>
      </c>
      <c r="G39" s="107" t="s">
        <v>414</v>
      </c>
      <c r="H39" s="107" t="s">
        <v>32</v>
      </c>
      <c r="I39" s="107" t="s">
        <v>17</v>
      </c>
      <c r="J39" s="53" t="s">
        <v>41</v>
      </c>
      <c r="K39" s="53" t="s">
        <v>17</v>
      </c>
      <c r="L39" s="73">
        <v>4</v>
      </c>
      <c r="M39" s="103">
        <v>45000</v>
      </c>
      <c r="N39" s="74">
        <v>180000</v>
      </c>
      <c r="O39" s="104"/>
      <c r="P39" s="82" t="s">
        <v>18</v>
      </c>
      <c r="Q39" s="82" t="s">
        <v>347</v>
      </c>
      <c r="R39" s="82"/>
      <c r="S39" s="82"/>
      <c r="T39" s="89" t="s">
        <v>19</v>
      </c>
      <c r="U39" s="41" t="str">
        <f>VLOOKUP(J39,Sheet1!$A$2:$D$200,4,0)</f>
        <v>NL300096</v>
      </c>
      <c r="V39" s="41" t="str">
        <f>VLOOKUP(U39,Sheet1!$D$2:$E$200,2,0)</f>
        <v>Nấm kim châm tươi</v>
      </c>
      <c r="W39" s="94" t="str">
        <f t="shared" si="0"/>
        <v>11NL300096</v>
      </c>
      <c r="X39" s="94" t="str">
        <f>COUNTIF($R$15:W39,W39)&amp;W39</f>
        <v>111NL300096</v>
      </c>
      <c r="Y39" s="95">
        <f>IFERROR(VLOOKUP(X39,FAST!$B$7:$M$9722,12,0),"0")</f>
        <v>4</v>
      </c>
      <c r="Z39" s="95">
        <f>IFERROR(VLOOKUP(X39,FAST!$B$7:$N$9722,13,0),"0")</f>
        <v>45000</v>
      </c>
      <c r="AA39" s="96">
        <f t="shared" si="1"/>
        <v>180000</v>
      </c>
      <c r="AB39" s="97">
        <f t="shared" si="2"/>
        <v>0</v>
      </c>
      <c r="AC39" s="98">
        <f t="shared" si="3"/>
        <v>0</v>
      </c>
      <c r="AD39" s="99">
        <f t="shared" si="4"/>
        <v>0</v>
      </c>
    </row>
    <row r="40" spans="1:30" x14ac:dyDescent="0.25">
      <c r="A40" s="41"/>
      <c r="B40" s="80"/>
      <c r="C40" s="52" t="s">
        <v>476</v>
      </c>
      <c r="D40" s="52" t="s">
        <v>426</v>
      </c>
      <c r="E40" s="52" t="s">
        <v>427</v>
      </c>
      <c r="F40" s="107" t="s">
        <v>428</v>
      </c>
      <c r="G40" s="107" t="s">
        <v>415</v>
      </c>
      <c r="H40" s="107" t="s">
        <v>66</v>
      </c>
      <c r="I40" s="107" t="s">
        <v>17</v>
      </c>
      <c r="J40" s="53" t="s">
        <v>42</v>
      </c>
      <c r="K40" s="53" t="s">
        <v>17</v>
      </c>
      <c r="L40" s="73">
        <v>1</v>
      </c>
      <c r="M40" s="103">
        <v>90000</v>
      </c>
      <c r="N40" s="74">
        <v>90000</v>
      </c>
      <c r="O40" s="104"/>
      <c r="P40" s="82" t="s">
        <v>18</v>
      </c>
      <c r="Q40" s="82" t="s">
        <v>347</v>
      </c>
      <c r="R40" s="82"/>
      <c r="S40" s="82"/>
      <c r="T40" s="89" t="s">
        <v>19</v>
      </c>
      <c r="U40" s="41" t="str">
        <f>VLOOKUP(J40,Sheet1!$A$2:$D$200,4,0)</f>
        <v>NL300097</v>
      </c>
      <c r="V40" s="41" t="str">
        <f>VLOOKUP(U40,Sheet1!$D$2:$E$200,2,0)</f>
        <v>Nấm Linh Chi nâu</v>
      </c>
      <c r="W40" s="94" t="str">
        <f t="shared" si="0"/>
        <v>11NL300097</v>
      </c>
      <c r="X40" s="94" t="str">
        <f>COUNTIF($R$15:W40,W40)&amp;W40</f>
        <v>111NL300097</v>
      </c>
      <c r="Y40" s="95">
        <f>IFERROR(VLOOKUP(X40,FAST!$B$7:$M$9722,12,0),"0")</f>
        <v>1</v>
      </c>
      <c r="Z40" s="95">
        <f>IFERROR(VLOOKUP(X40,FAST!$B$7:$N$9722,13,0),"0")</f>
        <v>90000</v>
      </c>
      <c r="AA40" s="96">
        <f t="shared" si="1"/>
        <v>90000</v>
      </c>
      <c r="AB40" s="97">
        <f t="shared" si="2"/>
        <v>0</v>
      </c>
      <c r="AC40" s="98">
        <f t="shared" si="3"/>
        <v>0</v>
      </c>
      <c r="AD40" s="99">
        <f t="shared" si="4"/>
        <v>0</v>
      </c>
    </row>
    <row r="41" spans="1:30" x14ac:dyDescent="0.25">
      <c r="A41" s="41"/>
      <c r="B41" s="80"/>
      <c r="C41" s="52" t="s">
        <v>476</v>
      </c>
      <c r="D41" s="52" t="s">
        <v>426</v>
      </c>
      <c r="E41" s="52" t="s">
        <v>427</v>
      </c>
      <c r="F41" s="107" t="s">
        <v>428</v>
      </c>
      <c r="G41" s="107" t="s">
        <v>420</v>
      </c>
      <c r="H41" s="107" t="s">
        <v>33</v>
      </c>
      <c r="I41" s="107" t="s">
        <v>17</v>
      </c>
      <c r="J41" s="53" t="s">
        <v>68</v>
      </c>
      <c r="K41" s="53" t="s">
        <v>17</v>
      </c>
      <c r="L41" s="73">
        <v>0.3</v>
      </c>
      <c r="M41" s="103">
        <v>95000</v>
      </c>
      <c r="N41" s="74">
        <v>28500</v>
      </c>
      <c r="O41" s="104"/>
      <c r="P41" s="82" t="s">
        <v>18</v>
      </c>
      <c r="Q41" s="82" t="s">
        <v>347</v>
      </c>
      <c r="R41" s="82"/>
      <c r="S41" s="82"/>
      <c r="T41" s="89" t="s">
        <v>19</v>
      </c>
      <c r="U41" s="41" t="str">
        <f>VLOOKUP(J41,Sheet1!$A$2:$D$200,4,0)</f>
        <v>NL300098</v>
      </c>
      <c r="V41" s="41" t="str">
        <f>VLOOKUP(U41,Sheet1!$D$2:$E$200,2,0)</f>
        <v>Nấm Linh Chi trắng</v>
      </c>
      <c r="W41" s="94" t="str">
        <f t="shared" si="0"/>
        <v>11NL300098</v>
      </c>
      <c r="X41" s="94" t="str">
        <f>COUNTIF($R$15:W41,W41)&amp;W41</f>
        <v>111NL300098</v>
      </c>
      <c r="Y41" s="95">
        <f>IFERROR(VLOOKUP(X41,FAST!$B$7:$M$9722,12,0),"0")</f>
        <v>0.3</v>
      </c>
      <c r="Z41" s="95">
        <f>IFERROR(VLOOKUP(X41,FAST!$B$7:$N$9722,13,0),"0")</f>
        <v>95000</v>
      </c>
      <c r="AA41" s="96">
        <f t="shared" si="1"/>
        <v>28500</v>
      </c>
      <c r="AB41" s="97">
        <f t="shared" si="2"/>
        <v>0</v>
      </c>
      <c r="AC41" s="98">
        <f t="shared" si="3"/>
        <v>0</v>
      </c>
      <c r="AD41" s="99">
        <f t="shared" si="4"/>
        <v>0</v>
      </c>
    </row>
    <row r="42" spans="1:30" x14ac:dyDescent="0.25">
      <c r="A42" s="41"/>
      <c r="B42" s="80"/>
      <c r="C42" s="52" t="s">
        <v>476</v>
      </c>
      <c r="D42" s="52" t="s">
        <v>426</v>
      </c>
      <c r="E42" s="52" t="s">
        <v>427</v>
      </c>
      <c r="F42" s="107" t="s">
        <v>428</v>
      </c>
      <c r="G42" s="107" t="s">
        <v>443</v>
      </c>
      <c r="H42" s="107" t="s">
        <v>51</v>
      </c>
      <c r="I42" s="107" t="s">
        <v>17</v>
      </c>
      <c r="J42" s="53" t="s">
        <v>65</v>
      </c>
      <c r="K42" s="53" t="s">
        <v>17</v>
      </c>
      <c r="L42" s="73">
        <v>1</v>
      </c>
      <c r="M42" s="103">
        <v>195000</v>
      </c>
      <c r="N42" s="74">
        <v>195000</v>
      </c>
      <c r="O42" s="104"/>
      <c r="P42" s="82" t="s">
        <v>18</v>
      </c>
      <c r="Q42" s="82" t="s">
        <v>347</v>
      </c>
      <c r="R42" s="82"/>
      <c r="S42" s="82"/>
      <c r="T42" s="89" t="s">
        <v>19</v>
      </c>
      <c r="U42" s="41" t="str">
        <f>VLOOKUP(J42,Sheet1!$A$2:$D$200,4,0)</f>
        <v>NL300101</v>
      </c>
      <c r="V42" s="41" t="str">
        <f>VLOOKUP(U42,Sheet1!$D$2:$E$200,2,0)</f>
        <v>Nấm Mối</v>
      </c>
      <c r="W42" s="94" t="str">
        <f t="shared" si="0"/>
        <v>11NL300101</v>
      </c>
      <c r="X42" s="94" t="str">
        <f>COUNTIF($R$15:W42,W42)&amp;W42</f>
        <v>111NL300101</v>
      </c>
      <c r="Y42" s="95">
        <f>IFERROR(VLOOKUP(X42,FAST!$B$7:$M$9722,12,0),"0")</f>
        <v>1</v>
      </c>
      <c r="Z42" s="95">
        <f>IFERROR(VLOOKUP(X42,FAST!$B$7:$N$9722,13,0),"0")</f>
        <v>195000</v>
      </c>
      <c r="AA42" s="96">
        <f t="shared" si="1"/>
        <v>195000</v>
      </c>
      <c r="AB42" s="97">
        <f t="shared" si="2"/>
        <v>0</v>
      </c>
      <c r="AC42" s="98">
        <f t="shared" si="3"/>
        <v>0</v>
      </c>
      <c r="AD42" s="99">
        <f t="shared" si="4"/>
        <v>0</v>
      </c>
    </row>
    <row r="43" spans="1:30" x14ac:dyDescent="0.25">
      <c r="A43" s="41"/>
      <c r="B43" s="80"/>
      <c r="C43" s="52" t="s">
        <v>476</v>
      </c>
      <c r="D43" s="52" t="s">
        <v>426</v>
      </c>
      <c r="E43" s="52" t="s">
        <v>427</v>
      </c>
      <c r="F43" s="107" t="s">
        <v>428</v>
      </c>
      <c r="G43" s="107" t="s">
        <v>444</v>
      </c>
      <c r="H43" s="107" t="s">
        <v>35</v>
      </c>
      <c r="I43" s="107" t="s">
        <v>17</v>
      </c>
      <c r="J43" s="53" t="s">
        <v>32</v>
      </c>
      <c r="K43" s="53" t="s">
        <v>17</v>
      </c>
      <c r="L43" s="73">
        <v>4</v>
      </c>
      <c r="M43" s="103">
        <v>45000</v>
      </c>
      <c r="N43" s="74">
        <v>180000</v>
      </c>
      <c r="O43" s="104"/>
      <c r="P43" s="82" t="s">
        <v>18</v>
      </c>
      <c r="Q43" s="82" t="s">
        <v>347</v>
      </c>
      <c r="R43" s="82"/>
      <c r="S43" s="82"/>
      <c r="T43" s="89" t="s">
        <v>19</v>
      </c>
      <c r="U43" s="41" t="str">
        <f>VLOOKUP(J43,Sheet1!$A$2:$D$200,4,0)</f>
        <v>NL300085</v>
      </c>
      <c r="V43" s="41" t="str">
        <f>VLOOKUP(U43,Sheet1!$D$2:$E$200,2,0)</f>
        <v>Mùi ta ( Ngò rí )</v>
      </c>
      <c r="W43" s="94" t="str">
        <f t="shared" si="0"/>
        <v>11NL300085</v>
      </c>
      <c r="X43" s="94" t="str">
        <f>COUNTIF($R$15:W43,W43)&amp;W43</f>
        <v>111NL300085</v>
      </c>
      <c r="Y43" s="95">
        <f>IFERROR(VLOOKUP(X43,FAST!$B$7:$M$9722,12,0),"0")</f>
        <v>4</v>
      </c>
      <c r="Z43" s="95">
        <f>IFERROR(VLOOKUP(X43,FAST!$B$7:$N$9722,13,0),"0")</f>
        <v>45000</v>
      </c>
      <c r="AA43" s="96">
        <f t="shared" si="1"/>
        <v>180000</v>
      </c>
      <c r="AB43" s="97">
        <f t="shared" si="2"/>
        <v>0</v>
      </c>
      <c r="AC43" s="98">
        <f t="shared" si="3"/>
        <v>0</v>
      </c>
      <c r="AD43" s="99">
        <f t="shared" si="4"/>
        <v>0</v>
      </c>
    </row>
    <row r="44" spans="1:30" x14ac:dyDescent="0.25">
      <c r="A44" s="41"/>
      <c r="B44" s="80"/>
      <c r="C44" s="52" t="s">
        <v>476</v>
      </c>
      <c r="D44" s="52" t="s">
        <v>426</v>
      </c>
      <c r="E44" s="52" t="s">
        <v>427</v>
      </c>
      <c r="F44" s="107" t="s">
        <v>428</v>
      </c>
      <c r="G44" s="107" t="s">
        <v>445</v>
      </c>
      <c r="H44" s="107" t="s">
        <v>36</v>
      </c>
      <c r="I44" s="107" t="s">
        <v>17</v>
      </c>
      <c r="J44" s="53" t="s">
        <v>66</v>
      </c>
      <c r="K44" s="53" t="s">
        <v>17</v>
      </c>
      <c r="L44" s="73">
        <v>0.3</v>
      </c>
      <c r="M44" s="103">
        <v>70000</v>
      </c>
      <c r="N44" s="74">
        <v>21000</v>
      </c>
      <c r="O44" s="104"/>
      <c r="P44" s="82" t="s">
        <v>18</v>
      </c>
      <c r="Q44" s="82" t="s">
        <v>347</v>
      </c>
      <c r="R44" s="82"/>
      <c r="S44" s="82"/>
      <c r="T44" s="89" t="s">
        <v>19</v>
      </c>
      <c r="U44" s="41" t="str">
        <f>VLOOKUP(J44,Sheet1!$A$2:$D$200,4,0)</f>
        <v>NL300126</v>
      </c>
      <c r="V44" s="41" t="str">
        <f>VLOOKUP(U44,Sheet1!$D$2:$E$200,2,0)</f>
        <v>Rau mùi tây</v>
      </c>
      <c r="W44" s="94" t="str">
        <f t="shared" si="0"/>
        <v>11NL300126</v>
      </c>
      <c r="X44" s="94" t="str">
        <f>COUNTIF($R$15:W44,W44)&amp;W44</f>
        <v>111NL300126</v>
      </c>
      <c r="Y44" s="95">
        <f>IFERROR(VLOOKUP(X44,FAST!$B$7:$M$9722,12,0),"0")</f>
        <v>0.3</v>
      </c>
      <c r="Z44" s="95">
        <f>IFERROR(VLOOKUP(X44,FAST!$B$7:$N$9722,13,0),"0")</f>
        <v>70000</v>
      </c>
      <c r="AA44" s="96">
        <f t="shared" si="1"/>
        <v>21000</v>
      </c>
      <c r="AB44" s="97">
        <f t="shared" si="2"/>
        <v>0</v>
      </c>
      <c r="AC44" s="98">
        <f t="shared" si="3"/>
        <v>0</v>
      </c>
      <c r="AD44" s="99">
        <f t="shared" si="4"/>
        <v>0</v>
      </c>
    </row>
    <row r="45" spans="1:30" x14ac:dyDescent="0.25">
      <c r="A45" s="41"/>
      <c r="B45" s="80"/>
      <c r="C45" s="52" t="s">
        <v>476</v>
      </c>
      <c r="D45" s="52" t="s">
        <v>426</v>
      </c>
      <c r="E45" s="52" t="s">
        <v>427</v>
      </c>
      <c r="F45" s="107" t="s">
        <v>428</v>
      </c>
      <c r="G45" s="107" t="s">
        <v>416</v>
      </c>
      <c r="H45" s="107" t="s">
        <v>60</v>
      </c>
      <c r="I45" s="107" t="s">
        <v>17</v>
      </c>
      <c r="J45" s="53" t="s">
        <v>33</v>
      </c>
      <c r="K45" s="53" t="s">
        <v>17</v>
      </c>
      <c r="L45" s="73">
        <v>1</v>
      </c>
      <c r="M45" s="103">
        <v>145000</v>
      </c>
      <c r="N45" s="74">
        <v>145000</v>
      </c>
      <c r="O45" s="104"/>
      <c r="P45" s="82" t="s">
        <v>18</v>
      </c>
      <c r="Q45" s="82" t="s">
        <v>347</v>
      </c>
      <c r="R45" s="82"/>
      <c r="S45" s="82"/>
      <c r="T45" s="89" t="s">
        <v>19</v>
      </c>
      <c r="U45" s="41" t="str">
        <f>VLOOKUP(J45,Sheet1!$A$2:$D$200,4,0)</f>
        <v>NL300113</v>
      </c>
      <c r="V45" s="41" t="str">
        <f>VLOOKUP(U45,Sheet1!$D$2:$E$200,2,0)</f>
        <v>Ớt hiểm đỏ</v>
      </c>
      <c r="W45" s="94" t="str">
        <f t="shared" si="0"/>
        <v>11NL300113</v>
      </c>
      <c r="X45" s="94" t="str">
        <f>COUNTIF($R$15:W45,W45)&amp;W45</f>
        <v>111NL300113</v>
      </c>
      <c r="Y45" s="95">
        <f>IFERROR(VLOOKUP(X45,FAST!$B$7:$M$9722,12,0),"0")</f>
        <v>1</v>
      </c>
      <c r="Z45" s="95">
        <f>IFERROR(VLOOKUP(X45,FAST!$B$7:$N$9722,13,0),"0")</f>
        <v>145000</v>
      </c>
      <c r="AA45" s="96">
        <f t="shared" si="1"/>
        <v>145000</v>
      </c>
      <c r="AB45" s="97">
        <f t="shared" si="2"/>
        <v>0</v>
      </c>
      <c r="AC45" s="98">
        <f t="shared" si="3"/>
        <v>0</v>
      </c>
      <c r="AD45" s="99">
        <f t="shared" si="4"/>
        <v>0</v>
      </c>
    </row>
    <row r="46" spans="1:30" x14ac:dyDescent="0.25">
      <c r="A46" s="41"/>
      <c r="B46" s="80"/>
      <c r="C46" s="52" t="s">
        <v>476</v>
      </c>
      <c r="D46" s="52" t="s">
        <v>426</v>
      </c>
      <c r="E46" s="52" t="s">
        <v>427</v>
      </c>
      <c r="F46" s="107" t="s">
        <v>428</v>
      </c>
      <c r="G46" s="107" t="s">
        <v>446</v>
      </c>
      <c r="H46" s="107" t="s">
        <v>58</v>
      </c>
      <c r="I46" s="107" t="s">
        <v>17</v>
      </c>
      <c r="J46" s="53" t="s">
        <v>51</v>
      </c>
      <c r="K46" s="53" t="s">
        <v>17</v>
      </c>
      <c r="L46" s="73">
        <v>0.4</v>
      </c>
      <c r="M46" s="103">
        <v>148000</v>
      </c>
      <c r="N46" s="74">
        <v>59200</v>
      </c>
      <c r="O46" s="104"/>
      <c r="P46" s="82" t="s">
        <v>18</v>
      </c>
      <c r="Q46" s="82" t="s">
        <v>347</v>
      </c>
      <c r="R46" s="82"/>
      <c r="S46" s="82"/>
      <c r="T46" s="89" t="s">
        <v>19</v>
      </c>
      <c r="U46" s="41" t="str">
        <f>VLOOKUP(J46,Sheet1!$A$2:$D$200,4,0)</f>
        <v>NL300116</v>
      </c>
      <c r="V46" s="41" t="str">
        <f>VLOOKUP(U46,Sheet1!$D$2:$E$200,2,0)</f>
        <v>Ớt sừng</v>
      </c>
      <c r="W46" s="94" t="str">
        <f t="shared" si="0"/>
        <v>11NL300116</v>
      </c>
      <c r="X46" s="94" t="str">
        <f>COUNTIF($R$15:W46,W46)&amp;W46</f>
        <v>111NL300116</v>
      </c>
      <c r="Y46" s="95">
        <f>IFERROR(VLOOKUP(X46,FAST!$B$7:$M$9722,12,0),"0")</f>
        <v>0.4</v>
      </c>
      <c r="Z46" s="95">
        <f>IFERROR(VLOOKUP(X46,FAST!$B$7:$N$9722,13,0),"0")</f>
        <v>148000</v>
      </c>
      <c r="AA46" s="96">
        <f t="shared" si="1"/>
        <v>59200</v>
      </c>
      <c r="AB46" s="97">
        <f t="shared" si="2"/>
        <v>0</v>
      </c>
      <c r="AC46" s="98">
        <f t="shared" si="3"/>
        <v>0</v>
      </c>
      <c r="AD46" s="99">
        <f t="shared" si="4"/>
        <v>0</v>
      </c>
    </row>
    <row r="47" spans="1:30" x14ac:dyDescent="0.25">
      <c r="A47" s="41"/>
      <c r="B47" s="80"/>
      <c r="C47" s="52" t="s">
        <v>476</v>
      </c>
      <c r="D47" s="52" t="s">
        <v>426</v>
      </c>
      <c r="E47" s="52" t="s">
        <v>427</v>
      </c>
      <c r="F47" s="107" t="s">
        <v>428</v>
      </c>
      <c r="G47" s="107" t="s">
        <v>417</v>
      </c>
      <c r="H47" s="107" t="s">
        <v>38</v>
      </c>
      <c r="I47" s="107" t="s">
        <v>17</v>
      </c>
      <c r="J47" s="53" t="s">
        <v>48</v>
      </c>
      <c r="K47" s="53" t="s">
        <v>17</v>
      </c>
      <c r="L47" s="73">
        <v>1</v>
      </c>
      <c r="M47" s="103">
        <v>42000</v>
      </c>
      <c r="N47" s="74">
        <v>42000</v>
      </c>
      <c r="O47" s="104"/>
      <c r="P47" s="82" t="s">
        <v>18</v>
      </c>
      <c r="Q47" s="82" t="s">
        <v>347</v>
      </c>
      <c r="R47" s="82"/>
      <c r="S47" s="82"/>
      <c r="T47" s="89" t="s">
        <v>19</v>
      </c>
      <c r="U47" s="41" t="str">
        <f>VLOOKUP(J47,Sheet1!$A$2:$D$200,4,0)</f>
        <v>NL300125</v>
      </c>
      <c r="V47" s="41" t="str">
        <f>VLOOKUP(U47,Sheet1!$D$2:$E$200,2,0)</f>
        <v>Rau má</v>
      </c>
      <c r="W47" s="94" t="str">
        <f t="shared" si="0"/>
        <v>11NL300125</v>
      </c>
      <c r="X47" s="94" t="str">
        <f>COUNTIF($R$15:W47,W47)&amp;W47</f>
        <v>111NL300125</v>
      </c>
      <c r="Y47" s="95">
        <f>IFERROR(VLOOKUP(X47,FAST!$B$7:$M$9722,12,0),"0")</f>
        <v>1</v>
      </c>
      <c r="Z47" s="95">
        <f>IFERROR(VLOOKUP(X47,FAST!$B$7:$N$9722,13,0),"0")</f>
        <v>42000</v>
      </c>
      <c r="AA47" s="96">
        <f t="shared" si="1"/>
        <v>42000</v>
      </c>
      <c r="AB47" s="97">
        <f t="shared" si="2"/>
        <v>0</v>
      </c>
      <c r="AC47" s="98">
        <f t="shared" si="3"/>
        <v>0</v>
      </c>
      <c r="AD47" s="99">
        <f t="shared" si="4"/>
        <v>0</v>
      </c>
    </row>
    <row r="48" spans="1:30" x14ac:dyDescent="0.25">
      <c r="A48" s="41"/>
      <c r="B48" s="80"/>
      <c r="C48" s="52" t="s">
        <v>476</v>
      </c>
      <c r="D48" s="52" t="s">
        <v>426</v>
      </c>
      <c r="E48" s="52" t="s">
        <v>427</v>
      </c>
      <c r="F48" s="107" t="s">
        <v>428</v>
      </c>
      <c r="G48" s="107" t="s">
        <v>447</v>
      </c>
      <c r="H48" s="107" t="s">
        <v>52</v>
      </c>
      <c r="I48" s="107" t="s">
        <v>53</v>
      </c>
      <c r="J48" s="53" t="s">
        <v>36</v>
      </c>
      <c r="K48" s="53" t="s">
        <v>17</v>
      </c>
      <c r="L48" s="73">
        <v>2</v>
      </c>
      <c r="M48" s="103">
        <v>12000</v>
      </c>
      <c r="N48" s="74">
        <v>24000</v>
      </c>
      <c r="O48" s="104"/>
      <c r="P48" s="82" t="s">
        <v>18</v>
      </c>
      <c r="Q48" s="82" t="s">
        <v>347</v>
      </c>
      <c r="R48" s="82"/>
      <c r="S48" s="82"/>
      <c r="T48" s="89" t="s">
        <v>19</v>
      </c>
      <c r="U48" s="41" t="str">
        <f>VLOOKUP(J48,Sheet1!$A$2:$D$200,4,0)</f>
        <v>NL300132</v>
      </c>
      <c r="V48" s="41" t="str">
        <f>VLOOKUP(U48,Sheet1!$D$2:$E$200,2,0)</f>
        <v>Sả cây</v>
      </c>
      <c r="W48" s="94" t="str">
        <f t="shared" si="0"/>
        <v>11NL300132</v>
      </c>
      <c r="X48" s="94" t="str">
        <f>COUNTIF($R$15:W48,W48)&amp;W48</f>
        <v>111NL300132</v>
      </c>
      <c r="Y48" s="95">
        <f>IFERROR(VLOOKUP(X48,FAST!$B$7:$M$9722,12,0),"0")</f>
        <v>2</v>
      </c>
      <c r="Z48" s="95">
        <f>IFERROR(VLOOKUP(X48,FAST!$B$7:$N$9722,13,0),"0")</f>
        <v>12000</v>
      </c>
      <c r="AA48" s="96">
        <f t="shared" si="1"/>
        <v>24000</v>
      </c>
      <c r="AB48" s="97">
        <f t="shared" si="2"/>
        <v>0</v>
      </c>
      <c r="AC48" s="98">
        <f t="shared" si="3"/>
        <v>0</v>
      </c>
      <c r="AD48" s="99">
        <f t="shared" si="4"/>
        <v>0</v>
      </c>
    </row>
    <row r="49" spans="1:30" x14ac:dyDescent="0.25">
      <c r="A49" s="41"/>
      <c r="B49" s="80"/>
      <c r="C49" s="52" t="s">
        <v>476</v>
      </c>
      <c r="D49" s="52" t="s">
        <v>426</v>
      </c>
      <c r="E49" s="52" t="s">
        <v>427</v>
      </c>
      <c r="F49" s="107" t="s">
        <v>428</v>
      </c>
      <c r="G49" s="107" t="s">
        <v>448</v>
      </c>
      <c r="H49" s="107" t="s">
        <v>62</v>
      </c>
      <c r="I49" s="107" t="s">
        <v>17</v>
      </c>
      <c r="J49" s="53" t="s">
        <v>60</v>
      </c>
      <c r="K49" s="53" t="s">
        <v>17</v>
      </c>
      <c r="L49" s="73">
        <v>2</v>
      </c>
      <c r="M49" s="103">
        <v>21000</v>
      </c>
      <c r="N49" s="74">
        <v>42000</v>
      </c>
      <c r="O49" s="104"/>
      <c r="P49" s="82" t="s">
        <v>18</v>
      </c>
      <c r="Q49" s="82" t="s">
        <v>347</v>
      </c>
      <c r="R49" s="82"/>
      <c r="S49" s="82"/>
      <c r="T49" s="89" t="s">
        <v>19</v>
      </c>
      <c r="U49" s="41" t="str">
        <f>VLOOKUP(J49,Sheet1!$A$2:$D$200,4,0)</f>
        <v>NL300119</v>
      </c>
      <c r="V49" s="41" t="str">
        <f>VLOOKUP(U49,Sheet1!$D$2:$E$200,2,0)</f>
        <v>Quất ( Tắc trái )</v>
      </c>
      <c r="W49" s="94" t="str">
        <f t="shared" si="0"/>
        <v>11NL300119</v>
      </c>
      <c r="X49" s="94" t="str">
        <f>COUNTIF($R$15:W49,W49)&amp;W49</f>
        <v>111NL300119</v>
      </c>
      <c r="Y49" s="95">
        <f>IFERROR(VLOOKUP(X49,FAST!$B$7:$M$9722,12,0),"0")</f>
        <v>2</v>
      </c>
      <c r="Z49" s="95">
        <f>IFERROR(VLOOKUP(X49,FAST!$B$7:$N$9722,13,0),"0")</f>
        <v>21000</v>
      </c>
      <c r="AA49" s="96">
        <f t="shared" si="1"/>
        <v>42000</v>
      </c>
      <c r="AB49" s="97">
        <f t="shared" si="2"/>
        <v>0</v>
      </c>
      <c r="AC49" s="98">
        <f t="shared" si="3"/>
        <v>0</v>
      </c>
      <c r="AD49" s="99">
        <f t="shared" si="4"/>
        <v>0</v>
      </c>
    </row>
    <row r="50" spans="1:30" x14ac:dyDescent="0.25">
      <c r="A50" s="41"/>
      <c r="B50" s="80"/>
      <c r="C50" s="52" t="s">
        <v>476</v>
      </c>
      <c r="D50" s="52" t="s">
        <v>426</v>
      </c>
      <c r="E50" s="52" t="s">
        <v>427</v>
      </c>
      <c r="F50" s="107" t="s">
        <v>428</v>
      </c>
      <c r="G50" s="107" t="s">
        <v>418</v>
      </c>
      <c r="H50" s="107" t="s">
        <v>37</v>
      </c>
      <c r="I50" s="107" t="s">
        <v>17</v>
      </c>
      <c r="J50" s="53" t="s">
        <v>38</v>
      </c>
      <c r="K50" s="53" t="s">
        <v>17</v>
      </c>
      <c r="L50" s="73">
        <v>5.0999999999999996</v>
      </c>
      <c r="M50" s="103">
        <v>50000</v>
      </c>
      <c r="N50" s="74">
        <v>254999.99999999997</v>
      </c>
      <c r="O50" s="104"/>
      <c r="P50" s="82" t="s">
        <v>18</v>
      </c>
      <c r="Q50" s="82" t="s">
        <v>347</v>
      </c>
      <c r="R50" s="82"/>
      <c r="S50" s="82"/>
      <c r="T50" s="89" t="s">
        <v>19</v>
      </c>
      <c r="U50" s="41" t="str">
        <f>VLOOKUP(J50,Sheet1!$A$2:$D$200,4,0)</f>
        <v>NL300142</v>
      </c>
      <c r="V50" s="41" t="str">
        <f>VLOOKUP(U50,Sheet1!$D$2:$E$200,2,0)</f>
        <v>Tỏi bóc</v>
      </c>
      <c r="W50" s="94" t="str">
        <f t="shared" si="0"/>
        <v>11NL300142</v>
      </c>
      <c r="X50" s="94" t="str">
        <f>COUNTIF($R$15:W50,W50)&amp;W50</f>
        <v>111NL300142</v>
      </c>
      <c r="Y50" s="95">
        <f>IFERROR(VLOOKUP(X50,FAST!$B$7:$M$9722,12,0),"0")</f>
        <v>5.0999999999999996</v>
      </c>
      <c r="Z50" s="95">
        <f>IFERROR(VLOOKUP(X50,FAST!$B$7:$N$9722,13,0),"0")</f>
        <v>50000</v>
      </c>
      <c r="AA50" s="96">
        <f t="shared" si="1"/>
        <v>254999.99999999997</v>
      </c>
      <c r="AB50" s="97">
        <f t="shared" si="2"/>
        <v>0</v>
      </c>
      <c r="AC50" s="98">
        <f t="shared" si="3"/>
        <v>0</v>
      </c>
      <c r="AD50" s="99">
        <f t="shared" si="4"/>
        <v>0</v>
      </c>
    </row>
    <row r="51" spans="1:30" x14ac:dyDescent="0.25">
      <c r="A51" s="41"/>
      <c r="B51" s="80"/>
      <c r="C51" s="52" t="s">
        <v>476</v>
      </c>
      <c r="D51" s="52" t="s">
        <v>426</v>
      </c>
      <c r="E51" s="52" t="s">
        <v>427</v>
      </c>
      <c r="F51" s="107" t="s">
        <v>449</v>
      </c>
      <c r="G51" s="107" t="s">
        <v>429</v>
      </c>
      <c r="H51" s="107" t="s">
        <v>54</v>
      </c>
      <c r="I51" s="107" t="s">
        <v>17</v>
      </c>
      <c r="J51" s="53" t="s">
        <v>472</v>
      </c>
      <c r="K51" s="53" t="s">
        <v>53</v>
      </c>
      <c r="L51" s="73">
        <v>20</v>
      </c>
      <c r="M51" s="103">
        <v>9000</v>
      </c>
      <c r="N51" s="74">
        <v>180000</v>
      </c>
      <c r="O51" s="104"/>
      <c r="P51" s="82" t="s">
        <v>18</v>
      </c>
      <c r="Q51" s="82" t="s">
        <v>347</v>
      </c>
      <c r="R51" s="82"/>
      <c r="S51" s="82"/>
      <c r="T51" s="89" t="s">
        <v>19</v>
      </c>
      <c r="U51" s="41" t="str">
        <f>VLOOKUP(J51,Sheet1!$A$2:$D$200,4,0)</f>
        <v>NL100279</v>
      </c>
      <c r="V51" s="41" t="str">
        <f>VLOOKUP(U51,Sheet1!$D$2:$E$200,2,0)</f>
        <v>Trứng Bắc Thảo</v>
      </c>
      <c r="W51" s="94" t="str">
        <f t="shared" si="0"/>
        <v>11NL100279</v>
      </c>
      <c r="X51" s="94" t="str">
        <f>COUNTIF($R$15:W51,W51)&amp;W51</f>
        <v>111NL100279</v>
      </c>
      <c r="Y51" s="95">
        <f>IFERROR(VLOOKUP(X51,FAST!$B$7:$M$9722,12,0),"0")</f>
        <v>20</v>
      </c>
      <c r="Z51" s="95">
        <f>IFERROR(VLOOKUP(X51,FAST!$B$7:$N$9722,13,0),"0")</f>
        <v>9000</v>
      </c>
      <c r="AA51" s="96">
        <f t="shared" si="1"/>
        <v>180000</v>
      </c>
      <c r="AB51" s="97">
        <f t="shared" si="2"/>
        <v>0</v>
      </c>
      <c r="AC51" s="98">
        <f t="shared" si="3"/>
        <v>0</v>
      </c>
      <c r="AD51" s="99">
        <f t="shared" si="4"/>
        <v>0</v>
      </c>
    </row>
    <row r="52" spans="1:30" x14ac:dyDescent="0.25">
      <c r="A52" s="41"/>
      <c r="B52" s="80"/>
      <c r="C52" s="52" t="s">
        <v>476</v>
      </c>
      <c r="D52" s="52" t="s">
        <v>426</v>
      </c>
      <c r="E52" s="52" t="s">
        <v>427</v>
      </c>
      <c r="F52" s="107" t="s">
        <v>449</v>
      </c>
      <c r="G52" s="107" t="s">
        <v>430</v>
      </c>
      <c r="H52" s="107" t="s">
        <v>16</v>
      </c>
      <c r="I52" s="107" t="s">
        <v>17</v>
      </c>
      <c r="J52" s="53" t="s">
        <v>52</v>
      </c>
      <c r="K52" s="53" t="s">
        <v>53</v>
      </c>
      <c r="L52" s="73">
        <v>49</v>
      </c>
      <c r="M52" s="103">
        <v>5000</v>
      </c>
      <c r="N52" s="74">
        <v>245000</v>
      </c>
      <c r="O52" s="104"/>
      <c r="P52" s="82" t="s">
        <v>18</v>
      </c>
      <c r="Q52" s="82" t="s">
        <v>347</v>
      </c>
      <c r="R52" s="82"/>
      <c r="S52" s="82"/>
      <c r="T52" s="89" t="s">
        <v>19</v>
      </c>
      <c r="U52" s="41" t="str">
        <f>VLOOKUP(J52,Sheet1!$A$2:$D$200,4,0)</f>
        <v>NL100101</v>
      </c>
      <c r="V52" s="41" t="str">
        <f>VLOOKUP(U52,Sheet1!$D$2:$E$200,2,0)</f>
        <v>Trứng vịt muối</v>
      </c>
      <c r="W52" s="94" t="str">
        <f t="shared" si="0"/>
        <v>11NL100101</v>
      </c>
      <c r="X52" s="94" t="str">
        <f>COUNTIF($R$15:W52,W52)&amp;W52</f>
        <v>111NL100101</v>
      </c>
      <c r="Y52" s="95">
        <f>IFERROR(VLOOKUP(X52,FAST!$B$7:$M$9722,12,0),"0")</f>
        <v>49</v>
      </c>
      <c r="Z52" s="95">
        <f>IFERROR(VLOOKUP(X52,FAST!$B$7:$N$9722,13,0),"0")</f>
        <v>5000</v>
      </c>
      <c r="AA52" s="96">
        <f t="shared" si="1"/>
        <v>245000</v>
      </c>
      <c r="AB52" s="97">
        <f t="shared" si="2"/>
        <v>0</v>
      </c>
      <c r="AC52" s="98">
        <f t="shared" si="3"/>
        <v>0</v>
      </c>
      <c r="AD52" s="99">
        <f t="shared" si="4"/>
        <v>0</v>
      </c>
    </row>
    <row r="53" spans="1:30" x14ac:dyDescent="0.25">
      <c r="A53" s="41"/>
      <c r="B53" s="80"/>
      <c r="C53" s="52" t="s">
        <v>476</v>
      </c>
      <c r="D53" s="52" t="s">
        <v>426</v>
      </c>
      <c r="E53" s="52" t="s">
        <v>427</v>
      </c>
      <c r="F53" s="107" t="s">
        <v>449</v>
      </c>
      <c r="G53" s="107" t="s">
        <v>404</v>
      </c>
      <c r="H53" s="107" t="s">
        <v>20</v>
      </c>
      <c r="I53" s="107" t="s">
        <v>21</v>
      </c>
      <c r="J53" s="53" t="s">
        <v>62</v>
      </c>
      <c r="K53" s="53" t="s">
        <v>17</v>
      </c>
      <c r="L53" s="73">
        <v>0.2</v>
      </c>
      <c r="M53" s="103">
        <v>220000</v>
      </c>
      <c r="N53" s="74">
        <v>44000</v>
      </c>
      <c r="O53" s="104"/>
      <c r="P53" s="82" t="s">
        <v>18</v>
      </c>
      <c r="Q53" s="82" t="s">
        <v>347</v>
      </c>
      <c r="R53" s="82"/>
      <c r="S53" s="82"/>
      <c r="T53" s="89" t="s">
        <v>19</v>
      </c>
      <c r="U53" s="41" t="str">
        <f>VLOOKUP(J53,Sheet1!$A$2:$D$200,4,0)</f>
        <v>NL300131</v>
      </c>
      <c r="V53" s="41" t="str">
        <f>VLOOKUP(U53,Sheet1!$D$2:$E$200,2,0)</f>
        <v>Xà lách Rocket</v>
      </c>
      <c r="W53" s="94" t="str">
        <f t="shared" si="0"/>
        <v>11NL300131</v>
      </c>
      <c r="X53" s="94" t="str">
        <f>COUNTIF($R$15:W53,W53)&amp;W53</f>
        <v>111NL300131</v>
      </c>
      <c r="Y53" s="95">
        <f>IFERROR(VLOOKUP(X53,FAST!$B$7:$M$9722,12,0),"0")</f>
        <v>0.2</v>
      </c>
      <c r="Z53" s="95">
        <f>IFERROR(VLOOKUP(X53,FAST!$B$7:$N$9722,13,0),"0")</f>
        <v>220000</v>
      </c>
      <c r="AA53" s="96">
        <f t="shared" si="1"/>
        <v>44000</v>
      </c>
      <c r="AB53" s="97">
        <f t="shared" si="2"/>
        <v>0</v>
      </c>
      <c r="AC53" s="98">
        <f t="shared" si="3"/>
        <v>0</v>
      </c>
      <c r="AD53" s="99">
        <f t="shared" si="4"/>
        <v>0</v>
      </c>
    </row>
    <row r="54" spans="1:30" x14ac:dyDescent="0.25">
      <c r="A54" s="41"/>
      <c r="B54" s="80"/>
      <c r="C54" s="52" t="s">
        <v>476</v>
      </c>
      <c r="D54" s="52" t="s">
        <v>426</v>
      </c>
      <c r="E54" s="52" t="s">
        <v>427</v>
      </c>
      <c r="F54" s="107" t="s">
        <v>449</v>
      </c>
      <c r="G54" s="107" t="s">
        <v>405</v>
      </c>
      <c r="H54" s="107" t="s">
        <v>22</v>
      </c>
      <c r="I54" s="107" t="s">
        <v>17</v>
      </c>
      <c r="J54" s="53" t="s">
        <v>37</v>
      </c>
      <c r="K54" s="53" t="s">
        <v>17</v>
      </c>
      <c r="L54" s="73">
        <v>4</v>
      </c>
      <c r="M54" s="103">
        <v>62000</v>
      </c>
      <c r="N54" s="74">
        <v>248000</v>
      </c>
      <c r="O54" s="104"/>
      <c r="P54" s="82" t="s">
        <v>18</v>
      </c>
      <c r="Q54" s="82" t="s">
        <v>347</v>
      </c>
      <c r="R54" s="82"/>
      <c r="S54" s="82"/>
      <c r="T54" s="89" t="s">
        <v>19</v>
      </c>
      <c r="U54" s="41" t="str">
        <f>VLOOKUP(J54,Sheet1!$A$2:$D$200,4,0)</f>
        <v>NL300147</v>
      </c>
      <c r="V54" s="41" t="str">
        <f>VLOOKUP(U54,Sheet1!$D$2:$E$200,2,0)</f>
        <v>Xà lách Roman</v>
      </c>
      <c r="W54" s="94" t="str">
        <f t="shared" si="0"/>
        <v>11NL300147</v>
      </c>
      <c r="X54" s="94" t="str">
        <f>COUNTIF($R$15:W54,W54)&amp;W54</f>
        <v>111NL300147</v>
      </c>
      <c r="Y54" s="95">
        <f>IFERROR(VLOOKUP(X54,FAST!$B$7:$M$9722,12,0),"0")</f>
        <v>4</v>
      </c>
      <c r="Z54" s="95">
        <f>IFERROR(VLOOKUP(X54,FAST!$B$7:$N$9722,13,0),"0")</f>
        <v>62000</v>
      </c>
      <c r="AA54" s="96">
        <f t="shared" si="1"/>
        <v>248000</v>
      </c>
      <c r="AB54" s="97">
        <f t="shared" si="2"/>
        <v>0</v>
      </c>
      <c r="AC54" s="98">
        <f t="shared" si="3"/>
        <v>0</v>
      </c>
      <c r="AD54" s="99">
        <f t="shared" si="4"/>
        <v>0</v>
      </c>
    </row>
    <row r="55" spans="1:30" x14ac:dyDescent="0.25">
      <c r="A55" s="41"/>
      <c r="B55" s="80"/>
      <c r="C55" s="52" t="s">
        <v>477</v>
      </c>
      <c r="D55" s="52" t="s">
        <v>426</v>
      </c>
      <c r="E55" s="52" t="s">
        <v>427</v>
      </c>
      <c r="F55" s="107" t="s">
        <v>449</v>
      </c>
      <c r="G55" s="107" t="s">
        <v>431</v>
      </c>
      <c r="H55" s="107" t="s">
        <v>23</v>
      </c>
      <c r="I55" s="107" t="s">
        <v>17</v>
      </c>
      <c r="J55" s="53" t="s">
        <v>54</v>
      </c>
      <c r="K55" s="53" t="s">
        <v>17</v>
      </c>
      <c r="L55" s="73">
        <v>2</v>
      </c>
      <c r="M55" s="103">
        <v>15000</v>
      </c>
      <c r="N55" s="74">
        <v>30000</v>
      </c>
      <c r="O55" s="104"/>
      <c r="P55" s="82" t="s">
        <v>18</v>
      </c>
      <c r="Q55" s="82" t="s">
        <v>347</v>
      </c>
      <c r="R55" s="82"/>
      <c r="S55" s="82"/>
      <c r="T55" s="89" t="s">
        <v>19</v>
      </c>
      <c r="U55" s="41" t="str">
        <f>VLOOKUP(J55,Sheet1!$A$2:$D$200,4,0)</f>
        <v>NL300189</v>
      </c>
      <c r="V55" s="41" t="str">
        <f>VLOOKUP(U55,Sheet1!$D$2:$E$200,2,0)</f>
        <v>Bánh ướt</v>
      </c>
      <c r="W55" s="94" t="str">
        <f t="shared" si="0"/>
        <v>21NL300189</v>
      </c>
      <c r="X55" s="94" t="str">
        <f>COUNTIF($R$15:W55,W55)&amp;W55</f>
        <v>121NL300189</v>
      </c>
      <c r="Y55" s="95">
        <f>IFERROR(VLOOKUP(X55,FAST!$B$7:$M$9722,12,0),"0")</f>
        <v>2</v>
      </c>
      <c r="Z55" s="95">
        <f>IFERROR(VLOOKUP(X55,FAST!$B$7:$N$9722,13,0),"0")</f>
        <v>15000</v>
      </c>
      <c r="AA55" s="96">
        <f t="shared" si="1"/>
        <v>30000</v>
      </c>
      <c r="AB55" s="97">
        <f t="shared" si="2"/>
        <v>0</v>
      </c>
      <c r="AC55" s="98">
        <f t="shared" si="3"/>
        <v>0</v>
      </c>
      <c r="AD55" s="99">
        <f t="shared" si="4"/>
        <v>0</v>
      </c>
    </row>
    <row r="56" spans="1:30" x14ac:dyDescent="0.25">
      <c r="A56" s="41"/>
      <c r="B56" s="80"/>
      <c r="C56" s="52" t="s">
        <v>477</v>
      </c>
      <c r="D56" s="52" t="s">
        <v>426</v>
      </c>
      <c r="E56" s="52" t="s">
        <v>427</v>
      </c>
      <c r="F56" s="107" t="s">
        <v>449</v>
      </c>
      <c r="G56" s="107" t="s">
        <v>432</v>
      </c>
      <c r="H56" s="107" t="s">
        <v>50</v>
      </c>
      <c r="I56" s="107" t="s">
        <v>17</v>
      </c>
      <c r="J56" s="53" t="s">
        <v>16</v>
      </c>
      <c r="K56" s="53" t="s">
        <v>17</v>
      </c>
      <c r="L56" s="73">
        <v>1.6</v>
      </c>
      <c r="M56" s="103">
        <v>19000</v>
      </c>
      <c r="N56" s="74">
        <v>30400</v>
      </c>
      <c r="O56" s="104"/>
      <c r="P56" s="82" t="s">
        <v>18</v>
      </c>
      <c r="Q56" s="82" t="s">
        <v>347</v>
      </c>
      <c r="R56" s="82"/>
      <c r="S56" s="82"/>
      <c r="T56" s="89" t="s">
        <v>19</v>
      </c>
      <c r="U56" s="41" t="str">
        <f>VLOOKUP(J56,Sheet1!$A$2:$D$200,4,0)</f>
        <v>NL300004</v>
      </c>
      <c r="V56" s="41" t="str">
        <f>VLOOKUP(U56,Sheet1!$D$2:$E$200,2,0)</f>
        <v>Bắp cải trắng</v>
      </c>
      <c r="W56" s="94" t="str">
        <f t="shared" si="0"/>
        <v>21NL300004</v>
      </c>
      <c r="X56" s="94" t="str">
        <f>COUNTIF($R$15:W56,W56)&amp;W56</f>
        <v>121NL300004</v>
      </c>
      <c r="Y56" s="95">
        <f>IFERROR(VLOOKUP(X56,FAST!$B$7:$M$9722,12,0),"0")</f>
        <v>1.6</v>
      </c>
      <c r="Z56" s="95">
        <f>IFERROR(VLOOKUP(X56,FAST!$B$7:$N$9722,13,0),"0")</f>
        <v>19000</v>
      </c>
      <c r="AA56" s="96">
        <f t="shared" si="1"/>
        <v>30400</v>
      </c>
      <c r="AB56" s="97">
        <f t="shared" si="2"/>
        <v>0</v>
      </c>
      <c r="AC56" s="98">
        <f t="shared" si="3"/>
        <v>0</v>
      </c>
      <c r="AD56" s="99">
        <f t="shared" si="4"/>
        <v>0</v>
      </c>
    </row>
    <row r="57" spans="1:30" x14ac:dyDescent="0.25">
      <c r="A57" s="41"/>
      <c r="B57" s="80"/>
      <c r="C57" s="52" t="s">
        <v>477</v>
      </c>
      <c r="D57" s="52" t="s">
        <v>426</v>
      </c>
      <c r="E57" s="52" t="s">
        <v>427</v>
      </c>
      <c r="F57" s="107" t="s">
        <v>449</v>
      </c>
      <c r="G57" s="107" t="s">
        <v>434</v>
      </c>
      <c r="H57" s="107" t="s">
        <v>24</v>
      </c>
      <c r="I57" s="107" t="s">
        <v>17</v>
      </c>
      <c r="J57" s="53" t="s">
        <v>20</v>
      </c>
      <c r="K57" s="53" t="s">
        <v>21</v>
      </c>
      <c r="L57" s="73">
        <v>17</v>
      </c>
      <c r="M57" s="103">
        <v>8500</v>
      </c>
      <c r="N57" s="74">
        <v>144500</v>
      </c>
      <c r="O57" s="104"/>
      <c r="P57" s="82" t="s">
        <v>18</v>
      </c>
      <c r="Q57" s="82" t="s">
        <v>347</v>
      </c>
      <c r="R57" s="82"/>
      <c r="S57" s="82"/>
      <c r="T57" s="89" t="s">
        <v>19</v>
      </c>
      <c r="U57" s="41" t="str">
        <f>VLOOKUP(J57,Sheet1!$A$2:$D$200,4,0)</f>
        <v>NL300107</v>
      </c>
      <c r="V57" s="41" t="str">
        <f>VLOOKUP(U57,Sheet1!$D$2:$E$200,2,0)</f>
        <v>Ngô ngọt ( Bắp trái)</v>
      </c>
      <c r="W57" s="94" t="str">
        <f t="shared" si="0"/>
        <v>21NL300107</v>
      </c>
      <c r="X57" s="94" t="str">
        <f>COUNTIF($R$15:W57,W57)&amp;W57</f>
        <v>121NL300107</v>
      </c>
      <c r="Y57" s="95">
        <f>IFERROR(VLOOKUP(X57,FAST!$B$7:$M$9722,12,0),"0")</f>
        <v>17</v>
      </c>
      <c r="Z57" s="95">
        <f>IFERROR(VLOOKUP(X57,FAST!$B$7:$N$9722,13,0),"0")</f>
        <v>8500</v>
      </c>
      <c r="AA57" s="96">
        <f t="shared" si="1"/>
        <v>144500</v>
      </c>
      <c r="AB57" s="97">
        <f t="shared" si="2"/>
        <v>0</v>
      </c>
      <c r="AC57" s="98">
        <f t="shared" si="3"/>
        <v>0</v>
      </c>
      <c r="AD57" s="99">
        <f t="shared" si="4"/>
        <v>0</v>
      </c>
    </row>
    <row r="58" spans="1:30" x14ac:dyDescent="0.25">
      <c r="A58" s="41"/>
      <c r="B58" s="80"/>
      <c r="C58" s="52" t="s">
        <v>477</v>
      </c>
      <c r="D58" s="52" t="s">
        <v>426</v>
      </c>
      <c r="E58" s="52" t="s">
        <v>427</v>
      </c>
      <c r="F58" s="107" t="s">
        <v>449</v>
      </c>
      <c r="G58" s="107" t="s">
        <v>435</v>
      </c>
      <c r="H58" s="107" t="s">
        <v>25</v>
      </c>
      <c r="I58" s="107" t="s">
        <v>17</v>
      </c>
      <c r="J58" s="53" t="s">
        <v>22</v>
      </c>
      <c r="K58" s="53" t="s">
        <v>17</v>
      </c>
      <c r="L58" s="73">
        <v>8</v>
      </c>
      <c r="M58" s="103">
        <v>30000</v>
      </c>
      <c r="N58" s="74">
        <v>240000</v>
      </c>
      <c r="O58" s="104"/>
      <c r="P58" s="82" t="s">
        <v>18</v>
      </c>
      <c r="Q58" s="82" t="s">
        <v>347</v>
      </c>
      <c r="R58" s="82"/>
      <c r="S58" s="82"/>
      <c r="T58" s="89" t="s">
        <v>19</v>
      </c>
      <c r="U58" s="41" t="str">
        <f>VLOOKUP(J58,Sheet1!$A$2:$D$200,4,0)</f>
        <v>NL300007</v>
      </c>
      <c r="V58" s="41" t="str">
        <f>VLOOKUP(U58,Sheet1!$D$2:$E$200,2,0)</f>
        <v>Bí đỏ</v>
      </c>
      <c r="W58" s="94" t="str">
        <f t="shared" si="0"/>
        <v>21NL300007</v>
      </c>
      <c r="X58" s="94" t="str">
        <f>COUNTIF($R$15:W58,W58)&amp;W58</f>
        <v>121NL300007</v>
      </c>
      <c r="Y58" s="95">
        <f>IFERROR(VLOOKUP(X58,FAST!$B$7:$M$9722,12,0),"0")</f>
        <v>8</v>
      </c>
      <c r="Z58" s="95">
        <f>IFERROR(VLOOKUP(X58,FAST!$B$7:$N$9722,13,0),"0")</f>
        <v>30000</v>
      </c>
      <c r="AA58" s="96">
        <f t="shared" si="1"/>
        <v>240000</v>
      </c>
      <c r="AB58" s="97">
        <f t="shared" si="2"/>
        <v>0</v>
      </c>
      <c r="AC58" s="98">
        <f t="shared" si="3"/>
        <v>0</v>
      </c>
      <c r="AD58" s="99">
        <f t="shared" si="4"/>
        <v>0</v>
      </c>
    </row>
    <row r="59" spans="1:30" x14ac:dyDescent="0.25">
      <c r="A59" s="41"/>
      <c r="B59" s="80"/>
      <c r="C59" s="52" t="s">
        <v>477</v>
      </c>
      <c r="D59" s="52" t="s">
        <v>426</v>
      </c>
      <c r="E59" s="52" t="s">
        <v>427</v>
      </c>
      <c r="F59" s="107" t="s">
        <v>449</v>
      </c>
      <c r="G59" s="107" t="s">
        <v>406</v>
      </c>
      <c r="H59" s="107" t="s">
        <v>46</v>
      </c>
      <c r="I59" s="107" t="s">
        <v>17</v>
      </c>
      <c r="J59" s="53" t="s">
        <v>23</v>
      </c>
      <c r="K59" s="53" t="s">
        <v>17</v>
      </c>
      <c r="L59" s="73">
        <v>15</v>
      </c>
      <c r="M59" s="103">
        <v>40000</v>
      </c>
      <c r="N59" s="74">
        <v>600000</v>
      </c>
      <c r="O59" s="104"/>
      <c r="P59" s="82" t="s">
        <v>18</v>
      </c>
      <c r="Q59" s="82" t="s">
        <v>347</v>
      </c>
      <c r="R59" s="82"/>
      <c r="S59" s="82"/>
      <c r="T59" s="89" t="s">
        <v>19</v>
      </c>
      <c r="U59" s="41" t="str">
        <f>VLOOKUP(J59,Sheet1!$A$2:$D$200,4,0)</f>
        <v>NL300008</v>
      </c>
      <c r="V59" s="41" t="str">
        <f>VLOOKUP(U59,Sheet1!$D$2:$E$200,2,0)</f>
        <v>Bí ngòi</v>
      </c>
      <c r="W59" s="94" t="str">
        <f t="shared" si="0"/>
        <v>21NL300008</v>
      </c>
      <c r="X59" s="94" t="str">
        <f>COUNTIF($R$15:W59,W59)&amp;W59</f>
        <v>121NL300008</v>
      </c>
      <c r="Y59" s="95">
        <f>IFERROR(VLOOKUP(X59,FAST!$B$7:$M$9722,12,0),"0")</f>
        <v>15</v>
      </c>
      <c r="Z59" s="95">
        <f>IFERROR(VLOOKUP(X59,FAST!$B$7:$N$9722,13,0),"0")</f>
        <v>40000</v>
      </c>
      <c r="AA59" s="96">
        <f t="shared" si="1"/>
        <v>600000</v>
      </c>
      <c r="AB59" s="97">
        <f t="shared" si="2"/>
        <v>0</v>
      </c>
      <c r="AC59" s="98">
        <f t="shared" si="3"/>
        <v>0</v>
      </c>
      <c r="AD59" s="99">
        <f t="shared" si="4"/>
        <v>0</v>
      </c>
    </row>
    <row r="60" spans="1:30" x14ac:dyDescent="0.25">
      <c r="A60" s="41"/>
      <c r="B60" s="80"/>
      <c r="C60" s="52" t="s">
        <v>477</v>
      </c>
      <c r="D60" s="52" t="s">
        <v>426</v>
      </c>
      <c r="E60" s="52" t="s">
        <v>427</v>
      </c>
      <c r="F60" s="107" t="s">
        <v>449</v>
      </c>
      <c r="G60" s="107" t="s">
        <v>436</v>
      </c>
      <c r="H60" s="107" t="s">
        <v>56</v>
      </c>
      <c r="I60" s="107" t="s">
        <v>17</v>
      </c>
      <c r="J60" s="53" t="s">
        <v>50</v>
      </c>
      <c r="K60" s="53" t="s">
        <v>17</v>
      </c>
      <c r="L60" s="73">
        <v>4.8</v>
      </c>
      <c r="M60" s="103">
        <v>52000</v>
      </c>
      <c r="N60" s="74">
        <v>249600</v>
      </c>
      <c r="O60" s="104"/>
      <c r="P60" s="82" t="s">
        <v>18</v>
      </c>
      <c r="Q60" s="82" t="s">
        <v>347</v>
      </c>
      <c r="R60" s="82"/>
      <c r="S60" s="82"/>
      <c r="T60" s="89" t="s">
        <v>19</v>
      </c>
      <c r="U60" s="41" t="str">
        <f>VLOOKUP(J60,Sheet1!$A$2:$D$200,4,0)</f>
        <v>NL300137</v>
      </c>
      <c r="V60" s="41" t="str">
        <f>VLOOKUP(U60,Sheet1!$D$2:$E$200,2,0)</f>
        <v>Súp lơ xanh</v>
      </c>
      <c r="W60" s="94" t="str">
        <f t="shared" si="0"/>
        <v>21NL300137</v>
      </c>
      <c r="X60" s="94" t="str">
        <f>COUNTIF($R$15:W60,W60)&amp;W60</f>
        <v>121NL300137</v>
      </c>
      <c r="Y60" s="95">
        <f>IFERROR(VLOOKUP(X60,FAST!$B$7:$M$9722,12,0),"0")</f>
        <v>4.8</v>
      </c>
      <c r="Z60" s="95">
        <f>IFERROR(VLOOKUP(X60,FAST!$B$7:$N$9722,13,0),"0")</f>
        <v>52000</v>
      </c>
      <c r="AA60" s="96">
        <f t="shared" si="1"/>
        <v>249600</v>
      </c>
      <c r="AB60" s="97">
        <f t="shared" si="2"/>
        <v>0</v>
      </c>
      <c r="AC60" s="98">
        <f t="shared" si="3"/>
        <v>0</v>
      </c>
      <c r="AD60" s="99">
        <f t="shared" si="4"/>
        <v>0</v>
      </c>
    </row>
    <row r="61" spans="1:30" x14ac:dyDescent="0.25">
      <c r="A61" s="41"/>
      <c r="B61" s="80"/>
      <c r="C61" s="52" t="s">
        <v>477</v>
      </c>
      <c r="D61" s="52" t="s">
        <v>426</v>
      </c>
      <c r="E61" s="52" t="s">
        <v>427</v>
      </c>
      <c r="F61" s="107" t="s">
        <v>449</v>
      </c>
      <c r="G61" s="107" t="s">
        <v>450</v>
      </c>
      <c r="H61" s="107" t="s">
        <v>26</v>
      </c>
      <c r="I61" s="107" t="s">
        <v>17</v>
      </c>
      <c r="J61" s="53" t="s">
        <v>70</v>
      </c>
      <c r="K61" s="53" t="s">
        <v>17</v>
      </c>
      <c r="L61" s="73">
        <v>0.5</v>
      </c>
      <c r="M61" s="103">
        <v>75000</v>
      </c>
      <c r="N61" s="74">
        <v>37500</v>
      </c>
      <c r="O61" s="104"/>
      <c r="P61" s="82" t="s">
        <v>18</v>
      </c>
      <c r="Q61" s="82" t="s">
        <v>347</v>
      </c>
      <c r="R61" s="82"/>
      <c r="S61" s="82"/>
      <c r="T61" s="89" t="s">
        <v>19</v>
      </c>
      <c r="U61" s="41" t="str">
        <f>VLOOKUP(J61,Sheet1!$A$2:$D$200,4,0)</f>
        <v>NL300028</v>
      </c>
      <c r="V61" s="41" t="str">
        <f>VLOOKUP(U61,Sheet1!$D$2:$E$200,2,0)</f>
        <v>Cà rốt baby</v>
      </c>
      <c r="W61" s="94" t="str">
        <f t="shared" si="0"/>
        <v>21NL300028</v>
      </c>
      <c r="X61" s="94" t="str">
        <f>COUNTIF($R$15:W61,W61)&amp;W61</f>
        <v>121NL300028</v>
      </c>
      <c r="Y61" s="95">
        <f>IFERROR(VLOOKUP(X61,FAST!$B$7:$M$9722,12,0),"0")</f>
        <v>0.5</v>
      </c>
      <c r="Z61" s="95">
        <f>IFERROR(VLOOKUP(X61,FAST!$B$7:$N$9722,13,0),"0")</f>
        <v>75000</v>
      </c>
      <c r="AA61" s="96">
        <f t="shared" si="1"/>
        <v>37500</v>
      </c>
      <c r="AB61" s="97">
        <f t="shared" si="2"/>
        <v>0</v>
      </c>
      <c r="AC61" s="98">
        <f t="shared" si="3"/>
        <v>0</v>
      </c>
      <c r="AD61" s="99">
        <f t="shared" si="4"/>
        <v>0</v>
      </c>
    </row>
    <row r="62" spans="1:30" x14ac:dyDescent="0.25">
      <c r="A62" s="41"/>
      <c r="B62" s="80"/>
      <c r="C62" s="52" t="s">
        <v>477</v>
      </c>
      <c r="D62" s="52" t="s">
        <v>426</v>
      </c>
      <c r="E62" s="52" t="s">
        <v>427</v>
      </c>
      <c r="F62" s="107" t="s">
        <v>449</v>
      </c>
      <c r="G62" s="107" t="s">
        <v>437</v>
      </c>
      <c r="H62" s="107" t="s">
        <v>28</v>
      </c>
      <c r="I62" s="107" t="s">
        <v>17</v>
      </c>
      <c r="J62" s="53" t="s">
        <v>24</v>
      </c>
      <c r="K62" s="53" t="s">
        <v>17</v>
      </c>
      <c r="L62" s="73">
        <v>3</v>
      </c>
      <c r="M62" s="103">
        <v>30000</v>
      </c>
      <c r="N62" s="74">
        <v>90000</v>
      </c>
      <c r="O62" s="104"/>
      <c r="P62" s="82" t="s">
        <v>18</v>
      </c>
      <c r="Q62" s="82" t="s">
        <v>347</v>
      </c>
      <c r="R62" s="82"/>
      <c r="S62" s="82"/>
      <c r="T62" s="89" t="s">
        <v>19</v>
      </c>
      <c r="U62" s="41" t="str">
        <f>VLOOKUP(J62,Sheet1!$A$2:$D$200,4,0)</f>
        <v>NL300020</v>
      </c>
      <c r="V62" s="41" t="str">
        <f>VLOOKUP(U62,Sheet1!$D$2:$E$200,2,0)</f>
        <v>Cải ngồng</v>
      </c>
      <c r="W62" s="94" t="str">
        <f t="shared" si="0"/>
        <v>21NL300020</v>
      </c>
      <c r="X62" s="94" t="str">
        <f>COUNTIF($R$15:W62,W62)&amp;W62</f>
        <v>121NL300020</v>
      </c>
      <c r="Y62" s="95">
        <f>IFERROR(VLOOKUP(X62,FAST!$B$7:$M$9722,12,0),"0")</f>
        <v>3</v>
      </c>
      <c r="Z62" s="95">
        <f>IFERROR(VLOOKUP(X62,FAST!$B$7:$N$9722,13,0),"0")</f>
        <v>30000</v>
      </c>
      <c r="AA62" s="96">
        <f t="shared" si="1"/>
        <v>90000</v>
      </c>
      <c r="AB62" s="97">
        <f t="shared" si="2"/>
        <v>0</v>
      </c>
      <c r="AC62" s="98">
        <f t="shared" si="3"/>
        <v>0</v>
      </c>
      <c r="AD62" s="99">
        <f t="shared" si="4"/>
        <v>0</v>
      </c>
    </row>
    <row r="63" spans="1:30" x14ac:dyDescent="0.25">
      <c r="A63" s="41"/>
      <c r="B63" s="80"/>
      <c r="C63" s="52" t="s">
        <v>477</v>
      </c>
      <c r="D63" s="52" t="s">
        <v>426</v>
      </c>
      <c r="E63" s="52" t="s">
        <v>427</v>
      </c>
      <c r="F63" s="107" t="s">
        <v>449</v>
      </c>
      <c r="G63" s="107" t="s">
        <v>419</v>
      </c>
      <c r="H63" s="107" t="s">
        <v>47</v>
      </c>
      <c r="I63" s="107" t="s">
        <v>17</v>
      </c>
      <c r="J63" s="53" t="s">
        <v>25</v>
      </c>
      <c r="K63" s="53" t="s">
        <v>17</v>
      </c>
      <c r="L63" s="73">
        <v>0.5</v>
      </c>
      <c r="M63" s="103">
        <v>44000</v>
      </c>
      <c r="N63" s="74">
        <v>22000</v>
      </c>
      <c r="O63" s="104"/>
      <c r="P63" s="82" t="s">
        <v>18</v>
      </c>
      <c r="Q63" s="82" t="s">
        <v>347</v>
      </c>
      <c r="R63" s="82"/>
      <c r="S63" s="82"/>
      <c r="T63" s="89" t="s">
        <v>19</v>
      </c>
      <c r="U63" s="41" t="str">
        <f>VLOOKUP(J63,Sheet1!$A$2:$D$200,4,0)</f>
        <v>NL300025</v>
      </c>
      <c r="V63" s="41" t="str">
        <f>VLOOKUP(U63,Sheet1!$D$2:$E$200,2,0)</f>
        <v>Rau cần tây</v>
      </c>
      <c r="W63" s="94" t="str">
        <f t="shared" si="0"/>
        <v>21NL300025</v>
      </c>
      <c r="X63" s="94" t="str">
        <f>COUNTIF($R$15:W63,W63)&amp;W63</f>
        <v>121NL300025</v>
      </c>
      <c r="Y63" s="95">
        <f>IFERROR(VLOOKUP(X63,FAST!$B$7:$M$9722,12,0),"0")</f>
        <v>0.5</v>
      </c>
      <c r="Z63" s="95">
        <f>IFERROR(VLOOKUP(X63,FAST!$B$7:$N$9722,13,0),"0")</f>
        <v>44000</v>
      </c>
      <c r="AA63" s="96">
        <f t="shared" si="1"/>
        <v>22000</v>
      </c>
      <c r="AB63" s="97">
        <f t="shared" si="2"/>
        <v>0</v>
      </c>
      <c r="AC63" s="98">
        <f t="shared" si="3"/>
        <v>0</v>
      </c>
      <c r="AD63" s="99">
        <f t="shared" si="4"/>
        <v>0</v>
      </c>
    </row>
    <row r="64" spans="1:30" x14ac:dyDescent="0.25">
      <c r="A64" s="41"/>
      <c r="B64" s="80"/>
      <c r="C64" s="52" t="s">
        <v>477</v>
      </c>
      <c r="D64" s="52" t="s">
        <v>426</v>
      </c>
      <c r="E64" s="52" t="s">
        <v>427</v>
      </c>
      <c r="F64" s="107" t="s">
        <v>449</v>
      </c>
      <c r="G64" s="107" t="s">
        <v>408</v>
      </c>
      <c r="H64" s="107" t="s">
        <v>29</v>
      </c>
      <c r="I64" s="107" t="s">
        <v>17</v>
      </c>
      <c r="J64" s="53" t="s">
        <v>56</v>
      </c>
      <c r="K64" s="53" t="s">
        <v>17</v>
      </c>
      <c r="L64" s="73">
        <v>2</v>
      </c>
      <c r="M64" s="103">
        <v>38000</v>
      </c>
      <c r="N64" s="74">
        <v>76000</v>
      </c>
      <c r="O64" s="104"/>
      <c r="P64" s="82" t="s">
        <v>18</v>
      </c>
      <c r="Q64" s="82" t="s">
        <v>347</v>
      </c>
      <c r="R64" s="82"/>
      <c r="S64" s="82"/>
      <c r="T64" s="89" t="s">
        <v>19</v>
      </c>
      <c r="U64" s="41" t="str">
        <f>VLOOKUP(J64,Sheet1!$A$2:$D$200,4,0)</f>
        <v>NL300054</v>
      </c>
      <c r="V64" s="41" t="str">
        <f>VLOOKUP(U64,Sheet1!$D$2:$E$200,2,0)</f>
        <v>Gừng tàu</v>
      </c>
      <c r="W64" s="94" t="str">
        <f t="shared" si="0"/>
        <v>21NL300054</v>
      </c>
      <c r="X64" s="94" t="str">
        <f>COUNTIF($R$15:W64,W64)&amp;W64</f>
        <v>121NL300054</v>
      </c>
      <c r="Y64" s="95">
        <f>IFERROR(VLOOKUP(X64,FAST!$B$7:$M$9722,12,0),"0")</f>
        <v>2</v>
      </c>
      <c r="Z64" s="95">
        <f>IFERROR(VLOOKUP(X64,FAST!$B$7:$N$9722,13,0),"0")</f>
        <v>38000</v>
      </c>
      <c r="AA64" s="96">
        <f t="shared" si="1"/>
        <v>76000</v>
      </c>
      <c r="AB64" s="97">
        <f t="shared" si="2"/>
        <v>0</v>
      </c>
      <c r="AC64" s="98">
        <f t="shared" si="3"/>
        <v>0</v>
      </c>
      <c r="AD64" s="99">
        <f t="shared" si="4"/>
        <v>0</v>
      </c>
    </row>
    <row r="65" spans="1:30" x14ac:dyDescent="0.25">
      <c r="A65" s="41"/>
      <c r="B65" s="80"/>
      <c r="C65" s="52" t="s">
        <v>477</v>
      </c>
      <c r="D65" s="52" t="s">
        <v>426</v>
      </c>
      <c r="E65" s="52" t="s">
        <v>427</v>
      </c>
      <c r="F65" s="107" t="s">
        <v>449</v>
      </c>
      <c r="G65" s="107" t="s">
        <v>409</v>
      </c>
      <c r="H65" s="107" t="s">
        <v>69</v>
      </c>
      <c r="I65" s="107" t="s">
        <v>17</v>
      </c>
      <c r="J65" s="53" t="s">
        <v>26</v>
      </c>
      <c r="K65" s="53" t="s">
        <v>17</v>
      </c>
      <c r="L65" s="73">
        <v>0.2</v>
      </c>
      <c r="M65" s="103">
        <v>25000</v>
      </c>
      <c r="N65" s="74">
        <v>5000</v>
      </c>
      <c r="O65" s="104"/>
      <c r="P65" s="82" t="s">
        <v>18</v>
      </c>
      <c r="Q65" s="82" t="s">
        <v>347</v>
      </c>
      <c r="R65" s="82"/>
      <c r="S65" s="82"/>
      <c r="T65" s="89" t="s">
        <v>19</v>
      </c>
      <c r="U65" s="41" t="str">
        <f>VLOOKUP(J65,Sheet1!$A$2:$D$200,4,0)</f>
        <v>NL300035</v>
      </c>
      <c r="V65" s="41" t="str">
        <f>VLOOKUP(U65,Sheet1!$D$2:$E$200,2,0)</f>
        <v>Củ riềng</v>
      </c>
      <c r="W65" s="94" t="str">
        <f t="shared" si="0"/>
        <v>21NL300035</v>
      </c>
      <c r="X65" s="94" t="str">
        <f>COUNTIF($R$15:W65,W65)&amp;W65</f>
        <v>121NL300035</v>
      </c>
      <c r="Y65" s="95">
        <f>IFERROR(VLOOKUP(X65,FAST!$B$7:$M$9722,12,0),"0")</f>
        <v>0.2</v>
      </c>
      <c r="Z65" s="95">
        <f>IFERROR(VLOOKUP(X65,FAST!$B$7:$N$9722,13,0),"0")</f>
        <v>25000</v>
      </c>
      <c r="AA65" s="96">
        <f t="shared" si="1"/>
        <v>5000</v>
      </c>
      <c r="AB65" s="97">
        <f t="shared" si="2"/>
        <v>0</v>
      </c>
      <c r="AC65" s="98">
        <f t="shared" si="3"/>
        <v>0</v>
      </c>
      <c r="AD65" s="99">
        <f t="shared" si="4"/>
        <v>0</v>
      </c>
    </row>
    <row r="66" spans="1:30" x14ac:dyDescent="0.25">
      <c r="A66" s="41"/>
      <c r="B66" s="80"/>
      <c r="C66" s="52" t="s">
        <v>477</v>
      </c>
      <c r="D66" s="52" t="s">
        <v>426</v>
      </c>
      <c r="E66" s="52" t="s">
        <v>427</v>
      </c>
      <c r="F66" s="107" t="s">
        <v>449</v>
      </c>
      <c r="G66" s="107" t="s">
        <v>439</v>
      </c>
      <c r="H66" s="107" t="s">
        <v>57</v>
      </c>
      <c r="I66" s="107" t="s">
        <v>17</v>
      </c>
      <c r="J66" s="53" t="s">
        <v>27</v>
      </c>
      <c r="K66" s="53" t="s">
        <v>17</v>
      </c>
      <c r="L66" s="73">
        <v>1.5</v>
      </c>
      <c r="M66" s="103">
        <v>47000</v>
      </c>
      <c r="N66" s="74">
        <v>70500</v>
      </c>
      <c r="O66" s="104"/>
      <c r="P66" s="82" t="s">
        <v>18</v>
      </c>
      <c r="Q66" s="82" t="s">
        <v>347</v>
      </c>
      <c r="R66" s="82"/>
      <c r="S66" s="82"/>
      <c r="T66" s="89" t="s">
        <v>19</v>
      </c>
      <c r="U66" s="41" t="str">
        <f>VLOOKUP(J66,Sheet1!$A$2:$D$200,4,0)</f>
        <v>NL300036</v>
      </c>
      <c r="V66" s="41" t="str">
        <f>VLOOKUP(U66,Sheet1!$D$2:$E$200,2,0)</f>
        <v>Củ sen</v>
      </c>
      <c r="W66" s="94" t="str">
        <f t="shared" si="0"/>
        <v>21NL300036</v>
      </c>
      <c r="X66" s="94" t="str">
        <f>COUNTIF($R$15:W66,W66)&amp;W66</f>
        <v>121NL300036</v>
      </c>
      <c r="Y66" s="95">
        <f>IFERROR(VLOOKUP(X66,FAST!$B$7:$M$9722,12,0),"0")</f>
        <v>1.5</v>
      </c>
      <c r="Z66" s="95">
        <f>IFERROR(VLOOKUP(X66,FAST!$B$7:$N$9722,13,0),"0")</f>
        <v>47000</v>
      </c>
      <c r="AA66" s="96">
        <f t="shared" si="1"/>
        <v>70500</v>
      </c>
      <c r="AB66" s="97">
        <f t="shared" si="2"/>
        <v>0</v>
      </c>
      <c r="AC66" s="98">
        <f t="shared" si="3"/>
        <v>0</v>
      </c>
      <c r="AD66" s="99">
        <f t="shared" si="4"/>
        <v>0</v>
      </c>
    </row>
    <row r="67" spans="1:30" x14ac:dyDescent="0.25">
      <c r="A67" s="41"/>
      <c r="B67" s="80"/>
      <c r="C67" s="52" t="s">
        <v>477</v>
      </c>
      <c r="D67" s="52" t="s">
        <v>426</v>
      </c>
      <c r="E67" s="52" t="s">
        <v>427</v>
      </c>
      <c r="F67" s="107" t="s">
        <v>449</v>
      </c>
      <c r="G67" s="107" t="s">
        <v>451</v>
      </c>
      <c r="H67" s="107" t="s">
        <v>61</v>
      </c>
      <c r="I67" s="107" t="s">
        <v>17</v>
      </c>
      <c r="J67" s="53" t="s">
        <v>28</v>
      </c>
      <c r="K67" s="53" t="s">
        <v>17</v>
      </c>
      <c r="L67" s="73">
        <v>6</v>
      </c>
      <c r="M67" s="103">
        <v>32000</v>
      </c>
      <c r="N67" s="74">
        <v>192000</v>
      </c>
      <c r="O67" s="104"/>
      <c r="P67" s="82" t="s">
        <v>18</v>
      </c>
      <c r="Q67" s="82" t="s">
        <v>347</v>
      </c>
      <c r="R67" s="82"/>
      <c r="S67" s="82"/>
      <c r="T67" s="89" t="s">
        <v>19</v>
      </c>
      <c r="U67" s="41" t="str">
        <f>VLOOKUP(J67,Sheet1!$A$2:$D$200,4,0)</f>
        <v>NL300038</v>
      </c>
      <c r="V67" s="41" t="str">
        <f>VLOOKUP(U67,Sheet1!$D$2:$E$200,2,0)</f>
        <v>Đậu bắp</v>
      </c>
      <c r="W67" s="94" t="str">
        <f t="shared" si="0"/>
        <v>21NL300038</v>
      </c>
      <c r="X67" s="94" t="str">
        <f>COUNTIF($R$15:W67,W67)&amp;W67</f>
        <v>121NL300038</v>
      </c>
      <c r="Y67" s="95">
        <f>IFERROR(VLOOKUP(X67,FAST!$B$7:$M$9722,12,0),"0")</f>
        <v>6</v>
      </c>
      <c r="Z67" s="95">
        <f>IFERROR(VLOOKUP(X67,FAST!$B$7:$N$9722,13,0),"0")</f>
        <v>32000</v>
      </c>
      <c r="AA67" s="96">
        <f t="shared" si="1"/>
        <v>192000</v>
      </c>
      <c r="AB67" s="97">
        <f t="shared" si="2"/>
        <v>0</v>
      </c>
      <c r="AC67" s="98">
        <f t="shared" si="3"/>
        <v>0</v>
      </c>
      <c r="AD67" s="99">
        <f t="shared" si="4"/>
        <v>0</v>
      </c>
    </row>
    <row r="68" spans="1:30" x14ac:dyDescent="0.25">
      <c r="A68" s="41"/>
      <c r="B68" s="80"/>
      <c r="C68" s="52" t="s">
        <v>477</v>
      </c>
      <c r="D68" s="52" t="s">
        <v>426</v>
      </c>
      <c r="E68" s="52" t="s">
        <v>427</v>
      </c>
      <c r="F68" s="107" t="s">
        <v>449</v>
      </c>
      <c r="G68" s="107" t="s">
        <v>440</v>
      </c>
      <c r="H68" s="107" t="s">
        <v>31</v>
      </c>
      <c r="I68" s="107" t="s">
        <v>17</v>
      </c>
      <c r="J68" s="53" t="s">
        <v>44</v>
      </c>
      <c r="K68" s="53" t="s">
        <v>45</v>
      </c>
      <c r="L68" s="73">
        <v>15</v>
      </c>
      <c r="M68" s="103">
        <v>15000</v>
      </c>
      <c r="N68" s="74">
        <v>225000</v>
      </c>
      <c r="O68" s="104"/>
      <c r="P68" s="82" t="s">
        <v>18</v>
      </c>
      <c r="Q68" s="82" t="s">
        <v>347</v>
      </c>
      <c r="R68" s="82"/>
      <c r="S68" s="82"/>
      <c r="T68" s="89" t="s">
        <v>19</v>
      </c>
      <c r="U68" s="41" t="str">
        <f>VLOOKUP(J68,Sheet1!$A$2:$D$200,4,0)</f>
        <v>NL300041</v>
      </c>
      <c r="V68" s="41" t="str">
        <f>VLOOKUP(U68,Sheet1!$D$2:$E$200,2,0)</f>
        <v>Đậu hủ non trứng</v>
      </c>
      <c r="W68" s="94" t="str">
        <f t="shared" si="0"/>
        <v>21NL300041</v>
      </c>
      <c r="X68" s="94" t="str">
        <f>COUNTIF($R$15:W68,W68)&amp;W68</f>
        <v>121NL300041</v>
      </c>
      <c r="Y68" s="95">
        <f>IFERROR(VLOOKUP(X68,FAST!$B$7:$M$9722,12,0),"0")</f>
        <v>15</v>
      </c>
      <c r="Z68" s="95">
        <f>IFERROR(VLOOKUP(X68,FAST!$B$7:$N$9722,13,0),"0")</f>
        <v>15000</v>
      </c>
      <c r="AA68" s="96">
        <f t="shared" si="1"/>
        <v>225000</v>
      </c>
      <c r="AB68" s="97">
        <f t="shared" si="2"/>
        <v>0</v>
      </c>
      <c r="AC68" s="98">
        <f t="shared" si="3"/>
        <v>0</v>
      </c>
      <c r="AD68" s="99">
        <f t="shared" si="4"/>
        <v>0</v>
      </c>
    </row>
    <row r="69" spans="1:30" x14ac:dyDescent="0.25">
      <c r="A69" s="41"/>
      <c r="B69" s="80"/>
      <c r="C69" s="52" t="s">
        <v>477</v>
      </c>
      <c r="D69" s="52" t="s">
        <v>426</v>
      </c>
      <c r="E69" s="52" t="s">
        <v>427</v>
      </c>
      <c r="F69" s="107" t="s">
        <v>449</v>
      </c>
      <c r="G69" s="107" t="s">
        <v>410</v>
      </c>
      <c r="H69" s="107" t="s">
        <v>39</v>
      </c>
      <c r="I69" s="107" t="s">
        <v>17</v>
      </c>
      <c r="J69" s="53" t="s">
        <v>47</v>
      </c>
      <c r="K69" s="53" t="s">
        <v>17</v>
      </c>
      <c r="L69" s="73">
        <v>75</v>
      </c>
      <c r="M69" s="103">
        <v>18000</v>
      </c>
      <c r="N69" s="74">
        <v>1350000</v>
      </c>
      <c r="O69" s="104"/>
      <c r="P69" s="82" t="s">
        <v>18</v>
      </c>
      <c r="Q69" s="82" t="s">
        <v>347</v>
      </c>
      <c r="R69" s="82"/>
      <c r="S69" s="82"/>
      <c r="T69" s="89" t="s">
        <v>19</v>
      </c>
      <c r="U69" s="41" t="str">
        <f>VLOOKUP(J69,Sheet1!$A$2:$D$200,4,0)</f>
        <v>NL600004</v>
      </c>
      <c r="V69" s="41" t="str">
        <f>VLOOKUP(U69,Sheet1!$D$2:$E$200,2,0)</f>
        <v>Dưa hấu</v>
      </c>
      <c r="W69" s="94" t="str">
        <f t="shared" si="0"/>
        <v>21NL600004</v>
      </c>
      <c r="X69" s="94" t="str">
        <f>COUNTIF($R$15:W69,W69)&amp;W69</f>
        <v>121NL600004</v>
      </c>
      <c r="Y69" s="95">
        <f>IFERROR(VLOOKUP(X69,FAST!$B$7:$M$9722,12,0),"0")</f>
        <v>75</v>
      </c>
      <c r="Z69" s="95">
        <f>IFERROR(VLOOKUP(X69,FAST!$B$7:$N$9722,13,0),"0")</f>
        <v>18000</v>
      </c>
      <c r="AA69" s="96">
        <f t="shared" si="1"/>
        <v>1350000</v>
      </c>
      <c r="AB69" s="97">
        <f t="shared" si="2"/>
        <v>0</v>
      </c>
      <c r="AC69" s="98">
        <f t="shared" si="3"/>
        <v>0</v>
      </c>
      <c r="AD69" s="99">
        <f t="shared" si="4"/>
        <v>0</v>
      </c>
    </row>
    <row r="70" spans="1:30" x14ac:dyDescent="0.25">
      <c r="A70" s="41"/>
      <c r="B70" s="80"/>
      <c r="C70" s="52" t="s">
        <v>477</v>
      </c>
      <c r="D70" s="52" t="s">
        <v>426</v>
      </c>
      <c r="E70" s="52" t="s">
        <v>427</v>
      </c>
      <c r="F70" s="107" t="s">
        <v>449</v>
      </c>
      <c r="G70" s="107" t="s">
        <v>411</v>
      </c>
      <c r="H70" s="107" t="s">
        <v>40</v>
      </c>
      <c r="I70" s="107" t="s">
        <v>17</v>
      </c>
      <c r="J70" s="53" t="s">
        <v>71</v>
      </c>
      <c r="K70" s="53" t="s">
        <v>17</v>
      </c>
      <c r="L70" s="73">
        <v>1</v>
      </c>
      <c r="M70" s="103">
        <v>13000</v>
      </c>
      <c r="N70" s="74">
        <v>13000</v>
      </c>
      <c r="O70" s="104"/>
      <c r="P70" s="82" t="s">
        <v>18</v>
      </c>
      <c r="Q70" s="82" t="s">
        <v>347</v>
      </c>
      <c r="R70" s="82"/>
      <c r="S70" s="82"/>
      <c r="T70" s="89" t="s">
        <v>19</v>
      </c>
      <c r="U70" s="41" t="str">
        <f>VLOOKUP(J70,Sheet1!$A$2:$D$200,4,0)</f>
        <v>NL300059</v>
      </c>
      <c r="V70" s="41" t="str">
        <f>VLOOKUP(U70,Sheet1!$D$2:$E$200,2,0)</f>
        <v>Hành tây</v>
      </c>
      <c r="W70" s="94" t="str">
        <f t="shared" si="0"/>
        <v>21NL300059</v>
      </c>
      <c r="X70" s="94" t="str">
        <f>COUNTIF($R$15:W70,W70)&amp;W70</f>
        <v>121NL300059</v>
      </c>
      <c r="Y70" s="95">
        <f>IFERROR(VLOOKUP(X70,FAST!$B$7:$M$9722,12,0),"0")</f>
        <v>1</v>
      </c>
      <c r="Z70" s="95">
        <f>IFERROR(VLOOKUP(X70,FAST!$B$7:$N$9722,13,0),"0")</f>
        <v>13000</v>
      </c>
      <c r="AA70" s="96">
        <f t="shared" si="1"/>
        <v>13000</v>
      </c>
      <c r="AB70" s="97">
        <f t="shared" si="2"/>
        <v>0</v>
      </c>
      <c r="AC70" s="98">
        <f t="shared" si="3"/>
        <v>0</v>
      </c>
      <c r="AD70" s="99">
        <f t="shared" si="4"/>
        <v>0</v>
      </c>
    </row>
    <row r="71" spans="1:30" x14ac:dyDescent="0.25">
      <c r="A71" s="41"/>
      <c r="B71" s="80"/>
      <c r="C71" s="52" t="s">
        <v>477</v>
      </c>
      <c r="D71" s="52" t="s">
        <v>426</v>
      </c>
      <c r="E71" s="52" t="s">
        <v>427</v>
      </c>
      <c r="F71" s="107" t="s">
        <v>449</v>
      </c>
      <c r="G71" s="107" t="s">
        <v>441</v>
      </c>
      <c r="H71" s="107" t="s">
        <v>43</v>
      </c>
      <c r="I71" s="107" t="s">
        <v>17</v>
      </c>
      <c r="J71" s="53" t="s">
        <v>76</v>
      </c>
      <c r="K71" s="53" t="s">
        <v>17</v>
      </c>
      <c r="L71" s="73">
        <v>0.1</v>
      </c>
      <c r="M71" s="103">
        <v>80000</v>
      </c>
      <c r="N71" s="74">
        <v>8000</v>
      </c>
      <c r="O71" s="104"/>
      <c r="P71" s="82" t="s">
        <v>18</v>
      </c>
      <c r="Q71" s="82" t="s">
        <v>347</v>
      </c>
      <c r="R71" s="82"/>
      <c r="S71" s="82"/>
      <c r="T71" s="89" t="s">
        <v>19</v>
      </c>
      <c r="U71" s="41" t="str">
        <f>VLOOKUP(J71,Sheet1!$A$2:$D$200,4,0)</f>
        <v>NL300055</v>
      </c>
      <c r="V71" s="41" t="str">
        <f>VLOOKUP(U71,Sheet1!$D$2:$E$200,2,0)</f>
        <v>Hành bóc</v>
      </c>
      <c r="W71" s="94" t="str">
        <f t="shared" si="0"/>
        <v>21NL300055</v>
      </c>
      <c r="X71" s="94" t="str">
        <f>COUNTIF($R$15:W71,W71)&amp;W71</f>
        <v>121NL300055</v>
      </c>
      <c r="Y71" s="95">
        <f>IFERROR(VLOOKUP(X71,FAST!$B$7:$M$9722,12,0),"0")</f>
        <v>0.1</v>
      </c>
      <c r="Z71" s="95">
        <f>IFERROR(VLOOKUP(X71,FAST!$B$7:$N$9722,13,0),"0")</f>
        <v>80000</v>
      </c>
      <c r="AA71" s="96">
        <f t="shared" si="1"/>
        <v>8000</v>
      </c>
      <c r="AB71" s="97">
        <f t="shared" si="2"/>
        <v>0</v>
      </c>
      <c r="AC71" s="98">
        <f t="shared" si="3"/>
        <v>0</v>
      </c>
      <c r="AD71" s="99">
        <f t="shared" si="4"/>
        <v>0</v>
      </c>
    </row>
    <row r="72" spans="1:30" x14ac:dyDescent="0.25">
      <c r="A72" s="41"/>
      <c r="B72" s="80"/>
      <c r="C72" s="52" t="s">
        <v>477</v>
      </c>
      <c r="D72" s="52" t="s">
        <v>426</v>
      </c>
      <c r="E72" s="52" t="s">
        <v>427</v>
      </c>
      <c r="F72" s="107" t="s">
        <v>449</v>
      </c>
      <c r="G72" s="107" t="s">
        <v>412</v>
      </c>
      <c r="H72" s="107" t="s">
        <v>67</v>
      </c>
      <c r="I72" s="107" t="s">
        <v>17</v>
      </c>
      <c r="J72" s="53" t="s">
        <v>69</v>
      </c>
      <c r="K72" s="53" t="s">
        <v>17</v>
      </c>
      <c r="L72" s="73">
        <v>0.5</v>
      </c>
      <c r="M72" s="103">
        <v>65000</v>
      </c>
      <c r="N72" s="74">
        <v>32500</v>
      </c>
      <c r="O72" s="104"/>
      <c r="P72" s="82" t="s">
        <v>18</v>
      </c>
      <c r="Q72" s="82" t="s">
        <v>347</v>
      </c>
      <c r="R72" s="82"/>
      <c r="S72" s="82"/>
      <c r="T72" s="89" t="s">
        <v>19</v>
      </c>
      <c r="U72" s="41" t="str">
        <f>VLOOKUP(J72,Sheet1!$A$2:$D$200,4,0)</f>
        <v>NL300062</v>
      </c>
      <c r="V72" s="41" t="str">
        <f>VLOOKUP(U72,Sheet1!$D$2:$E$200,2,0)</f>
        <v>Húng Bạc Hà</v>
      </c>
      <c r="W72" s="94" t="str">
        <f t="shared" si="0"/>
        <v>21NL300062</v>
      </c>
      <c r="X72" s="94" t="str">
        <f>COUNTIF($R$15:W72,W72)&amp;W72</f>
        <v>121NL300062</v>
      </c>
      <c r="Y72" s="95">
        <f>IFERROR(VLOOKUP(X72,FAST!$B$7:$M$9722,12,0),"0")</f>
        <v>0.5</v>
      </c>
      <c r="Z72" s="95">
        <f>IFERROR(VLOOKUP(X72,FAST!$B$7:$N$9722,13,0),"0")</f>
        <v>65000</v>
      </c>
      <c r="AA72" s="96">
        <f t="shared" si="1"/>
        <v>32500</v>
      </c>
      <c r="AB72" s="97">
        <f t="shared" si="2"/>
        <v>0</v>
      </c>
      <c r="AC72" s="98">
        <f t="shared" si="3"/>
        <v>0</v>
      </c>
      <c r="AD72" s="99">
        <f t="shared" si="4"/>
        <v>0</v>
      </c>
    </row>
    <row r="73" spans="1:30" x14ac:dyDescent="0.25">
      <c r="A73" s="41"/>
      <c r="B73" s="80"/>
      <c r="C73" s="52" t="s">
        <v>477</v>
      </c>
      <c r="D73" s="52" t="s">
        <v>426</v>
      </c>
      <c r="E73" s="52" t="s">
        <v>427</v>
      </c>
      <c r="F73" s="107" t="s">
        <v>449</v>
      </c>
      <c r="G73" s="107" t="s">
        <v>422</v>
      </c>
      <c r="H73" s="107" t="s">
        <v>41</v>
      </c>
      <c r="I73" s="107" t="s">
        <v>17</v>
      </c>
      <c r="J73" s="53" t="s">
        <v>61</v>
      </c>
      <c r="K73" s="53" t="s">
        <v>17</v>
      </c>
      <c r="L73" s="73">
        <v>0.1</v>
      </c>
      <c r="M73" s="103">
        <v>42000</v>
      </c>
      <c r="N73" s="74">
        <v>4200</v>
      </c>
      <c r="O73" s="104"/>
      <c r="P73" s="82" t="s">
        <v>18</v>
      </c>
      <c r="Q73" s="82" t="s">
        <v>347</v>
      </c>
      <c r="R73" s="82"/>
      <c r="S73" s="82"/>
      <c r="T73" s="89" t="s">
        <v>19</v>
      </c>
      <c r="U73" s="41" t="str">
        <f>VLOOKUP(J73,Sheet1!$A$2:$D$200,4,0)</f>
        <v>NL300073</v>
      </c>
      <c r="V73" s="41" t="str">
        <f>VLOOKUP(U73,Sheet1!$D$2:$E$200,2,0)</f>
        <v>Lá chanh</v>
      </c>
      <c r="W73" s="94" t="str">
        <f t="shared" si="0"/>
        <v>21NL300073</v>
      </c>
      <c r="X73" s="94" t="str">
        <f>COUNTIF($R$15:W73,W73)&amp;W73</f>
        <v>121NL300073</v>
      </c>
      <c r="Y73" s="95">
        <f>IFERROR(VLOOKUP(X73,FAST!$B$7:$M$9722,12,0),"0")</f>
        <v>0.1</v>
      </c>
      <c r="Z73" s="95">
        <f>IFERROR(VLOOKUP(X73,FAST!$B$7:$N$9722,13,0),"0")</f>
        <v>42000</v>
      </c>
      <c r="AA73" s="96">
        <f t="shared" si="1"/>
        <v>4200</v>
      </c>
      <c r="AB73" s="97">
        <f t="shared" si="2"/>
        <v>0</v>
      </c>
      <c r="AC73" s="98">
        <f t="shared" si="3"/>
        <v>0</v>
      </c>
      <c r="AD73" s="99">
        <f t="shared" si="4"/>
        <v>0</v>
      </c>
    </row>
    <row r="74" spans="1:30" x14ac:dyDescent="0.25">
      <c r="A74" s="41"/>
      <c r="B74" s="80"/>
      <c r="C74" s="52" t="s">
        <v>477</v>
      </c>
      <c r="D74" s="52" t="s">
        <v>426</v>
      </c>
      <c r="E74" s="52" t="s">
        <v>427</v>
      </c>
      <c r="F74" s="107" t="s">
        <v>449</v>
      </c>
      <c r="G74" s="107" t="s">
        <v>423</v>
      </c>
      <c r="H74" s="107" t="s">
        <v>42</v>
      </c>
      <c r="I74" s="107" t="s">
        <v>17</v>
      </c>
      <c r="J74" s="53" t="s">
        <v>31</v>
      </c>
      <c r="K74" s="53" t="s">
        <v>17</v>
      </c>
      <c r="L74" s="73">
        <v>6.7</v>
      </c>
      <c r="M74" s="103">
        <v>27000</v>
      </c>
      <c r="N74" s="74">
        <v>180900</v>
      </c>
      <c r="O74" s="104"/>
      <c r="P74" s="82" t="s">
        <v>18</v>
      </c>
      <c r="Q74" s="82" t="s">
        <v>347</v>
      </c>
      <c r="R74" s="82"/>
      <c r="S74" s="82"/>
      <c r="T74" s="89" t="s">
        <v>19</v>
      </c>
      <c r="U74" s="41" t="str">
        <f>VLOOKUP(J74,Sheet1!$A$2:$D$200,4,0)</f>
        <v>NL300088</v>
      </c>
      <c r="V74" s="41" t="str">
        <f>VLOOKUP(U74,Sheet1!$D$2:$E$200,2,0)</f>
        <v>Mướp hương</v>
      </c>
      <c r="W74" s="94" t="str">
        <f t="shared" si="0"/>
        <v>21NL300088</v>
      </c>
      <c r="X74" s="94" t="str">
        <f>COUNTIF($R$15:W74,W74)&amp;W74</f>
        <v>121NL300088</v>
      </c>
      <c r="Y74" s="95">
        <f>IFERROR(VLOOKUP(X74,FAST!$B$7:$M$9722,12,0),"0")</f>
        <v>6.7</v>
      </c>
      <c r="Z74" s="95">
        <f>IFERROR(VLOOKUP(X74,FAST!$B$7:$N$9722,13,0),"0")</f>
        <v>27000</v>
      </c>
      <c r="AA74" s="96">
        <f t="shared" si="1"/>
        <v>180900</v>
      </c>
      <c r="AB74" s="97">
        <f t="shared" si="2"/>
        <v>0</v>
      </c>
      <c r="AC74" s="98">
        <f t="shared" si="3"/>
        <v>0</v>
      </c>
      <c r="AD74" s="99">
        <f t="shared" si="4"/>
        <v>0</v>
      </c>
    </row>
    <row r="75" spans="1:30" x14ac:dyDescent="0.25">
      <c r="A75" s="41"/>
      <c r="B75" s="80"/>
      <c r="C75" s="52" t="s">
        <v>477</v>
      </c>
      <c r="D75" s="52" t="s">
        <v>426</v>
      </c>
      <c r="E75" s="52" t="s">
        <v>427</v>
      </c>
      <c r="F75" s="107" t="s">
        <v>449</v>
      </c>
      <c r="G75" s="107" t="s">
        <v>413</v>
      </c>
      <c r="H75" s="107" t="s">
        <v>68</v>
      </c>
      <c r="I75" s="107" t="s">
        <v>17</v>
      </c>
      <c r="J75" s="53" t="s">
        <v>39</v>
      </c>
      <c r="K75" s="53" t="s">
        <v>17</v>
      </c>
      <c r="L75" s="73">
        <v>5</v>
      </c>
      <c r="M75" s="103">
        <v>145000</v>
      </c>
      <c r="N75" s="74">
        <v>725000</v>
      </c>
      <c r="O75" s="104"/>
      <c r="P75" s="82" t="s">
        <v>18</v>
      </c>
      <c r="Q75" s="82" t="s">
        <v>347</v>
      </c>
      <c r="R75" s="82"/>
      <c r="S75" s="82"/>
      <c r="T75" s="89" t="s">
        <v>19</v>
      </c>
      <c r="U75" s="41" t="str">
        <f>VLOOKUP(J75,Sheet1!$A$2:$D$200,4,0)</f>
        <v>NL300090</v>
      </c>
      <c r="V75" s="41" t="str">
        <f>VLOOKUP(U75,Sheet1!$D$2:$E$200,2,0)</f>
        <v>Nấm đông cô tươi</v>
      </c>
      <c r="W75" s="94" t="str">
        <f t="shared" si="0"/>
        <v>21NL300090</v>
      </c>
      <c r="X75" s="94" t="str">
        <f>COUNTIF($R$15:W75,W75)&amp;W75</f>
        <v>121NL300090</v>
      </c>
      <c r="Y75" s="95">
        <f>IFERROR(VLOOKUP(X75,FAST!$B$7:$M$9722,12,0),"0")</f>
        <v>5</v>
      </c>
      <c r="Z75" s="95">
        <f>IFERROR(VLOOKUP(X75,FAST!$B$7:$N$9722,13,0),"0")</f>
        <v>145000</v>
      </c>
      <c r="AA75" s="96">
        <f t="shared" si="1"/>
        <v>725000</v>
      </c>
      <c r="AB75" s="97">
        <f t="shared" si="2"/>
        <v>0</v>
      </c>
      <c r="AC75" s="98">
        <f t="shared" si="3"/>
        <v>0</v>
      </c>
      <c r="AD75" s="99">
        <f t="shared" si="4"/>
        <v>0</v>
      </c>
    </row>
    <row r="76" spans="1:30" x14ac:dyDescent="0.25">
      <c r="A76" s="41"/>
      <c r="B76" s="80"/>
      <c r="C76" s="52" t="s">
        <v>477</v>
      </c>
      <c r="D76" s="52" t="s">
        <v>426</v>
      </c>
      <c r="E76" s="52" t="s">
        <v>427</v>
      </c>
      <c r="F76" s="107" t="s">
        <v>449</v>
      </c>
      <c r="G76" s="107" t="s">
        <v>442</v>
      </c>
      <c r="H76" s="107" t="s">
        <v>65</v>
      </c>
      <c r="I76" s="107" t="s">
        <v>17</v>
      </c>
      <c r="J76" s="53" t="s">
        <v>40</v>
      </c>
      <c r="K76" s="53" t="s">
        <v>17</v>
      </c>
      <c r="L76" s="73">
        <v>4</v>
      </c>
      <c r="M76" s="103">
        <v>47000</v>
      </c>
      <c r="N76" s="74">
        <v>188000</v>
      </c>
      <c r="O76" s="104"/>
      <c r="P76" s="82" t="s">
        <v>18</v>
      </c>
      <c r="Q76" s="82" t="s">
        <v>347</v>
      </c>
      <c r="R76" s="82"/>
      <c r="S76" s="82"/>
      <c r="T76" s="89" t="s">
        <v>19</v>
      </c>
      <c r="U76" s="41" t="str">
        <f>VLOOKUP(J76,Sheet1!$A$2:$D$200,4,0)</f>
        <v>NL300091</v>
      </c>
      <c r="V76" s="41" t="str">
        <f>VLOOKUP(U76,Sheet1!$D$2:$E$200,2,0)</f>
        <v>Nấm đùi gà</v>
      </c>
      <c r="W76" s="94" t="str">
        <f t="shared" si="0"/>
        <v>21NL300091</v>
      </c>
      <c r="X76" s="94" t="str">
        <f>COUNTIF($R$15:W76,W76)&amp;W76</f>
        <v>121NL300091</v>
      </c>
      <c r="Y76" s="95">
        <f>IFERROR(VLOOKUP(X76,FAST!$B$7:$M$9722,12,0),"0")</f>
        <v>4</v>
      </c>
      <c r="Z76" s="95">
        <f>IFERROR(VLOOKUP(X76,FAST!$B$7:$N$9722,13,0),"0")</f>
        <v>47000</v>
      </c>
      <c r="AA76" s="96">
        <f t="shared" si="1"/>
        <v>188000</v>
      </c>
      <c r="AB76" s="97">
        <f t="shared" si="2"/>
        <v>0</v>
      </c>
      <c r="AC76" s="98">
        <f t="shared" si="3"/>
        <v>0</v>
      </c>
      <c r="AD76" s="99">
        <f t="shared" si="4"/>
        <v>0</v>
      </c>
    </row>
    <row r="77" spans="1:30" x14ac:dyDescent="0.25">
      <c r="A77" s="41"/>
      <c r="B77" s="80"/>
      <c r="C77" s="52" t="s">
        <v>477</v>
      </c>
      <c r="D77" s="52" t="s">
        <v>426</v>
      </c>
      <c r="E77" s="52" t="s">
        <v>427</v>
      </c>
      <c r="F77" s="107" t="s">
        <v>449</v>
      </c>
      <c r="G77" s="107" t="s">
        <v>414</v>
      </c>
      <c r="H77" s="107" t="s">
        <v>32</v>
      </c>
      <c r="I77" s="107" t="s">
        <v>17</v>
      </c>
      <c r="J77" s="53" t="s">
        <v>43</v>
      </c>
      <c r="K77" s="53" t="s">
        <v>17</v>
      </c>
      <c r="L77" s="73">
        <v>2</v>
      </c>
      <c r="M77" s="103">
        <v>90000</v>
      </c>
      <c r="N77" s="74">
        <v>180000</v>
      </c>
      <c r="O77" s="104"/>
      <c r="P77" s="82" t="s">
        <v>18</v>
      </c>
      <c r="Q77" s="82" t="s">
        <v>347</v>
      </c>
      <c r="R77" s="82"/>
      <c r="S77" s="82"/>
      <c r="T77" s="89" t="s">
        <v>19</v>
      </c>
      <c r="U77" s="41" t="str">
        <f>VLOOKUP(J77,Sheet1!$A$2:$D$200,4,0)</f>
        <v>NL300092</v>
      </c>
      <c r="V77" s="41" t="str">
        <f>VLOOKUP(U77,Sheet1!$D$2:$E$200,2,0)</f>
        <v>Nấm đùi gà baby</v>
      </c>
      <c r="W77" s="94" t="str">
        <f t="shared" si="0"/>
        <v>21NL300092</v>
      </c>
      <c r="X77" s="94" t="str">
        <f>COUNTIF($R$15:W77,W77)&amp;W77</f>
        <v>121NL300092</v>
      </c>
      <c r="Y77" s="95">
        <f>IFERROR(VLOOKUP(X77,FAST!$B$7:$M$9722,12,0),"0")</f>
        <v>2</v>
      </c>
      <c r="Z77" s="95">
        <f>IFERROR(VLOOKUP(X77,FAST!$B$7:$N$9722,13,0),"0")</f>
        <v>90000</v>
      </c>
      <c r="AA77" s="96">
        <f t="shared" si="1"/>
        <v>180000</v>
      </c>
      <c r="AB77" s="97">
        <f t="shared" si="2"/>
        <v>0</v>
      </c>
      <c r="AC77" s="98">
        <f t="shared" si="3"/>
        <v>0</v>
      </c>
      <c r="AD77" s="99">
        <f t="shared" si="4"/>
        <v>0</v>
      </c>
    </row>
    <row r="78" spans="1:30" x14ac:dyDescent="0.25">
      <c r="A78" s="41"/>
      <c r="B78" s="80"/>
      <c r="C78" s="52" t="s">
        <v>477</v>
      </c>
      <c r="D78" s="52" t="s">
        <v>426</v>
      </c>
      <c r="E78" s="52" t="s">
        <v>427</v>
      </c>
      <c r="F78" s="107" t="s">
        <v>449</v>
      </c>
      <c r="G78" s="107" t="s">
        <v>420</v>
      </c>
      <c r="H78" s="107" t="s">
        <v>33</v>
      </c>
      <c r="I78" s="107" t="s">
        <v>17</v>
      </c>
      <c r="J78" s="53" t="s">
        <v>67</v>
      </c>
      <c r="K78" s="53" t="s">
        <v>17</v>
      </c>
      <c r="L78" s="73">
        <v>0.3</v>
      </c>
      <c r="M78" s="103">
        <v>80000</v>
      </c>
      <c r="N78" s="74">
        <v>24000</v>
      </c>
      <c r="O78" s="104"/>
      <c r="P78" s="82" t="s">
        <v>18</v>
      </c>
      <c r="Q78" s="82" t="s">
        <v>347</v>
      </c>
      <c r="R78" s="82"/>
      <c r="S78" s="82"/>
      <c r="T78" s="89" t="s">
        <v>19</v>
      </c>
      <c r="U78" s="41" t="str">
        <f>VLOOKUP(J78,Sheet1!$A$2:$D$200,4,0)</f>
        <v>NL300094</v>
      </c>
      <c r="V78" s="41" t="str">
        <f>VLOOKUP(U78,Sheet1!$D$2:$E$200,2,0)</f>
        <v>Nấm hải sản</v>
      </c>
      <c r="W78" s="94" t="str">
        <f t="shared" si="0"/>
        <v>21NL300094</v>
      </c>
      <c r="X78" s="94" t="str">
        <f>COUNTIF($R$15:W78,W78)&amp;W78</f>
        <v>121NL300094</v>
      </c>
      <c r="Y78" s="95">
        <f>IFERROR(VLOOKUP(X78,FAST!$B$7:$M$9722,12,0),"0")</f>
        <v>0.3</v>
      </c>
      <c r="Z78" s="95">
        <f>IFERROR(VLOOKUP(X78,FAST!$B$7:$N$9722,13,0),"0")</f>
        <v>80000</v>
      </c>
      <c r="AA78" s="96">
        <f t="shared" si="1"/>
        <v>24000</v>
      </c>
      <c r="AB78" s="97">
        <f t="shared" si="2"/>
        <v>0</v>
      </c>
      <c r="AC78" s="98">
        <f t="shared" si="3"/>
        <v>0</v>
      </c>
      <c r="AD78" s="99">
        <f t="shared" si="4"/>
        <v>0</v>
      </c>
    </row>
    <row r="79" spans="1:30" x14ac:dyDescent="0.25">
      <c r="A79" s="41"/>
      <c r="B79" s="80"/>
      <c r="C79" s="52" t="s">
        <v>477</v>
      </c>
      <c r="D79" s="52" t="s">
        <v>426</v>
      </c>
      <c r="E79" s="52" t="s">
        <v>427</v>
      </c>
      <c r="F79" s="107" t="s">
        <v>449</v>
      </c>
      <c r="G79" s="107" t="s">
        <v>443</v>
      </c>
      <c r="H79" s="107" t="s">
        <v>51</v>
      </c>
      <c r="I79" s="107" t="s">
        <v>17</v>
      </c>
      <c r="J79" s="53" t="s">
        <v>41</v>
      </c>
      <c r="K79" s="53" t="s">
        <v>17</v>
      </c>
      <c r="L79" s="73">
        <v>9</v>
      </c>
      <c r="M79" s="103">
        <v>45000</v>
      </c>
      <c r="N79" s="74">
        <v>405000</v>
      </c>
      <c r="O79" s="104"/>
      <c r="P79" s="82" t="s">
        <v>18</v>
      </c>
      <c r="Q79" s="82" t="s">
        <v>347</v>
      </c>
      <c r="R79" s="82"/>
      <c r="S79" s="82"/>
      <c r="T79" s="89" t="s">
        <v>19</v>
      </c>
      <c r="U79" s="41" t="str">
        <f>VLOOKUP(J79,Sheet1!$A$2:$D$200,4,0)</f>
        <v>NL300096</v>
      </c>
      <c r="V79" s="41" t="str">
        <f>VLOOKUP(U79,Sheet1!$D$2:$E$200,2,0)</f>
        <v>Nấm kim châm tươi</v>
      </c>
      <c r="W79" s="94" t="str">
        <f t="shared" si="0"/>
        <v>21NL300096</v>
      </c>
      <c r="X79" s="94" t="str">
        <f>COUNTIF($R$15:W79,W79)&amp;W79</f>
        <v>121NL300096</v>
      </c>
      <c r="Y79" s="95">
        <f>IFERROR(VLOOKUP(X79,FAST!$B$7:$M$9722,12,0),"0")</f>
        <v>9</v>
      </c>
      <c r="Z79" s="95">
        <f>IFERROR(VLOOKUP(X79,FAST!$B$7:$N$9722,13,0),"0")</f>
        <v>45000</v>
      </c>
      <c r="AA79" s="96">
        <f t="shared" si="1"/>
        <v>405000</v>
      </c>
      <c r="AB79" s="97">
        <f t="shared" si="2"/>
        <v>0</v>
      </c>
      <c r="AC79" s="98">
        <f t="shared" si="3"/>
        <v>0</v>
      </c>
      <c r="AD79" s="99">
        <f t="shared" si="4"/>
        <v>0</v>
      </c>
    </row>
    <row r="80" spans="1:30" x14ac:dyDescent="0.25">
      <c r="A80" s="41"/>
      <c r="B80" s="80"/>
      <c r="C80" s="52" t="s">
        <v>477</v>
      </c>
      <c r="D80" s="52" t="s">
        <v>426</v>
      </c>
      <c r="E80" s="52" t="s">
        <v>427</v>
      </c>
      <c r="F80" s="107" t="s">
        <v>449</v>
      </c>
      <c r="G80" s="107" t="s">
        <v>452</v>
      </c>
      <c r="H80" s="107" t="s">
        <v>48</v>
      </c>
      <c r="I80" s="107" t="s">
        <v>17</v>
      </c>
      <c r="J80" s="53" t="s">
        <v>42</v>
      </c>
      <c r="K80" s="53" t="s">
        <v>17</v>
      </c>
      <c r="L80" s="73">
        <v>2.6</v>
      </c>
      <c r="M80" s="103">
        <v>90000</v>
      </c>
      <c r="N80" s="74">
        <v>234000</v>
      </c>
      <c r="O80" s="104"/>
      <c r="P80" s="82" t="s">
        <v>18</v>
      </c>
      <c r="Q80" s="82" t="s">
        <v>347</v>
      </c>
      <c r="R80" s="82"/>
      <c r="S80" s="82"/>
      <c r="T80" s="89" t="s">
        <v>19</v>
      </c>
      <c r="U80" s="41" t="str">
        <f>VLOOKUP(J80,Sheet1!$A$2:$D$200,4,0)</f>
        <v>NL300097</v>
      </c>
      <c r="V80" s="41" t="str">
        <f>VLOOKUP(U80,Sheet1!$D$2:$E$200,2,0)</f>
        <v>Nấm Linh Chi nâu</v>
      </c>
      <c r="W80" s="94" t="str">
        <f t="shared" ref="W80:W143" si="5">DAY(C80)&amp;MONTH(C80)&amp;U80</f>
        <v>21NL300097</v>
      </c>
      <c r="X80" s="94" t="str">
        <f>COUNTIF($R$15:W80,W80)&amp;W80</f>
        <v>121NL300097</v>
      </c>
      <c r="Y80" s="95">
        <f>IFERROR(VLOOKUP(X80,FAST!$B$7:$M$9722,12,0),"0")</f>
        <v>2.6</v>
      </c>
      <c r="Z80" s="95">
        <f>IFERROR(VLOOKUP(X80,FAST!$B$7:$N$9722,13,0),"0")</f>
        <v>90000</v>
      </c>
      <c r="AA80" s="96">
        <f t="shared" ref="AA80:AA143" si="6">Y80*Z80</f>
        <v>234000</v>
      </c>
      <c r="AB80" s="97">
        <f t="shared" ref="AB80:AB143" si="7">Y80-L80</f>
        <v>0</v>
      </c>
      <c r="AC80" s="98">
        <f t="shared" ref="AC80:AC143" si="8">Z80-M80</f>
        <v>0</v>
      </c>
      <c r="AD80" s="99">
        <f t="shared" ref="AD80:AD143" si="9">AA80-N80</f>
        <v>0</v>
      </c>
    </row>
    <row r="81" spans="1:30" x14ac:dyDescent="0.25">
      <c r="A81" s="41"/>
      <c r="B81" s="80"/>
      <c r="C81" s="52" t="s">
        <v>477</v>
      </c>
      <c r="D81" s="52" t="s">
        <v>426</v>
      </c>
      <c r="E81" s="52" t="s">
        <v>427</v>
      </c>
      <c r="F81" s="107" t="s">
        <v>449</v>
      </c>
      <c r="G81" s="107" t="s">
        <v>444</v>
      </c>
      <c r="H81" s="107" t="s">
        <v>35</v>
      </c>
      <c r="I81" s="107" t="s">
        <v>17</v>
      </c>
      <c r="J81" s="53" t="s">
        <v>68</v>
      </c>
      <c r="K81" s="53" t="s">
        <v>17</v>
      </c>
      <c r="L81" s="73">
        <v>0.4</v>
      </c>
      <c r="M81" s="103">
        <v>95000</v>
      </c>
      <c r="N81" s="74">
        <v>38000</v>
      </c>
      <c r="O81" s="104"/>
      <c r="P81" s="82" t="s">
        <v>18</v>
      </c>
      <c r="Q81" s="82" t="s">
        <v>347</v>
      </c>
      <c r="R81" s="82"/>
      <c r="S81" s="82"/>
      <c r="T81" s="89" t="s">
        <v>19</v>
      </c>
      <c r="U81" s="41" t="str">
        <f>VLOOKUP(J81,Sheet1!$A$2:$D$200,4,0)</f>
        <v>NL300098</v>
      </c>
      <c r="V81" s="41" t="str">
        <f>VLOOKUP(U81,Sheet1!$D$2:$E$200,2,0)</f>
        <v>Nấm Linh Chi trắng</v>
      </c>
      <c r="W81" s="94" t="str">
        <f t="shared" si="5"/>
        <v>21NL300098</v>
      </c>
      <c r="X81" s="94" t="str">
        <f>COUNTIF($R$15:W81,W81)&amp;W81</f>
        <v>121NL300098</v>
      </c>
      <c r="Y81" s="95">
        <f>IFERROR(VLOOKUP(X81,FAST!$B$7:$M$9722,12,0),"0")</f>
        <v>0.4</v>
      </c>
      <c r="Z81" s="95">
        <f>IFERROR(VLOOKUP(X81,FAST!$B$7:$N$9722,13,0),"0")</f>
        <v>95000</v>
      </c>
      <c r="AA81" s="96">
        <f t="shared" si="6"/>
        <v>38000</v>
      </c>
      <c r="AB81" s="97">
        <f t="shared" si="7"/>
        <v>0</v>
      </c>
      <c r="AC81" s="98">
        <f t="shared" si="8"/>
        <v>0</v>
      </c>
      <c r="AD81" s="99">
        <f t="shared" si="9"/>
        <v>0</v>
      </c>
    </row>
    <row r="82" spans="1:30" x14ac:dyDescent="0.25">
      <c r="A82" s="41"/>
      <c r="B82" s="80"/>
      <c r="C82" s="52" t="s">
        <v>477</v>
      </c>
      <c r="D82" s="52" t="s">
        <v>426</v>
      </c>
      <c r="E82" s="52" t="s">
        <v>427</v>
      </c>
      <c r="F82" s="107" t="s">
        <v>449</v>
      </c>
      <c r="G82" s="107" t="s">
        <v>445</v>
      </c>
      <c r="H82" s="107" t="s">
        <v>36</v>
      </c>
      <c r="I82" s="107" t="s">
        <v>17</v>
      </c>
      <c r="J82" s="53" t="s">
        <v>32</v>
      </c>
      <c r="K82" s="53" t="s">
        <v>17</v>
      </c>
      <c r="L82" s="73">
        <v>5.5</v>
      </c>
      <c r="M82" s="103">
        <v>45000</v>
      </c>
      <c r="N82" s="74">
        <v>247500</v>
      </c>
      <c r="O82" s="104"/>
      <c r="P82" s="82" t="s">
        <v>18</v>
      </c>
      <c r="Q82" s="82" t="s">
        <v>347</v>
      </c>
      <c r="R82" s="82"/>
      <c r="S82" s="82"/>
      <c r="T82" s="89" t="s">
        <v>19</v>
      </c>
      <c r="U82" s="41" t="str">
        <f>VLOOKUP(J82,Sheet1!$A$2:$D$200,4,0)</f>
        <v>NL300085</v>
      </c>
      <c r="V82" s="41" t="str">
        <f>VLOOKUP(U82,Sheet1!$D$2:$E$200,2,0)</f>
        <v>Mùi ta ( Ngò rí )</v>
      </c>
      <c r="W82" s="94" t="str">
        <f t="shared" si="5"/>
        <v>21NL300085</v>
      </c>
      <c r="X82" s="94" t="str">
        <f>COUNTIF($R$15:W82,W82)&amp;W82</f>
        <v>121NL300085</v>
      </c>
      <c r="Y82" s="95">
        <f>IFERROR(VLOOKUP(X82,FAST!$B$7:$M$9722,12,0),"0")</f>
        <v>5.5</v>
      </c>
      <c r="Z82" s="95">
        <f>IFERROR(VLOOKUP(X82,FAST!$B$7:$N$9722,13,0),"0")</f>
        <v>45000</v>
      </c>
      <c r="AA82" s="96">
        <f t="shared" si="6"/>
        <v>247500</v>
      </c>
      <c r="AB82" s="97">
        <f t="shared" si="7"/>
        <v>0</v>
      </c>
      <c r="AC82" s="98">
        <f t="shared" si="8"/>
        <v>0</v>
      </c>
      <c r="AD82" s="99">
        <f t="shared" si="9"/>
        <v>0</v>
      </c>
    </row>
    <row r="83" spans="1:30" x14ac:dyDescent="0.25">
      <c r="A83" s="41"/>
      <c r="B83" s="80"/>
      <c r="C83" s="52" t="s">
        <v>477</v>
      </c>
      <c r="D83" s="52" t="s">
        <v>426</v>
      </c>
      <c r="E83" s="52" t="s">
        <v>427</v>
      </c>
      <c r="F83" s="107" t="s">
        <v>449</v>
      </c>
      <c r="G83" s="107" t="s">
        <v>416</v>
      </c>
      <c r="H83" s="107" t="s">
        <v>60</v>
      </c>
      <c r="I83" s="107" t="s">
        <v>17</v>
      </c>
      <c r="J83" s="53" t="s">
        <v>66</v>
      </c>
      <c r="K83" s="53" t="s">
        <v>17</v>
      </c>
      <c r="L83" s="73">
        <v>0.1</v>
      </c>
      <c r="M83" s="103">
        <v>70000</v>
      </c>
      <c r="N83" s="74">
        <v>7000</v>
      </c>
      <c r="O83" s="104"/>
      <c r="P83" s="82" t="s">
        <v>18</v>
      </c>
      <c r="Q83" s="82" t="s">
        <v>347</v>
      </c>
      <c r="R83" s="82"/>
      <c r="S83" s="82"/>
      <c r="T83" s="89" t="s">
        <v>19</v>
      </c>
      <c r="U83" s="41" t="str">
        <f>VLOOKUP(J83,Sheet1!$A$2:$D$200,4,0)</f>
        <v>NL300126</v>
      </c>
      <c r="V83" s="41" t="str">
        <f>VLOOKUP(U83,Sheet1!$D$2:$E$200,2,0)</f>
        <v>Rau mùi tây</v>
      </c>
      <c r="W83" s="94" t="str">
        <f t="shared" si="5"/>
        <v>21NL300126</v>
      </c>
      <c r="X83" s="94" t="str">
        <f>COUNTIF($R$15:W83,W83)&amp;W83</f>
        <v>121NL300126</v>
      </c>
      <c r="Y83" s="95">
        <f>IFERROR(VLOOKUP(X83,FAST!$B$7:$M$9722,12,0),"0")</f>
        <v>0.1</v>
      </c>
      <c r="Z83" s="95">
        <f>IFERROR(VLOOKUP(X83,FAST!$B$7:$N$9722,13,0),"0")</f>
        <v>70000</v>
      </c>
      <c r="AA83" s="96">
        <f t="shared" si="6"/>
        <v>7000</v>
      </c>
      <c r="AB83" s="97">
        <f t="shared" si="7"/>
        <v>0</v>
      </c>
      <c r="AC83" s="98">
        <f t="shared" si="8"/>
        <v>0</v>
      </c>
      <c r="AD83" s="99">
        <f t="shared" si="9"/>
        <v>0</v>
      </c>
    </row>
    <row r="84" spans="1:30" x14ac:dyDescent="0.25">
      <c r="A84" s="41"/>
      <c r="B84" s="80"/>
      <c r="C84" s="52" t="s">
        <v>477</v>
      </c>
      <c r="D84" s="52" t="s">
        <v>426</v>
      </c>
      <c r="E84" s="52" t="s">
        <v>427</v>
      </c>
      <c r="F84" s="107" t="s">
        <v>449</v>
      </c>
      <c r="G84" s="107" t="s">
        <v>446</v>
      </c>
      <c r="H84" s="107" t="s">
        <v>58</v>
      </c>
      <c r="I84" s="107" t="s">
        <v>17</v>
      </c>
      <c r="J84" s="53" t="s">
        <v>33</v>
      </c>
      <c r="K84" s="53" t="s">
        <v>17</v>
      </c>
      <c r="L84" s="73">
        <v>1.8</v>
      </c>
      <c r="M84" s="103">
        <v>145000</v>
      </c>
      <c r="N84" s="74">
        <v>261000</v>
      </c>
      <c r="O84" s="104"/>
      <c r="P84" s="82" t="s">
        <v>18</v>
      </c>
      <c r="Q84" s="82" t="s">
        <v>347</v>
      </c>
      <c r="R84" s="82"/>
      <c r="S84" s="82"/>
      <c r="T84" s="89" t="s">
        <v>19</v>
      </c>
      <c r="U84" s="41" t="str">
        <f>VLOOKUP(J84,Sheet1!$A$2:$D$200,4,0)</f>
        <v>NL300113</v>
      </c>
      <c r="V84" s="41" t="str">
        <f>VLOOKUP(U84,Sheet1!$D$2:$E$200,2,0)</f>
        <v>Ớt hiểm đỏ</v>
      </c>
      <c r="W84" s="94" t="str">
        <f t="shared" si="5"/>
        <v>21NL300113</v>
      </c>
      <c r="X84" s="94" t="str">
        <f>COUNTIF($R$15:W84,W84)&amp;W84</f>
        <v>121NL300113</v>
      </c>
      <c r="Y84" s="95">
        <f>IFERROR(VLOOKUP(X84,FAST!$B$7:$M$9722,12,0),"0")</f>
        <v>1.8</v>
      </c>
      <c r="Z84" s="95">
        <f>IFERROR(VLOOKUP(X84,FAST!$B$7:$N$9722,13,0),"0")</f>
        <v>145000</v>
      </c>
      <c r="AA84" s="96">
        <f t="shared" si="6"/>
        <v>261000</v>
      </c>
      <c r="AB84" s="97">
        <f t="shared" si="7"/>
        <v>0</v>
      </c>
      <c r="AC84" s="98">
        <f t="shared" si="8"/>
        <v>0</v>
      </c>
      <c r="AD84" s="99">
        <f t="shared" si="9"/>
        <v>0</v>
      </c>
    </row>
    <row r="85" spans="1:30" x14ac:dyDescent="0.25">
      <c r="A85" s="41"/>
      <c r="B85" s="80"/>
      <c r="C85" s="52" t="s">
        <v>477</v>
      </c>
      <c r="D85" s="52" t="s">
        <v>426</v>
      </c>
      <c r="E85" s="52" t="s">
        <v>427</v>
      </c>
      <c r="F85" s="107" t="s">
        <v>449</v>
      </c>
      <c r="G85" s="107" t="s">
        <v>453</v>
      </c>
      <c r="H85" s="107" t="s">
        <v>78</v>
      </c>
      <c r="I85" s="107" t="s">
        <v>17</v>
      </c>
      <c r="J85" s="53" t="s">
        <v>51</v>
      </c>
      <c r="K85" s="53" t="s">
        <v>17</v>
      </c>
      <c r="L85" s="73">
        <v>0.5</v>
      </c>
      <c r="M85" s="103">
        <v>148000</v>
      </c>
      <c r="N85" s="74">
        <v>74000</v>
      </c>
      <c r="O85" s="104"/>
      <c r="P85" s="82" t="s">
        <v>18</v>
      </c>
      <c r="Q85" s="82" t="s">
        <v>347</v>
      </c>
      <c r="R85" s="82"/>
      <c r="S85" s="82"/>
      <c r="T85" s="89" t="s">
        <v>19</v>
      </c>
      <c r="U85" s="41" t="str">
        <f>VLOOKUP(J85,Sheet1!$A$2:$D$200,4,0)</f>
        <v>NL300116</v>
      </c>
      <c r="V85" s="41" t="str">
        <f>VLOOKUP(U85,Sheet1!$D$2:$E$200,2,0)</f>
        <v>Ớt sừng</v>
      </c>
      <c r="W85" s="94" t="str">
        <f t="shared" si="5"/>
        <v>21NL300116</v>
      </c>
      <c r="X85" s="94" t="str">
        <f>COUNTIF($R$15:W85,W85)&amp;W85</f>
        <v>121NL300116</v>
      </c>
      <c r="Y85" s="95">
        <f>IFERROR(VLOOKUP(X85,FAST!$B$7:$M$9722,12,0),"0")</f>
        <v>0.5</v>
      </c>
      <c r="Z85" s="95">
        <f>IFERROR(VLOOKUP(X85,FAST!$B$7:$N$9722,13,0),"0")</f>
        <v>148000</v>
      </c>
      <c r="AA85" s="96">
        <f t="shared" si="6"/>
        <v>74000</v>
      </c>
      <c r="AB85" s="97">
        <f t="shared" si="7"/>
        <v>0</v>
      </c>
      <c r="AC85" s="98">
        <f t="shared" si="8"/>
        <v>0</v>
      </c>
      <c r="AD85" s="99">
        <f t="shared" si="9"/>
        <v>0</v>
      </c>
    </row>
    <row r="86" spans="1:30" x14ac:dyDescent="0.25">
      <c r="A86" s="41"/>
      <c r="B86" s="80"/>
      <c r="C86" s="52" t="s">
        <v>477</v>
      </c>
      <c r="D86" s="52" t="s">
        <v>426</v>
      </c>
      <c r="E86" s="52" t="s">
        <v>427</v>
      </c>
      <c r="F86" s="107" t="s">
        <v>449</v>
      </c>
      <c r="G86" s="107" t="s">
        <v>417</v>
      </c>
      <c r="H86" s="107" t="s">
        <v>38</v>
      </c>
      <c r="I86" s="107" t="s">
        <v>17</v>
      </c>
      <c r="J86" s="53" t="s">
        <v>48</v>
      </c>
      <c r="K86" s="53" t="s">
        <v>17</v>
      </c>
      <c r="L86" s="73">
        <v>1</v>
      </c>
      <c r="M86" s="103">
        <v>42000</v>
      </c>
      <c r="N86" s="74">
        <v>42000</v>
      </c>
      <c r="O86" s="104"/>
      <c r="P86" s="82" t="s">
        <v>18</v>
      </c>
      <c r="Q86" s="82" t="s">
        <v>347</v>
      </c>
      <c r="R86" s="82"/>
      <c r="S86" s="82"/>
      <c r="T86" s="89" t="s">
        <v>19</v>
      </c>
      <c r="U86" s="41" t="str">
        <f>VLOOKUP(J86,Sheet1!$A$2:$D$200,4,0)</f>
        <v>NL300125</v>
      </c>
      <c r="V86" s="41" t="str">
        <f>VLOOKUP(U86,Sheet1!$D$2:$E$200,2,0)</f>
        <v>Rau má</v>
      </c>
      <c r="W86" s="94" t="str">
        <f t="shared" si="5"/>
        <v>21NL300125</v>
      </c>
      <c r="X86" s="94" t="str">
        <f>COUNTIF($R$15:W86,W86)&amp;W86</f>
        <v>121NL300125</v>
      </c>
      <c r="Y86" s="95">
        <f>IFERROR(VLOOKUP(X86,FAST!$B$7:$M$9722,12,0),"0")</f>
        <v>1</v>
      </c>
      <c r="Z86" s="95">
        <f>IFERROR(VLOOKUP(X86,FAST!$B$7:$N$9722,13,0),"0")</f>
        <v>42000</v>
      </c>
      <c r="AA86" s="96">
        <f t="shared" si="6"/>
        <v>42000</v>
      </c>
      <c r="AB86" s="97">
        <f t="shared" si="7"/>
        <v>0</v>
      </c>
      <c r="AC86" s="98">
        <f t="shared" si="8"/>
        <v>0</v>
      </c>
      <c r="AD86" s="99">
        <f t="shared" si="9"/>
        <v>0</v>
      </c>
    </row>
    <row r="87" spans="1:30" x14ac:dyDescent="0.25">
      <c r="A87" s="41"/>
      <c r="B87" s="80"/>
      <c r="C87" s="52" t="s">
        <v>477</v>
      </c>
      <c r="D87" s="52" t="s">
        <v>426</v>
      </c>
      <c r="E87" s="52" t="s">
        <v>427</v>
      </c>
      <c r="F87" s="107" t="s">
        <v>449</v>
      </c>
      <c r="G87" s="107" t="s">
        <v>447</v>
      </c>
      <c r="H87" s="107" t="s">
        <v>52</v>
      </c>
      <c r="I87" s="107" t="s">
        <v>53</v>
      </c>
      <c r="J87" s="53" t="s">
        <v>35</v>
      </c>
      <c r="K87" s="53" t="s">
        <v>17</v>
      </c>
      <c r="L87" s="73">
        <v>0.1</v>
      </c>
      <c r="M87" s="103">
        <v>22000</v>
      </c>
      <c r="N87" s="74">
        <v>2200</v>
      </c>
      <c r="O87" s="104"/>
      <c r="P87" s="82" t="s">
        <v>18</v>
      </c>
      <c r="Q87" s="82" t="s">
        <v>347</v>
      </c>
      <c r="R87" s="82"/>
      <c r="S87" s="82"/>
      <c r="T87" s="89" t="s">
        <v>19</v>
      </c>
      <c r="U87" s="41" t="str">
        <f>VLOOKUP(J87,Sheet1!$A$2:$D$200,4,0)</f>
        <v>NL300121</v>
      </c>
      <c r="V87" s="41" t="str">
        <f>VLOOKUP(U87,Sheet1!$D$2:$E$200,2,0)</f>
        <v>Rau răm</v>
      </c>
      <c r="W87" s="94" t="str">
        <f t="shared" si="5"/>
        <v>21NL300121</v>
      </c>
      <c r="X87" s="94" t="str">
        <f>COUNTIF($R$15:W87,W87)&amp;W87</f>
        <v>121NL300121</v>
      </c>
      <c r="Y87" s="95">
        <f>IFERROR(VLOOKUP(X87,FAST!$B$7:$M$9722,12,0),"0")</f>
        <v>0.1</v>
      </c>
      <c r="Z87" s="95">
        <f>IFERROR(VLOOKUP(X87,FAST!$B$7:$N$9722,13,0),"0")</f>
        <v>22000</v>
      </c>
      <c r="AA87" s="96">
        <f t="shared" si="6"/>
        <v>2200</v>
      </c>
      <c r="AB87" s="97">
        <f t="shared" si="7"/>
        <v>0</v>
      </c>
      <c r="AC87" s="98">
        <f t="shared" si="8"/>
        <v>0</v>
      </c>
      <c r="AD87" s="99">
        <f t="shared" si="9"/>
        <v>0</v>
      </c>
    </row>
    <row r="88" spans="1:30" x14ac:dyDescent="0.25">
      <c r="A88" s="41"/>
      <c r="B88" s="80"/>
      <c r="C88" s="52" t="s">
        <v>477</v>
      </c>
      <c r="D88" s="52" t="s">
        <v>426</v>
      </c>
      <c r="E88" s="52" t="s">
        <v>427</v>
      </c>
      <c r="F88" s="107" t="s">
        <v>449</v>
      </c>
      <c r="G88" s="107" t="s">
        <v>454</v>
      </c>
      <c r="H88" s="107" t="s">
        <v>77</v>
      </c>
      <c r="I88" s="107" t="s">
        <v>17</v>
      </c>
      <c r="J88" s="53" t="s">
        <v>36</v>
      </c>
      <c r="K88" s="53" t="s">
        <v>17</v>
      </c>
      <c r="L88" s="73">
        <v>1.5</v>
      </c>
      <c r="M88" s="103">
        <v>12000</v>
      </c>
      <c r="N88" s="74">
        <v>18000</v>
      </c>
      <c r="O88" s="104"/>
      <c r="P88" s="82" t="s">
        <v>18</v>
      </c>
      <c r="Q88" s="82" t="s">
        <v>347</v>
      </c>
      <c r="R88" s="82"/>
      <c r="S88" s="82"/>
      <c r="T88" s="89" t="s">
        <v>19</v>
      </c>
      <c r="U88" s="41" t="str">
        <f>VLOOKUP(J88,Sheet1!$A$2:$D$200,4,0)</f>
        <v>NL300132</v>
      </c>
      <c r="V88" s="41" t="str">
        <f>VLOOKUP(U88,Sheet1!$D$2:$E$200,2,0)</f>
        <v>Sả cây</v>
      </c>
      <c r="W88" s="94" t="str">
        <f t="shared" si="5"/>
        <v>21NL300132</v>
      </c>
      <c r="X88" s="94" t="str">
        <f>COUNTIF($R$15:W88,W88)&amp;W88</f>
        <v>121NL300132</v>
      </c>
      <c r="Y88" s="95">
        <f>IFERROR(VLOOKUP(X88,FAST!$B$7:$M$9722,12,0),"0")</f>
        <v>1.5</v>
      </c>
      <c r="Z88" s="95">
        <f>IFERROR(VLOOKUP(X88,FAST!$B$7:$N$9722,13,0),"0")</f>
        <v>12000</v>
      </c>
      <c r="AA88" s="96">
        <f t="shared" si="6"/>
        <v>18000</v>
      </c>
      <c r="AB88" s="97">
        <f t="shared" si="7"/>
        <v>0</v>
      </c>
      <c r="AC88" s="98">
        <f t="shared" si="8"/>
        <v>0</v>
      </c>
      <c r="AD88" s="99">
        <f t="shared" si="9"/>
        <v>0</v>
      </c>
    </row>
    <row r="89" spans="1:30" x14ac:dyDescent="0.25">
      <c r="A89" s="41"/>
      <c r="B89" s="80"/>
      <c r="C89" s="52" t="s">
        <v>477</v>
      </c>
      <c r="D89" s="52" t="s">
        <v>426</v>
      </c>
      <c r="E89" s="52" t="s">
        <v>427</v>
      </c>
      <c r="F89" s="107" t="s">
        <v>455</v>
      </c>
      <c r="G89" s="107" t="s">
        <v>447</v>
      </c>
      <c r="H89" s="107" t="s">
        <v>52</v>
      </c>
      <c r="I89" s="107" t="s">
        <v>53</v>
      </c>
      <c r="J89" s="53" t="s">
        <v>60</v>
      </c>
      <c r="K89" s="53" t="s">
        <v>17</v>
      </c>
      <c r="L89" s="73">
        <v>2</v>
      </c>
      <c r="M89" s="103">
        <v>21000</v>
      </c>
      <c r="N89" s="74">
        <v>42000</v>
      </c>
      <c r="O89" s="104"/>
      <c r="P89" s="82" t="s">
        <v>18</v>
      </c>
      <c r="Q89" s="82" t="s">
        <v>347</v>
      </c>
      <c r="R89" s="82"/>
      <c r="S89" s="82"/>
      <c r="T89" s="89" t="s">
        <v>19</v>
      </c>
      <c r="U89" s="41" t="str">
        <f>VLOOKUP(J89,Sheet1!$A$2:$D$200,4,0)</f>
        <v>NL300119</v>
      </c>
      <c r="V89" s="41" t="str">
        <f>VLOOKUP(U89,Sheet1!$D$2:$E$200,2,0)</f>
        <v>Quất ( Tắc trái )</v>
      </c>
      <c r="W89" s="94" t="str">
        <f t="shared" si="5"/>
        <v>21NL300119</v>
      </c>
      <c r="X89" s="94" t="str">
        <f>COUNTIF($R$15:W89,W89)&amp;W89</f>
        <v>121NL300119</v>
      </c>
      <c r="Y89" s="95">
        <f>IFERROR(VLOOKUP(X89,FAST!$B$7:$M$9722,12,0),"0")</f>
        <v>2</v>
      </c>
      <c r="Z89" s="95">
        <f>IFERROR(VLOOKUP(X89,FAST!$B$7:$N$9722,13,0),"0")</f>
        <v>21000</v>
      </c>
      <c r="AA89" s="96">
        <f t="shared" si="6"/>
        <v>42000</v>
      </c>
      <c r="AB89" s="97">
        <f t="shared" si="7"/>
        <v>0</v>
      </c>
      <c r="AC89" s="98">
        <f t="shared" si="8"/>
        <v>0</v>
      </c>
      <c r="AD89" s="99">
        <f t="shared" si="9"/>
        <v>0</v>
      </c>
    </row>
    <row r="90" spans="1:30" x14ac:dyDescent="0.25">
      <c r="A90" s="41"/>
      <c r="B90" s="80"/>
      <c r="C90" s="52" t="s">
        <v>477</v>
      </c>
      <c r="D90" s="52" t="s">
        <v>426</v>
      </c>
      <c r="E90" s="52" t="s">
        <v>427</v>
      </c>
      <c r="F90" s="107" t="s">
        <v>456</v>
      </c>
      <c r="G90" s="107" t="s">
        <v>429</v>
      </c>
      <c r="H90" s="107" t="s">
        <v>54</v>
      </c>
      <c r="I90" s="107" t="s">
        <v>17</v>
      </c>
      <c r="J90" s="53" t="s">
        <v>78</v>
      </c>
      <c r="K90" s="53" t="s">
        <v>17</v>
      </c>
      <c r="L90" s="73">
        <v>0.1</v>
      </c>
      <c r="M90" s="103">
        <v>92000</v>
      </c>
      <c r="N90" s="74">
        <v>9200</v>
      </c>
      <c r="O90" s="104"/>
      <c r="P90" s="82" t="s">
        <v>18</v>
      </c>
      <c r="Q90" s="82" t="s">
        <v>347</v>
      </c>
      <c r="R90" s="82"/>
      <c r="S90" s="82"/>
      <c r="T90" s="89" t="s">
        <v>19</v>
      </c>
      <c r="U90" s="41" t="str">
        <f>VLOOKUP(J90,Sheet1!$A$2:$D$200,4,0)</f>
        <v>NL300141</v>
      </c>
      <c r="V90" s="41" t="str">
        <f>VLOOKUP(U90,Sheet1!$D$2:$E$200,2,0)</f>
        <v>Tiêu xanh</v>
      </c>
      <c r="W90" s="94" t="str">
        <f t="shared" si="5"/>
        <v>21NL300141</v>
      </c>
      <c r="X90" s="94" t="str">
        <f>COUNTIF($R$15:W90,W90)&amp;W90</f>
        <v>121NL300141</v>
      </c>
      <c r="Y90" s="95">
        <f>IFERROR(VLOOKUP(X90,FAST!$B$7:$M$9722,12,0),"0")</f>
        <v>0.1</v>
      </c>
      <c r="Z90" s="95">
        <f>IFERROR(VLOOKUP(X90,FAST!$B$7:$N$9722,13,0),"0")</f>
        <v>92000</v>
      </c>
      <c r="AA90" s="96">
        <f t="shared" si="6"/>
        <v>9200</v>
      </c>
      <c r="AB90" s="97">
        <f t="shared" si="7"/>
        <v>0</v>
      </c>
      <c r="AC90" s="98">
        <f t="shared" si="8"/>
        <v>0</v>
      </c>
      <c r="AD90" s="99">
        <f t="shared" si="9"/>
        <v>0</v>
      </c>
    </row>
    <row r="91" spans="1:30" x14ac:dyDescent="0.25">
      <c r="A91" s="41"/>
      <c r="B91" s="80"/>
      <c r="C91" s="52" t="s">
        <v>477</v>
      </c>
      <c r="D91" s="52" t="s">
        <v>426</v>
      </c>
      <c r="E91" s="52" t="s">
        <v>427</v>
      </c>
      <c r="F91" s="107" t="s">
        <v>456</v>
      </c>
      <c r="G91" s="107" t="s">
        <v>430</v>
      </c>
      <c r="H91" s="107" t="s">
        <v>16</v>
      </c>
      <c r="I91" s="107" t="s">
        <v>17</v>
      </c>
      <c r="J91" s="53" t="s">
        <v>38</v>
      </c>
      <c r="K91" s="53" t="s">
        <v>17</v>
      </c>
      <c r="L91" s="73">
        <v>5</v>
      </c>
      <c r="M91" s="103">
        <v>50000</v>
      </c>
      <c r="N91" s="74">
        <v>250000</v>
      </c>
      <c r="O91" s="104"/>
      <c r="P91" s="82" t="s">
        <v>18</v>
      </c>
      <c r="Q91" s="82" t="s">
        <v>347</v>
      </c>
      <c r="R91" s="82"/>
      <c r="S91" s="82"/>
      <c r="T91" s="89" t="s">
        <v>19</v>
      </c>
      <c r="U91" s="41" t="str">
        <f>VLOOKUP(J91,Sheet1!$A$2:$D$200,4,0)</f>
        <v>NL300142</v>
      </c>
      <c r="V91" s="41" t="str">
        <f>VLOOKUP(U91,Sheet1!$D$2:$E$200,2,0)</f>
        <v>Tỏi bóc</v>
      </c>
      <c r="W91" s="94" t="str">
        <f t="shared" si="5"/>
        <v>21NL300142</v>
      </c>
      <c r="X91" s="94" t="str">
        <f>COUNTIF($R$15:W91,W91)&amp;W91</f>
        <v>121NL300142</v>
      </c>
      <c r="Y91" s="95">
        <f>IFERROR(VLOOKUP(X91,FAST!$B$7:$M$9722,12,0),"0")</f>
        <v>5</v>
      </c>
      <c r="Z91" s="95">
        <f>IFERROR(VLOOKUP(X91,FAST!$B$7:$N$9722,13,0),"0")</f>
        <v>50000</v>
      </c>
      <c r="AA91" s="96">
        <f t="shared" si="6"/>
        <v>250000</v>
      </c>
      <c r="AB91" s="97">
        <f t="shared" si="7"/>
        <v>0</v>
      </c>
      <c r="AC91" s="98">
        <f t="shared" si="8"/>
        <v>0</v>
      </c>
      <c r="AD91" s="99">
        <f t="shared" si="9"/>
        <v>0</v>
      </c>
    </row>
    <row r="92" spans="1:30" x14ac:dyDescent="0.25">
      <c r="A92" s="41"/>
      <c r="B92" s="80"/>
      <c r="C92" s="52" t="s">
        <v>477</v>
      </c>
      <c r="D92" s="52" t="s">
        <v>426</v>
      </c>
      <c r="E92" s="52" t="s">
        <v>427</v>
      </c>
      <c r="F92" s="107" t="s">
        <v>456</v>
      </c>
      <c r="G92" s="107" t="s">
        <v>404</v>
      </c>
      <c r="H92" s="107" t="s">
        <v>20</v>
      </c>
      <c r="I92" s="107" t="s">
        <v>21</v>
      </c>
      <c r="J92" s="53" t="s">
        <v>52</v>
      </c>
      <c r="K92" s="53" t="s">
        <v>53</v>
      </c>
      <c r="L92" s="73">
        <v>85</v>
      </c>
      <c r="M92" s="103">
        <v>5000</v>
      </c>
      <c r="N92" s="74">
        <v>425000</v>
      </c>
      <c r="O92" s="104"/>
      <c r="P92" s="82" t="s">
        <v>18</v>
      </c>
      <c r="Q92" s="82" t="s">
        <v>347</v>
      </c>
      <c r="R92" s="82"/>
      <c r="S92" s="82"/>
      <c r="T92" s="89" t="s">
        <v>19</v>
      </c>
      <c r="U92" s="41" t="str">
        <f>VLOOKUP(J92,Sheet1!$A$2:$D$200,4,0)</f>
        <v>NL100101</v>
      </c>
      <c r="V92" s="41" t="str">
        <f>VLOOKUP(U92,Sheet1!$D$2:$E$200,2,0)</f>
        <v>Trứng vịt muối</v>
      </c>
      <c r="W92" s="94" t="str">
        <f t="shared" si="5"/>
        <v>21NL100101</v>
      </c>
      <c r="X92" s="94" t="str">
        <f>COUNTIF($R$15:W92,W92)&amp;W92</f>
        <v>121NL100101</v>
      </c>
      <c r="Y92" s="95">
        <f>IFERROR(VLOOKUP(X92,FAST!$B$7:$M$9722,12,0),"0")</f>
        <v>85</v>
      </c>
      <c r="Z92" s="95">
        <f>IFERROR(VLOOKUP(X92,FAST!$B$7:$N$9722,13,0),"0")</f>
        <v>5000</v>
      </c>
      <c r="AA92" s="96">
        <f t="shared" si="6"/>
        <v>425000</v>
      </c>
      <c r="AB92" s="97">
        <f t="shared" si="7"/>
        <v>0</v>
      </c>
      <c r="AC92" s="98">
        <f t="shared" si="8"/>
        <v>0</v>
      </c>
      <c r="AD92" s="99">
        <f t="shared" si="9"/>
        <v>0</v>
      </c>
    </row>
    <row r="93" spans="1:30" x14ac:dyDescent="0.25">
      <c r="A93" s="41"/>
      <c r="B93" s="80"/>
      <c r="C93" s="52" t="s">
        <v>477</v>
      </c>
      <c r="D93" s="81" t="s">
        <v>426</v>
      </c>
      <c r="E93" s="52" t="s">
        <v>427</v>
      </c>
      <c r="F93" s="107" t="s">
        <v>456</v>
      </c>
      <c r="G93" s="107" t="s">
        <v>405</v>
      </c>
      <c r="H93" s="107" t="s">
        <v>22</v>
      </c>
      <c r="I93" s="107" t="s">
        <v>17</v>
      </c>
      <c r="J93" s="53" t="s">
        <v>37</v>
      </c>
      <c r="K93" s="53" t="s">
        <v>17</v>
      </c>
      <c r="L93" s="73">
        <v>6.5</v>
      </c>
      <c r="M93" s="103">
        <v>62000</v>
      </c>
      <c r="N93" s="74">
        <v>403000</v>
      </c>
      <c r="O93" s="104"/>
      <c r="P93" s="82" t="s">
        <v>18</v>
      </c>
      <c r="Q93" s="82" t="s">
        <v>347</v>
      </c>
      <c r="R93" s="82"/>
      <c r="S93" s="82"/>
      <c r="T93" s="89" t="s">
        <v>19</v>
      </c>
      <c r="U93" s="41" t="str">
        <f>VLOOKUP(J93,Sheet1!$A$2:$D$200,4,0)</f>
        <v>NL300147</v>
      </c>
      <c r="V93" s="41" t="str">
        <f>VLOOKUP(U93,Sheet1!$D$2:$E$200,2,0)</f>
        <v>Xà lách Roman</v>
      </c>
      <c r="W93" s="94" t="str">
        <f t="shared" si="5"/>
        <v>21NL300147</v>
      </c>
      <c r="X93" s="94" t="str">
        <f>COUNTIF($R$15:W93,W93)&amp;W93</f>
        <v>121NL300147</v>
      </c>
      <c r="Y93" s="95">
        <f>IFERROR(VLOOKUP(X93,FAST!$B$7:$M$9722,12,0),"0")</f>
        <v>6.5</v>
      </c>
      <c r="Z93" s="95">
        <f>IFERROR(VLOOKUP(X93,FAST!$B$7:$N$9722,13,0),"0")</f>
        <v>62000</v>
      </c>
      <c r="AA93" s="96">
        <f t="shared" si="6"/>
        <v>403000</v>
      </c>
      <c r="AB93" s="97">
        <f t="shared" si="7"/>
        <v>0</v>
      </c>
      <c r="AC93" s="98">
        <f t="shared" si="8"/>
        <v>0</v>
      </c>
      <c r="AD93" s="99">
        <f t="shared" si="9"/>
        <v>0</v>
      </c>
    </row>
    <row r="94" spans="1:30" x14ac:dyDescent="0.25">
      <c r="A94" s="41"/>
      <c r="B94" s="80"/>
      <c r="C94" s="52" t="s">
        <v>477</v>
      </c>
      <c r="D94" s="52" t="s">
        <v>426</v>
      </c>
      <c r="E94" s="52" t="s">
        <v>427</v>
      </c>
      <c r="F94" s="107" t="s">
        <v>456</v>
      </c>
      <c r="G94" s="107" t="s">
        <v>431</v>
      </c>
      <c r="H94" s="107" t="s">
        <v>23</v>
      </c>
      <c r="I94" s="107" t="s">
        <v>17</v>
      </c>
      <c r="J94" s="53" t="s">
        <v>29</v>
      </c>
      <c r="K94" s="53" t="s">
        <v>17</v>
      </c>
      <c r="L94" s="73">
        <v>3.7</v>
      </c>
      <c r="M94" s="103">
        <v>55000</v>
      </c>
      <c r="N94" s="74">
        <v>203500</v>
      </c>
      <c r="O94" s="104"/>
      <c r="P94" s="82" t="s">
        <v>18</v>
      </c>
      <c r="Q94" s="82" t="s">
        <v>347</v>
      </c>
      <c r="R94" s="82"/>
      <c r="S94" s="82"/>
      <c r="T94" s="89" t="s">
        <v>19</v>
      </c>
      <c r="U94" s="41" t="str">
        <f>VLOOKUP(J94,Sheet1!$A$2:$D$200,4,0)</f>
        <v>NL300058</v>
      </c>
      <c r="V94" s="41" t="str">
        <f>VLOOKUP(U94,Sheet1!$D$2:$E$200,2,0)</f>
        <v>Hành lá</v>
      </c>
      <c r="W94" s="94" t="str">
        <f t="shared" si="5"/>
        <v>21NL300058</v>
      </c>
      <c r="X94" s="94" t="str">
        <f>COUNTIF($R$15:W94,W94)&amp;W94</f>
        <v>121NL300058</v>
      </c>
      <c r="Y94" s="95" t="str">
        <f>IFERROR(VLOOKUP(X94,FAST!$B$7:$M$9722,12,0),"0")</f>
        <v>0</v>
      </c>
      <c r="Z94" s="95" t="str">
        <f>IFERROR(VLOOKUP(X94,FAST!$B$7:$N$9722,13,0),"0")</f>
        <v>0</v>
      </c>
      <c r="AA94" s="96">
        <f t="shared" si="6"/>
        <v>0</v>
      </c>
      <c r="AB94" s="97">
        <f t="shared" si="7"/>
        <v>-3.7</v>
      </c>
      <c r="AC94" s="98">
        <f t="shared" si="8"/>
        <v>-55000</v>
      </c>
      <c r="AD94" s="99">
        <f t="shared" si="9"/>
        <v>-203500</v>
      </c>
    </row>
    <row r="95" spans="1:30" x14ac:dyDescent="0.25">
      <c r="A95" s="41"/>
      <c r="B95" s="80"/>
      <c r="C95" s="52" t="s">
        <v>478</v>
      </c>
      <c r="D95" s="52" t="s">
        <v>426</v>
      </c>
      <c r="E95" s="52" t="s">
        <v>427</v>
      </c>
      <c r="F95" s="107" t="s">
        <v>456</v>
      </c>
      <c r="G95" s="107" t="s">
        <v>433</v>
      </c>
      <c r="H95" s="107" t="s">
        <v>70</v>
      </c>
      <c r="I95" s="107" t="s">
        <v>17</v>
      </c>
      <c r="J95" s="53" t="s">
        <v>54</v>
      </c>
      <c r="K95" s="53" t="s">
        <v>17</v>
      </c>
      <c r="L95" s="73">
        <v>4</v>
      </c>
      <c r="M95" s="103">
        <v>15000</v>
      </c>
      <c r="N95" s="74">
        <v>60000</v>
      </c>
      <c r="O95" s="104"/>
      <c r="P95" s="82" t="s">
        <v>18</v>
      </c>
      <c r="Q95" s="82" t="s">
        <v>347</v>
      </c>
      <c r="R95" s="82"/>
      <c r="S95" s="82"/>
      <c r="T95" s="89" t="s">
        <v>19</v>
      </c>
      <c r="U95" s="41" t="str">
        <f>VLOOKUP(J95,Sheet1!$A$2:$D$200,4,0)</f>
        <v>NL300189</v>
      </c>
      <c r="V95" s="41" t="str">
        <f>VLOOKUP(U95,Sheet1!$D$2:$E$200,2,0)</f>
        <v>Bánh ướt</v>
      </c>
      <c r="W95" s="94" t="str">
        <f t="shared" si="5"/>
        <v>31NL300189</v>
      </c>
      <c r="X95" s="94" t="str">
        <f>COUNTIF($R$15:W95,W95)&amp;W95</f>
        <v>131NL300189</v>
      </c>
      <c r="Y95" s="95">
        <f>IFERROR(VLOOKUP(X95,FAST!$B$7:$M$9722,12,0),"0")</f>
        <v>3</v>
      </c>
      <c r="Z95" s="95">
        <f>IFERROR(VLOOKUP(X95,FAST!$B$7:$N$9722,13,0),"0")</f>
        <v>15000</v>
      </c>
      <c r="AA95" s="96">
        <f t="shared" si="6"/>
        <v>45000</v>
      </c>
      <c r="AB95" s="97">
        <f t="shared" si="7"/>
        <v>-1</v>
      </c>
      <c r="AC95" s="98">
        <f t="shared" si="8"/>
        <v>0</v>
      </c>
      <c r="AD95" s="99">
        <f t="shared" si="9"/>
        <v>-15000</v>
      </c>
    </row>
    <row r="96" spans="1:30" x14ac:dyDescent="0.25">
      <c r="A96" s="41"/>
      <c r="B96" s="80"/>
      <c r="C96" s="52" t="s">
        <v>478</v>
      </c>
      <c r="D96" s="52" t="s">
        <v>426</v>
      </c>
      <c r="E96" s="52" t="s">
        <v>427</v>
      </c>
      <c r="F96" s="107" t="s">
        <v>456</v>
      </c>
      <c r="G96" s="107" t="s">
        <v>434</v>
      </c>
      <c r="H96" s="107" t="s">
        <v>24</v>
      </c>
      <c r="I96" s="107" t="s">
        <v>17</v>
      </c>
      <c r="J96" s="53" t="s">
        <v>16</v>
      </c>
      <c r="K96" s="53" t="s">
        <v>17</v>
      </c>
      <c r="L96" s="73">
        <v>3.8</v>
      </c>
      <c r="M96" s="103">
        <v>19000</v>
      </c>
      <c r="N96" s="74">
        <v>72200</v>
      </c>
      <c r="O96" s="104"/>
      <c r="P96" s="82" t="s">
        <v>18</v>
      </c>
      <c r="Q96" s="82" t="s">
        <v>347</v>
      </c>
      <c r="R96" s="82"/>
      <c r="S96" s="82"/>
      <c r="T96" s="89" t="s">
        <v>19</v>
      </c>
      <c r="U96" s="41" t="str">
        <f>VLOOKUP(J96,Sheet1!$A$2:$D$200,4,0)</f>
        <v>NL300004</v>
      </c>
      <c r="V96" s="41" t="str">
        <f>VLOOKUP(U96,Sheet1!$D$2:$E$200,2,0)</f>
        <v>Bắp cải trắng</v>
      </c>
      <c r="W96" s="94" t="str">
        <f t="shared" si="5"/>
        <v>31NL300004</v>
      </c>
      <c r="X96" s="94" t="str">
        <f>COUNTIF($R$15:W96,W96)&amp;W96</f>
        <v>131NL300004</v>
      </c>
      <c r="Y96" s="95">
        <f>IFERROR(VLOOKUP(X96,FAST!$B$7:$M$9722,12,0),"0")</f>
        <v>3</v>
      </c>
      <c r="Z96" s="95">
        <f>IFERROR(VLOOKUP(X96,FAST!$B$7:$N$9722,13,0),"0")</f>
        <v>19000</v>
      </c>
      <c r="AA96" s="96">
        <f t="shared" si="6"/>
        <v>57000</v>
      </c>
      <c r="AB96" s="97">
        <f t="shared" si="7"/>
        <v>-0.79999999999999982</v>
      </c>
      <c r="AC96" s="98">
        <f t="shared" si="8"/>
        <v>0</v>
      </c>
      <c r="AD96" s="99">
        <f t="shared" si="9"/>
        <v>-15200</v>
      </c>
    </row>
    <row r="97" spans="1:30" x14ac:dyDescent="0.25">
      <c r="A97" s="41"/>
      <c r="B97" s="80"/>
      <c r="C97" s="52" t="s">
        <v>478</v>
      </c>
      <c r="D97" s="52" t="s">
        <v>426</v>
      </c>
      <c r="E97" s="52" t="s">
        <v>427</v>
      </c>
      <c r="F97" s="107" t="s">
        <v>456</v>
      </c>
      <c r="G97" s="107" t="s">
        <v>435</v>
      </c>
      <c r="H97" s="107" t="s">
        <v>25</v>
      </c>
      <c r="I97" s="107" t="s">
        <v>17</v>
      </c>
      <c r="J97" s="53" t="s">
        <v>20</v>
      </c>
      <c r="K97" s="53" t="s">
        <v>21</v>
      </c>
      <c r="L97" s="73">
        <v>27</v>
      </c>
      <c r="M97" s="103">
        <v>8500</v>
      </c>
      <c r="N97" s="74">
        <v>229500</v>
      </c>
      <c r="O97" s="104"/>
      <c r="P97" s="82" t="s">
        <v>18</v>
      </c>
      <c r="Q97" s="82" t="s">
        <v>347</v>
      </c>
      <c r="R97" s="82"/>
      <c r="S97" s="82"/>
      <c r="T97" s="89" t="s">
        <v>19</v>
      </c>
      <c r="U97" s="41" t="str">
        <f>VLOOKUP(J97,Sheet1!$A$2:$D$200,4,0)</f>
        <v>NL300107</v>
      </c>
      <c r="V97" s="41" t="str">
        <f>VLOOKUP(U97,Sheet1!$D$2:$E$200,2,0)</f>
        <v>Ngô ngọt ( Bắp trái)</v>
      </c>
      <c r="W97" s="94" t="str">
        <f t="shared" si="5"/>
        <v>31NL300107</v>
      </c>
      <c r="X97" s="94" t="str">
        <f>COUNTIF($R$15:W97,W97)&amp;W97</f>
        <v>131NL300107</v>
      </c>
      <c r="Y97" s="95">
        <f>IFERROR(VLOOKUP(X97,FAST!$B$7:$M$9722,12,0),"0")</f>
        <v>20</v>
      </c>
      <c r="Z97" s="95">
        <f>IFERROR(VLOOKUP(X97,FAST!$B$7:$N$9722,13,0),"0")</f>
        <v>8500</v>
      </c>
      <c r="AA97" s="96">
        <f t="shared" si="6"/>
        <v>170000</v>
      </c>
      <c r="AB97" s="97">
        <f t="shared" si="7"/>
        <v>-7</v>
      </c>
      <c r="AC97" s="98">
        <f t="shared" si="8"/>
        <v>0</v>
      </c>
      <c r="AD97" s="99">
        <f t="shared" si="9"/>
        <v>-59500</v>
      </c>
    </row>
    <row r="98" spans="1:30" x14ac:dyDescent="0.25">
      <c r="A98" s="41"/>
      <c r="B98" s="80"/>
      <c r="C98" s="52" t="s">
        <v>478</v>
      </c>
      <c r="D98" s="52" t="s">
        <v>426</v>
      </c>
      <c r="E98" s="52" t="s">
        <v>427</v>
      </c>
      <c r="F98" s="107" t="s">
        <v>456</v>
      </c>
      <c r="G98" s="107" t="s">
        <v>457</v>
      </c>
      <c r="H98" s="107" t="s">
        <v>44</v>
      </c>
      <c r="I98" s="107" t="s">
        <v>45</v>
      </c>
      <c r="J98" s="53" t="s">
        <v>22</v>
      </c>
      <c r="K98" s="53" t="s">
        <v>17</v>
      </c>
      <c r="L98" s="73">
        <v>7.3</v>
      </c>
      <c r="M98" s="103">
        <v>30000</v>
      </c>
      <c r="N98" s="74">
        <v>219000</v>
      </c>
      <c r="O98" s="104"/>
      <c r="P98" s="82" t="s">
        <v>18</v>
      </c>
      <c r="Q98" s="82" t="s">
        <v>347</v>
      </c>
      <c r="R98" s="82"/>
      <c r="S98" s="82"/>
      <c r="T98" s="89" t="s">
        <v>19</v>
      </c>
      <c r="U98" s="41" t="str">
        <f>VLOOKUP(J98,Sheet1!$A$2:$D$200,4,0)</f>
        <v>NL300007</v>
      </c>
      <c r="V98" s="41" t="str">
        <f>VLOOKUP(U98,Sheet1!$D$2:$E$200,2,0)</f>
        <v>Bí đỏ</v>
      </c>
      <c r="W98" s="94" t="str">
        <f t="shared" si="5"/>
        <v>31NL300007</v>
      </c>
      <c r="X98" s="94" t="str">
        <f>COUNTIF($R$15:W98,W98)&amp;W98</f>
        <v>131NL300007</v>
      </c>
      <c r="Y98" s="95">
        <f>IFERROR(VLOOKUP(X98,FAST!$B$7:$M$9722,12,0),"0")</f>
        <v>5.6</v>
      </c>
      <c r="Z98" s="95">
        <f>IFERROR(VLOOKUP(X98,FAST!$B$7:$N$9722,13,0),"0")</f>
        <v>30000</v>
      </c>
      <c r="AA98" s="96">
        <f t="shared" si="6"/>
        <v>168000</v>
      </c>
      <c r="AB98" s="97">
        <f t="shared" si="7"/>
        <v>-1.7000000000000002</v>
      </c>
      <c r="AC98" s="98">
        <f t="shared" si="8"/>
        <v>0</v>
      </c>
      <c r="AD98" s="99">
        <f t="shared" si="9"/>
        <v>-51000</v>
      </c>
    </row>
    <row r="99" spans="1:30" x14ac:dyDescent="0.25">
      <c r="A99" s="41"/>
      <c r="B99" s="80"/>
      <c r="C99" s="52" t="s">
        <v>478</v>
      </c>
      <c r="D99" s="52" t="s">
        <v>426</v>
      </c>
      <c r="E99" s="52" t="s">
        <v>427</v>
      </c>
      <c r="F99" s="107" t="s">
        <v>456</v>
      </c>
      <c r="G99" s="107" t="s">
        <v>419</v>
      </c>
      <c r="H99" s="107" t="s">
        <v>47</v>
      </c>
      <c r="I99" s="107" t="s">
        <v>17</v>
      </c>
      <c r="J99" s="53" t="s">
        <v>23</v>
      </c>
      <c r="K99" s="53" t="s">
        <v>17</v>
      </c>
      <c r="L99" s="73">
        <v>20</v>
      </c>
      <c r="M99" s="103">
        <v>40000</v>
      </c>
      <c r="N99" s="74">
        <v>800000</v>
      </c>
      <c r="O99" s="104"/>
      <c r="P99" s="82" t="s">
        <v>18</v>
      </c>
      <c r="Q99" s="82" t="s">
        <v>347</v>
      </c>
      <c r="R99" s="82"/>
      <c r="S99" s="82"/>
      <c r="T99" s="89" t="s">
        <v>19</v>
      </c>
      <c r="U99" s="41" t="str">
        <f>VLOOKUP(J99,Sheet1!$A$2:$D$200,4,0)</f>
        <v>NL300008</v>
      </c>
      <c r="V99" s="41" t="str">
        <f>VLOOKUP(U99,Sheet1!$D$2:$E$200,2,0)</f>
        <v>Bí ngòi</v>
      </c>
      <c r="W99" s="94" t="str">
        <f t="shared" si="5"/>
        <v>31NL300008</v>
      </c>
      <c r="X99" s="94" t="str">
        <f>COUNTIF($R$15:W99,W99)&amp;W99</f>
        <v>131NL300008</v>
      </c>
      <c r="Y99" s="95">
        <f>IFERROR(VLOOKUP(X99,FAST!$B$7:$M$9722,12,0),"0")</f>
        <v>15</v>
      </c>
      <c r="Z99" s="95">
        <f>IFERROR(VLOOKUP(X99,FAST!$B$7:$N$9722,13,0),"0")</f>
        <v>40000</v>
      </c>
      <c r="AA99" s="96">
        <f t="shared" si="6"/>
        <v>600000</v>
      </c>
      <c r="AB99" s="97">
        <f t="shared" si="7"/>
        <v>-5</v>
      </c>
      <c r="AC99" s="98">
        <f t="shared" si="8"/>
        <v>0</v>
      </c>
      <c r="AD99" s="99">
        <f t="shared" si="9"/>
        <v>-200000</v>
      </c>
    </row>
    <row r="100" spans="1:30" x14ac:dyDescent="0.25">
      <c r="A100" s="41"/>
      <c r="B100" s="80"/>
      <c r="C100" s="52" t="s">
        <v>478</v>
      </c>
      <c r="D100" s="52" t="s">
        <v>426</v>
      </c>
      <c r="E100" s="52" t="s">
        <v>427</v>
      </c>
      <c r="F100" s="107" t="s">
        <v>456</v>
      </c>
      <c r="G100" s="107" t="s">
        <v>408</v>
      </c>
      <c r="H100" s="107" t="s">
        <v>29</v>
      </c>
      <c r="I100" s="107" t="s">
        <v>17</v>
      </c>
      <c r="J100" s="53" t="s">
        <v>50</v>
      </c>
      <c r="K100" s="53" t="s">
        <v>17</v>
      </c>
      <c r="L100" s="73">
        <v>9</v>
      </c>
      <c r="M100" s="103">
        <v>52000</v>
      </c>
      <c r="N100" s="74">
        <v>468000</v>
      </c>
      <c r="O100" s="104"/>
      <c r="P100" s="82" t="s">
        <v>18</v>
      </c>
      <c r="Q100" s="82" t="s">
        <v>347</v>
      </c>
      <c r="R100" s="82"/>
      <c r="S100" s="82"/>
      <c r="T100" s="89" t="s">
        <v>19</v>
      </c>
      <c r="U100" s="41" t="str">
        <f>VLOOKUP(J100,Sheet1!$A$2:$D$200,4,0)</f>
        <v>NL300137</v>
      </c>
      <c r="V100" s="41" t="str">
        <f>VLOOKUP(U100,Sheet1!$D$2:$E$200,2,0)</f>
        <v>Súp lơ xanh</v>
      </c>
      <c r="W100" s="94" t="str">
        <f t="shared" si="5"/>
        <v>31NL300137</v>
      </c>
      <c r="X100" s="94" t="str">
        <f>COUNTIF($R$15:W100,W100)&amp;W100</f>
        <v>131NL300137</v>
      </c>
      <c r="Y100" s="95">
        <f>IFERROR(VLOOKUP(X100,FAST!$B$7:$M$9722,12,0),"0")</f>
        <v>6</v>
      </c>
      <c r="Z100" s="95">
        <f>IFERROR(VLOOKUP(X100,FAST!$B$7:$N$9722,13,0),"0")</f>
        <v>52000</v>
      </c>
      <c r="AA100" s="96">
        <f t="shared" si="6"/>
        <v>312000</v>
      </c>
      <c r="AB100" s="97">
        <f t="shared" si="7"/>
        <v>-3</v>
      </c>
      <c r="AC100" s="98">
        <f t="shared" si="8"/>
        <v>0</v>
      </c>
      <c r="AD100" s="99">
        <f t="shared" si="9"/>
        <v>-156000</v>
      </c>
    </row>
    <row r="101" spans="1:30" x14ac:dyDescent="0.25">
      <c r="A101" s="41"/>
      <c r="B101" s="80"/>
      <c r="C101" s="52" t="s">
        <v>478</v>
      </c>
      <c r="D101" s="52" t="s">
        <v>426</v>
      </c>
      <c r="E101" s="52" t="s">
        <v>427</v>
      </c>
      <c r="F101" s="107" t="s">
        <v>456</v>
      </c>
      <c r="G101" s="107" t="s">
        <v>458</v>
      </c>
      <c r="H101" s="107" t="s">
        <v>30</v>
      </c>
      <c r="I101" s="107" t="s">
        <v>17</v>
      </c>
      <c r="J101" s="53" t="s">
        <v>70</v>
      </c>
      <c r="K101" s="53" t="s">
        <v>17</v>
      </c>
      <c r="L101" s="73">
        <v>1.2</v>
      </c>
      <c r="M101" s="103">
        <v>75000</v>
      </c>
      <c r="N101" s="74">
        <v>90000</v>
      </c>
      <c r="O101" s="104"/>
      <c r="P101" s="82" t="s">
        <v>18</v>
      </c>
      <c r="Q101" s="82" t="s">
        <v>347</v>
      </c>
      <c r="R101" s="82"/>
      <c r="S101" s="82"/>
      <c r="T101" s="89" t="s">
        <v>19</v>
      </c>
      <c r="U101" s="41" t="str">
        <f>VLOOKUP(J101,Sheet1!$A$2:$D$200,4,0)</f>
        <v>NL300028</v>
      </c>
      <c r="V101" s="41" t="str">
        <f>VLOOKUP(U101,Sheet1!$D$2:$E$200,2,0)</f>
        <v>Cà rốt baby</v>
      </c>
      <c r="W101" s="94" t="str">
        <f t="shared" si="5"/>
        <v>31NL300028</v>
      </c>
      <c r="X101" s="94" t="str">
        <f>COUNTIF($R$15:W101,W101)&amp;W101</f>
        <v>131NL300028</v>
      </c>
      <c r="Y101" s="95">
        <f>IFERROR(VLOOKUP(X101,FAST!$B$7:$M$9722,12,0),"0")</f>
        <v>0.7</v>
      </c>
      <c r="Z101" s="95">
        <f>IFERROR(VLOOKUP(X101,FAST!$B$7:$N$9722,13,0),"0")</f>
        <v>75000</v>
      </c>
      <c r="AA101" s="96">
        <f t="shared" si="6"/>
        <v>52500</v>
      </c>
      <c r="AB101" s="97">
        <f t="shared" si="7"/>
        <v>-0.5</v>
      </c>
      <c r="AC101" s="98">
        <f t="shared" si="8"/>
        <v>0</v>
      </c>
      <c r="AD101" s="99">
        <f t="shared" si="9"/>
        <v>-37500</v>
      </c>
    </row>
    <row r="102" spans="1:30" x14ac:dyDescent="0.25">
      <c r="A102" s="41"/>
      <c r="B102" s="80"/>
      <c r="C102" s="52" t="s">
        <v>478</v>
      </c>
      <c r="D102" s="52" t="s">
        <v>426</v>
      </c>
      <c r="E102" s="52" t="s">
        <v>427</v>
      </c>
      <c r="F102" s="107" t="s">
        <v>456</v>
      </c>
      <c r="G102" s="107" t="s">
        <v>459</v>
      </c>
      <c r="H102" s="107" t="s">
        <v>75</v>
      </c>
      <c r="I102" s="107" t="s">
        <v>17</v>
      </c>
      <c r="J102" s="53" t="s">
        <v>24</v>
      </c>
      <c r="K102" s="53" t="s">
        <v>17</v>
      </c>
      <c r="L102" s="73">
        <v>3</v>
      </c>
      <c r="M102" s="103">
        <v>30000</v>
      </c>
      <c r="N102" s="74">
        <v>90000</v>
      </c>
      <c r="O102" s="104"/>
      <c r="P102" s="82" t="s">
        <v>18</v>
      </c>
      <c r="Q102" s="82" t="s">
        <v>347</v>
      </c>
      <c r="R102" s="82"/>
      <c r="S102" s="82"/>
      <c r="T102" s="89" t="s">
        <v>19</v>
      </c>
      <c r="U102" s="41" t="str">
        <f>VLOOKUP(J102,Sheet1!$A$2:$D$200,4,0)</f>
        <v>NL300020</v>
      </c>
      <c r="V102" s="41" t="str">
        <f>VLOOKUP(U102,Sheet1!$D$2:$E$200,2,0)</f>
        <v>Cải ngồng</v>
      </c>
      <c r="W102" s="94" t="str">
        <f t="shared" si="5"/>
        <v>31NL300020</v>
      </c>
      <c r="X102" s="94" t="str">
        <f>COUNTIF($R$15:W102,W102)&amp;W102</f>
        <v>131NL300020</v>
      </c>
      <c r="Y102" s="95">
        <f>IFERROR(VLOOKUP(X102,FAST!$B$7:$M$9722,12,0),"0")</f>
        <v>1.5</v>
      </c>
      <c r="Z102" s="95">
        <f>IFERROR(VLOOKUP(X102,FAST!$B$7:$N$9722,13,0),"0")</f>
        <v>30000</v>
      </c>
      <c r="AA102" s="96">
        <f t="shared" si="6"/>
        <v>45000</v>
      </c>
      <c r="AB102" s="97">
        <f t="shared" si="7"/>
        <v>-1.5</v>
      </c>
      <c r="AC102" s="98">
        <f t="shared" si="8"/>
        <v>0</v>
      </c>
      <c r="AD102" s="99">
        <f t="shared" si="9"/>
        <v>-45000</v>
      </c>
    </row>
    <row r="103" spans="1:30" x14ac:dyDescent="0.25">
      <c r="A103" s="41"/>
      <c r="B103" s="80"/>
      <c r="C103" s="52" t="s">
        <v>478</v>
      </c>
      <c r="D103" s="52" t="s">
        <v>426</v>
      </c>
      <c r="E103" s="52" t="s">
        <v>427</v>
      </c>
      <c r="F103" s="107" t="s">
        <v>456</v>
      </c>
      <c r="G103" s="107" t="s">
        <v>440</v>
      </c>
      <c r="H103" s="107" t="s">
        <v>31</v>
      </c>
      <c r="I103" s="107" t="s">
        <v>17</v>
      </c>
      <c r="J103" s="53" t="s">
        <v>25</v>
      </c>
      <c r="K103" s="53" t="s">
        <v>17</v>
      </c>
      <c r="L103" s="73">
        <v>0.6</v>
      </c>
      <c r="M103" s="103">
        <v>44000</v>
      </c>
      <c r="N103" s="74">
        <v>26400</v>
      </c>
      <c r="O103" s="104"/>
      <c r="P103" s="82" t="s">
        <v>18</v>
      </c>
      <c r="Q103" s="82" t="s">
        <v>347</v>
      </c>
      <c r="R103" s="82"/>
      <c r="S103" s="82"/>
      <c r="T103" s="89" t="s">
        <v>19</v>
      </c>
      <c r="U103" s="41" t="str">
        <f>VLOOKUP(J103,Sheet1!$A$2:$D$200,4,0)</f>
        <v>NL300025</v>
      </c>
      <c r="V103" s="41" t="str">
        <f>VLOOKUP(U103,Sheet1!$D$2:$E$200,2,0)</f>
        <v>Rau cần tây</v>
      </c>
      <c r="W103" s="94" t="str">
        <f t="shared" si="5"/>
        <v>31NL300025</v>
      </c>
      <c r="X103" s="94" t="str">
        <f>COUNTIF($R$15:W103,W103)&amp;W103</f>
        <v>131NL300025</v>
      </c>
      <c r="Y103" s="95">
        <f>IFERROR(VLOOKUP(X103,FAST!$B$7:$M$9722,12,0),"0")</f>
        <v>0.6</v>
      </c>
      <c r="Z103" s="95">
        <f>IFERROR(VLOOKUP(X103,FAST!$B$7:$N$9722,13,0),"0")</f>
        <v>44000</v>
      </c>
      <c r="AA103" s="96">
        <f t="shared" si="6"/>
        <v>26400</v>
      </c>
      <c r="AB103" s="97">
        <f t="shared" si="7"/>
        <v>0</v>
      </c>
      <c r="AC103" s="98">
        <f t="shared" si="8"/>
        <v>0</v>
      </c>
      <c r="AD103" s="99">
        <f t="shared" si="9"/>
        <v>0</v>
      </c>
    </row>
    <row r="104" spans="1:30" x14ac:dyDescent="0.25">
      <c r="A104" s="41"/>
      <c r="B104" s="80"/>
      <c r="C104" s="52" t="s">
        <v>478</v>
      </c>
      <c r="D104" s="52" t="s">
        <v>426</v>
      </c>
      <c r="E104" s="52" t="s">
        <v>427</v>
      </c>
      <c r="F104" s="107" t="s">
        <v>456</v>
      </c>
      <c r="G104" s="107" t="s">
        <v>410</v>
      </c>
      <c r="H104" s="107" t="s">
        <v>39</v>
      </c>
      <c r="I104" s="107" t="s">
        <v>17</v>
      </c>
      <c r="J104" s="53" t="s">
        <v>46</v>
      </c>
      <c r="K104" s="53" t="s">
        <v>17</v>
      </c>
      <c r="L104" s="73">
        <v>1.5</v>
      </c>
      <c r="M104" s="103">
        <v>22000</v>
      </c>
      <c r="N104" s="74">
        <v>33000</v>
      </c>
      <c r="O104" s="104"/>
      <c r="P104" s="82" t="s">
        <v>18</v>
      </c>
      <c r="Q104" s="82" t="s">
        <v>347</v>
      </c>
      <c r="R104" s="82"/>
      <c r="S104" s="82"/>
      <c r="T104" s="89" t="s">
        <v>19</v>
      </c>
      <c r="U104" s="41" t="str">
        <f>VLOOKUP(J104,Sheet1!$A$2:$D$200,4,0)</f>
        <v>NL300029</v>
      </c>
      <c r="V104" s="41" t="str">
        <f>VLOOKUP(U104,Sheet1!$D$2:$E$200,2,0)</f>
        <v>Chanh</v>
      </c>
      <c r="W104" s="94" t="str">
        <f t="shared" si="5"/>
        <v>31NL300029</v>
      </c>
      <c r="X104" s="94" t="str">
        <f>COUNTIF($R$15:W104,W104)&amp;W104</f>
        <v>131NL300029</v>
      </c>
      <c r="Y104" s="95">
        <f>IFERROR(VLOOKUP(X104,FAST!$B$7:$M$9722,12,0),"0")</f>
        <v>1.5</v>
      </c>
      <c r="Z104" s="95">
        <f>IFERROR(VLOOKUP(X104,FAST!$B$7:$N$9722,13,0),"0")</f>
        <v>22000</v>
      </c>
      <c r="AA104" s="96">
        <f t="shared" si="6"/>
        <v>33000</v>
      </c>
      <c r="AB104" s="97">
        <f t="shared" si="7"/>
        <v>0</v>
      </c>
      <c r="AC104" s="98">
        <f t="shared" si="8"/>
        <v>0</v>
      </c>
      <c r="AD104" s="99">
        <f t="shared" si="9"/>
        <v>0</v>
      </c>
    </row>
    <row r="105" spans="1:30" x14ac:dyDescent="0.25">
      <c r="A105" s="41"/>
      <c r="B105" s="80"/>
      <c r="C105" s="52" t="s">
        <v>478</v>
      </c>
      <c r="D105" s="52" t="s">
        <v>426</v>
      </c>
      <c r="E105" s="52" t="s">
        <v>427</v>
      </c>
      <c r="F105" s="107" t="s">
        <v>456</v>
      </c>
      <c r="G105" s="107" t="s">
        <v>411</v>
      </c>
      <c r="H105" s="107" t="s">
        <v>40</v>
      </c>
      <c r="I105" s="107" t="s">
        <v>17</v>
      </c>
      <c r="J105" s="53" t="s">
        <v>56</v>
      </c>
      <c r="K105" s="53" t="s">
        <v>17</v>
      </c>
      <c r="L105" s="73">
        <v>2</v>
      </c>
      <c r="M105" s="103">
        <v>38000</v>
      </c>
      <c r="N105" s="74">
        <v>76000</v>
      </c>
      <c r="O105" s="104"/>
      <c r="P105" s="82" t="s">
        <v>18</v>
      </c>
      <c r="Q105" s="82" t="s">
        <v>347</v>
      </c>
      <c r="R105" s="82"/>
      <c r="S105" s="82"/>
      <c r="T105" s="89" t="s">
        <v>19</v>
      </c>
      <c r="U105" s="41" t="str">
        <f>VLOOKUP(J105,Sheet1!$A$2:$D$200,4,0)</f>
        <v>NL300054</v>
      </c>
      <c r="V105" s="41" t="str">
        <f>VLOOKUP(U105,Sheet1!$D$2:$E$200,2,0)</f>
        <v>Gừng tàu</v>
      </c>
      <c r="W105" s="94" t="str">
        <f t="shared" si="5"/>
        <v>31NL300054</v>
      </c>
      <c r="X105" s="94" t="str">
        <f>COUNTIF($R$15:W105,W105)&amp;W105</f>
        <v>131NL300054</v>
      </c>
      <c r="Y105" s="95">
        <f>IFERROR(VLOOKUP(X105,FAST!$B$7:$M$9722,12,0),"0")</f>
        <v>2</v>
      </c>
      <c r="Z105" s="95">
        <f>IFERROR(VLOOKUP(X105,FAST!$B$7:$N$9722,13,0),"0")</f>
        <v>38000</v>
      </c>
      <c r="AA105" s="96">
        <f t="shared" si="6"/>
        <v>76000</v>
      </c>
      <c r="AB105" s="97">
        <f t="shared" si="7"/>
        <v>0</v>
      </c>
      <c r="AC105" s="98">
        <f t="shared" si="8"/>
        <v>0</v>
      </c>
      <c r="AD105" s="99">
        <f t="shared" si="9"/>
        <v>0</v>
      </c>
    </row>
    <row r="106" spans="1:30" x14ac:dyDescent="0.25">
      <c r="A106" s="41"/>
      <c r="B106" s="80"/>
      <c r="C106" s="52" t="s">
        <v>478</v>
      </c>
      <c r="D106" s="52" t="s">
        <v>426</v>
      </c>
      <c r="E106" s="52" t="s">
        <v>427</v>
      </c>
      <c r="F106" s="107" t="s">
        <v>456</v>
      </c>
      <c r="G106" s="107" t="s">
        <v>441</v>
      </c>
      <c r="H106" s="107" t="s">
        <v>43</v>
      </c>
      <c r="I106" s="107" t="s">
        <v>17</v>
      </c>
      <c r="J106" s="53" t="s">
        <v>26</v>
      </c>
      <c r="K106" s="53" t="s">
        <v>17</v>
      </c>
      <c r="L106" s="73">
        <v>0.2</v>
      </c>
      <c r="M106" s="103">
        <v>25000</v>
      </c>
      <c r="N106" s="74">
        <v>5000</v>
      </c>
      <c r="O106" s="104"/>
      <c r="P106" s="82" t="s">
        <v>18</v>
      </c>
      <c r="Q106" s="82" t="s">
        <v>347</v>
      </c>
      <c r="R106" s="82"/>
      <c r="S106" s="82"/>
      <c r="T106" s="89" t="s">
        <v>19</v>
      </c>
      <c r="U106" s="41" t="str">
        <f>VLOOKUP(J106,Sheet1!$A$2:$D$200,4,0)</f>
        <v>NL300035</v>
      </c>
      <c r="V106" s="41" t="str">
        <f>VLOOKUP(U106,Sheet1!$D$2:$E$200,2,0)</f>
        <v>Củ riềng</v>
      </c>
      <c r="W106" s="94" t="str">
        <f t="shared" si="5"/>
        <v>31NL300035</v>
      </c>
      <c r="X106" s="94" t="str">
        <f>COUNTIF($R$15:W106,W106)&amp;W106</f>
        <v>131NL300035</v>
      </c>
      <c r="Y106" s="95" t="str">
        <f>IFERROR(VLOOKUP(X106,FAST!$B$7:$M$9722,12,0),"0")</f>
        <v>0</v>
      </c>
      <c r="Z106" s="95" t="str">
        <f>IFERROR(VLOOKUP(X106,FAST!$B$7:$N$9722,13,0),"0")</f>
        <v>0</v>
      </c>
      <c r="AA106" s="96">
        <f t="shared" si="6"/>
        <v>0</v>
      </c>
      <c r="AB106" s="97">
        <f t="shared" si="7"/>
        <v>-0.2</v>
      </c>
      <c r="AC106" s="98">
        <f t="shared" si="8"/>
        <v>-25000</v>
      </c>
      <c r="AD106" s="99">
        <f t="shared" si="9"/>
        <v>-5000</v>
      </c>
    </row>
    <row r="107" spans="1:30" x14ac:dyDescent="0.25">
      <c r="A107" s="41"/>
      <c r="B107" s="80"/>
      <c r="C107" s="52" t="s">
        <v>478</v>
      </c>
      <c r="D107" s="52" t="s">
        <v>426</v>
      </c>
      <c r="E107" s="52" t="s">
        <v>427</v>
      </c>
      <c r="F107" s="107" t="s">
        <v>456</v>
      </c>
      <c r="G107" s="107" t="s">
        <v>412</v>
      </c>
      <c r="H107" s="107" t="s">
        <v>67</v>
      </c>
      <c r="I107" s="107" t="s">
        <v>17</v>
      </c>
      <c r="J107" s="53" t="s">
        <v>27</v>
      </c>
      <c r="K107" s="53" t="s">
        <v>17</v>
      </c>
      <c r="L107" s="73">
        <v>1.1000000000000001</v>
      </c>
      <c r="M107" s="103">
        <v>47000</v>
      </c>
      <c r="N107" s="74">
        <v>51700.000000000007</v>
      </c>
      <c r="O107" s="104"/>
      <c r="P107" s="82" t="s">
        <v>18</v>
      </c>
      <c r="Q107" s="82" t="s">
        <v>347</v>
      </c>
      <c r="R107" s="82"/>
      <c r="S107" s="82"/>
      <c r="T107" s="89" t="s">
        <v>19</v>
      </c>
      <c r="U107" s="41" t="str">
        <f>VLOOKUP(J107,Sheet1!$A$2:$D$200,4,0)</f>
        <v>NL300036</v>
      </c>
      <c r="V107" s="41" t="str">
        <f>VLOOKUP(U107,Sheet1!$D$2:$E$200,2,0)</f>
        <v>Củ sen</v>
      </c>
      <c r="W107" s="94" t="str">
        <f t="shared" si="5"/>
        <v>31NL300036</v>
      </c>
      <c r="X107" s="94" t="str">
        <f>COUNTIF($R$15:W107,W107)&amp;W107</f>
        <v>131NL300036</v>
      </c>
      <c r="Y107" s="95">
        <f>IFERROR(VLOOKUP(X107,FAST!$B$7:$M$9722,12,0),"0")</f>
        <v>1.1000000000000001</v>
      </c>
      <c r="Z107" s="95">
        <f>IFERROR(VLOOKUP(X107,FAST!$B$7:$N$9722,13,0),"0")</f>
        <v>47000</v>
      </c>
      <c r="AA107" s="96">
        <f t="shared" si="6"/>
        <v>51700.000000000007</v>
      </c>
      <c r="AB107" s="97">
        <f t="shared" si="7"/>
        <v>0</v>
      </c>
      <c r="AC107" s="98">
        <f t="shared" si="8"/>
        <v>0</v>
      </c>
      <c r="AD107" s="99">
        <f t="shared" si="9"/>
        <v>0</v>
      </c>
    </row>
    <row r="108" spans="1:30" x14ac:dyDescent="0.25">
      <c r="A108" s="41"/>
      <c r="B108" s="80"/>
      <c r="C108" s="52" t="s">
        <v>478</v>
      </c>
      <c r="D108" s="52" t="s">
        <v>426</v>
      </c>
      <c r="E108" s="52" t="s">
        <v>427</v>
      </c>
      <c r="F108" s="107" t="s">
        <v>456</v>
      </c>
      <c r="G108" s="107" t="s">
        <v>423</v>
      </c>
      <c r="H108" s="107" t="s">
        <v>42</v>
      </c>
      <c r="I108" s="107" t="s">
        <v>17</v>
      </c>
      <c r="J108" s="53" t="s">
        <v>28</v>
      </c>
      <c r="K108" s="53" t="s">
        <v>17</v>
      </c>
      <c r="L108" s="73">
        <v>3</v>
      </c>
      <c r="M108" s="103">
        <v>32000</v>
      </c>
      <c r="N108" s="74">
        <v>96000</v>
      </c>
      <c r="O108" s="104"/>
      <c r="P108" s="82" t="s">
        <v>18</v>
      </c>
      <c r="Q108" s="82" t="s">
        <v>347</v>
      </c>
      <c r="R108" s="82"/>
      <c r="S108" s="82"/>
      <c r="T108" s="89" t="s">
        <v>19</v>
      </c>
      <c r="U108" s="41" t="str">
        <f>VLOOKUP(J108,Sheet1!$A$2:$D$200,4,0)</f>
        <v>NL300038</v>
      </c>
      <c r="V108" s="41" t="str">
        <f>VLOOKUP(U108,Sheet1!$D$2:$E$200,2,0)</f>
        <v>Đậu bắp</v>
      </c>
      <c r="W108" s="94" t="str">
        <f t="shared" si="5"/>
        <v>31NL300038</v>
      </c>
      <c r="X108" s="94" t="str">
        <f>COUNTIF($R$15:W108,W108)&amp;W108</f>
        <v>131NL300038</v>
      </c>
      <c r="Y108" s="95">
        <f>IFERROR(VLOOKUP(X108,FAST!$B$7:$M$9722,12,0),"0")</f>
        <v>1.7</v>
      </c>
      <c r="Z108" s="95">
        <f>IFERROR(VLOOKUP(X108,FAST!$B$7:$N$9722,13,0),"0")</f>
        <v>32000</v>
      </c>
      <c r="AA108" s="96">
        <f t="shared" si="6"/>
        <v>54400</v>
      </c>
      <c r="AB108" s="97">
        <f t="shared" si="7"/>
        <v>-1.3</v>
      </c>
      <c r="AC108" s="98">
        <f t="shared" si="8"/>
        <v>0</v>
      </c>
      <c r="AD108" s="99">
        <f t="shared" si="9"/>
        <v>-41600</v>
      </c>
    </row>
    <row r="109" spans="1:30" x14ac:dyDescent="0.25">
      <c r="A109" s="41"/>
      <c r="B109" s="80"/>
      <c r="C109" s="52" t="s">
        <v>478</v>
      </c>
      <c r="D109" s="52" t="s">
        <v>426</v>
      </c>
      <c r="E109" s="52" t="s">
        <v>427</v>
      </c>
      <c r="F109" s="107" t="s">
        <v>456</v>
      </c>
      <c r="G109" s="107" t="s">
        <v>417</v>
      </c>
      <c r="H109" s="107" t="s">
        <v>38</v>
      </c>
      <c r="I109" s="107" t="s">
        <v>17</v>
      </c>
      <c r="J109" s="53" t="s">
        <v>47</v>
      </c>
      <c r="K109" s="53" t="s">
        <v>17</v>
      </c>
      <c r="L109" s="73">
        <v>61</v>
      </c>
      <c r="M109" s="103">
        <v>18000</v>
      </c>
      <c r="N109" s="74">
        <v>1098000</v>
      </c>
      <c r="O109" s="104"/>
      <c r="P109" s="82" t="s">
        <v>18</v>
      </c>
      <c r="Q109" s="82" t="s">
        <v>347</v>
      </c>
      <c r="R109" s="82"/>
      <c r="S109" s="82"/>
      <c r="T109" s="89" t="s">
        <v>19</v>
      </c>
      <c r="U109" s="41" t="str">
        <f>VLOOKUP(J109,Sheet1!$A$2:$D$200,4,0)</f>
        <v>NL600004</v>
      </c>
      <c r="V109" s="41" t="str">
        <f>VLOOKUP(U109,Sheet1!$D$2:$E$200,2,0)</f>
        <v>Dưa hấu</v>
      </c>
      <c r="W109" s="94" t="str">
        <f t="shared" si="5"/>
        <v>31NL600004</v>
      </c>
      <c r="X109" s="94" t="str">
        <f>COUNTIF($R$15:W109,W109)&amp;W109</f>
        <v>131NL600004</v>
      </c>
      <c r="Y109" s="95">
        <f>IFERROR(VLOOKUP(X109,FAST!$B$7:$M$9722,12,0),"0")</f>
        <v>61</v>
      </c>
      <c r="Z109" s="95">
        <f>IFERROR(VLOOKUP(X109,FAST!$B$7:$N$9722,13,0),"0")</f>
        <v>18000</v>
      </c>
      <c r="AA109" s="96">
        <f t="shared" si="6"/>
        <v>1098000</v>
      </c>
      <c r="AB109" s="97">
        <f t="shared" si="7"/>
        <v>0</v>
      </c>
      <c r="AC109" s="98">
        <f t="shared" si="8"/>
        <v>0</v>
      </c>
      <c r="AD109" s="99">
        <f t="shared" si="9"/>
        <v>0</v>
      </c>
    </row>
    <row r="110" spans="1:30" x14ac:dyDescent="0.25">
      <c r="A110" s="41"/>
      <c r="B110" s="80"/>
      <c r="C110" s="52" t="s">
        <v>478</v>
      </c>
      <c r="D110" s="52" t="s">
        <v>426</v>
      </c>
      <c r="E110" s="52" t="s">
        <v>427</v>
      </c>
      <c r="F110" s="107" t="s">
        <v>456</v>
      </c>
      <c r="G110" s="107" t="s">
        <v>447</v>
      </c>
      <c r="H110" s="107" t="s">
        <v>52</v>
      </c>
      <c r="I110" s="107" t="s">
        <v>53</v>
      </c>
      <c r="J110" s="53" t="s">
        <v>29</v>
      </c>
      <c r="K110" s="53" t="s">
        <v>17</v>
      </c>
      <c r="L110" s="73">
        <v>8</v>
      </c>
      <c r="M110" s="103">
        <v>55000</v>
      </c>
      <c r="N110" s="74">
        <v>440000</v>
      </c>
      <c r="O110" s="104"/>
      <c r="P110" s="82" t="s">
        <v>18</v>
      </c>
      <c r="Q110" s="82" t="s">
        <v>347</v>
      </c>
      <c r="R110" s="82"/>
      <c r="S110" s="82"/>
      <c r="T110" s="89" t="s">
        <v>19</v>
      </c>
      <c r="U110" s="41" t="str">
        <f>VLOOKUP(J110,Sheet1!$A$2:$D$200,4,0)</f>
        <v>NL300058</v>
      </c>
      <c r="V110" s="41" t="str">
        <f>VLOOKUP(U110,Sheet1!$D$2:$E$200,2,0)</f>
        <v>Hành lá</v>
      </c>
      <c r="W110" s="94" t="str">
        <f t="shared" si="5"/>
        <v>31NL300058</v>
      </c>
      <c r="X110" s="94" t="str">
        <f>COUNTIF($R$15:W110,W110)&amp;W110</f>
        <v>131NL300058</v>
      </c>
      <c r="Y110" s="95">
        <f>IFERROR(VLOOKUP(X110,FAST!$B$7:$M$9722,12,0),"0")</f>
        <v>6</v>
      </c>
      <c r="Z110" s="95">
        <f>IFERROR(VLOOKUP(X110,FAST!$B$7:$N$9722,13,0),"0")</f>
        <v>55000</v>
      </c>
      <c r="AA110" s="96">
        <f t="shared" si="6"/>
        <v>330000</v>
      </c>
      <c r="AB110" s="97">
        <f t="shared" si="7"/>
        <v>-2</v>
      </c>
      <c r="AC110" s="98">
        <f t="shared" si="8"/>
        <v>0</v>
      </c>
      <c r="AD110" s="99">
        <f t="shared" si="9"/>
        <v>-110000</v>
      </c>
    </row>
    <row r="111" spans="1:30" x14ac:dyDescent="0.25">
      <c r="A111" s="41"/>
      <c r="B111" s="80"/>
      <c r="C111" s="52" t="s">
        <v>478</v>
      </c>
      <c r="D111" s="52" t="s">
        <v>426</v>
      </c>
      <c r="E111" s="52" t="s">
        <v>427</v>
      </c>
      <c r="F111" s="107" t="s">
        <v>456</v>
      </c>
      <c r="G111" s="107" t="s">
        <v>418</v>
      </c>
      <c r="H111" s="107" t="s">
        <v>37</v>
      </c>
      <c r="I111" s="107" t="s">
        <v>17</v>
      </c>
      <c r="J111" s="53" t="s">
        <v>30</v>
      </c>
      <c r="K111" s="53" t="s">
        <v>17</v>
      </c>
      <c r="L111" s="73">
        <v>0.5</v>
      </c>
      <c r="M111" s="103">
        <v>38000</v>
      </c>
      <c r="N111" s="74">
        <v>19000</v>
      </c>
      <c r="O111" s="104"/>
      <c r="P111" s="82" t="s">
        <v>18</v>
      </c>
      <c r="Q111" s="82" t="s">
        <v>347</v>
      </c>
      <c r="R111" s="82"/>
      <c r="S111" s="82"/>
      <c r="T111" s="89" t="s">
        <v>19</v>
      </c>
      <c r="U111" s="41" t="str">
        <f>VLOOKUP(J111,Sheet1!$A$2:$D$200,4,0)</f>
        <v>NL300061</v>
      </c>
      <c r="V111" s="41" t="str">
        <f>VLOOKUP(U111,Sheet1!$D$2:$E$200,2,0)</f>
        <v>Hành Paro (Hành Baro)</v>
      </c>
      <c r="W111" s="94" t="str">
        <f t="shared" si="5"/>
        <v>31NL300061</v>
      </c>
      <c r="X111" s="94" t="str">
        <f>COUNTIF($R$15:W111,W111)&amp;W111</f>
        <v>131NL300061</v>
      </c>
      <c r="Y111" s="95">
        <f>IFERROR(VLOOKUP(X111,FAST!$B$7:$M$9722,12,0),"0")</f>
        <v>0.5</v>
      </c>
      <c r="Z111" s="95">
        <f>IFERROR(VLOOKUP(X111,FAST!$B$7:$N$9722,13,0),"0")</f>
        <v>38000</v>
      </c>
      <c r="AA111" s="96">
        <f t="shared" si="6"/>
        <v>19000</v>
      </c>
      <c r="AB111" s="97">
        <f t="shared" si="7"/>
        <v>0</v>
      </c>
      <c r="AC111" s="98">
        <f t="shared" si="8"/>
        <v>0</v>
      </c>
      <c r="AD111" s="99">
        <f t="shared" si="9"/>
        <v>0</v>
      </c>
    </row>
    <row r="112" spans="1:30" x14ac:dyDescent="0.25">
      <c r="A112" s="41"/>
      <c r="B112" s="80"/>
      <c r="C112" s="52" t="s">
        <v>478</v>
      </c>
      <c r="D112" s="52" t="s">
        <v>426</v>
      </c>
      <c r="E112" s="52" t="s">
        <v>427</v>
      </c>
      <c r="F112" s="107" t="s">
        <v>460</v>
      </c>
      <c r="G112" s="107" t="s">
        <v>430</v>
      </c>
      <c r="H112" s="107" t="s">
        <v>16</v>
      </c>
      <c r="I112" s="107" t="s">
        <v>17</v>
      </c>
      <c r="J112" s="53" t="s">
        <v>57</v>
      </c>
      <c r="K112" s="53" t="s">
        <v>17</v>
      </c>
      <c r="L112" s="73">
        <v>0.5</v>
      </c>
      <c r="M112" s="103">
        <v>23000</v>
      </c>
      <c r="N112" s="74">
        <v>11500</v>
      </c>
      <c r="O112" s="104"/>
      <c r="P112" s="82" t="s">
        <v>18</v>
      </c>
      <c r="Q112" s="82" t="s">
        <v>347</v>
      </c>
      <c r="R112" s="82"/>
      <c r="S112" s="82"/>
      <c r="T112" s="89" t="s">
        <v>19</v>
      </c>
      <c r="U112" s="41" t="str">
        <f>VLOOKUP(J112,Sheet1!$A$2:$D$200,4,0)</f>
        <v>NL300070</v>
      </c>
      <c r="V112" s="41" t="str">
        <f>VLOOKUP(U112,Sheet1!$D$2:$E$200,2,0)</f>
        <v>Khoai lang Nhật</v>
      </c>
      <c r="W112" s="94" t="str">
        <f t="shared" si="5"/>
        <v>31NL300070</v>
      </c>
      <c r="X112" s="94" t="str">
        <f>COUNTIF($R$15:W112,W112)&amp;W112</f>
        <v>131NL300070</v>
      </c>
      <c r="Y112" s="95">
        <f>IFERROR(VLOOKUP(X112,FAST!$B$7:$M$9722,12,0),"0")</f>
        <v>0.5</v>
      </c>
      <c r="Z112" s="95">
        <f>IFERROR(VLOOKUP(X112,FAST!$B$7:$N$9722,13,0),"0")</f>
        <v>23000</v>
      </c>
      <c r="AA112" s="96">
        <f t="shared" si="6"/>
        <v>11500</v>
      </c>
      <c r="AB112" s="97">
        <f t="shared" si="7"/>
        <v>0</v>
      </c>
      <c r="AC112" s="98">
        <f t="shared" si="8"/>
        <v>0</v>
      </c>
      <c r="AD112" s="99">
        <f t="shared" si="9"/>
        <v>0</v>
      </c>
    </row>
    <row r="113" spans="1:30" x14ac:dyDescent="0.25">
      <c r="A113" s="41"/>
      <c r="B113" s="80"/>
      <c r="C113" s="52" t="s">
        <v>478</v>
      </c>
      <c r="D113" s="52" t="s">
        <v>426</v>
      </c>
      <c r="E113" s="52" t="s">
        <v>427</v>
      </c>
      <c r="F113" s="107" t="s">
        <v>460</v>
      </c>
      <c r="G113" s="107" t="s">
        <v>408</v>
      </c>
      <c r="H113" s="107" t="s">
        <v>29</v>
      </c>
      <c r="I113" s="107" t="s">
        <v>17</v>
      </c>
      <c r="J113" s="53" t="s">
        <v>61</v>
      </c>
      <c r="K113" s="53" t="s">
        <v>17</v>
      </c>
      <c r="L113" s="73">
        <v>0.1</v>
      </c>
      <c r="M113" s="103">
        <v>42000</v>
      </c>
      <c r="N113" s="74">
        <v>4200</v>
      </c>
      <c r="O113" s="104"/>
      <c r="P113" s="82" t="s">
        <v>18</v>
      </c>
      <c r="Q113" s="82" t="s">
        <v>347</v>
      </c>
      <c r="R113" s="82"/>
      <c r="S113" s="82"/>
      <c r="T113" s="89" t="s">
        <v>19</v>
      </c>
      <c r="U113" s="41" t="str">
        <f>VLOOKUP(J113,Sheet1!$A$2:$D$200,4,0)</f>
        <v>NL300073</v>
      </c>
      <c r="V113" s="41" t="str">
        <f>VLOOKUP(U113,Sheet1!$D$2:$E$200,2,0)</f>
        <v>Lá chanh</v>
      </c>
      <c r="W113" s="94" t="str">
        <f t="shared" si="5"/>
        <v>31NL300073</v>
      </c>
      <c r="X113" s="94" t="str">
        <f>COUNTIF($R$15:W113,W113)&amp;W113</f>
        <v>131NL300073</v>
      </c>
      <c r="Y113" s="95">
        <f>IFERROR(VLOOKUP(X113,FAST!$B$7:$M$9722,12,0),"0")</f>
        <v>0.1</v>
      </c>
      <c r="Z113" s="95">
        <f>IFERROR(VLOOKUP(X113,FAST!$B$7:$N$9722,13,0),"0")</f>
        <v>42000</v>
      </c>
      <c r="AA113" s="96">
        <f t="shared" si="6"/>
        <v>4200</v>
      </c>
      <c r="AB113" s="97">
        <f t="shared" si="7"/>
        <v>0</v>
      </c>
      <c r="AC113" s="98">
        <f t="shared" si="8"/>
        <v>0</v>
      </c>
      <c r="AD113" s="99">
        <f t="shared" si="9"/>
        <v>0</v>
      </c>
    </row>
    <row r="114" spans="1:30" x14ac:dyDescent="0.25">
      <c r="A114" s="41"/>
      <c r="B114" s="80"/>
      <c r="C114" s="52" t="s">
        <v>478</v>
      </c>
      <c r="D114" s="52" t="s">
        <v>426</v>
      </c>
      <c r="E114" s="52" t="s">
        <v>427</v>
      </c>
      <c r="F114" s="107" t="s">
        <v>461</v>
      </c>
      <c r="G114" s="107" t="s">
        <v>429</v>
      </c>
      <c r="H114" s="107" t="s">
        <v>54</v>
      </c>
      <c r="I114" s="107" t="s">
        <v>17</v>
      </c>
      <c r="J114" s="53" t="s">
        <v>75</v>
      </c>
      <c r="K114" s="53" t="s">
        <v>17</v>
      </c>
      <c r="L114" s="73">
        <v>1</v>
      </c>
      <c r="M114" s="103">
        <v>18000</v>
      </c>
      <c r="N114" s="74">
        <v>18000</v>
      </c>
      <c r="O114" s="104"/>
      <c r="P114" s="82" t="s">
        <v>18</v>
      </c>
      <c r="Q114" s="82" t="s">
        <v>347</v>
      </c>
      <c r="R114" s="82"/>
      <c r="S114" s="82"/>
      <c r="T114" s="89" t="s">
        <v>19</v>
      </c>
      <c r="U114" s="41" t="str">
        <f>VLOOKUP(J114,Sheet1!$A$2:$D$200,4,0)</f>
        <v>NL300184</v>
      </c>
      <c r="V114" s="41" t="str">
        <f>VLOOKUP(U114,Sheet1!$D$2:$E$200,2,0)</f>
        <v>Lá Dứa</v>
      </c>
      <c r="W114" s="94" t="str">
        <f t="shared" si="5"/>
        <v>31NL300184</v>
      </c>
      <c r="X114" s="94" t="str">
        <f>COUNTIF($R$15:W114,W114)&amp;W114</f>
        <v>131NL300184</v>
      </c>
      <c r="Y114" s="95">
        <f>IFERROR(VLOOKUP(X114,FAST!$B$7:$M$9722,12,0),"0")</f>
        <v>1</v>
      </c>
      <c r="Z114" s="95">
        <f>IFERROR(VLOOKUP(X114,FAST!$B$7:$N$9722,13,0),"0")</f>
        <v>18000</v>
      </c>
      <c r="AA114" s="96">
        <f t="shared" si="6"/>
        <v>18000</v>
      </c>
      <c r="AB114" s="97">
        <f t="shared" si="7"/>
        <v>0</v>
      </c>
      <c r="AC114" s="98">
        <f t="shared" si="8"/>
        <v>0</v>
      </c>
      <c r="AD114" s="99">
        <f t="shared" si="9"/>
        <v>0</v>
      </c>
    </row>
    <row r="115" spans="1:30" x14ac:dyDescent="0.25">
      <c r="A115" s="41"/>
      <c r="B115" s="80"/>
      <c r="C115" s="52" t="s">
        <v>478</v>
      </c>
      <c r="D115" s="52" t="s">
        <v>426</v>
      </c>
      <c r="E115" s="52" t="s">
        <v>427</v>
      </c>
      <c r="F115" s="107" t="s">
        <v>461</v>
      </c>
      <c r="G115" s="107" t="s">
        <v>430</v>
      </c>
      <c r="H115" s="107" t="s">
        <v>16</v>
      </c>
      <c r="I115" s="107" t="s">
        <v>17</v>
      </c>
      <c r="J115" s="53" t="s">
        <v>31</v>
      </c>
      <c r="K115" s="53" t="s">
        <v>17</v>
      </c>
      <c r="L115" s="73">
        <v>9</v>
      </c>
      <c r="M115" s="103">
        <v>27000</v>
      </c>
      <c r="N115" s="74">
        <v>243000</v>
      </c>
      <c r="O115" s="104"/>
      <c r="P115" s="82" t="s">
        <v>18</v>
      </c>
      <c r="Q115" s="82" t="s">
        <v>347</v>
      </c>
      <c r="R115" s="82"/>
      <c r="S115" s="82"/>
      <c r="T115" s="89" t="s">
        <v>19</v>
      </c>
      <c r="U115" s="41" t="str">
        <f>VLOOKUP(J115,Sheet1!$A$2:$D$200,4,0)</f>
        <v>NL300088</v>
      </c>
      <c r="V115" s="41" t="str">
        <f>VLOOKUP(U115,Sheet1!$D$2:$E$200,2,0)</f>
        <v>Mướp hương</v>
      </c>
      <c r="W115" s="94" t="str">
        <f t="shared" si="5"/>
        <v>31NL300088</v>
      </c>
      <c r="X115" s="94" t="str">
        <f>COUNTIF($R$15:W115,W115)&amp;W115</f>
        <v>131NL300088</v>
      </c>
      <c r="Y115" s="95">
        <f>IFERROR(VLOOKUP(X115,FAST!$B$7:$M$9722,12,0),"0")</f>
        <v>5.8</v>
      </c>
      <c r="Z115" s="95">
        <f>IFERROR(VLOOKUP(X115,FAST!$B$7:$N$9722,13,0),"0")</f>
        <v>27000</v>
      </c>
      <c r="AA115" s="96">
        <f t="shared" si="6"/>
        <v>156600</v>
      </c>
      <c r="AB115" s="97">
        <f t="shared" si="7"/>
        <v>-3.2</v>
      </c>
      <c r="AC115" s="98">
        <f t="shared" si="8"/>
        <v>0</v>
      </c>
      <c r="AD115" s="99">
        <f t="shared" si="9"/>
        <v>-86400</v>
      </c>
    </row>
    <row r="116" spans="1:30" x14ac:dyDescent="0.25">
      <c r="A116" s="41"/>
      <c r="B116" s="80"/>
      <c r="C116" s="52" t="s">
        <v>478</v>
      </c>
      <c r="D116" s="52" t="s">
        <v>426</v>
      </c>
      <c r="E116" s="52" t="s">
        <v>427</v>
      </c>
      <c r="F116" s="107" t="s">
        <v>461</v>
      </c>
      <c r="G116" s="107" t="s">
        <v>404</v>
      </c>
      <c r="H116" s="107" t="s">
        <v>20</v>
      </c>
      <c r="I116" s="107" t="s">
        <v>21</v>
      </c>
      <c r="J116" s="53" t="s">
        <v>39</v>
      </c>
      <c r="K116" s="53" t="s">
        <v>17</v>
      </c>
      <c r="L116" s="73">
        <v>5</v>
      </c>
      <c r="M116" s="103">
        <v>145000</v>
      </c>
      <c r="N116" s="74">
        <v>725000</v>
      </c>
      <c r="O116" s="104"/>
      <c r="P116" s="82" t="s">
        <v>18</v>
      </c>
      <c r="Q116" s="82" t="s">
        <v>347</v>
      </c>
      <c r="R116" s="82"/>
      <c r="S116" s="82"/>
      <c r="T116" s="89" t="s">
        <v>19</v>
      </c>
      <c r="U116" s="41" t="str">
        <f>VLOOKUP(J116,Sheet1!$A$2:$D$200,4,0)</f>
        <v>NL300090</v>
      </c>
      <c r="V116" s="41" t="str">
        <f>VLOOKUP(U116,Sheet1!$D$2:$E$200,2,0)</f>
        <v>Nấm đông cô tươi</v>
      </c>
      <c r="W116" s="94" t="str">
        <f t="shared" si="5"/>
        <v>31NL300090</v>
      </c>
      <c r="X116" s="94" t="str">
        <f>COUNTIF($R$15:W116,W116)&amp;W116</f>
        <v>131NL300090</v>
      </c>
      <c r="Y116" s="95">
        <f>IFERROR(VLOOKUP(X116,FAST!$B$7:$M$9722,12,0),"0")</f>
        <v>3.2</v>
      </c>
      <c r="Z116" s="95">
        <f>IFERROR(VLOOKUP(X116,FAST!$B$7:$N$9722,13,0),"0")</f>
        <v>145000</v>
      </c>
      <c r="AA116" s="96">
        <f t="shared" si="6"/>
        <v>464000</v>
      </c>
      <c r="AB116" s="97">
        <f t="shared" si="7"/>
        <v>-1.7999999999999998</v>
      </c>
      <c r="AC116" s="98">
        <f t="shared" si="8"/>
        <v>0</v>
      </c>
      <c r="AD116" s="99">
        <f t="shared" si="9"/>
        <v>-261000</v>
      </c>
    </row>
    <row r="117" spans="1:30" x14ac:dyDescent="0.25">
      <c r="A117" s="41"/>
      <c r="B117" s="80"/>
      <c r="C117" s="52" t="s">
        <v>478</v>
      </c>
      <c r="D117" s="52" t="s">
        <v>426</v>
      </c>
      <c r="E117" s="52" t="s">
        <v>427</v>
      </c>
      <c r="F117" s="107" t="s">
        <v>461</v>
      </c>
      <c r="G117" s="107" t="s">
        <v>431</v>
      </c>
      <c r="H117" s="107" t="s">
        <v>23</v>
      </c>
      <c r="I117" s="107" t="s">
        <v>17</v>
      </c>
      <c r="J117" s="53" t="s">
        <v>40</v>
      </c>
      <c r="K117" s="53" t="s">
        <v>17</v>
      </c>
      <c r="L117" s="73">
        <v>3</v>
      </c>
      <c r="M117" s="103">
        <v>47000</v>
      </c>
      <c r="N117" s="74">
        <v>141000</v>
      </c>
      <c r="O117" s="104"/>
      <c r="P117" s="82" t="s">
        <v>18</v>
      </c>
      <c r="Q117" s="82" t="s">
        <v>347</v>
      </c>
      <c r="R117" s="82"/>
      <c r="S117" s="82"/>
      <c r="T117" s="89" t="s">
        <v>19</v>
      </c>
      <c r="U117" s="41" t="str">
        <f>VLOOKUP(J117,Sheet1!$A$2:$D$200,4,0)</f>
        <v>NL300091</v>
      </c>
      <c r="V117" s="41" t="str">
        <f>VLOOKUP(U117,Sheet1!$D$2:$E$200,2,0)</f>
        <v>Nấm đùi gà</v>
      </c>
      <c r="W117" s="94" t="str">
        <f t="shared" si="5"/>
        <v>31NL300091</v>
      </c>
      <c r="X117" s="94" t="str">
        <f>COUNTIF($R$15:W117,W117)&amp;W117</f>
        <v>131NL300091</v>
      </c>
      <c r="Y117" s="95">
        <f>IFERROR(VLOOKUP(X117,FAST!$B$7:$M$9722,12,0),"0")</f>
        <v>3</v>
      </c>
      <c r="Z117" s="95">
        <f>IFERROR(VLOOKUP(X117,FAST!$B$7:$N$9722,13,0),"0")</f>
        <v>47000</v>
      </c>
      <c r="AA117" s="96">
        <f t="shared" si="6"/>
        <v>141000</v>
      </c>
      <c r="AB117" s="97">
        <f t="shared" si="7"/>
        <v>0</v>
      </c>
      <c r="AC117" s="98">
        <f t="shared" si="8"/>
        <v>0</v>
      </c>
      <c r="AD117" s="99">
        <f t="shared" si="9"/>
        <v>0</v>
      </c>
    </row>
    <row r="118" spans="1:30" x14ac:dyDescent="0.25">
      <c r="A118" s="41"/>
      <c r="B118" s="80"/>
      <c r="C118" s="52" t="s">
        <v>478</v>
      </c>
      <c r="D118" s="52" t="s">
        <v>426</v>
      </c>
      <c r="E118" s="52" t="s">
        <v>427</v>
      </c>
      <c r="F118" s="107" t="s">
        <v>461</v>
      </c>
      <c r="G118" s="107" t="s">
        <v>432</v>
      </c>
      <c r="H118" s="107" t="s">
        <v>50</v>
      </c>
      <c r="I118" s="107" t="s">
        <v>17</v>
      </c>
      <c r="J118" s="53" t="s">
        <v>43</v>
      </c>
      <c r="K118" s="53" t="s">
        <v>17</v>
      </c>
      <c r="L118" s="73">
        <v>2</v>
      </c>
      <c r="M118" s="103">
        <v>90000</v>
      </c>
      <c r="N118" s="74">
        <v>180000</v>
      </c>
      <c r="O118" s="104"/>
      <c r="P118" s="82" t="s">
        <v>18</v>
      </c>
      <c r="Q118" s="82" t="s">
        <v>347</v>
      </c>
      <c r="R118" s="82"/>
      <c r="S118" s="82"/>
      <c r="T118" s="89" t="s">
        <v>19</v>
      </c>
      <c r="U118" s="41" t="str">
        <f>VLOOKUP(J118,Sheet1!$A$2:$D$200,4,0)</f>
        <v>NL300092</v>
      </c>
      <c r="V118" s="41" t="str">
        <f>VLOOKUP(U118,Sheet1!$D$2:$E$200,2,0)</f>
        <v>Nấm đùi gà baby</v>
      </c>
      <c r="W118" s="94" t="str">
        <f t="shared" si="5"/>
        <v>31NL300092</v>
      </c>
      <c r="X118" s="94" t="str">
        <f>COUNTIF($R$15:W118,W118)&amp;W118</f>
        <v>131NL300092</v>
      </c>
      <c r="Y118" s="95">
        <f>IFERROR(VLOOKUP(X118,FAST!$B$7:$M$9722,12,0),"0")</f>
        <v>2</v>
      </c>
      <c r="Z118" s="95">
        <f>IFERROR(VLOOKUP(X118,FAST!$B$7:$N$9722,13,0),"0")</f>
        <v>90000</v>
      </c>
      <c r="AA118" s="96">
        <f t="shared" si="6"/>
        <v>180000</v>
      </c>
      <c r="AB118" s="97">
        <f t="shared" si="7"/>
        <v>0</v>
      </c>
      <c r="AC118" s="98">
        <f t="shared" si="8"/>
        <v>0</v>
      </c>
      <c r="AD118" s="99">
        <f t="shared" si="9"/>
        <v>0</v>
      </c>
    </row>
    <row r="119" spans="1:30" x14ac:dyDescent="0.25">
      <c r="A119" s="41"/>
      <c r="B119" s="80"/>
      <c r="C119" s="52" t="s">
        <v>478</v>
      </c>
      <c r="D119" s="52" t="s">
        <v>426</v>
      </c>
      <c r="E119" s="52" t="s">
        <v>427</v>
      </c>
      <c r="F119" s="107" t="s">
        <v>461</v>
      </c>
      <c r="G119" s="107" t="s">
        <v>424</v>
      </c>
      <c r="H119" s="107" t="s">
        <v>72</v>
      </c>
      <c r="I119" s="107" t="s">
        <v>17</v>
      </c>
      <c r="J119" s="53" t="s">
        <v>67</v>
      </c>
      <c r="K119" s="53" t="s">
        <v>17</v>
      </c>
      <c r="L119" s="73">
        <v>2.5</v>
      </c>
      <c r="M119" s="103">
        <v>80000</v>
      </c>
      <c r="N119" s="74">
        <v>200000</v>
      </c>
      <c r="O119" s="104"/>
      <c r="P119" s="82" t="s">
        <v>18</v>
      </c>
      <c r="Q119" s="82" t="s">
        <v>347</v>
      </c>
      <c r="R119" s="82"/>
      <c r="S119" s="82"/>
      <c r="T119" s="89" t="s">
        <v>19</v>
      </c>
      <c r="U119" s="41" t="str">
        <f>VLOOKUP(J119,Sheet1!$A$2:$D$200,4,0)</f>
        <v>NL300094</v>
      </c>
      <c r="V119" s="41" t="str">
        <f>VLOOKUP(U119,Sheet1!$D$2:$E$200,2,0)</f>
        <v>Nấm hải sản</v>
      </c>
      <c r="W119" s="94" t="str">
        <f t="shared" si="5"/>
        <v>31NL300094</v>
      </c>
      <c r="X119" s="94" t="str">
        <f>COUNTIF($R$15:W119,W119)&amp;W119</f>
        <v>131NL300094</v>
      </c>
      <c r="Y119" s="95">
        <f>IFERROR(VLOOKUP(X119,FAST!$B$7:$M$9722,12,0),"0")</f>
        <v>2.5</v>
      </c>
      <c r="Z119" s="95">
        <f>IFERROR(VLOOKUP(X119,FAST!$B$7:$N$9722,13,0),"0")</f>
        <v>80000</v>
      </c>
      <c r="AA119" s="96">
        <f t="shared" si="6"/>
        <v>200000</v>
      </c>
      <c r="AB119" s="97">
        <f t="shared" si="7"/>
        <v>0</v>
      </c>
      <c r="AC119" s="98">
        <f t="shared" si="8"/>
        <v>0</v>
      </c>
      <c r="AD119" s="99">
        <f t="shared" si="9"/>
        <v>0</v>
      </c>
    </row>
    <row r="120" spans="1:30" x14ac:dyDescent="0.25">
      <c r="A120" s="41"/>
      <c r="B120" s="80"/>
      <c r="C120" s="52" t="s">
        <v>478</v>
      </c>
      <c r="D120" s="52" t="s">
        <v>426</v>
      </c>
      <c r="E120" s="52" t="s">
        <v>427</v>
      </c>
      <c r="F120" s="107" t="s">
        <v>461</v>
      </c>
      <c r="G120" s="107" t="s">
        <v>435</v>
      </c>
      <c r="H120" s="107" t="s">
        <v>25</v>
      </c>
      <c r="I120" s="107" t="s">
        <v>17</v>
      </c>
      <c r="J120" s="53" t="s">
        <v>41</v>
      </c>
      <c r="K120" s="53" t="s">
        <v>17</v>
      </c>
      <c r="L120" s="73">
        <v>8</v>
      </c>
      <c r="M120" s="103">
        <v>45000</v>
      </c>
      <c r="N120" s="74">
        <v>360000</v>
      </c>
      <c r="O120" s="104"/>
      <c r="P120" s="82" t="s">
        <v>18</v>
      </c>
      <c r="Q120" s="82" t="s">
        <v>347</v>
      </c>
      <c r="R120" s="82"/>
      <c r="S120" s="82"/>
      <c r="T120" s="89" t="s">
        <v>19</v>
      </c>
      <c r="U120" s="41" t="str">
        <f>VLOOKUP(J120,Sheet1!$A$2:$D$200,4,0)</f>
        <v>NL300096</v>
      </c>
      <c r="V120" s="41" t="str">
        <f>VLOOKUP(U120,Sheet1!$D$2:$E$200,2,0)</f>
        <v>Nấm kim châm tươi</v>
      </c>
      <c r="W120" s="94" t="str">
        <f t="shared" si="5"/>
        <v>31NL300096</v>
      </c>
      <c r="X120" s="94" t="str">
        <f>COUNTIF($R$15:W120,W120)&amp;W120</f>
        <v>131NL300096</v>
      </c>
      <c r="Y120" s="95">
        <f>IFERROR(VLOOKUP(X120,FAST!$B$7:$M$9722,12,0),"0")</f>
        <v>6</v>
      </c>
      <c r="Z120" s="95">
        <f>IFERROR(VLOOKUP(X120,FAST!$B$7:$N$9722,13,0),"0")</f>
        <v>45000</v>
      </c>
      <c r="AA120" s="96">
        <f t="shared" si="6"/>
        <v>270000</v>
      </c>
      <c r="AB120" s="97">
        <f t="shared" si="7"/>
        <v>-2</v>
      </c>
      <c r="AC120" s="98">
        <f t="shared" si="8"/>
        <v>0</v>
      </c>
      <c r="AD120" s="99">
        <f t="shared" si="9"/>
        <v>-90000</v>
      </c>
    </row>
    <row r="121" spans="1:30" x14ac:dyDescent="0.25">
      <c r="A121" s="41"/>
      <c r="B121" s="80"/>
      <c r="C121" s="52" t="s">
        <v>478</v>
      </c>
      <c r="D121" s="52" t="s">
        <v>426</v>
      </c>
      <c r="E121" s="52" t="s">
        <v>427</v>
      </c>
      <c r="F121" s="107" t="s">
        <v>461</v>
      </c>
      <c r="G121" s="107" t="s">
        <v>421</v>
      </c>
      <c r="H121" s="107" t="s">
        <v>73</v>
      </c>
      <c r="I121" s="107" t="s">
        <v>17</v>
      </c>
      <c r="J121" s="53" t="s">
        <v>42</v>
      </c>
      <c r="K121" s="53" t="s">
        <v>17</v>
      </c>
      <c r="L121" s="73">
        <v>1</v>
      </c>
      <c r="M121" s="103">
        <v>90000</v>
      </c>
      <c r="N121" s="74">
        <v>90000</v>
      </c>
      <c r="O121" s="104"/>
      <c r="P121" s="82" t="s">
        <v>18</v>
      </c>
      <c r="Q121" s="82" t="s">
        <v>347</v>
      </c>
      <c r="R121" s="82"/>
      <c r="S121" s="82"/>
      <c r="T121" s="89" t="s">
        <v>19</v>
      </c>
      <c r="U121" s="41" t="str">
        <f>VLOOKUP(J121,Sheet1!$A$2:$D$200,4,0)</f>
        <v>NL300097</v>
      </c>
      <c r="V121" s="41" t="str">
        <f>VLOOKUP(U121,Sheet1!$D$2:$E$200,2,0)</f>
        <v>Nấm Linh Chi nâu</v>
      </c>
      <c r="W121" s="94" t="str">
        <f t="shared" si="5"/>
        <v>31NL300097</v>
      </c>
      <c r="X121" s="94" t="str">
        <f>COUNTIF($R$15:W121,W121)&amp;W121</f>
        <v>131NL300097</v>
      </c>
      <c r="Y121" s="95">
        <f>IFERROR(VLOOKUP(X121,FAST!$B$7:$M$9722,12,0),"0")</f>
        <v>1</v>
      </c>
      <c r="Z121" s="95">
        <f>IFERROR(VLOOKUP(X121,FAST!$B$7:$N$9722,13,0),"0")</f>
        <v>90000</v>
      </c>
      <c r="AA121" s="96">
        <f t="shared" si="6"/>
        <v>90000</v>
      </c>
      <c r="AB121" s="97">
        <f t="shared" si="7"/>
        <v>0</v>
      </c>
      <c r="AC121" s="98">
        <f t="shared" si="8"/>
        <v>0</v>
      </c>
      <c r="AD121" s="99">
        <f t="shared" si="9"/>
        <v>0</v>
      </c>
    </row>
    <row r="122" spans="1:30" x14ac:dyDescent="0.25">
      <c r="A122" s="41"/>
      <c r="B122" s="80"/>
      <c r="C122" s="52" t="s">
        <v>478</v>
      </c>
      <c r="D122" s="52" t="s">
        <v>426</v>
      </c>
      <c r="E122" s="52" t="s">
        <v>427</v>
      </c>
      <c r="F122" s="107" t="s">
        <v>461</v>
      </c>
      <c r="G122" s="107" t="s">
        <v>406</v>
      </c>
      <c r="H122" s="107" t="s">
        <v>46</v>
      </c>
      <c r="I122" s="107" t="s">
        <v>17</v>
      </c>
      <c r="J122" s="53" t="s">
        <v>68</v>
      </c>
      <c r="K122" s="53" t="s">
        <v>17</v>
      </c>
      <c r="L122" s="73">
        <v>0.3</v>
      </c>
      <c r="M122" s="103">
        <v>95000</v>
      </c>
      <c r="N122" s="74">
        <v>28500</v>
      </c>
      <c r="O122" s="104"/>
      <c r="P122" s="82" t="s">
        <v>18</v>
      </c>
      <c r="Q122" s="82" t="s">
        <v>347</v>
      </c>
      <c r="R122" s="82"/>
      <c r="S122" s="82"/>
      <c r="T122" s="89" t="s">
        <v>19</v>
      </c>
      <c r="U122" s="41" t="str">
        <f>VLOOKUP(J122,Sheet1!$A$2:$D$200,4,0)</f>
        <v>NL300098</v>
      </c>
      <c r="V122" s="41" t="str">
        <f>VLOOKUP(U122,Sheet1!$D$2:$E$200,2,0)</f>
        <v>Nấm Linh Chi trắng</v>
      </c>
      <c r="W122" s="94" t="str">
        <f t="shared" si="5"/>
        <v>31NL300098</v>
      </c>
      <c r="X122" s="94" t="str">
        <f>COUNTIF($R$15:W122,W122)&amp;W122</f>
        <v>131NL300098</v>
      </c>
      <c r="Y122" s="95">
        <f>IFERROR(VLOOKUP(X122,FAST!$B$7:$M$9722,12,0),"0")</f>
        <v>0.3</v>
      </c>
      <c r="Z122" s="95">
        <f>IFERROR(VLOOKUP(X122,FAST!$B$7:$N$9722,13,0),"0")</f>
        <v>95000</v>
      </c>
      <c r="AA122" s="96">
        <f t="shared" si="6"/>
        <v>28500</v>
      </c>
      <c r="AB122" s="97">
        <f t="shared" si="7"/>
        <v>0</v>
      </c>
      <c r="AC122" s="98">
        <f t="shared" si="8"/>
        <v>0</v>
      </c>
      <c r="AD122" s="99">
        <f t="shared" si="9"/>
        <v>0</v>
      </c>
    </row>
    <row r="123" spans="1:30" x14ac:dyDescent="0.25">
      <c r="A123" s="41"/>
      <c r="B123" s="80"/>
      <c r="C123" s="52" t="s">
        <v>478</v>
      </c>
      <c r="D123" s="52" t="s">
        <v>426</v>
      </c>
      <c r="E123" s="52" t="s">
        <v>427</v>
      </c>
      <c r="F123" s="107" t="s">
        <v>461</v>
      </c>
      <c r="G123" s="107" t="s">
        <v>425</v>
      </c>
      <c r="H123" s="107" t="s">
        <v>74</v>
      </c>
      <c r="I123" s="107" t="s">
        <v>17</v>
      </c>
      <c r="J123" s="53" t="s">
        <v>65</v>
      </c>
      <c r="K123" s="53" t="s">
        <v>17</v>
      </c>
      <c r="L123" s="73">
        <v>1</v>
      </c>
      <c r="M123" s="103">
        <v>195000</v>
      </c>
      <c r="N123" s="74">
        <v>195000</v>
      </c>
      <c r="O123" s="104"/>
      <c r="P123" s="82" t="s">
        <v>18</v>
      </c>
      <c r="Q123" s="82" t="s">
        <v>347</v>
      </c>
      <c r="R123" s="82"/>
      <c r="S123" s="82"/>
      <c r="T123" s="89" t="s">
        <v>19</v>
      </c>
      <c r="U123" s="41" t="str">
        <f>VLOOKUP(J123,Sheet1!$A$2:$D$200,4,0)</f>
        <v>NL300101</v>
      </c>
      <c r="V123" s="41" t="str">
        <f>VLOOKUP(U123,Sheet1!$D$2:$E$200,2,0)</f>
        <v>Nấm Mối</v>
      </c>
      <c r="W123" s="94" t="str">
        <f t="shared" si="5"/>
        <v>31NL300101</v>
      </c>
      <c r="X123" s="94" t="str">
        <f>COUNTIF($R$15:W123,W123)&amp;W123</f>
        <v>131NL300101</v>
      </c>
      <c r="Y123" s="95">
        <f>IFERROR(VLOOKUP(X123,FAST!$B$7:$M$9722,12,0),"0")</f>
        <v>1</v>
      </c>
      <c r="Z123" s="95">
        <f>IFERROR(VLOOKUP(X123,FAST!$B$7:$N$9722,13,0),"0")</f>
        <v>195000</v>
      </c>
      <c r="AA123" s="96">
        <f t="shared" si="6"/>
        <v>195000</v>
      </c>
      <c r="AB123" s="97">
        <f t="shared" si="7"/>
        <v>0</v>
      </c>
      <c r="AC123" s="98">
        <f t="shared" si="8"/>
        <v>0</v>
      </c>
      <c r="AD123" s="99">
        <f t="shared" si="9"/>
        <v>0</v>
      </c>
    </row>
    <row r="124" spans="1:30" x14ac:dyDescent="0.25">
      <c r="A124" s="41"/>
      <c r="B124" s="80"/>
      <c r="C124" s="52" t="s">
        <v>478</v>
      </c>
      <c r="D124" s="52" t="s">
        <v>426</v>
      </c>
      <c r="E124" s="52" t="s">
        <v>427</v>
      </c>
      <c r="F124" s="107" t="s">
        <v>461</v>
      </c>
      <c r="G124" s="107" t="s">
        <v>436</v>
      </c>
      <c r="H124" s="107" t="s">
        <v>56</v>
      </c>
      <c r="I124" s="107" t="s">
        <v>17</v>
      </c>
      <c r="J124" s="53" t="s">
        <v>32</v>
      </c>
      <c r="K124" s="53" t="s">
        <v>17</v>
      </c>
      <c r="L124" s="73">
        <v>6</v>
      </c>
      <c r="M124" s="103">
        <v>45000</v>
      </c>
      <c r="N124" s="74">
        <v>270000</v>
      </c>
      <c r="O124" s="104"/>
      <c r="P124" s="82" t="s">
        <v>18</v>
      </c>
      <c r="Q124" s="82" t="s">
        <v>347</v>
      </c>
      <c r="R124" s="82"/>
      <c r="S124" s="82"/>
      <c r="T124" s="89" t="s">
        <v>19</v>
      </c>
      <c r="U124" s="41" t="str">
        <f>VLOOKUP(J124,Sheet1!$A$2:$D$200,4,0)</f>
        <v>NL300085</v>
      </c>
      <c r="V124" s="41" t="str">
        <f>VLOOKUP(U124,Sheet1!$D$2:$E$200,2,0)</f>
        <v>Mùi ta ( Ngò rí )</v>
      </c>
      <c r="W124" s="94" t="str">
        <f t="shared" si="5"/>
        <v>31NL300085</v>
      </c>
      <c r="X124" s="94" t="str">
        <f>COUNTIF($R$15:W124,W124)&amp;W124</f>
        <v>131NL300085</v>
      </c>
      <c r="Y124" s="95">
        <f>IFERROR(VLOOKUP(X124,FAST!$B$7:$M$9722,12,0),"0")</f>
        <v>4</v>
      </c>
      <c r="Z124" s="95">
        <f>IFERROR(VLOOKUP(X124,FAST!$B$7:$N$9722,13,0),"0")</f>
        <v>45000</v>
      </c>
      <c r="AA124" s="96">
        <f t="shared" si="6"/>
        <v>180000</v>
      </c>
      <c r="AB124" s="97">
        <f t="shared" si="7"/>
        <v>-2</v>
      </c>
      <c r="AC124" s="98">
        <f t="shared" si="8"/>
        <v>0</v>
      </c>
      <c r="AD124" s="99">
        <f t="shared" si="9"/>
        <v>-90000</v>
      </c>
    </row>
    <row r="125" spans="1:30" x14ac:dyDescent="0.25">
      <c r="A125" s="41"/>
      <c r="B125" s="80"/>
      <c r="C125" s="52" t="s">
        <v>478</v>
      </c>
      <c r="D125" s="52" t="s">
        <v>426</v>
      </c>
      <c r="E125" s="52" t="s">
        <v>427</v>
      </c>
      <c r="F125" s="107" t="s">
        <v>461</v>
      </c>
      <c r="G125" s="107" t="s">
        <v>437</v>
      </c>
      <c r="H125" s="107" t="s">
        <v>28</v>
      </c>
      <c r="I125" s="107" t="s">
        <v>17</v>
      </c>
      <c r="J125" s="53" t="s">
        <v>66</v>
      </c>
      <c r="K125" s="53" t="s">
        <v>17</v>
      </c>
      <c r="L125" s="73">
        <v>0.2</v>
      </c>
      <c r="M125" s="103">
        <v>70000</v>
      </c>
      <c r="N125" s="74">
        <v>14000</v>
      </c>
      <c r="O125" s="104"/>
      <c r="P125" s="82" t="s">
        <v>18</v>
      </c>
      <c r="Q125" s="82" t="s">
        <v>347</v>
      </c>
      <c r="R125" s="82"/>
      <c r="S125" s="82"/>
      <c r="T125" s="89" t="s">
        <v>19</v>
      </c>
      <c r="U125" s="41" t="str">
        <f>VLOOKUP(J125,Sheet1!$A$2:$D$200,4,0)</f>
        <v>NL300126</v>
      </c>
      <c r="V125" s="41" t="str">
        <f>VLOOKUP(U125,Sheet1!$D$2:$E$200,2,0)</f>
        <v>Rau mùi tây</v>
      </c>
      <c r="W125" s="94" t="str">
        <f t="shared" si="5"/>
        <v>31NL300126</v>
      </c>
      <c r="X125" s="94" t="str">
        <f>COUNTIF($R$15:W125,W125)&amp;W125</f>
        <v>131NL300126</v>
      </c>
      <c r="Y125" s="95">
        <f>IFERROR(VLOOKUP(X125,FAST!$B$7:$M$9722,12,0),"0")</f>
        <v>0.2</v>
      </c>
      <c r="Z125" s="95">
        <f>IFERROR(VLOOKUP(X125,FAST!$B$7:$N$9722,13,0),"0")</f>
        <v>70000</v>
      </c>
      <c r="AA125" s="96">
        <f t="shared" si="6"/>
        <v>14000</v>
      </c>
      <c r="AB125" s="97">
        <f t="shared" si="7"/>
        <v>0</v>
      </c>
      <c r="AC125" s="98">
        <f t="shared" si="8"/>
        <v>0</v>
      </c>
      <c r="AD125" s="99">
        <f t="shared" si="9"/>
        <v>0</v>
      </c>
    </row>
    <row r="126" spans="1:30" x14ac:dyDescent="0.25">
      <c r="A126" s="41"/>
      <c r="B126" s="80"/>
      <c r="C126" s="52" t="s">
        <v>478</v>
      </c>
      <c r="D126" s="52" t="s">
        <v>426</v>
      </c>
      <c r="E126" s="52" t="s">
        <v>427</v>
      </c>
      <c r="F126" s="107" t="s">
        <v>461</v>
      </c>
      <c r="G126" s="107" t="s">
        <v>457</v>
      </c>
      <c r="H126" s="107" t="s">
        <v>44</v>
      </c>
      <c r="I126" s="107" t="s">
        <v>45</v>
      </c>
      <c r="J126" s="53" t="s">
        <v>33</v>
      </c>
      <c r="K126" s="53" t="s">
        <v>17</v>
      </c>
      <c r="L126" s="73">
        <v>2</v>
      </c>
      <c r="M126" s="103">
        <v>145000</v>
      </c>
      <c r="N126" s="74">
        <v>290000</v>
      </c>
      <c r="O126" s="104"/>
      <c r="P126" s="82" t="s">
        <v>18</v>
      </c>
      <c r="Q126" s="82" t="s">
        <v>347</v>
      </c>
      <c r="R126" s="82"/>
      <c r="S126" s="82"/>
      <c r="T126" s="89" t="s">
        <v>19</v>
      </c>
      <c r="U126" s="41" t="str">
        <f>VLOOKUP(J126,Sheet1!$A$2:$D$200,4,0)</f>
        <v>NL300113</v>
      </c>
      <c r="V126" s="41" t="str">
        <f>VLOOKUP(U126,Sheet1!$D$2:$E$200,2,0)</f>
        <v>Ớt hiểm đỏ</v>
      </c>
      <c r="W126" s="94" t="str">
        <f t="shared" si="5"/>
        <v>31NL300113</v>
      </c>
      <c r="X126" s="94" t="str">
        <f>COUNTIF($R$15:W126,W126)&amp;W126</f>
        <v>131NL300113</v>
      </c>
      <c r="Y126" s="95">
        <f>IFERROR(VLOOKUP(X126,FAST!$B$7:$M$9722,12,0),"0")</f>
        <v>2</v>
      </c>
      <c r="Z126" s="95">
        <f>IFERROR(VLOOKUP(X126,FAST!$B$7:$N$9722,13,0),"0")</f>
        <v>145000</v>
      </c>
      <c r="AA126" s="96">
        <f t="shared" si="6"/>
        <v>290000</v>
      </c>
      <c r="AB126" s="97">
        <f t="shared" si="7"/>
        <v>0</v>
      </c>
      <c r="AC126" s="98">
        <f t="shared" si="8"/>
        <v>0</v>
      </c>
      <c r="AD126" s="99">
        <f t="shared" si="9"/>
        <v>0</v>
      </c>
    </row>
    <row r="127" spans="1:30" x14ac:dyDescent="0.25">
      <c r="A127" s="41"/>
      <c r="B127" s="80"/>
      <c r="C127" s="52" t="s">
        <v>478</v>
      </c>
      <c r="D127" s="52" t="s">
        <v>426</v>
      </c>
      <c r="E127" s="52" t="s">
        <v>427</v>
      </c>
      <c r="F127" s="107" t="s">
        <v>461</v>
      </c>
      <c r="G127" s="107" t="s">
        <v>419</v>
      </c>
      <c r="H127" s="107" t="s">
        <v>47</v>
      </c>
      <c r="I127" s="107" t="s">
        <v>17</v>
      </c>
      <c r="J127" s="53" t="s">
        <v>51</v>
      </c>
      <c r="K127" s="53" t="s">
        <v>17</v>
      </c>
      <c r="L127" s="73">
        <v>0.2</v>
      </c>
      <c r="M127" s="103">
        <v>148000</v>
      </c>
      <c r="N127" s="74">
        <v>29600</v>
      </c>
      <c r="O127" s="104"/>
      <c r="P127" s="82" t="s">
        <v>18</v>
      </c>
      <c r="Q127" s="82" t="s">
        <v>347</v>
      </c>
      <c r="R127" s="82"/>
      <c r="S127" s="82"/>
      <c r="T127" s="89" t="s">
        <v>19</v>
      </c>
      <c r="U127" s="41" t="str">
        <f>VLOOKUP(J127,Sheet1!$A$2:$D$200,4,0)</f>
        <v>NL300116</v>
      </c>
      <c r="V127" s="41" t="str">
        <f>VLOOKUP(U127,Sheet1!$D$2:$E$200,2,0)</f>
        <v>Ớt sừng</v>
      </c>
      <c r="W127" s="94" t="str">
        <f t="shared" si="5"/>
        <v>31NL300116</v>
      </c>
      <c r="X127" s="94" t="str">
        <f>COUNTIF($R$15:W127,W127)&amp;W127</f>
        <v>131NL300116</v>
      </c>
      <c r="Y127" s="95">
        <f>IFERROR(VLOOKUP(X127,FAST!$B$7:$M$9722,12,0),"0")</f>
        <v>0.2</v>
      </c>
      <c r="Z127" s="95">
        <f>IFERROR(VLOOKUP(X127,FAST!$B$7:$N$9722,13,0),"0")</f>
        <v>148000</v>
      </c>
      <c r="AA127" s="96">
        <f t="shared" si="6"/>
        <v>29600</v>
      </c>
      <c r="AB127" s="97">
        <f t="shared" si="7"/>
        <v>0</v>
      </c>
      <c r="AC127" s="98">
        <f t="shared" si="8"/>
        <v>0</v>
      </c>
      <c r="AD127" s="99">
        <f t="shared" si="9"/>
        <v>0</v>
      </c>
    </row>
    <row r="128" spans="1:30" x14ac:dyDescent="0.25">
      <c r="A128" s="41"/>
      <c r="B128" s="80"/>
      <c r="C128" s="52" t="s">
        <v>478</v>
      </c>
      <c r="D128" s="52" t="s">
        <v>426</v>
      </c>
      <c r="E128" s="52" t="s">
        <v>427</v>
      </c>
      <c r="F128" s="107" t="s">
        <v>461</v>
      </c>
      <c r="G128" s="107" t="s">
        <v>408</v>
      </c>
      <c r="H128" s="107" t="s">
        <v>29</v>
      </c>
      <c r="I128" s="107" t="s">
        <v>17</v>
      </c>
      <c r="J128" s="53" t="s">
        <v>35</v>
      </c>
      <c r="K128" s="53" t="s">
        <v>17</v>
      </c>
      <c r="L128" s="73">
        <v>0.3</v>
      </c>
      <c r="M128" s="103">
        <v>22000</v>
      </c>
      <c r="N128" s="74">
        <v>6600</v>
      </c>
      <c r="O128" s="104"/>
      <c r="P128" s="82" t="s">
        <v>18</v>
      </c>
      <c r="Q128" s="82" t="s">
        <v>347</v>
      </c>
      <c r="R128" s="82"/>
      <c r="S128" s="82"/>
      <c r="T128" s="89" t="s">
        <v>19</v>
      </c>
      <c r="U128" s="41" t="str">
        <f>VLOOKUP(J128,Sheet1!$A$2:$D$200,4,0)</f>
        <v>NL300121</v>
      </c>
      <c r="V128" s="41" t="str">
        <f>VLOOKUP(U128,Sheet1!$D$2:$E$200,2,0)</f>
        <v>Rau răm</v>
      </c>
      <c r="W128" s="94" t="str">
        <f t="shared" si="5"/>
        <v>31NL300121</v>
      </c>
      <c r="X128" s="94" t="str">
        <f>COUNTIF($R$15:W128,W128)&amp;W128</f>
        <v>131NL300121</v>
      </c>
      <c r="Y128" s="95">
        <f>IFERROR(VLOOKUP(X128,FAST!$B$7:$M$9722,12,0),"0")</f>
        <v>0.3</v>
      </c>
      <c r="Z128" s="95">
        <f>IFERROR(VLOOKUP(X128,FAST!$B$7:$N$9722,13,0),"0")</f>
        <v>22000</v>
      </c>
      <c r="AA128" s="96">
        <f t="shared" si="6"/>
        <v>6600</v>
      </c>
      <c r="AB128" s="97">
        <f t="shared" si="7"/>
        <v>0</v>
      </c>
      <c r="AC128" s="98">
        <f t="shared" si="8"/>
        <v>0</v>
      </c>
      <c r="AD128" s="99">
        <f t="shared" si="9"/>
        <v>0</v>
      </c>
    </row>
    <row r="129" spans="1:30" x14ac:dyDescent="0.25">
      <c r="A129" s="41"/>
      <c r="B129" s="80"/>
      <c r="C129" s="52" t="s">
        <v>478</v>
      </c>
      <c r="D129" s="52" t="s">
        <v>426</v>
      </c>
      <c r="E129" s="52" t="s">
        <v>427</v>
      </c>
      <c r="F129" s="107" t="s">
        <v>461</v>
      </c>
      <c r="G129" s="107" t="s">
        <v>462</v>
      </c>
      <c r="H129" s="107" t="s">
        <v>76</v>
      </c>
      <c r="I129" s="107" t="s">
        <v>17</v>
      </c>
      <c r="J129" s="53" t="s">
        <v>36</v>
      </c>
      <c r="K129" s="53" t="s">
        <v>17</v>
      </c>
      <c r="L129" s="73">
        <v>2</v>
      </c>
      <c r="M129" s="103">
        <v>12000</v>
      </c>
      <c r="N129" s="74">
        <v>24000</v>
      </c>
      <c r="O129" s="104"/>
      <c r="P129" s="82" t="s">
        <v>18</v>
      </c>
      <c r="Q129" s="82" t="s">
        <v>347</v>
      </c>
      <c r="R129" s="82"/>
      <c r="S129" s="82"/>
      <c r="T129" s="89" t="s">
        <v>19</v>
      </c>
      <c r="U129" s="41" t="str">
        <f>VLOOKUP(J129,Sheet1!$A$2:$D$200,4,0)</f>
        <v>NL300132</v>
      </c>
      <c r="V129" s="41" t="str">
        <f>VLOOKUP(U129,Sheet1!$D$2:$E$200,2,0)</f>
        <v>Sả cây</v>
      </c>
      <c r="W129" s="94" t="str">
        <f t="shared" si="5"/>
        <v>31NL300132</v>
      </c>
      <c r="X129" s="94" t="str">
        <f>COUNTIF($R$15:W129,W129)&amp;W129</f>
        <v>131NL300132</v>
      </c>
      <c r="Y129" s="95">
        <f>IFERROR(VLOOKUP(X129,FAST!$B$7:$M$9722,12,0),"0")</f>
        <v>2</v>
      </c>
      <c r="Z129" s="95">
        <f>IFERROR(VLOOKUP(X129,FAST!$B$7:$N$9722,13,0),"0")</f>
        <v>12000</v>
      </c>
      <c r="AA129" s="96">
        <f t="shared" si="6"/>
        <v>24000</v>
      </c>
      <c r="AB129" s="97">
        <f t="shared" si="7"/>
        <v>0</v>
      </c>
      <c r="AC129" s="98">
        <f t="shared" si="8"/>
        <v>0</v>
      </c>
      <c r="AD129" s="99">
        <f t="shared" si="9"/>
        <v>0</v>
      </c>
    </row>
    <row r="130" spans="1:30" x14ac:dyDescent="0.25">
      <c r="A130" s="41"/>
      <c r="B130" s="80"/>
      <c r="C130" s="52" t="s">
        <v>478</v>
      </c>
      <c r="D130" s="52" t="s">
        <v>426</v>
      </c>
      <c r="E130" s="52" t="s">
        <v>427</v>
      </c>
      <c r="F130" s="107" t="s">
        <v>461</v>
      </c>
      <c r="G130" s="107" t="s">
        <v>439</v>
      </c>
      <c r="H130" s="107" t="s">
        <v>57</v>
      </c>
      <c r="I130" s="107" t="s">
        <v>17</v>
      </c>
      <c r="J130" s="53" t="s">
        <v>58</v>
      </c>
      <c r="K130" s="53" t="s">
        <v>17</v>
      </c>
      <c r="L130" s="73">
        <v>0.2</v>
      </c>
      <c r="M130" s="103">
        <v>42000</v>
      </c>
      <c r="N130" s="74">
        <v>8400</v>
      </c>
      <c r="O130" s="104"/>
      <c r="P130" s="82" t="s">
        <v>18</v>
      </c>
      <c r="Q130" s="82" t="s">
        <v>347</v>
      </c>
      <c r="R130" s="82"/>
      <c r="S130" s="82"/>
      <c r="T130" s="89" t="s">
        <v>19</v>
      </c>
      <c r="U130" s="41" t="str">
        <f>VLOOKUP(J130,Sheet1!$A$2:$D$200,4,0)</f>
        <v>NL300139</v>
      </c>
      <c r="V130" s="41" t="str">
        <f>VLOOKUP(U130,Sheet1!$D$2:$E$200,2,0)</f>
        <v>Thì là</v>
      </c>
      <c r="W130" s="94" t="str">
        <f t="shared" si="5"/>
        <v>31NL300139</v>
      </c>
      <c r="X130" s="94" t="str">
        <f>COUNTIF($R$15:W130,W130)&amp;W130</f>
        <v>131NL300139</v>
      </c>
      <c r="Y130" s="95">
        <f>IFERROR(VLOOKUP(X130,FAST!$B$7:$M$9722,12,0),"0")</f>
        <v>0.2</v>
      </c>
      <c r="Z130" s="95">
        <f>IFERROR(VLOOKUP(X130,FAST!$B$7:$N$9722,13,0),"0")</f>
        <v>42000</v>
      </c>
      <c r="AA130" s="96">
        <f t="shared" si="6"/>
        <v>8400</v>
      </c>
      <c r="AB130" s="97">
        <f t="shared" si="7"/>
        <v>0</v>
      </c>
      <c r="AC130" s="98">
        <f t="shared" si="8"/>
        <v>0</v>
      </c>
      <c r="AD130" s="99">
        <f t="shared" si="9"/>
        <v>0</v>
      </c>
    </row>
    <row r="131" spans="1:30" x14ac:dyDescent="0.25">
      <c r="A131" s="41"/>
      <c r="B131" s="80"/>
      <c r="C131" s="52" t="s">
        <v>478</v>
      </c>
      <c r="D131" s="52" t="s">
        <v>426</v>
      </c>
      <c r="E131" s="52" t="s">
        <v>427</v>
      </c>
      <c r="F131" s="107" t="s">
        <v>461</v>
      </c>
      <c r="G131" s="107" t="s">
        <v>440</v>
      </c>
      <c r="H131" s="107" t="s">
        <v>31</v>
      </c>
      <c r="I131" s="107" t="s">
        <v>17</v>
      </c>
      <c r="J131" s="53" t="s">
        <v>38</v>
      </c>
      <c r="K131" s="53" t="s">
        <v>17</v>
      </c>
      <c r="L131" s="73">
        <v>5</v>
      </c>
      <c r="M131" s="103">
        <v>50000</v>
      </c>
      <c r="N131" s="74">
        <v>250000</v>
      </c>
      <c r="O131" s="104"/>
      <c r="P131" s="82" t="s">
        <v>18</v>
      </c>
      <c r="Q131" s="82" t="s">
        <v>347</v>
      </c>
      <c r="R131" s="82"/>
      <c r="S131" s="82"/>
      <c r="T131" s="89" t="s">
        <v>19</v>
      </c>
      <c r="U131" s="41" t="str">
        <f>VLOOKUP(J131,Sheet1!$A$2:$D$200,4,0)</f>
        <v>NL300142</v>
      </c>
      <c r="V131" s="41" t="str">
        <f>VLOOKUP(U131,Sheet1!$D$2:$E$200,2,0)</f>
        <v>Tỏi bóc</v>
      </c>
      <c r="W131" s="94" t="str">
        <f t="shared" si="5"/>
        <v>31NL300142</v>
      </c>
      <c r="X131" s="94" t="str">
        <f>COUNTIF($R$15:W131,W131)&amp;W131</f>
        <v>131NL300142</v>
      </c>
      <c r="Y131" s="95">
        <f>IFERROR(VLOOKUP(X131,FAST!$B$7:$M$9722,12,0),"0")</f>
        <v>5</v>
      </c>
      <c r="Z131" s="95">
        <f>IFERROR(VLOOKUP(X131,FAST!$B$7:$N$9722,13,0),"0")</f>
        <v>50000</v>
      </c>
      <c r="AA131" s="96">
        <f t="shared" si="6"/>
        <v>250000</v>
      </c>
      <c r="AB131" s="97">
        <f t="shared" si="7"/>
        <v>0</v>
      </c>
      <c r="AC131" s="98">
        <f t="shared" si="8"/>
        <v>0</v>
      </c>
      <c r="AD131" s="99">
        <f t="shared" si="9"/>
        <v>0</v>
      </c>
    </row>
    <row r="132" spans="1:30" x14ac:dyDescent="0.25">
      <c r="A132" s="41"/>
      <c r="B132" s="80"/>
      <c r="C132" s="52" t="s">
        <v>478</v>
      </c>
      <c r="D132" s="52" t="s">
        <v>426</v>
      </c>
      <c r="E132" s="53" t="s">
        <v>427</v>
      </c>
      <c r="F132" s="107" t="s">
        <v>461</v>
      </c>
      <c r="G132" s="107" t="s">
        <v>411</v>
      </c>
      <c r="H132" s="107" t="s">
        <v>40</v>
      </c>
      <c r="I132" s="107" t="s">
        <v>17</v>
      </c>
      <c r="J132" s="53" t="s">
        <v>52</v>
      </c>
      <c r="K132" s="53" t="s">
        <v>53</v>
      </c>
      <c r="L132" s="73">
        <v>110</v>
      </c>
      <c r="M132" s="103">
        <v>5000</v>
      </c>
      <c r="N132" s="74">
        <v>550000</v>
      </c>
      <c r="O132" s="104"/>
      <c r="P132" s="82" t="s">
        <v>18</v>
      </c>
      <c r="Q132" s="82" t="s">
        <v>347</v>
      </c>
      <c r="R132" s="82"/>
      <c r="S132" s="82"/>
      <c r="T132" s="89" t="s">
        <v>19</v>
      </c>
      <c r="U132" s="41" t="str">
        <f>VLOOKUP(J132,Sheet1!$A$2:$D$200,4,0)</f>
        <v>NL100101</v>
      </c>
      <c r="V132" s="41" t="str">
        <f>VLOOKUP(U132,Sheet1!$D$2:$E$200,2,0)</f>
        <v>Trứng vịt muối</v>
      </c>
      <c r="W132" s="94" t="str">
        <f t="shared" si="5"/>
        <v>31NL100101</v>
      </c>
      <c r="X132" s="94" t="str">
        <f>COUNTIF($R$15:W132,W132)&amp;W132</f>
        <v>131NL100101</v>
      </c>
      <c r="Y132" s="95">
        <f>IFERROR(VLOOKUP(X132,FAST!$B$7:$M$9722,12,0),"0")</f>
        <v>100</v>
      </c>
      <c r="Z132" s="95">
        <f>IFERROR(VLOOKUP(X132,FAST!$B$7:$N$9722,13,0),"0")</f>
        <v>5000</v>
      </c>
      <c r="AA132" s="96">
        <f t="shared" si="6"/>
        <v>500000</v>
      </c>
      <c r="AB132" s="97">
        <f t="shared" si="7"/>
        <v>-10</v>
      </c>
      <c r="AC132" s="98">
        <f t="shared" si="8"/>
        <v>0</v>
      </c>
      <c r="AD132" s="99">
        <f t="shared" si="9"/>
        <v>-50000</v>
      </c>
    </row>
    <row r="133" spans="1:30" x14ac:dyDescent="0.25">
      <c r="A133" s="41"/>
      <c r="B133" s="80"/>
      <c r="C133" s="52" t="s">
        <v>478</v>
      </c>
      <c r="D133" s="52" t="s">
        <v>426</v>
      </c>
      <c r="E133" s="52" t="s">
        <v>427</v>
      </c>
      <c r="F133" s="107" t="s">
        <v>461</v>
      </c>
      <c r="G133" s="107" t="s">
        <v>414</v>
      </c>
      <c r="H133" s="107" t="s">
        <v>32</v>
      </c>
      <c r="I133" s="107" t="s">
        <v>17</v>
      </c>
      <c r="J133" s="53" t="s">
        <v>62</v>
      </c>
      <c r="K133" s="53" t="s">
        <v>17</v>
      </c>
      <c r="L133" s="73">
        <v>0.3</v>
      </c>
      <c r="M133" s="103">
        <v>220000</v>
      </c>
      <c r="N133" s="74">
        <v>66000</v>
      </c>
      <c r="O133" s="104"/>
      <c r="P133" s="82" t="s">
        <v>18</v>
      </c>
      <c r="Q133" s="82" t="s">
        <v>347</v>
      </c>
      <c r="R133" s="82"/>
      <c r="S133" s="82"/>
      <c r="T133" s="89" t="s">
        <v>19</v>
      </c>
      <c r="U133" s="41" t="str">
        <f>VLOOKUP(J133,Sheet1!$A$2:$D$200,4,0)</f>
        <v>NL300131</v>
      </c>
      <c r="V133" s="41" t="str">
        <f>VLOOKUP(U133,Sheet1!$D$2:$E$200,2,0)</f>
        <v>Xà lách Rocket</v>
      </c>
      <c r="W133" s="94" t="str">
        <f t="shared" si="5"/>
        <v>31NL300131</v>
      </c>
      <c r="X133" s="94" t="str">
        <f>COUNTIF($R$15:W133,W133)&amp;W133</f>
        <v>131NL300131</v>
      </c>
      <c r="Y133" s="95">
        <f>IFERROR(VLOOKUP(X133,FAST!$B$7:$M$9722,12,0),"0")</f>
        <v>0.3</v>
      </c>
      <c r="Z133" s="95">
        <f>IFERROR(VLOOKUP(X133,FAST!$B$7:$N$9722,13,0),"0")</f>
        <v>220000</v>
      </c>
      <c r="AA133" s="96">
        <f t="shared" si="6"/>
        <v>66000</v>
      </c>
      <c r="AB133" s="97">
        <f t="shared" si="7"/>
        <v>0</v>
      </c>
      <c r="AC133" s="98">
        <f t="shared" si="8"/>
        <v>0</v>
      </c>
      <c r="AD133" s="99">
        <f t="shared" si="9"/>
        <v>0</v>
      </c>
    </row>
    <row r="134" spans="1:30" x14ac:dyDescent="0.25">
      <c r="A134" s="41"/>
      <c r="B134" s="80"/>
      <c r="C134" s="52" t="s">
        <v>478</v>
      </c>
      <c r="D134" s="52" t="s">
        <v>426</v>
      </c>
      <c r="E134" s="52" t="s">
        <v>427</v>
      </c>
      <c r="F134" s="107" t="s">
        <v>461</v>
      </c>
      <c r="G134" s="107" t="s">
        <v>420</v>
      </c>
      <c r="H134" s="107" t="s">
        <v>33</v>
      </c>
      <c r="I134" s="107" t="s">
        <v>17</v>
      </c>
      <c r="J134" s="53" t="s">
        <v>37</v>
      </c>
      <c r="K134" s="53" t="s">
        <v>17</v>
      </c>
      <c r="L134" s="73">
        <v>8.1999999999999993</v>
      </c>
      <c r="M134" s="103">
        <v>62000</v>
      </c>
      <c r="N134" s="74">
        <v>508399.99999999994</v>
      </c>
      <c r="O134" s="104"/>
      <c r="P134" s="82" t="s">
        <v>18</v>
      </c>
      <c r="Q134" s="82" t="s">
        <v>347</v>
      </c>
      <c r="R134" s="82"/>
      <c r="S134" s="82"/>
      <c r="T134" s="89" t="s">
        <v>19</v>
      </c>
      <c r="U134" s="41" t="str">
        <f>VLOOKUP(J134,Sheet1!$A$2:$D$200,4,0)</f>
        <v>NL300147</v>
      </c>
      <c r="V134" s="41" t="str">
        <f>VLOOKUP(U134,Sheet1!$D$2:$E$200,2,0)</f>
        <v>Xà lách Roman</v>
      </c>
      <c r="W134" s="94" t="str">
        <f t="shared" si="5"/>
        <v>31NL300147</v>
      </c>
      <c r="X134" s="94" t="str">
        <f>COUNTIF($R$15:W134,W134)&amp;W134</f>
        <v>131NL300147</v>
      </c>
      <c r="Y134" s="95">
        <f>IFERROR(VLOOKUP(X134,FAST!$B$7:$M$9722,12,0),"0")</f>
        <v>4.7</v>
      </c>
      <c r="Z134" s="95">
        <f>IFERROR(VLOOKUP(X134,FAST!$B$7:$N$9722,13,0),"0")</f>
        <v>62000</v>
      </c>
      <c r="AA134" s="96">
        <f t="shared" si="6"/>
        <v>291400</v>
      </c>
      <c r="AB134" s="97">
        <f t="shared" si="7"/>
        <v>-3.4999999999999991</v>
      </c>
      <c r="AC134" s="98">
        <f t="shared" si="8"/>
        <v>0</v>
      </c>
      <c r="AD134" s="99">
        <f t="shared" si="9"/>
        <v>-216999.99999999994</v>
      </c>
    </row>
    <row r="135" spans="1:30" x14ac:dyDescent="0.25">
      <c r="A135" s="41"/>
      <c r="B135" s="80"/>
      <c r="C135" s="52" t="s">
        <v>479</v>
      </c>
      <c r="D135" s="52" t="s">
        <v>426</v>
      </c>
      <c r="E135" s="52" t="s">
        <v>427</v>
      </c>
      <c r="F135" s="107" t="s">
        <v>461</v>
      </c>
      <c r="G135" s="107" t="s">
        <v>416</v>
      </c>
      <c r="H135" s="107" t="s">
        <v>60</v>
      </c>
      <c r="I135" s="107" t="s">
        <v>17</v>
      </c>
      <c r="J135" s="53" t="s">
        <v>54</v>
      </c>
      <c r="K135" s="53" t="s">
        <v>17</v>
      </c>
      <c r="L135" s="73">
        <v>2.5</v>
      </c>
      <c r="M135" s="103">
        <v>15000</v>
      </c>
      <c r="N135" s="74">
        <v>37500</v>
      </c>
      <c r="O135" s="104"/>
      <c r="P135" s="82" t="s">
        <v>18</v>
      </c>
      <c r="Q135" s="82" t="s">
        <v>347</v>
      </c>
      <c r="R135" s="82"/>
      <c r="S135" s="82"/>
      <c r="T135" s="89" t="s">
        <v>19</v>
      </c>
      <c r="U135" s="41" t="str">
        <f>VLOOKUP(J135,Sheet1!$A$2:$D$200,4,0)</f>
        <v>NL300189</v>
      </c>
      <c r="V135" s="41" t="str">
        <f>VLOOKUP(U135,Sheet1!$D$2:$E$200,2,0)</f>
        <v>Bánh ướt</v>
      </c>
      <c r="W135" s="94" t="str">
        <f t="shared" si="5"/>
        <v>41NL300189</v>
      </c>
      <c r="X135" s="94" t="str">
        <f>COUNTIF($R$15:W135,W135)&amp;W135</f>
        <v>141NL300189</v>
      </c>
      <c r="Y135" s="95">
        <f>IFERROR(VLOOKUP(X135,FAST!$B$7:$M$9722,12,0),"0")</f>
        <v>2.5</v>
      </c>
      <c r="Z135" s="95">
        <f>IFERROR(VLOOKUP(X135,FAST!$B$7:$N$9722,13,0),"0")</f>
        <v>15000</v>
      </c>
      <c r="AA135" s="96">
        <f t="shared" si="6"/>
        <v>37500</v>
      </c>
      <c r="AB135" s="97">
        <f t="shared" si="7"/>
        <v>0</v>
      </c>
      <c r="AC135" s="98">
        <f t="shared" si="8"/>
        <v>0</v>
      </c>
      <c r="AD135" s="99">
        <f t="shared" si="9"/>
        <v>0</v>
      </c>
    </row>
    <row r="136" spans="1:30" x14ac:dyDescent="0.25">
      <c r="A136" s="41"/>
      <c r="B136" s="80"/>
      <c r="C136" s="52" t="s">
        <v>479</v>
      </c>
      <c r="D136" s="52" t="s">
        <v>426</v>
      </c>
      <c r="E136" s="52" t="s">
        <v>427</v>
      </c>
      <c r="F136" s="107" t="s">
        <v>461</v>
      </c>
      <c r="G136" s="107" t="s">
        <v>417</v>
      </c>
      <c r="H136" s="107" t="s">
        <v>38</v>
      </c>
      <c r="I136" s="107" t="s">
        <v>17</v>
      </c>
      <c r="J136" s="53" t="s">
        <v>20</v>
      </c>
      <c r="K136" s="53" t="s">
        <v>21</v>
      </c>
      <c r="L136" s="73">
        <v>12</v>
      </c>
      <c r="M136" s="103">
        <v>8500</v>
      </c>
      <c r="N136" s="74">
        <v>102000</v>
      </c>
      <c r="O136" s="104"/>
      <c r="P136" s="82" t="s">
        <v>18</v>
      </c>
      <c r="Q136" s="82" t="s">
        <v>347</v>
      </c>
      <c r="R136" s="82"/>
      <c r="S136" s="82"/>
      <c r="T136" s="89" t="s">
        <v>19</v>
      </c>
      <c r="U136" s="41" t="str">
        <f>VLOOKUP(J136,Sheet1!$A$2:$D$200,4,0)</f>
        <v>NL300107</v>
      </c>
      <c r="V136" s="41" t="str">
        <f>VLOOKUP(U136,Sheet1!$D$2:$E$200,2,0)</f>
        <v>Ngô ngọt ( Bắp trái)</v>
      </c>
      <c r="W136" s="94" t="str">
        <f t="shared" si="5"/>
        <v>41NL300107</v>
      </c>
      <c r="X136" s="94" t="str">
        <f>COUNTIF($R$15:W136,W136)&amp;W136</f>
        <v>141NL300107</v>
      </c>
      <c r="Y136" s="95">
        <f>IFERROR(VLOOKUP(X136,FAST!$B$7:$M$9722,12,0),"0")</f>
        <v>12</v>
      </c>
      <c r="Z136" s="95">
        <f>IFERROR(VLOOKUP(X136,FAST!$B$7:$N$9722,13,0),"0")</f>
        <v>8500</v>
      </c>
      <c r="AA136" s="96">
        <f t="shared" si="6"/>
        <v>102000</v>
      </c>
      <c r="AB136" s="97">
        <f t="shared" si="7"/>
        <v>0</v>
      </c>
      <c r="AC136" s="98">
        <f t="shared" si="8"/>
        <v>0</v>
      </c>
      <c r="AD136" s="99">
        <f t="shared" si="9"/>
        <v>0</v>
      </c>
    </row>
    <row r="137" spans="1:30" x14ac:dyDescent="0.25">
      <c r="A137" s="41"/>
      <c r="B137" s="80"/>
      <c r="C137" s="52" t="s">
        <v>479</v>
      </c>
      <c r="D137" s="52" t="s">
        <v>426</v>
      </c>
      <c r="E137" s="52" t="s">
        <v>427</v>
      </c>
      <c r="F137" s="107" t="s">
        <v>461</v>
      </c>
      <c r="G137" s="107" t="s">
        <v>447</v>
      </c>
      <c r="H137" s="107" t="s">
        <v>52</v>
      </c>
      <c r="I137" s="107" t="s">
        <v>53</v>
      </c>
      <c r="J137" s="53" t="s">
        <v>22</v>
      </c>
      <c r="K137" s="53" t="s">
        <v>17</v>
      </c>
      <c r="L137" s="73">
        <v>3.7</v>
      </c>
      <c r="M137" s="103">
        <v>30000</v>
      </c>
      <c r="N137" s="74">
        <v>111000</v>
      </c>
      <c r="O137" s="104"/>
      <c r="P137" s="82" t="s">
        <v>18</v>
      </c>
      <c r="Q137" s="82" t="s">
        <v>347</v>
      </c>
      <c r="R137" s="82"/>
      <c r="S137" s="82"/>
      <c r="T137" s="89" t="s">
        <v>19</v>
      </c>
      <c r="U137" s="41" t="str">
        <f>VLOOKUP(J137,Sheet1!$A$2:$D$200,4,0)</f>
        <v>NL300007</v>
      </c>
      <c r="V137" s="41" t="str">
        <f>VLOOKUP(U137,Sheet1!$D$2:$E$200,2,0)</f>
        <v>Bí đỏ</v>
      </c>
      <c r="W137" s="94" t="str">
        <f t="shared" si="5"/>
        <v>41NL300007</v>
      </c>
      <c r="X137" s="94" t="str">
        <f>COUNTIF($R$15:W137,W137)&amp;W137</f>
        <v>141NL300007</v>
      </c>
      <c r="Y137" s="95">
        <f>IFERROR(VLOOKUP(X137,FAST!$B$7:$M$9722,12,0),"0")</f>
        <v>3.7</v>
      </c>
      <c r="Z137" s="95">
        <f>IFERROR(VLOOKUP(X137,FAST!$B$7:$N$9722,13,0),"0")</f>
        <v>30000</v>
      </c>
      <c r="AA137" s="96">
        <f t="shared" si="6"/>
        <v>111000</v>
      </c>
      <c r="AB137" s="97">
        <f t="shared" si="7"/>
        <v>0</v>
      </c>
      <c r="AC137" s="98">
        <f t="shared" si="8"/>
        <v>0</v>
      </c>
      <c r="AD137" s="99">
        <f t="shared" si="9"/>
        <v>0</v>
      </c>
    </row>
    <row r="138" spans="1:30" x14ac:dyDescent="0.25">
      <c r="A138" s="41"/>
      <c r="B138" s="80"/>
      <c r="C138" s="52" t="s">
        <v>479</v>
      </c>
      <c r="D138" s="52" t="s">
        <v>426</v>
      </c>
      <c r="E138" s="52" t="s">
        <v>427</v>
      </c>
      <c r="F138" s="107" t="s">
        <v>461</v>
      </c>
      <c r="G138" s="107" t="s">
        <v>418</v>
      </c>
      <c r="H138" s="107" t="s">
        <v>37</v>
      </c>
      <c r="I138" s="107" t="s">
        <v>17</v>
      </c>
      <c r="J138" s="53" t="s">
        <v>23</v>
      </c>
      <c r="K138" s="53" t="s">
        <v>17</v>
      </c>
      <c r="L138" s="73">
        <v>7</v>
      </c>
      <c r="M138" s="103">
        <v>40000</v>
      </c>
      <c r="N138" s="74">
        <v>280000</v>
      </c>
      <c r="O138" s="104"/>
      <c r="P138" s="82" t="s">
        <v>18</v>
      </c>
      <c r="Q138" s="82" t="s">
        <v>347</v>
      </c>
      <c r="R138" s="82"/>
      <c r="S138" s="82"/>
      <c r="T138" s="89" t="s">
        <v>19</v>
      </c>
      <c r="U138" s="41" t="str">
        <f>VLOOKUP(J138,Sheet1!$A$2:$D$200,4,0)</f>
        <v>NL300008</v>
      </c>
      <c r="V138" s="41" t="str">
        <f>VLOOKUP(U138,Sheet1!$D$2:$E$200,2,0)</f>
        <v>Bí ngòi</v>
      </c>
      <c r="W138" s="94" t="str">
        <f t="shared" si="5"/>
        <v>41NL300008</v>
      </c>
      <c r="X138" s="94" t="str">
        <f>COUNTIF($R$15:W138,W138)&amp;W138</f>
        <v>141NL300008</v>
      </c>
      <c r="Y138" s="95">
        <f>IFERROR(VLOOKUP(X138,FAST!$B$7:$M$9722,12,0),"0")</f>
        <v>7</v>
      </c>
      <c r="Z138" s="95">
        <f>IFERROR(VLOOKUP(X138,FAST!$B$7:$N$9722,13,0),"0")</f>
        <v>40000</v>
      </c>
      <c r="AA138" s="96">
        <f t="shared" si="6"/>
        <v>280000</v>
      </c>
      <c r="AB138" s="97">
        <f t="shared" si="7"/>
        <v>0</v>
      </c>
      <c r="AC138" s="98">
        <f t="shared" si="8"/>
        <v>0</v>
      </c>
      <c r="AD138" s="99">
        <f t="shared" si="9"/>
        <v>0</v>
      </c>
    </row>
    <row r="139" spans="1:30" x14ac:dyDescent="0.25">
      <c r="A139" s="41"/>
      <c r="B139" s="80"/>
      <c r="C139" s="52" t="s">
        <v>479</v>
      </c>
      <c r="D139" s="52" t="s">
        <v>426</v>
      </c>
      <c r="E139" s="52" t="s">
        <v>427</v>
      </c>
      <c r="F139" s="107" t="s">
        <v>463</v>
      </c>
      <c r="G139" s="107" t="s">
        <v>429</v>
      </c>
      <c r="H139" s="107" t="s">
        <v>54</v>
      </c>
      <c r="I139" s="107" t="s">
        <v>17</v>
      </c>
      <c r="J139" s="53" t="s">
        <v>50</v>
      </c>
      <c r="K139" s="53" t="s">
        <v>17</v>
      </c>
      <c r="L139" s="73">
        <v>3.8</v>
      </c>
      <c r="M139" s="103">
        <v>52000</v>
      </c>
      <c r="N139" s="74">
        <v>197600</v>
      </c>
      <c r="O139" s="104"/>
      <c r="P139" s="82" t="s">
        <v>18</v>
      </c>
      <c r="Q139" s="82" t="s">
        <v>347</v>
      </c>
      <c r="R139" s="82"/>
      <c r="S139" s="82"/>
      <c r="T139" s="89" t="s">
        <v>19</v>
      </c>
      <c r="U139" s="41" t="str">
        <f>VLOOKUP(J139,Sheet1!$A$2:$D$200,4,0)</f>
        <v>NL300137</v>
      </c>
      <c r="V139" s="41" t="str">
        <f>VLOOKUP(U139,Sheet1!$D$2:$E$200,2,0)</f>
        <v>Súp lơ xanh</v>
      </c>
      <c r="W139" s="94" t="str">
        <f t="shared" si="5"/>
        <v>41NL300137</v>
      </c>
      <c r="X139" s="94" t="str">
        <f>COUNTIF($R$15:W139,W139)&amp;W139</f>
        <v>141NL300137</v>
      </c>
      <c r="Y139" s="95">
        <f>IFERROR(VLOOKUP(X139,FAST!$B$7:$M$9722,12,0),"0")</f>
        <v>3.8</v>
      </c>
      <c r="Z139" s="95">
        <f>IFERROR(VLOOKUP(X139,FAST!$B$7:$N$9722,13,0),"0")</f>
        <v>52000</v>
      </c>
      <c r="AA139" s="96">
        <f t="shared" si="6"/>
        <v>197600</v>
      </c>
      <c r="AB139" s="97">
        <f t="shared" si="7"/>
        <v>0</v>
      </c>
      <c r="AC139" s="98">
        <f t="shared" si="8"/>
        <v>0</v>
      </c>
      <c r="AD139" s="99">
        <f t="shared" si="9"/>
        <v>0</v>
      </c>
    </row>
    <row r="140" spans="1:30" x14ac:dyDescent="0.25">
      <c r="A140" s="41"/>
      <c r="B140" s="80"/>
      <c r="C140" s="52" t="s">
        <v>479</v>
      </c>
      <c r="D140" s="52" t="s">
        <v>426</v>
      </c>
      <c r="E140" s="52" t="s">
        <v>427</v>
      </c>
      <c r="F140" s="107" t="s">
        <v>463</v>
      </c>
      <c r="G140" s="107" t="s">
        <v>430</v>
      </c>
      <c r="H140" s="107" t="s">
        <v>16</v>
      </c>
      <c r="I140" s="107" t="s">
        <v>17</v>
      </c>
      <c r="J140" s="53" t="s">
        <v>24</v>
      </c>
      <c r="K140" s="53" t="s">
        <v>17</v>
      </c>
      <c r="L140" s="73">
        <v>1.5</v>
      </c>
      <c r="M140" s="103">
        <v>30000</v>
      </c>
      <c r="N140" s="74">
        <v>45000</v>
      </c>
      <c r="O140" s="104"/>
      <c r="P140" s="82" t="s">
        <v>18</v>
      </c>
      <c r="Q140" s="82" t="s">
        <v>347</v>
      </c>
      <c r="R140" s="82"/>
      <c r="S140" s="82"/>
      <c r="T140" s="89" t="s">
        <v>19</v>
      </c>
      <c r="U140" s="41" t="str">
        <f>VLOOKUP(J140,Sheet1!$A$2:$D$200,4,0)</f>
        <v>NL300020</v>
      </c>
      <c r="V140" s="41" t="str">
        <f>VLOOKUP(U140,Sheet1!$D$2:$E$200,2,0)</f>
        <v>Cải ngồng</v>
      </c>
      <c r="W140" s="94" t="str">
        <f t="shared" si="5"/>
        <v>41NL300020</v>
      </c>
      <c r="X140" s="94" t="str">
        <f>COUNTIF($R$15:W140,W140)&amp;W140</f>
        <v>141NL300020</v>
      </c>
      <c r="Y140" s="95">
        <f>IFERROR(VLOOKUP(X140,FAST!$B$7:$M$9722,12,0),"0")</f>
        <v>1.5</v>
      </c>
      <c r="Z140" s="95">
        <f>IFERROR(VLOOKUP(X140,FAST!$B$7:$N$9722,13,0),"0")</f>
        <v>30000</v>
      </c>
      <c r="AA140" s="96">
        <f t="shared" si="6"/>
        <v>45000</v>
      </c>
      <c r="AB140" s="97">
        <f t="shared" si="7"/>
        <v>0</v>
      </c>
      <c r="AC140" s="98">
        <f t="shared" si="8"/>
        <v>0</v>
      </c>
      <c r="AD140" s="99">
        <f t="shared" si="9"/>
        <v>0</v>
      </c>
    </row>
    <row r="141" spans="1:30" x14ac:dyDescent="0.25">
      <c r="A141" s="41"/>
      <c r="B141" s="80"/>
      <c r="C141" s="52" t="s">
        <v>479</v>
      </c>
      <c r="D141" s="52" t="s">
        <v>426</v>
      </c>
      <c r="E141" s="52" t="s">
        <v>427</v>
      </c>
      <c r="F141" s="107" t="s">
        <v>463</v>
      </c>
      <c r="G141" s="107" t="s">
        <v>404</v>
      </c>
      <c r="H141" s="107" t="s">
        <v>20</v>
      </c>
      <c r="I141" s="107" t="s">
        <v>21</v>
      </c>
      <c r="J141" s="53" t="s">
        <v>25</v>
      </c>
      <c r="K141" s="53" t="s">
        <v>17</v>
      </c>
      <c r="L141" s="73">
        <v>0.65</v>
      </c>
      <c r="M141" s="103">
        <v>44000</v>
      </c>
      <c r="N141" s="74">
        <v>28600</v>
      </c>
      <c r="O141" s="104"/>
      <c r="P141" s="82" t="s">
        <v>18</v>
      </c>
      <c r="Q141" s="82" t="s">
        <v>347</v>
      </c>
      <c r="R141" s="82"/>
      <c r="S141" s="82"/>
      <c r="T141" s="89" t="s">
        <v>19</v>
      </c>
      <c r="U141" s="41" t="str">
        <f>VLOOKUP(J141,Sheet1!$A$2:$D$200,4,0)</f>
        <v>NL300025</v>
      </c>
      <c r="V141" s="41" t="str">
        <f>VLOOKUP(U141,Sheet1!$D$2:$E$200,2,0)</f>
        <v>Rau cần tây</v>
      </c>
      <c r="W141" s="94" t="str">
        <f t="shared" si="5"/>
        <v>41NL300025</v>
      </c>
      <c r="X141" s="94" t="str">
        <f>COUNTIF($R$15:W141,W141)&amp;W141</f>
        <v>141NL300025</v>
      </c>
      <c r="Y141" s="95">
        <f>IFERROR(VLOOKUP(X141,FAST!$B$7:$M$9722,12,0),"0")</f>
        <v>0.65</v>
      </c>
      <c r="Z141" s="95">
        <f>IFERROR(VLOOKUP(X141,FAST!$B$7:$N$9722,13,0),"0")</f>
        <v>44000</v>
      </c>
      <c r="AA141" s="96">
        <f t="shared" si="6"/>
        <v>28600</v>
      </c>
      <c r="AB141" s="97">
        <f t="shared" si="7"/>
        <v>0</v>
      </c>
      <c r="AC141" s="98">
        <f t="shared" si="8"/>
        <v>0</v>
      </c>
      <c r="AD141" s="99">
        <f t="shared" si="9"/>
        <v>0</v>
      </c>
    </row>
    <row r="142" spans="1:30" x14ac:dyDescent="0.25">
      <c r="A142" s="41"/>
      <c r="B142" s="80"/>
      <c r="C142" s="52" t="s">
        <v>479</v>
      </c>
      <c r="D142" s="52" t="s">
        <v>426</v>
      </c>
      <c r="E142" s="52" t="s">
        <v>427</v>
      </c>
      <c r="F142" s="107" t="s">
        <v>463</v>
      </c>
      <c r="G142" s="107" t="s">
        <v>405</v>
      </c>
      <c r="H142" s="107" t="s">
        <v>22</v>
      </c>
      <c r="I142" s="107" t="s">
        <v>17</v>
      </c>
      <c r="J142" s="53" t="s">
        <v>56</v>
      </c>
      <c r="K142" s="53" t="s">
        <v>17</v>
      </c>
      <c r="L142" s="73">
        <v>2</v>
      </c>
      <c r="M142" s="103">
        <v>38000</v>
      </c>
      <c r="N142" s="74">
        <v>76000</v>
      </c>
      <c r="O142" s="104"/>
      <c r="P142" s="82" t="s">
        <v>18</v>
      </c>
      <c r="Q142" s="82" t="s">
        <v>347</v>
      </c>
      <c r="R142" s="82"/>
      <c r="S142" s="82"/>
      <c r="T142" s="89" t="s">
        <v>19</v>
      </c>
      <c r="U142" s="41" t="str">
        <f>VLOOKUP(J142,Sheet1!$A$2:$D$200,4,0)</f>
        <v>NL300054</v>
      </c>
      <c r="V142" s="41" t="str">
        <f>VLOOKUP(U142,Sheet1!$D$2:$E$200,2,0)</f>
        <v>Gừng tàu</v>
      </c>
      <c r="W142" s="94" t="str">
        <f t="shared" si="5"/>
        <v>41NL300054</v>
      </c>
      <c r="X142" s="94" t="str">
        <f>COUNTIF($R$15:W142,W142)&amp;W142</f>
        <v>141NL300054</v>
      </c>
      <c r="Y142" s="95">
        <f>IFERROR(VLOOKUP(X142,FAST!$B$7:$M$9722,12,0),"0")</f>
        <v>2</v>
      </c>
      <c r="Z142" s="95">
        <f>IFERROR(VLOOKUP(X142,FAST!$B$7:$N$9722,13,0),"0")</f>
        <v>38000</v>
      </c>
      <c r="AA142" s="96">
        <f t="shared" si="6"/>
        <v>76000</v>
      </c>
      <c r="AB142" s="97">
        <f t="shared" si="7"/>
        <v>0</v>
      </c>
      <c r="AC142" s="98">
        <f t="shared" si="8"/>
        <v>0</v>
      </c>
      <c r="AD142" s="99">
        <f t="shared" si="9"/>
        <v>0</v>
      </c>
    </row>
    <row r="143" spans="1:30" x14ac:dyDescent="0.25">
      <c r="A143" s="41"/>
      <c r="B143" s="80"/>
      <c r="C143" s="52" t="s">
        <v>479</v>
      </c>
      <c r="D143" s="52" t="s">
        <v>426</v>
      </c>
      <c r="E143" s="52" t="s">
        <v>427</v>
      </c>
      <c r="F143" s="107" t="s">
        <v>463</v>
      </c>
      <c r="G143" s="107" t="s">
        <v>431</v>
      </c>
      <c r="H143" s="107" t="s">
        <v>23</v>
      </c>
      <c r="I143" s="107" t="s">
        <v>17</v>
      </c>
      <c r="J143" s="53" t="s">
        <v>26</v>
      </c>
      <c r="K143" s="53" t="s">
        <v>17</v>
      </c>
      <c r="L143" s="73">
        <v>0.2</v>
      </c>
      <c r="M143" s="103">
        <v>25000</v>
      </c>
      <c r="N143" s="74">
        <v>5000</v>
      </c>
      <c r="O143" s="104"/>
      <c r="P143" s="82" t="s">
        <v>18</v>
      </c>
      <c r="Q143" s="82" t="s">
        <v>347</v>
      </c>
      <c r="R143" s="82"/>
      <c r="S143" s="82"/>
      <c r="T143" s="89" t="s">
        <v>19</v>
      </c>
      <c r="U143" s="41" t="str">
        <f>VLOOKUP(J143,Sheet1!$A$2:$D$200,4,0)</f>
        <v>NL300035</v>
      </c>
      <c r="V143" s="41" t="str">
        <f>VLOOKUP(U143,Sheet1!$D$2:$E$200,2,0)</f>
        <v>Củ riềng</v>
      </c>
      <c r="W143" s="94" t="str">
        <f t="shared" si="5"/>
        <v>41NL300035</v>
      </c>
      <c r="X143" s="94" t="str">
        <f>COUNTIF($R$15:W143,W143)&amp;W143</f>
        <v>141NL300035</v>
      </c>
      <c r="Y143" s="95">
        <f>IFERROR(VLOOKUP(X143,FAST!$B$7:$M$9722,12,0),"0")</f>
        <v>0.2</v>
      </c>
      <c r="Z143" s="95">
        <f>IFERROR(VLOOKUP(X143,FAST!$B$7:$N$9722,13,0),"0")</f>
        <v>25000</v>
      </c>
      <c r="AA143" s="96">
        <f t="shared" si="6"/>
        <v>5000</v>
      </c>
      <c r="AB143" s="97">
        <f t="shared" si="7"/>
        <v>0</v>
      </c>
      <c r="AC143" s="98">
        <f t="shared" si="8"/>
        <v>0</v>
      </c>
      <c r="AD143" s="99">
        <f t="shared" si="9"/>
        <v>0</v>
      </c>
    </row>
    <row r="144" spans="1:30" x14ac:dyDescent="0.25">
      <c r="A144" s="41"/>
      <c r="B144" s="80"/>
      <c r="C144" s="52" t="s">
        <v>479</v>
      </c>
      <c r="D144" s="52" t="s">
        <v>426</v>
      </c>
      <c r="E144" s="52" t="s">
        <v>427</v>
      </c>
      <c r="F144" s="107" t="s">
        <v>463</v>
      </c>
      <c r="G144" s="107" t="s">
        <v>432</v>
      </c>
      <c r="H144" s="107" t="s">
        <v>50</v>
      </c>
      <c r="I144" s="107" t="s">
        <v>17</v>
      </c>
      <c r="J144" s="53" t="s">
        <v>27</v>
      </c>
      <c r="K144" s="53" t="s">
        <v>17</v>
      </c>
      <c r="L144" s="73">
        <v>0.6</v>
      </c>
      <c r="M144" s="103">
        <v>47000</v>
      </c>
      <c r="N144" s="74">
        <v>28200</v>
      </c>
      <c r="O144" s="104"/>
      <c r="P144" s="82" t="s">
        <v>18</v>
      </c>
      <c r="Q144" s="82" t="s">
        <v>347</v>
      </c>
      <c r="R144" s="82"/>
      <c r="S144" s="82"/>
      <c r="T144" s="89" t="s">
        <v>19</v>
      </c>
      <c r="U144" s="41" t="str">
        <f>VLOOKUP(J144,Sheet1!$A$2:$D$200,4,0)</f>
        <v>NL300036</v>
      </c>
      <c r="V144" s="41" t="str">
        <f>VLOOKUP(U144,Sheet1!$D$2:$E$200,2,0)</f>
        <v>Củ sen</v>
      </c>
      <c r="W144" s="94" t="str">
        <f t="shared" ref="W144:W207" si="10">DAY(C144)&amp;MONTH(C144)&amp;U144</f>
        <v>41NL300036</v>
      </c>
      <c r="X144" s="94" t="str">
        <f>COUNTIF($R$15:W144,W144)&amp;W144</f>
        <v>141NL300036</v>
      </c>
      <c r="Y144" s="95" t="str">
        <f>IFERROR(VLOOKUP(X144,FAST!$B$7:$M$9722,12,0),"0")</f>
        <v>0</v>
      </c>
      <c r="Z144" s="95" t="str">
        <f>IFERROR(VLOOKUP(X144,FAST!$B$7:$N$9722,13,0),"0")</f>
        <v>0</v>
      </c>
      <c r="AA144" s="96">
        <f t="shared" ref="AA144:AA207" si="11">Y144*Z144</f>
        <v>0</v>
      </c>
      <c r="AB144" s="97">
        <f t="shared" ref="AB144:AB207" si="12">Y144-L144</f>
        <v>-0.6</v>
      </c>
      <c r="AC144" s="98">
        <f t="shared" ref="AC144:AC207" si="13">Z144-M144</f>
        <v>-47000</v>
      </c>
      <c r="AD144" s="99">
        <f t="shared" ref="AD144:AD207" si="14">AA144-N144</f>
        <v>-28200</v>
      </c>
    </row>
    <row r="145" spans="1:30" x14ac:dyDescent="0.25">
      <c r="A145" s="41"/>
      <c r="B145" s="80"/>
      <c r="C145" s="52" t="s">
        <v>479</v>
      </c>
      <c r="D145" s="52" t="s">
        <v>426</v>
      </c>
      <c r="E145" s="52" t="s">
        <v>427</v>
      </c>
      <c r="F145" s="107" t="s">
        <v>463</v>
      </c>
      <c r="G145" s="107" t="s">
        <v>433</v>
      </c>
      <c r="H145" s="107" t="s">
        <v>70</v>
      </c>
      <c r="I145" s="107" t="s">
        <v>17</v>
      </c>
      <c r="J145" s="53" t="s">
        <v>28</v>
      </c>
      <c r="K145" s="53" t="s">
        <v>17</v>
      </c>
      <c r="L145" s="73">
        <v>3.5</v>
      </c>
      <c r="M145" s="103">
        <v>32000</v>
      </c>
      <c r="N145" s="74">
        <v>112000</v>
      </c>
      <c r="O145" s="104"/>
      <c r="P145" s="82" t="s">
        <v>18</v>
      </c>
      <c r="Q145" s="82" t="s">
        <v>347</v>
      </c>
      <c r="R145" s="82"/>
      <c r="S145" s="82"/>
      <c r="T145" s="89" t="s">
        <v>19</v>
      </c>
      <c r="U145" s="41" t="str">
        <f>VLOOKUP(J145,Sheet1!$A$2:$D$200,4,0)</f>
        <v>NL300038</v>
      </c>
      <c r="V145" s="41" t="str">
        <f>VLOOKUP(U145,Sheet1!$D$2:$E$200,2,0)</f>
        <v>Đậu bắp</v>
      </c>
      <c r="W145" s="94" t="str">
        <f t="shared" si="10"/>
        <v>41NL300038</v>
      </c>
      <c r="X145" s="94" t="str">
        <f>COUNTIF($R$15:W145,W145)&amp;W145</f>
        <v>141NL300038</v>
      </c>
      <c r="Y145" s="95">
        <f>IFERROR(VLOOKUP(X145,FAST!$B$7:$M$9722,12,0),"0")</f>
        <v>3.5</v>
      </c>
      <c r="Z145" s="95">
        <f>IFERROR(VLOOKUP(X145,FAST!$B$7:$N$9722,13,0),"0")</f>
        <v>32000</v>
      </c>
      <c r="AA145" s="96">
        <f t="shared" si="11"/>
        <v>112000</v>
      </c>
      <c r="AB145" s="97">
        <f t="shared" si="12"/>
        <v>0</v>
      </c>
      <c r="AC145" s="98">
        <f t="shared" si="13"/>
        <v>0</v>
      </c>
      <c r="AD145" s="99">
        <f t="shared" si="14"/>
        <v>0</v>
      </c>
    </row>
    <row r="146" spans="1:30" x14ac:dyDescent="0.25">
      <c r="A146" s="41"/>
      <c r="B146" s="80"/>
      <c r="C146" s="52" t="s">
        <v>479</v>
      </c>
      <c r="D146" s="52" t="s">
        <v>426</v>
      </c>
      <c r="E146" s="52" t="s">
        <v>427</v>
      </c>
      <c r="F146" s="107" t="s">
        <v>463</v>
      </c>
      <c r="G146" s="107" t="s">
        <v>434</v>
      </c>
      <c r="H146" s="107" t="s">
        <v>24</v>
      </c>
      <c r="I146" s="107" t="s">
        <v>17</v>
      </c>
      <c r="J146" s="53" t="s">
        <v>44</v>
      </c>
      <c r="K146" s="53" t="s">
        <v>45</v>
      </c>
      <c r="L146" s="73">
        <v>12</v>
      </c>
      <c r="M146" s="103">
        <v>15000</v>
      </c>
      <c r="N146" s="74">
        <v>180000</v>
      </c>
      <c r="O146" s="104"/>
      <c r="P146" s="82" t="s">
        <v>18</v>
      </c>
      <c r="Q146" s="82" t="s">
        <v>347</v>
      </c>
      <c r="R146" s="82"/>
      <c r="S146" s="82"/>
      <c r="T146" s="89" t="s">
        <v>19</v>
      </c>
      <c r="U146" s="41" t="str">
        <f>VLOOKUP(J146,Sheet1!$A$2:$D$200,4,0)</f>
        <v>NL300041</v>
      </c>
      <c r="V146" s="41" t="str">
        <f>VLOOKUP(U146,Sheet1!$D$2:$E$200,2,0)</f>
        <v>Đậu hủ non trứng</v>
      </c>
      <c r="W146" s="94" t="str">
        <f t="shared" si="10"/>
        <v>41NL300041</v>
      </c>
      <c r="X146" s="94" t="str">
        <f>COUNTIF($R$15:W146,W146)&amp;W146</f>
        <v>141NL300041</v>
      </c>
      <c r="Y146" s="95">
        <f>IFERROR(VLOOKUP(X146,FAST!$B$7:$M$9722,12,0),"0")</f>
        <v>12</v>
      </c>
      <c r="Z146" s="95">
        <f>IFERROR(VLOOKUP(X146,FAST!$B$7:$N$9722,13,0),"0")</f>
        <v>15000</v>
      </c>
      <c r="AA146" s="96">
        <f t="shared" si="11"/>
        <v>180000</v>
      </c>
      <c r="AB146" s="97">
        <f t="shared" si="12"/>
        <v>0</v>
      </c>
      <c r="AC146" s="98">
        <f t="shared" si="13"/>
        <v>0</v>
      </c>
      <c r="AD146" s="99">
        <f t="shared" si="14"/>
        <v>0</v>
      </c>
    </row>
    <row r="147" spans="1:30" x14ac:dyDescent="0.25">
      <c r="A147" s="41"/>
      <c r="B147" s="80"/>
      <c r="C147" s="52" t="s">
        <v>479</v>
      </c>
      <c r="D147" s="52" t="s">
        <v>426</v>
      </c>
      <c r="E147" s="52" t="s">
        <v>427</v>
      </c>
      <c r="F147" s="107" t="s">
        <v>463</v>
      </c>
      <c r="G147" s="107" t="s">
        <v>406</v>
      </c>
      <c r="H147" s="107" t="s">
        <v>46</v>
      </c>
      <c r="I147" s="107" t="s">
        <v>17</v>
      </c>
      <c r="J147" s="53" t="s">
        <v>47</v>
      </c>
      <c r="K147" s="53" t="s">
        <v>17</v>
      </c>
      <c r="L147" s="73">
        <v>39.5</v>
      </c>
      <c r="M147" s="103">
        <v>18000</v>
      </c>
      <c r="N147" s="74">
        <v>711000</v>
      </c>
      <c r="O147" s="104"/>
      <c r="P147" s="82" t="s">
        <v>18</v>
      </c>
      <c r="Q147" s="82" t="s">
        <v>347</v>
      </c>
      <c r="R147" s="82"/>
      <c r="S147" s="82"/>
      <c r="T147" s="89" t="s">
        <v>19</v>
      </c>
      <c r="U147" s="41" t="str">
        <f>VLOOKUP(J147,Sheet1!$A$2:$D$200,4,0)</f>
        <v>NL600004</v>
      </c>
      <c r="V147" s="41" t="str">
        <f>VLOOKUP(U147,Sheet1!$D$2:$E$200,2,0)</f>
        <v>Dưa hấu</v>
      </c>
      <c r="W147" s="94" t="str">
        <f t="shared" si="10"/>
        <v>41NL600004</v>
      </c>
      <c r="X147" s="94" t="str">
        <f>COUNTIF($R$15:W147,W147)&amp;W147</f>
        <v>141NL600004</v>
      </c>
      <c r="Y147" s="95">
        <f>IFERROR(VLOOKUP(X147,FAST!$B$7:$M$9722,12,0),"0")</f>
        <v>39.5</v>
      </c>
      <c r="Z147" s="95">
        <f>IFERROR(VLOOKUP(X147,FAST!$B$7:$N$9722,13,0),"0")</f>
        <v>18000</v>
      </c>
      <c r="AA147" s="96">
        <f t="shared" si="11"/>
        <v>711000</v>
      </c>
      <c r="AB147" s="97">
        <f t="shared" si="12"/>
        <v>0</v>
      </c>
      <c r="AC147" s="98">
        <f t="shared" si="13"/>
        <v>0</v>
      </c>
      <c r="AD147" s="99">
        <f t="shared" si="14"/>
        <v>0</v>
      </c>
    </row>
    <row r="148" spans="1:30" x14ac:dyDescent="0.25">
      <c r="A148" s="41"/>
      <c r="B148" s="80"/>
      <c r="C148" s="52" t="s">
        <v>479</v>
      </c>
      <c r="D148" s="52" t="s">
        <v>426</v>
      </c>
      <c r="E148" s="52" t="s">
        <v>427</v>
      </c>
      <c r="F148" s="107" t="s">
        <v>463</v>
      </c>
      <c r="G148" s="107" t="s">
        <v>450</v>
      </c>
      <c r="H148" s="107" t="s">
        <v>26</v>
      </c>
      <c r="I148" s="107" t="s">
        <v>17</v>
      </c>
      <c r="J148" s="53" t="s">
        <v>29</v>
      </c>
      <c r="K148" s="53" t="s">
        <v>17</v>
      </c>
      <c r="L148" s="73">
        <v>5</v>
      </c>
      <c r="M148" s="103">
        <v>55000</v>
      </c>
      <c r="N148" s="74">
        <v>275000</v>
      </c>
      <c r="O148" s="104"/>
      <c r="P148" s="82" t="s">
        <v>18</v>
      </c>
      <c r="Q148" s="82" t="s">
        <v>347</v>
      </c>
      <c r="R148" s="82"/>
      <c r="S148" s="82"/>
      <c r="T148" s="89" t="s">
        <v>19</v>
      </c>
      <c r="U148" s="41" t="str">
        <f>VLOOKUP(J148,Sheet1!$A$2:$D$200,4,0)</f>
        <v>NL300058</v>
      </c>
      <c r="V148" s="41" t="str">
        <f>VLOOKUP(U148,Sheet1!$D$2:$E$200,2,0)</f>
        <v>Hành lá</v>
      </c>
      <c r="W148" s="94" t="str">
        <f t="shared" si="10"/>
        <v>41NL300058</v>
      </c>
      <c r="X148" s="94" t="str">
        <f>COUNTIF($R$15:W148,W148)&amp;W148</f>
        <v>141NL300058</v>
      </c>
      <c r="Y148" s="95">
        <f>IFERROR(VLOOKUP(X148,FAST!$B$7:$M$9722,12,0),"0")</f>
        <v>6</v>
      </c>
      <c r="Z148" s="95">
        <f>IFERROR(VLOOKUP(X148,FAST!$B$7:$N$9722,13,0),"0")</f>
        <v>55000</v>
      </c>
      <c r="AA148" s="96">
        <f t="shared" si="11"/>
        <v>330000</v>
      </c>
      <c r="AB148" s="97">
        <f t="shared" si="12"/>
        <v>1</v>
      </c>
      <c r="AC148" s="98">
        <f t="shared" si="13"/>
        <v>0</v>
      </c>
      <c r="AD148" s="99">
        <f t="shared" si="14"/>
        <v>55000</v>
      </c>
    </row>
    <row r="149" spans="1:30" x14ac:dyDescent="0.25">
      <c r="A149" s="41"/>
      <c r="B149" s="80"/>
      <c r="C149" s="52" t="s">
        <v>479</v>
      </c>
      <c r="D149" s="52" t="s">
        <v>426</v>
      </c>
      <c r="E149" s="52" t="s">
        <v>427</v>
      </c>
      <c r="F149" s="107" t="s">
        <v>463</v>
      </c>
      <c r="G149" s="107" t="s">
        <v>407</v>
      </c>
      <c r="H149" s="107" t="s">
        <v>27</v>
      </c>
      <c r="I149" s="107" t="s">
        <v>17</v>
      </c>
      <c r="J149" s="53" t="s">
        <v>69</v>
      </c>
      <c r="K149" s="53" t="s">
        <v>17</v>
      </c>
      <c r="L149" s="73">
        <v>0.3</v>
      </c>
      <c r="M149" s="103">
        <v>65000</v>
      </c>
      <c r="N149" s="74">
        <v>19500</v>
      </c>
      <c r="O149" s="104"/>
      <c r="P149" s="82" t="s">
        <v>18</v>
      </c>
      <c r="Q149" s="82" t="s">
        <v>347</v>
      </c>
      <c r="R149" s="82"/>
      <c r="S149" s="82"/>
      <c r="T149" s="89" t="s">
        <v>19</v>
      </c>
      <c r="U149" s="41" t="str">
        <f>VLOOKUP(J149,Sheet1!$A$2:$D$200,4,0)</f>
        <v>NL300062</v>
      </c>
      <c r="V149" s="41" t="str">
        <f>VLOOKUP(U149,Sheet1!$D$2:$E$200,2,0)</f>
        <v>Húng Bạc Hà</v>
      </c>
      <c r="W149" s="94" t="str">
        <f t="shared" si="10"/>
        <v>41NL300062</v>
      </c>
      <c r="X149" s="94" t="str">
        <f>COUNTIF($R$15:W149,W149)&amp;W149</f>
        <v>141NL300062</v>
      </c>
      <c r="Y149" s="95">
        <f>IFERROR(VLOOKUP(X149,FAST!$B$7:$M$9722,12,0),"0")</f>
        <v>0.3</v>
      </c>
      <c r="Z149" s="95">
        <f>IFERROR(VLOOKUP(X149,FAST!$B$7:$N$9722,13,0),"0")</f>
        <v>65000</v>
      </c>
      <c r="AA149" s="96">
        <f t="shared" si="11"/>
        <v>19500</v>
      </c>
      <c r="AB149" s="97">
        <f t="shared" si="12"/>
        <v>0</v>
      </c>
      <c r="AC149" s="98">
        <f t="shared" si="13"/>
        <v>0</v>
      </c>
      <c r="AD149" s="99">
        <f t="shared" si="14"/>
        <v>0</v>
      </c>
    </row>
    <row r="150" spans="1:30" x14ac:dyDescent="0.25">
      <c r="A150" s="41"/>
      <c r="B150" s="80"/>
      <c r="C150" s="52" t="s">
        <v>479</v>
      </c>
      <c r="D150" s="52" t="s">
        <v>426</v>
      </c>
      <c r="E150" s="52" t="s">
        <v>427</v>
      </c>
      <c r="F150" s="107" t="s">
        <v>463</v>
      </c>
      <c r="G150" s="107" t="s">
        <v>437</v>
      </c>
      <c r="H150" s="107" t="s">
        <v>28</v>
      </c>
      <c r="I150" s="107" t="s">
        <v>17</v>
      </c>
      <c r="J150" s="53" t="s">
        <v>57</v>
      </c>
      <c r="K150" s="53" t="s">
        <v>17</v>
      </c>
      <c r="L150" s="73">
        <v>1</v>
      </c>
      <c r="M150" s="103">
        <v>23000</v>
      </c>
      <c r="N150" s="74">
        <v>23000</v>
      </c>
      <c r="O150" s="104"/>
      <c r="P150" s="82" t="s">
        <v>18</v>
      </c>
      <c r="Q150" s="82" t="s">
        <v>347</v>
      </c>
      <c r="R150" s="82"/>
      <c r="S150" s="82"/>
      <c r="T150" s="89" t="s">
        <v>19</v>
      </c>
      <c r="U150" s="41" t="str">
        <f>VLOOKUP(J150,Sheet1!$A$2:$D$200,4,0)</f>
        <v>NL300070</v>
      </c>
      <c r="V150" s="41" t="str">
        <f>VLOOKUP(U150,Sheet1!$D$2:$E$200,2,0)</f>
        <v>Khoai lang Nhật</v>
      </c>
      <c r="W150" s="94" t="str">
        <f t="shared" si="10"/>
        <v>41NL300070</v>
      </c>
      <c r="X150" s="94" t="str">
        <f>COUNTIF($R$15:W150,W150)&amp;W150</f>
        <v>141NL300070</v>
      </c>
      <c r="Y150" s="95">
        <f>IFERROR(VLOOKUP(X150,FAST!$B$7:$M$9722,12,0),"0")</f>
        <v>1</v>
      </c>
      <c r="Z150" s="95">
        <f>IFERROR(VLOOKUP(X150,FAST!$B$7:$N$9722,13,0),"0")</f>
        <v>23000</v>
      </c>
      <c r="AA150" s="96">
        <f t="shared" si="11"/>
        <v>23000</v>
      </c>
      <c r="AB150" s="97">
        <f t="shared" si="12"/>
        <v>0</v>
      </c>
      <c r="AC150" s="98">
        <f t="shared" si="13"/>
        <v>0</v>
      </c>
      <c r="AD150" s="99">
        <f t="shared" si="14"/>
        <v>0</v>
      </c>
    </row>
    <row r="151" spans="1:30" x14ac:dyDescent="0.25">
      <c r="A151" s="41"/>
      <c r="B151" s="80"/>
      <c r="C151" s="52" t="s">
        <v>479</v>
      </c>
      <c r="D151" s="52" t="s">
        <v>426</v>
      </c>
      <c r="E151" s="52" t="s">
        <v>427</v>
      </c>
      <c r="F151" s="107" t="s">
        <v>463</v>
      </c>
      <c r="G151" s="107" t="s">
        <v>419</v>
      </c>
      <c r="H151" s="107" t="s">
        <v>47</v>
      </c>
      <c r="I151" s="107" t="s">
        <v>17</v>
      </c>
      <c r="J151" s="53" t="s">
        <v>31</v>
      </c>
      <c r="K151" s="53" t="s">
        <v>17</v>
      </c>
      <c r="L151" s="73">
        <v>2.7</v>
      </c>
      <c r="M151" s="103">
        <v>27000</v>
      </c>
      <c r="N151" s="74">
        <v>72900</v>
      </c>
      <c r="O151" s="104"/>
      <c r="P151" s="82" t="s">
        <v>18</v>
      </c>
      <c r="Q151" s="82" t="s">
        <v>347</v>
      </c>
      <c r="R151" s="82"/>
      <c r="S151" s="82"/>
      <c r="T151" s="89" t="s">
        <v>19</v>
      </c>
      <c r="U151" s="41" t="str">
        <f>VLOOKUP(J151,Sheet1!$A$2:$D$200,4,0)</f>
        <v>NL300088</v>
      </c>
      <c r="V151" s="41" t="str">
        <f>VLOOKUP(U151,Sheet1!$D$2:$E$200,2,0)</f>
        <v>Mướp hương</v>
      </c>
      <c r="W151" s="94" t="str">
        <f t="shared" si="10"/>
        <v>41NL300088</v>
      </c>
      <c r="X151" s="94" t="str">
        <f>COUNTIF($R$15:W151,W151)&amp;W151</f>
        <v>141NL300088</v>
      </c>
      <c r="Y151" s="95">
        <f>IFERROR(VLOOKUP(X151,FAST!$B$7:$M$9722,12,0),"0")</f>
        <v>2.7</v>
      </c>
      <c r="Z151" s="95">
        <f>IFERROR(VLOOKUP(X151,FAST!$B$7:$N$9722,13,0),"0")</f>
        <v>27000</v>
      </c>
      <c r="AA151" s="96">
        <f t="shared" si="11"/>
        <v>72900</v>
      </c>
      <c r="AB151" s="97">
        <f t="shared" si="12"/>
        <v>0</v>
      </c>
      <c r="AC151" s="98">
        <f t="shared" si="13"/>
        <v>0</v>
      </c>
      <c r="AD151" s="99">
        <f t="shared" si="14"/>
        <v>0</v>
      </c>
    </row>
    <row r="152" spans="1:30" x14ac:dyDescent="0.25">
      <c r="A152" s="41"/>
      <c r="B152" s="80"/>
      <c r="C152" s="52" t="s">
        <v>479</v>
      </c>
      <c r="D152" s="52" t="s">
        <v>426</v>
      </c>
      <c r="E152" s="52" t="s">
        <v>427</v>
      </c>
      <c r="F152" s="107" t="s">
        <v>463</v>
      </c>
      <c r="G152" s="107" t="s">
        <v>408</v>
      </c>
      <c r="H152" s="107" t="s">
        <v>29</v>
      </c>
      <c r="I152" s="107" t="s">
        <v>17</v>
      </c>
      <c r="J152" s="53" t="s">
        <v>39</v>
      </c>
      <c r="K152" s="53" t="s">
        <v>17</v>
      </c>
      <c r="L152" s="73">
        <v>3</v>
      </c>
      <c r="M152" s="103">
        <v>145000</v>
      </c>
      <c r="N152" s="74">
        <v>435000</v>
      </c>
      <c r="O152" s="104"/>
      <c r="P152" s="82" t="s">
        <v>18</v>
      </c>
      <c r="Q152" s="82" t="s">
        <v>347</v>
      </c>
      <c r="R152" s="82"/>
      <c r="S152" s="82"/>
      <c r="T152" s="89" t="s">
        <v>19</v>
      </c>
      <c r="U152" s="41" t="str">
        <f>VLOOKUP(J152,Sheet1!$A$2:$D$200,4,0)</f>
        <v>NL300090</v>
      </c>
      <c r="V152" s="41" t="str">
        <f>VLOOKUP(U152,Sheet1!$D$2:$E$200,2,0)</f>
        <v>Nấm đông cô tươi</v>
      </c>
      <c r="W152" s="94" t="str">
        <f t="shared" si="10"/>
        <v>41NL300090</v>
      </c>
      <c r="X152" s="94" t="str">
        <f>COUNTIF($R$15:W152,W152)&amp;W152</f>
        <v>141NL300090</v>
      </c>
      <c r="Y152" s="95">
        <f>IFERROR(VLOOKUP(X152,FAST!$B$7:$M$9722,12,0),"0")</f>
        <v>3</v>
      </c>
      <c r="Z152" s="95">
        <f>IFERROR(VLOOKUP(X152,FAST!$B$7:$N$9722,13,0),"0")</f>
        <v>145000</v>
      </c>
      <c r="AA152" s="96">
        <f t="shared" si="11"/>
        <v>435000</v>
      </c>
      <c r="AB152" s="97">
        <f t="shared" si="12"/>
        <v>0</v>
      </c>
      <c r="AC152" s="98">
        <f t="shared" si="13"/>
        <v>0</v>
      </c>
      <c r="AD152" s="99">
        <f t="shared" si="14"/>
        <v>0</v>
      </c>
    </row>
    <row r="153" spans="1:30" x14ac:dyDescent="0.25">
      <c r="A153" s="41"/>
      <c r="B153" s="80"/>
      <c r="C153" s="52" t="s">
        <v>479</v>
      </c>
      <c r="D153" s="52" t="s">
        <v>426</v>
      </c>
      <c r="E153" s="52" t="s">
        <v>427</v>
      </c>
      <c r="F153" s="107" t="s">
        <v>463</v>
      </c>
      <c r="G153" s="107" t="s">
        <v>462</v>
      </c>
      <c r="H153" s="107" t="s">
        <v>76</v>
      </c>
      <c r="I153" s="107" t="s">
        <v>17</v>
      </c>
      <c r="J153" s="53" t="s">
        <v>40</v>
      </c>
      <c r="K153" s="53" t="s">
        <v>17</v>
      </c>
      <c r="L153" s="73">
        <v>2</v>
      </c>
      <c r="M153" s="103">
        <v>47000</v>
      </c>
      <c r="N153" s="74">
        <v>94000</v>
      </c>
      <c r="O153" s="104"/>
      <c r="P153" s="82" t="s">
        <v>18</v>
      </c>
      <c r="Q153" s="82" t="s">
        <v>347</v>
      </c>
      <c r="R153" s="82"/>
      <c r="S153" s="82"/>
      <c r="T153" s="89" t="s">
        <v>19</v>
      </c>
      <c r="U153" s="41" t="str">
        <f>VLOOKUP(J153,Sheet1!$A$2:$D$200,4,0)</f>
        <v>NL300091</v>
      </c>
      <c r="V153" s="41" t="str">
        <f>VLOOKUP(U153,Sheet1!$D$2:$E$200,2,0)</f>
        <v>Nấm đùi gà</v>
      </c>
      <c r="W153" s="94" t="str">
        <f t="shared" si="10"/>
        <v>41NL300091</v>
      </c>
      <c r="X153" s="94" t="str">
        <f>COUNTIF($R$15:W153,W153)&amp;W153</f>
        <v>141NL300091</v>
      </c>
      <c r="Y153" s="95">
        <f>IFERROR(VLOOKUP(X153,FAST!$B$7:$M$9722,12,0),"0")</f>
        <v>2</v>
      </c>
      <c r="Z153" s="95">
        <f>IFERROR(VLOOKUP(X153,FAST!$B$7:$N$9722,13,0),"0")</f>
        <v>47000</v>
      </c>
      <c r="AA153" s="96">
        <f t="shared" si="11"/>
        <v>94000</v>
      </c>
      <c r="AB153" s="97">
        <f t="shared" si="12"/>
        <v>0</v>
      </c>
      <c r="AC153" s="98">
        <f t="shared" si="13"/>
        <v>0</v>
      </c>
      <c r="AD153" s="99">
        <f t="shared" si="14"/>
        <v>0</v>
      </c>
    </row>
    <row r="154" spans="1:30" x14ac:dyDescent="0.25">
      <c r="A154" s="41"/>
      <c r="B154" s="80"/>
      <c r="C154" s="52" t="s">
        <v>479</v>
      </c>
      <c r="D154" s="52" t="s">
        <v>426</v>
      </c>
      <c r="E154" s="52" t="s">
        <v>427</v>
      </c>
      <c r="F154" s="107" t="s">
        <v>463</v>
      </c>
      <c r="G154" s="107" t="s">
        <v>409</v>
      </c>
      <c r="H154" s="107" t="s">
        <v>69</v>
      </c>
      <c r="I154" s="107" t="s">
        <v>17</v>
      </c>
      <c r="J154" s="53" t="s">
        <v>43</v>
      </c>
      <c r="K154" s="53" t="s">
        <v>17</v>
      </c>
      <c r="L154" s="73">
        <v>1</v>
      </c>
      <c r="M154" s="103">
        <v>90000</v>
      </c>
      <c r="N154" s="74">
        <v>90000</v>
      </c>
      <c r="O154" s="104"/>
      <c r="P154" s="82" t="s">
        <v>18</v>
      </c>
      <c r="Q154" s="82" t="s">
        <v>347</v>
      </c>
      <c r="R154" s="82"/>
      <c r="S154" s="82"/>
      <c r="T154" s="89" t="s">
        <v>19</v>
      </c>
      <c r="U154" s="41" t="str">
        <f>VLOOKUP(J154,Sheet1!$A$2:$D$200,4,0)</f>
        <v>NL300092</v>
      </c>
      <c r="V154" s="41" t="str">
        <f>VLOOKUP(U154,Sheet1!$D$2:$E$200,2,0)</f>
        <v>Nấm đùi gà baby</v>
      </c>
      <c r="W154" s="94" t="str">
        <f t="shared" si="10"/>
        <v>41NL300092</v>
      </c>
      <c r="X154" s="94" t="str">
        <f>COUNTIF($R$15:W154,W154)&amp;W154</f>
        <v>141NL300092</v>
      </c>
      <c r="Y154" s="95" t="str">
        <f>IFERROR(VLOOKUP(X154,FAST!$B$7:$M$9722,12,0),"0")</f>
        <v>0</v>
      </c>
      <c r="Z154" s="95" t="str">
        <f>IFERROR(VLOOKUP(X154,FAST!$B$7:$N$9722,13,0),"0")</f>
        <v>0</v>
      </c>
      <c r="AA154" s="96">
        <f t="shared" si="11"/>
        <v>0</v>
      </c>
      <c r="AB154" s="97">
        <f t="shared" si="12"/>
        <v>-1</v>
      </c>
      <c r="AC154" s="98">
        <f t="shared" si="13"/>
        <v>-90000</v>
      </c>
      <c r="AD154" s="99">
        <f t="shared" si="14"/>
        <v>-90000</v>
      </c>
    </row>
    <row r="155" spans="1:30" x14ac:dyDescent="0.25">
      <c r="A155" s="41"/>
      <c r="B155" s="80"/>
      <c r="C155" s="52" t="s">
        <v>479</v>
      </c>
      <c r="D155" s="52" t="s">
        <v>426</v>
      </c>
      <c r="E155" s="52" t="s">
        <v>427</v>
      </c>
      <c r="F155" s="107" t="s">
        <v>463</v>
      </c>
      <c r="G155" s="107" t="s">
        <v>440</v>
      </c>
      <c r="H155" s="107" t="s">
        <v>31</v>
      </c>
      <c r="I155" s="107" t="s">
        <v>17</v>
      </c>
      <c r="J155" s="53" t="s">
        <v>41</v>
      </c>
      <c r="K155" s="53" t="s">
        <v>17</v>
      </c>
      <c r="L155" s="73">
        <v>7.5</v>
      </c>
      <c r="M155" s="103">
        <v>45000</v>
      </c>
      <c r="N155" s="74">
        <v>337500</v>
      </c>
      <c r="O155" s="104"/>
      <c r="P155" s="82" t="s">
        <v>18</v>
      </c>
      <c r="Q155" s="82" t="s">
        <v>347</v>
      </c>
      <c r="R155" s="82"/>
      <c r="S155" s="82"/>
      <c r="T155" s="89" t="s">
        <v>19</v>
      </c>
      <c r="U155" s="41" t="str">
        <f>VLOOKUP(J155,Sheet1!$A$2:$D$200,4,0)</f>
        <v>NL300096</v>
      </c>
      <c r="V155" s="41" t="str">
        <f>VLOOKUP(U155,Sheet1!$D$2:$E$200,2,0)</f>
        <v>Nấm kim châm tươi</v>
      </c>
      <c r="W155" s="94" t="str">
        <f t="shared" si="10"/>
        <v>41NL300096</v>
      </c>
      <c r="X155" s="94" t="str">
        <f>COUNTIF($R$15:W155,W155)&amp;W155</f>
        <v>141NL300096</v>
      </c>
      <c r="Y155" s="95">
        <f>IFERROR(VLOOKUP(X155,FAST!$B$7:$M$9722,12,0),"0")</f>
        <v>7.5</v>
      </c>
      <c r="Z155" s="95">
        <f>IFERROR(VLOOKUP(X155,FAST!$B$7:$N$9722,13,0),"0")</f>
        <v>45000</v>
      </c>
      <c r="AA155" s="96">
        <f t="shared" si="11"/>
        <v>337500</v>
      </c>
      <c r="AB155" s="97">
        <f t="shared" si="12"/>
        <v>0</v>
      </c>
      <c r="AC155" s="98">
        <f t="shared" si="13"/>
        <v>0</v>
      </c>
      <c r="AD155" s="99">
        <f t="shared" si="14"/>
        <v>0</v>
      </c>
    </row>
    <row r="156" spans="1:30" x14ac:dyDescent="0.25">
      <c r="A156" s="41"/>
      <c r="B156" s="80"/>
      <c r="C156" s="52" t="s">
        <v>479</v>
      </c>
      <c r="D156" s="52" t="s">
        <v>426</v>
      </c>
      <c r="E156" s="52" t="s">
        <v>427</v>
      </c>
      <c r="F156" s="107" t="s">
        <v>463</v>
      </c>
      <c r="G156" s="107" t="s">
        <v>410</v>
      </c>
      <c r="H156" s="107" t="s">
        <v>39</v>
      </c>
      <c r="I156" s="107" t="s">
        <v>17</v>
      </c>
      <c r="J156" s="53" t="s">
        <v>42</v>
      </c>
      <c r="K156" s="53" t="s">
        <v>17</v>
      </c>
      <c r="L156" s="73">
        <v>1.5</v>
      </c>
      <c r="M156" s="103">
        <v>90000</v>
      </c>
      <c r="N156" s="74">
        <v>135000</v>
      </c>
      <c r="O156" s="104"/>
      <c r="P156" s="82" t="s">
        <v>18</v>
      </c>
      <c r="Q156" s="82" t="s">
        <v>347</v>
      </c>
      <c r="R156" s="82"/>
      <c r="S156" s="82"/>
      <c r="T156" s="89" t="s">
        <v>19</v>
      </c>
      <c r="U156" s="41" t="str">
        <f>VLOOKUP(J156,Sheet1!$A$2:$D$200,4,0)</f>
        <v>NL300097</v>
      </c>
      <c r="V156" s="41" t="str">
        <f>VLOOKUP(U156,Sheet1!$D$2:$E$200,2,0)</f>
        <v>Nấm Linh Chi nâu</v>
      </c>
      <c r="W156" s="94" t="str">
        <f t="shared" si="10"/>
        <v>41NL300097</v>
      </c>
      <c r="X156" s="94" t="str">
        <f>COUNTIF($R$15:W156,W156)&amp;W156</f>
        <v>141NL300097</v>
      </c>
      <c r="Y156" s="95">
        <f>IFERROR(VLOOKUP(X156,FAST!$B$7:$M$9722,12,0),"0")</f>
        <v>1.5</v>
      </c>
      <c r="Z156" s="95">
        <f>IFERROR(VLOOKUP(X156,FAST!$B$7:$N$9722,13,0),"0")</f>
        <v>90000</v>
      </c>
      <c r="AA156" s="96">
        <f t="shared" si="11"/>
        <v>135000</v>
      </c>
      <c r="AB156" s="97">
        <f t="shared" si="12"/>
        <v>0</v>
      </c>
      <c r="AC156" s="98">
        <f t="shared" si="13"/>
        <v>0</v>
      </c>
      <c r="AD156" s="99">
        <f t="shared" si="14"/>
        <v>0</v>
      </c>
    </row>
    <row r="157" spans="1:30" x14ac:dyDescent="0.25">
      <c r="A157" s="41"/>
      <c r="B157" s="80"/>
      <c r="C157" s="52" t="s">
        <v>479</v>
      </c>
      <c r="D157" s="52" t="s">
        <v>426</v>
      </c>
      <c r="E157" s="52" t="s">
        <v>427</v>
      </c>
      <c r="F157" s="107" t="s">
        <v>463</v>
      </c>
      <c r="G157" s="107" t="s">
        <v>411</v>
      </c>
      <c r="H157" s="107" t="s">
        <v>40</v>
      </c>
      <c r="I157" s="107" t="s">
        <v>17</v>
      </c>
      <c r="J157" s="53" t="s">
        <v>32</v>
      </c>
      <c r="K157" s="53" t="s">
        <v>17</v>
      </c>
      <c r="L157" s="73">
        <v>4</v>
      </c>
      <c r="M157" s="103">
        <v>45000</v>
      </c>
      <c r="N157" s="74">
        <v>180000</v>
      </c>
      <c r="O157" s="104"/>
      <c r="P157" s="82" t="s">
        <v>18</v>
      </c>
      <c r="Q157" s="82" t="s">
        <v>347</v>
      </c>
      <c r="R157" s="82"/>
      <c r="S157" s="82"/>
      <c r="T157" s="89" t="s">
        <v>19</v>
      </c>
      <c r="U157" s="41" t="str">
        <f>VLOOKUP(J157,Sheet1!$A$2:$D$200,4,0)</f>
        <v>NL300085</v>
      </c>
      <c r="V157" s="41" t="str">
        <f>VLOOKUP(U157,Sheet1!$D$2:$E$200,2,0)</f>
        <v>Mùi ta ( Ngò rí )</v>
      </c>
      <c r="W157" s="94" t="str">
        <f t="shared" si="10"/>
        <v>41NL300085</v>
      </c>
      <c r="X157" s="94" t="str">
        <f>COUNTIF($R$15:W157,W157)&amp;W157</f>
        <v>141NL300085</v>
      </c>
      <c r="Y157" s="95">
        <f>IFERROR(VLOOKUP(X157,FAST!$B$7:$M$9722,12,0),"0")</f>
        <v>4</v>
      </c>
      <c r="Z157" s="95">
        <f>IFERROR(VLOOKUP(X157,FAST!$B$7:$N$9722,13,0),"0")</f>
        <v>45000</v>
      </c>
      <c r="AA157" s="96">
        <f t="shared" si="11"/>
        <v>180000</v>
      </c>
      <c r="AB157" s="97">
        <f t="shared" si="12"/>
        <v>0</v>
      </c>
      <c r="AC157" s="98">
        <f t="shared" si="13"/>
        <v>0</v>
      </c>
      <c r="AD157" s="99">
        <f t="shared" si="14"/>
        <v>0</v>
      </c>
    </row>
    <row r="158" spans="1:30" x14ac:dyDescent="0.25">
      <c r="A158" s="41"/>
      <c r="B158" s="80"/>
      <c r="C158" s="52" t="s">
        <v>479</v>
      </c>
      <c r="D158" s="52" t="s">
        <v>426</v>
      </c>
      <c r="E158" s="52" t="s">
        <v>427</v>
      </c>
      <c r="F158" s="107" t="s">
        <v>463</v>
      </c>
      <c r="G158" s="107" t="s">
        <v>441</v>
      </c>
      <c r="H158" s="107" t="s">
        <v>43</v>
      </c>
      <c r="I158" s="107" t="s">
        <v>17</v>
      </c>
      <c r="J158" s="53" t="s">
        <v>33</v>
      </c>
      <c r="K158" s="53" t="s">
        <v>17</v>
      </c>
      <c r="L158" s="73">
        <v>1</v>
      </c>
      <c r="M158" s="103">
        <v>145000</v>
      </c>
      <c r="N158" s="74">
        <v>145000</v>
      </c>
      <c r="O158" s="104"/>
      <c r="P158" s="82" t="s">
        <v>18</v>
      </c>
      <c r="Q158" s="82" t="s">
        <v>347</v>
      </c>
      <c r="R158" s="82"/>
      <c r="S158" s="82"/>
      <c r="T158" s="89" t="s">
        <v>19</v>
      </c>
      <c r="U158" s="41" t="str">
        <f>VLOOKUP(J158,Sheet1!$A$2:$D$200,4,0)</f>
        <v>NL300113</v>
      </c>
      <c r="V158" s="41" t="str">
        <f>VLOOKUP(U158,Sheet1!$D$2:$E$200,2,0)</f>
        <v>Ớt hiểm đỏ</v>
      </c>
      <c r="W158" s="94" t="str">
        <f t="shared" si="10"/>
        <v>41NL300113</v>
      </c>
      <c r="X158" s="94" t="str">
        <f>COUNTIF($R$15:W158,W158)&amp;W158</f>
        <v>141NL300113</v>
      </c>
      <c r="Y158" s="95" t="str">
        <f>IFERROR(VLOOKUP(X158,FAST!$B$7:$M$9722,12,0),"0")</f>
        <v>0</v>
      </c>
      <c r="Z158" s="95" t="str">
        <f>IFERROR(VLOOKUP(X158,FAST!$B$7:$N$9722,13,0),"0")</f>
        <v>0</v>
      </c>
      <c r="AA158" s="96">
        <f t="shared" si="11"/>
        <v>0</v>
      </c>
      <c r="AB158" s="97">
        <f t="shared" si="12"/>
        <v>-1</v>
      </c>
      <c r="AC158" s="98">
        <f t="shared" si="13"/>
        <v>-145000</v>
      </c>
      <c r="AD158" s="99">
        <f t="shared" si="14"/>
        <v>-145000</v>
      </c>
    </row>
    <row r="159" spans="1:30" x14ac:dyDescent="0.25">
      <c r="A159" s="41"/>
      <c r="B159" s="80"/>
      <c r="C159" s="52" t="s">
        <v>479</v>
      </c>
      <c r="D159" s="52" t="s">
        <v>426</v>
      </c>
      <c r="E159" s="52" t="s">
        <v>427</v>
      </c>
      <c r="F159" s="107" t="s">
        <v>463</v>
      </c>
      <c r="G159" s="107" t="s">
        <v>412</v>
      </c>
      <c r="H159" s="107" t="s">
        <v>67</v>
      </c>
      <c r="I159" s="107" t="s">
        <v>17</v>
      </c>
      <c r="J159" s="53" t="s">
        <v>51</v>
      </c>
      <c r="K159" s="53" t="s">
        <v>17</v>
      </c>
      <c r="L159" s="73">
        <v>0.3</v>
      </c>
      <c r="M159" s="103">
        <v>148000</v>
      </c>
      <c r="N159" s="74">
        <v>44400</v>
      </c>
      <c r="O159" s="104"/>
      <c r="P159" s="82" t="s">
        <v>18</v>
      </c>
      <c r="Q159" s="82" t="s">
        <v>347</v>
      </c>
      <c r="R159" s="82"/>
      <c r="S159" s="82"/>
      <c r="T159" s="89" t="s">
        <v>19</v>
      </c>
      <c r="U159" s="41" t="str">
        <f>VLOOKUP(J159,Sheet1!$A$2:$D$200,4,0)</f>
        <v>NL300116</v>
      </c>
      <c r="V159" s="41" t="str">
        <f>VLOOKUP(U159,Sheet1!$D$2:$E$200,2,0)</f>
        <v>Ớt sừng</v>
      </c>
      <c r="W159" s="94" t="str">
        <f t="shared" si="10"/>
        <v>41NL300116</v>
      </c>
      <c r="X159" s="94" t="str">
        <f>COUNTIF($R$15:W159,W159)&amp;W159</f>
        <v>141NL300116</v>
      </c>
      <c r="Y159" s="95">
        <f>IFERROR(VLOOKUP(X159,FAST!$B$7:$M$9722,12,0),"0")</f>
        <v>0.3</v>
      </c>
      <c r="Z159" s="95">
        <f>IFERROR(VLOOKUP(X159,FAST!$B$7:$N$9722,13,0),"0")</f>
        <v>148000</v>
      </c>
      <c r="AA159" s="96">
        <f t="shared" si="11"/>
        <v>44400</v>
      </c>
      <c r="AB159" s="97">
        <f t="shared" si="12"/>
        <v>0</v>
      </c>
      <c r="AC159" s="98">
        <f t="shared" si="13"/>
        <v>0</v>
      </c>
      <c r="AD159" s="99">
        <f t="shared" si="14"/>
        <v>0</v>
      </c>
    </row>
    <row r="160" spans="1:30" x14ac:dyDescent="0.25">
      <c r="A160" s="41"/>
      <c r="B160" s="80"/>
      <c r="C160" s="52" t="s">
        <v>479</v>
      </c>
      <c r="D160" s="52" t="s">
        <v>426</v>
      </c>
      <c r="E160" s="52" t="s">
        <v>427</v>
      </c>
      <c r="F160" s="107" t="s">
        <v>463</v>
      </c>
      <c r="G160" s="107" t="s">
        <v>413</v>
      </c>
      <c r="H160" s="107" t="s">
        <v>68</v>
      </c>
      <c r="I160" s="107" t="s">
        <v>17</v>
      </c>
      <c r="J160" s="53" t="s">
        <v>48</v>
      </c>
      <c r="K160" s="53" t="s">
        <v>17</v>
      </c>
      <c r="L160" s="73">
        <v>1</v>
      </c>
      <c r="M160" s="103">
        <v>42000</v>
      </c>
      <c r="N160" s="74">
        <v>42000</v>
      </c>
      <c r="O160" s="104"/>
      <c r="P160" s="82" t="s">
        <v>18</v>
      </c>
      <c r="Q160" s="82" t="s">
        <v>347</v>
      </c>
      <c r="R160" s="82"/>
      <c r="S160" s="82"/>
      <c r="T160" s="89" t="s">
        <v>19</v>
      </c>
      <c r="U160" s="41" t="str">
        <f>VLOOKUP(J160,Sheet1!$A$2:$D$200,4,0)</f>
        <v>NL300125</v>
      </c>
      <c r="V160" s="41" t="str">
        <f>VLOOKUP(U160,Sheet1!$D$2:$E$200,2,0)</f>
        <v>Rau má</v>
      </c>
      <c r="W160" s="94" t="str">
        <f t="shared" si="10"/>
        <v>41NL300125</v>
      </c>
      <c r="X160" s="94" t="str">
        <f>COUNTIF($R$15:W160,W160)&amp;W160</f>
        <v>141NL300125</v>
      </c>
      <c r="Y160" s="95">
        <f>IFERROR(VLOOKUP(X160,FAST!$B$7:$M$9722,12,0),"0")</f>
        <v>1</v>
      </c>
      <c r="Z160" s="95">
        <f>IFERROR(VLOOKUP(X160,FAST!$B$7:$N$9722,13,0),"0")</f>
        <v>42000</v>
      </c>
      <c r="AA160" s="96">
        <f t="shared" si="11"/>
        <v>42000</v>
      </c>
      <c r="AB160" s="97">
        <f t="shared" si="12"/>
        <v>0</v>
      </c>
      <c r="AC160" s="98">
        <f t="shared" si="13"/>
        <v>0</v>
      </c>
      <c r="AD160" s="99">
        <f t="shared" si="14"/>
        <v>0</v>
      </c>
    </row>
    <row r="161" spans="1:30" x14ac:dyDescent="0.25">
      <c r="A161" s="41"/>
      <c r="B161" s="80"/>
      <c r="C161" s="52" t="s">
        <v>479</v>
      </c>
      <c r="D161" s="52" t="s">
        <v>426</v>
      </c>
      <c r="E161" s="52" t="s">
        <v>427</v>
      </c>
      <c r="F161" s="107" t="s">
        <v>463</v>
      </c>
      <c r="G161" s="107" t="s">
        <v>442</v>
      </c>
      <c r="H161" s="107" t="s">
        <v>65</v>
      </c>
      <c r="I161" s="107" t="s">
        <v>17</v>
      </c>
      <c r="J161" s="53" t="s">
        <v>35</v>
      </c>
      <c r="K161" s="53" t="s">
        <v>17</v>
      </c>
      <c r="L161" s="73">
        <v>0.1</v>
      </c>
      <c r="M161" s="103">
        <v>22000</v>
      </c>
      <c r="N161" s="74">
        <v>2200</v>
      </c>
      <c r="O161" s="104"/>
      <c r="P161" s="82" t="s">
        <v>18</v>
      </c>
      <c r="Q161" s="82" t="s">
        <v>347</v>
      </c>
      <c r="R161" s="82"/>
      <c r="S161" s="82"/>
      <c r="T161" s="89" t="s">
        <v>19</v>
      </c>
      <c r="U161" s="41" t="str">
        <f>VLOOKUP(J161,Sheet1!$A$2:$D$200,4,0)</f>
        <v>NL300121</v>
      </c>
      <c r="V161" s="41" t="str">
        <f>VLOOKUP(U161,Sheet1!$D$2:$E$200,2,0)</f>
        <v>Rau răm</v>
      </c>
      <c r="W161" s="94" t="str">
        <f t="shared" si="10"/>
        <v>41NL300121</v>
      </c>
      <c r="X161" s="94" t="str">
        <f>COUNTIF($R$15:W161,W161)&amp;W161</f>
        <v>141NL300121</v>
      </c>
      <c r="Y161" s="95">
        <f>IFERROR(VLOOKUP(X161,FAST!$B$7:$M$9722,12,0),"0")</f>
        <v>0.1</v>
      </c>
      <c r="Z161" s="95">
        <f>IFERROR(VLOOKUP(X161,FAST!$B$7:$N$9722,13,0),"0")</f>
        <v>22000</v>
      </c>
      <c r="AA161" s="96">
        <f t="shared" si="11"/>
        <v>2200</v>
      </c>
      <c r="AB161" s="97">
        <f t="shared" si="12"/>
        <v>0</v>
      </c>
      <c r="AC161" s="98">
        <f t="shared" si="13"/>
        <v>0</v>
      </c>
      <c r="AD161" s="99">
        <f t="shared" si="14"/>
        <v>0</v>
      </c>
    </row>
    <row r="162" spans="1:30" x14ac:dyDescent="0.25">
      <c r="A162" s="41"/>
      <c r="B162" s="80"/>
      <c r="C162" s="52" t="s">
        <v>479</v>
      </c>
      <c r="D162" s="52" t="s">
        <v>426</v>
      </c>
      <c r="E162" s="52" t="s">
        <v>427</v>
      </c>
      <c r="F162" s="107" t="s">
        <v>463</v>
      </c>
      <c r="G162" s="107" t="s">
        <v>414</v>
      </c>
      <c r="H162" s="107" t="s">
        <v>32</v>
      </c>
      <c r="I162" s="107" t="s">
        <v>17</v>
      </c>
      <c r="J162" s="53" t="s">
        <v>232</v>
      </c>
      <c r="K162" s="53" t="s">
        <v>17</v>
      </c>
      <c r="L162" s="73">
        <v>0.3</v>
      </c>
      <c r="M162" s="103">
        <v>36000</v>
      </c>
      <c r="N162" s="74">
        <v>10800</v>
      </c>
      <c r="O162" s="104"/>
      <c r="P162" s="82" t="s">
        <v>18</v>
      </c>
      <c r="Q162" s="82" t="s">
        <v>347</v>
      </c>
      <c r="R162" s="82"/>
      <c r="S162" s="82"/>
      <c r="T162" s="89" t="s">
        <v>19</v>
      </c>
      <c r="U162" s="41" t="str">
        <f>VLOOKUP(J162,Sheet1!$A$2:$D$200,4,0)</f>
        <v>NL300140</v>
      </c>
      <c r="V162" s="41" t="str">
        <f>VLOOKUP(U162,Sheet1!$D$2:$E$200,2,0)</f>
        <v>Tía tô</v>
      </c>
      <c r="W162" s="94" t="str">
        <f t="shared" si="10"/>
        <v>41NL300140</v>
      </c>
      <c r="X162" s="94" t="str">
        <f>COUNTIF($R$15:W162,W162)&amp;W162</f>
        <v>141NL300140</v>
      </c>
      <c r="Y162" s="95">
        <f>IFERROR(VLOOKUP(X162,FAST!$B$7:$M$9722,12,0),"0")</f>
        <v>0.3</v>
      </c>
      <c r="Z162" s="95">
        <f>IFERROR(VLOOKUP(X162,FAST!$B$7:$N$9722,13,0),"0")</f>
        <v>36000</v>
      </c>
      <c r="AA162" s="96">
        <f t="shared" si="11"/>
        <v>10800</v>
      </c>
      <c r="AB162" s="97">
        <f t="shared" si="12"/>
        <v>0</v>
      </c>
      <c r="AC162" s="98">
        <f t="shared" si="13"/>
        <v>0</v>
      </c>
      <c r="AD162" s="99">
        <f t="shared" si="14"/>
        <v>0</v>
      </c>
    </row>
    <row r="163" spans="1:30" x14ac:dyDescent="0.25">
      <c r="A163" s="41"/>
      <c r="B163" s="80"/>
      <c r="C163" s="52" t="s">
        <v>479</v>
      </c>
      <c r="D163" s="52" t="s">
        <v>426</v>
      </c>
      <c r="E163" s="52" t="s">
        <v>427</v>
      </c>
      <c r="F163" s="107" t="s">
        <v>463</v>
      </c>
      <c r="G163" s="107" t="s">
        <v>415</v>
      </c>
      <c r="H163" s="107" t="s">
        <v>66</v>
      </c>
      <c r="I163" s="107" t="s">
        <v>17</v>
      </c>
      <c r="J163" s="53" t="s">
        <v>60</v>
      </c>
      <c r="K163" s="53" t="s">
        <v>17</v>
      </c>
      <c r="L163" s="73">
        <v>1</v>
      </c>
      <c r="M163" s="103">
        <v>21000</v>
      </c>
      <c r="N163" s="74">
        <v>21000</v>
      </c>
      <c r="O163" s="104"/>
      <c r="P163" s="82" t="s">
        <v>18</v>
      </c>
      <c r="Q163" s="82" t="s">
        <v>347</v>
      </c>
      <c r="R163" s="82"/>
      <c r="S163" s="82"/>
      <c r="T163" s="89" t="s">
        <v>19</v>
      </c>
      <c r="U163" s="41" t="str">
        <f>VLOOKUP(J163,Sheet1!$A$2:$D$200,4,0)</f>
        <v>NL300119</v>
      </c>
      <c r="V163" s="41" t="str">
        <f>VLOOKUP(U163,Sheet1!$D$2:$E$200,2,0)</f>
        <v>Quất ( Tắc trái )</v>
      </c>
      <c r="W163" s="94" t="str">
        <f t="shared" si="10"/>
        <v>41NL300119</v>
      </c>
      <c r="X163" s="94" t="str">
        <f>COUNTIF($R$15:W163,W163)&amp;W163</f>
        <v>141NL300119</v>
      </c>
      <c r="Y163" s="95">
        <f>IFERROR(VLOOKUP(X163,FAST!$B$7:$M$9722,12,0),"0")</f>
        <v>1</v>
      </c>
      <c r="Z163" s="95">
        <f>IFERROR(VLOOKUP(X163,FAST!$B$7:$N$9722,13,0),"0")</f>
        <v>21000</v>
      </c>
      <c r="AA163" s="96">
        <f t="shared" si="11"/>
        <v>21000</v>
      </c>
      <c r="AB163" s="97">
        <f t="shared" si="12"/>
        <v>0</v>
      </c>
      <c r="AC163" s="98">
        <f t="shared" si="13"/>
        <v>0</v>
      </c>
      <c r="AD163" s="99">
        <f t="shared" si="14"/>
        <v>0</v>
      </c>
    </row>
    <row r="164" spans="1:30" x14ac:dyDescent="0.25">
      <c r="A164" s="41"/>
      <c r="B164" s="80"/>
      <c r="C164" s="52" t="s">
        <v>479</v>
      </c>
      <c r="D164" s="52" t="s">
        <v>426</v>
      </c>
      <c r="E164" s="52" t="s">
        <v>427</v>
      </c>
      <c r="F164" s="107" t="s">
        <v>463</v>
      </c>
      <c r="G164" s="107" t="s">
        <v>452</v>
      </c>
      <c r="H164" s="107" t="s">
        <v>48</v>
      </c>
      <c r="I164" s="107" t="s">
        <v>17</v>
      </c>
      <c r="J164" s="53" t="s">
        <v>38</v>
      </c>
      <c r="K164" s="53" t="s">
        <v>17</v>
      </c>
      <c r="L164" s="73">
        <v>4.2</v>
      </c>
      <c r="M164" s="103">
        <v>50000</v>
      </c>
      <c r="N164" s="74">
        <v>210000</v>
      </c>
      <c r="O164" s="104"/>
      <c r="P164" s="82" t="s">
        <v>18</v>
      </c>
      <c r="Q164" s="82" t="s">
        <v>347</v>
      </c>
      <c r="R164" s="82"/>
      <c r="S164" s="82"/>
      <c r="T164" s="89" t="s">
        <v>19</v>
      </c>
      <c r="U164" s="41" t="str">
        <f>VLOOKUP(J164,Sheet1!$A$2:$D$200,4,0)</f>
        <v>NL300142</v>
      </c>
      <c r="V164" s="41" t="str">
        <f>VLOOKUP(U164,Sheet1!$D$2:$E$200,2,0)</f>
        <v>Tỏi bóc</v>
      </c>
      <c r="W164" s="94" t="str">
        <f t="shared" si="10"/>
        <v>41NL300142</v>
      </c>
      <c r="X164" s="94" t="str">
        <f>COUNTIF($R$15:W164,W164)&amp;W164</f>
        <v>141NL300142</v>
      </c>
      <c r="Y164" s="95">
        <f>IFERROR(VLOOKUP(X164,FAST!$B$7:$M$9722,12,0),"0")</f>
        <v>4.2</v>
      </c>
      <c r="Z164" s="95">
        <f>IFERROR(VLOOKUP(X164,FAST!$B$7:$N$9722,13,0),"0")</f>
        <v>50000</v>
      </c>
      <c r="AA164" s="96">
        <f t="shared" si="11"/>
        <v>210000</v>
      </c>
      <c r="AB164" s="97">
        <f t="shared" si="12"/>
        <v>0</v>
      </c>
      <c r="AC164" s="98">
        <f t="shared" si="13"/>
        <v>0</v>
      </c>
      <c r="AD164" s="99">
        <f t="shared" si="14"/>
        <v>0</v>
      </c>
    </row>
    <row r="165" spans="1:30" x14ac:dyDescent="0.25">
      <c r="A165" s="41"/>
      <c r="B165" s="80"/>
      <c r="C165" s="52" t="s">
        <v>479</v>
      </c>
      <c r="D165" s="52" t="s">
        <v>426</v>
      </c>
      <c r="E165" s="52" t="s">
        <v>427</v>
      </c>
      <c r="F165" s="107" t="s">
        <v>463</v>
      </c>
      <c r="G165" s="107" t="s">
        <v>444</v>
      </c>
      <c r="H165" s="107" t="s">
        <v>35</v>
      </c>
      <c r="I165" s="107" t="s">
        <v>17</v>
      </c>
      <c r="J165" s="53" t="s">
        <v>52</v>
      </c>
      <c r="K165" s="53" t="s">
        <v>53</v>
      </c>
      <c r="L165" s="73">
        <v>60</v>
      </c>
      <c r="M165" s="103">
        <v>5000</v>
      </c>
      <c r="N165" s="74">
        <v>300000</v>
      </c>
      <c r="O165" s="104"/>
      <c r="P165" s="82" t="s">
        <v>18</v>
      </c>
      <c r="Q165" s="82" t="s">
        <v>347</v>
      </c>
      <c r="R165" s="82"/>
      <c r="S165" s="82"/>
      <c r="T165" s="89" t="s">
        <v>19</v>
      </c>
      <c r="U165" s="41" t="str">
        <f>VLOOKUP(J165,Sheet1!$A$2:$D$200,4,0)</f>
        <v>NL100101</v>
      </c>
      <c r="V165" s="41" t="str">
        <f>VLOOKUP(U165,Sheet1!$D$2:$E$200,2,0)</f>
        <v>Trứng vịt muối</v>
      </c>
      <c r="W165" s="94" t="str">
        <f t="shared" si="10"/>
        <v>41NL100101</v>
      </c>
      <c r="X165" s="94" t="str">
        <f>COUNTIF($R$15:W165,W165)&amp;W165</f>
        <v>141NL100101</v>
      </c>
      <c r="Y165" s="95">
        <f>IFERROR(VLOOKUP(X165,FAST!$B$7:$M$9722,12,0),"0")</f>
        <v>60</v>
      </c>
      <c r="Z165" s="95">
        <f>IFERROR(VLOOKUP(X165,FAST!$B$7:$N$9722,13,0),"0")</f>
        <v>5000</v>
      </c>
      <c r="AA165" s="96">
        <f t="shared" si="11"/>
        <v>300000</v>
      </c>
      <c r="AB165" s="97">
        <f t="shared" si="12"/>
        <v>0</v>
      </c>
      <c r="AC165" s="98">
        <f t="shared" si="13"/>
        <v>0</v>
      </c>
      <c r="AD165" s="99">
        <f t="shared" si="14"/>
        <v>0</v>
      </c>
    </row>
    <row r="166" spans="1:30" x14ac:dyDescent="0.25">
      <c r="A166" s="41"/>
      <c r="B166" s="80"/>
      <c r="C166" s="52" t="s">
        <v>479</v>
      </c>
      <c r="D166" s="52" t="s">
        <v>426</v>
      </c>
      <c r="E166" s="52" t="s">
        <v>427</v>
      </c>
      <c r="F166" s="107" t="s">
        <v>463</v>
      </c>
      <c r="G166" s="107" t="s">
        <v>445</v>
      </c>
      <c r="H166" s="107" t="s">
        <v>36</v>
      </c>
      <c r="I166" s="107" t="s">
        <v>17</v>
      </c>
      <c r="J166" s="53" t="s">
        <v>37</v>
      </c>
      <c r="K166" s="53" t="s">
        <v>17</v>
      </c>
      <c r="L166" s="73">
        <v>2</v>
      </c>
      <c r="M166" s="103">
        <v>62000</v>
      </c>
      <c r="N166" s="74">
        <v>124000</v>
      </c>
      <c r="O166" s="104"/>
      <c r="P166" s="82" t="s">
        <v>18</v>
      </c>
      <c r="Q166" s="82" t="s">
        <v>347</v>
      </c>
      <c r="R166" s="82"/>
      <c r="S166" s="82"/>
      <c r="T166" s="89" t="s">
        <v>19</v>
      </c>
      <c r="U166" s="41" t="str">
        <f>VLOOKUP(J166,Sheet1!$A$2:$D$200,4,0)</f>
        <v>NL300147</v>
      </c>
      <c r="V166" s="41" t="str">
        <f>VLOOKUP(U166,Sheet1!$D$2:$E$200,2,0)</f>
        <v>Xà lách Roman</v>
      </c>
      <c r="W166" s="94" t="str">
        <f t="shared" si="10"/>
        <v>41NL300147</v>
      </c>
      <c r="X166" s="94" t="str">
        <f>COUNTIF($R$15:W166,W166)&amp;W166</f>
        <v>141NL300147</v>
      </c>
      <c r="Y166" s="95">
        <f>IFERROR(VLOOKUP(X166,FAST!$B$7:$M$9722,12,0),"0")</f>
        <v>2</v>
      </c>
      <c r="Z166" s="95">
        <f>IFERROR(VLOOKUP(X166,FAST!$B$7:$N$9722,13,0),"0")</f>
        <v>62000</v>
      </c>
      <c r="AA166" s="96">
        <f t="shared" si="11"/>
        <v>124000</v>
      </c>
      <c r="AB166" s="97">
        <f t="shared" si="12"/>
        <v>0</v>
      </c>
      <c r="AC166" s="98">
        <f t="shared" si="13"/>
        <v>0</v>
      </c>
      <c r="AD166" s="99">
        <f t="shared" si="14"/>
        <v>0</v>
      </c>
    </row>
    <row r="167" spans="1:30" x14ac:dyDescent="0.25">
      <c r="A167" s="41"/>
      <c r="B167" s="80"/>
      <c r="C167" s="52" t="s">
        <v>480</v>
      </c>
      <c r="D167" s="52" t="s">
        <v>426</v>
      </c>
      <c r="E167" s="52" t="s">
        <v>427</v>
      </c>
      <c r="F167" s="107" t="s">
        <v>463</v>
      </c>
      <c r="G167" s="107" t="s">
        <v>417</v>
      </c>
      <c r="H167" s="107" t="s">
        <v>38</v>
      </c>
      <c r="I167" s="107" t="s">
        <v>17</v>
      </c>
      <c r="J167" s="53" t="s">
        <v>54</v>
      </c>
      <c r="K167" s="53" t="s">
        <v>17</v>
      </c>
      <c r="L167" s="73">
        <v>1.5</v>
      </c>
      <c r="M167" s="103">
        <v>15000</v>
      </c>
      <c r="N167" s="74">
        <v>22500</v>
      </c>
      <c r="O167" s="104"/>
      <c r="P167" s="82" t="s">
        <v>18</v>
      </c>
      <c r="Q167" s="82" t="s">
        <v>347</v>
      </c>
      <c r="R167" s="82"/>
      <c r="S167" s="82"/>
      <c r="T167" s="89" t="s">
        <v>19</v>
      </c>
      <c r="U167" s="41" t="str">
        <f>VLOOKUP(J167,Sheet1!$A$2:$D$200,4,0)</f>
        <v>NL300189</v>
      </c>
      <c r="V167" s="41" t="str">
        <f>VLOOKUP(U167,Sheet1!$D$2:$E$200,2,0)</f>
        <v>Bánh ướt</v>
      </c>
      <c r="W167" s="94" t="str">
        <f t="shared" si="10"/>
        <v>51NL300189</v>
      </c>
      <c r="X167" s="94" t="str">
        <f>COUNTIF($R$15:W167,W167)&amp;W167</f>
        <v>151NL300189</v>
      </c>
      <c r="Y167" s="95">
        <f>IFERROR(VLOOKUP(X167,FAST!$B$7:$M$9722,12,0),"0")</f>
        <v>1.5</v>
      </c>
      <c r="Z167" s="95">
        <f>IFERROR(VLOOKUP(X167,FAST!$B$7:$N$9722,13,0),"0")</f>
        <v>15000</v>
      </c>
      <c r="AA167" s="96">
        <f t="shared" si="11"/>
        <v>22500</v>
      </c>
      <c r="AB167" s="97">
        <f t="shared" si="12"/>
        <v>0</v>
      </c>
      <c r="AC167" s="98">
        <f t="shared" si="13"/>
        <v>0</v>
      </c>
      <c r="AD167" s="99">
        <f t="shared" si="14"/>
        <v>0</v>
      </c>
    </row>
    <row r="168" spans="1:30" x14ac:dyDescent="0.25">
      <c r="A168" s="41"/>
      <c r="B168" s="80"/>
      <c r="C168" s="52" t="s">
        <v>480</v>
      </c>
      <c r="D168" s="81" t="s">
        <v>426</v>
      </c>
      <c r="E168" s="52" t="s">
        <v>427</v>
      </c>
      <c r="F168" s="107" t="s">
        <v>463</v>
      </c>
      <c r="G168" s="107" t="s">
        <v>447</v>
      </c>
      <c r="H168" s="107" t="s">
        <v>52</v>
      </c>
      <c r="I168" s="107" t="s">
        <v>53</v>
      </c>
      <c r="J168" s="53" t="s">
        <v>16</v>
      </c>
      <c r="K168" s="53" t="s">
        <v>17</v>
      </c>
      <c r="L168" s="73">
        <v>2</v>
      </c>
      <c r="M168" s="103">
        <v>19000</v>
      </c>
      <c r="N168" s="74">
        <v>38000</v>
      </c>
      <c r="O168" s="104"/>
      <c r="P168" s="82" t="s">
        <v>18</v>
      </c>
      <c r="Q168" s="82" t="s">
        <v>347</v>
      </c>
      <c r="R168" s="82"/>
      <c r="S168" s="82"/>
      <c r="T168" s="89" t="s">
        <v>19</v>
      </c>
      <c r="U168" s="41" t="str">
        <f>VLOOKUP(J168,Sheet1!$A$2:$D$200,4,0)</f>
        <v>NL300004</v>
      </c>
      <c r="V168" s="41" t="str">
        <f>VLOOKUP(U168,Sheet1!$D$2:$E$200,2,0)</f>
        <v>Bắp cải trắng</v>
      </c>
      <c r="W168" s="94" t="str">
        <f t="shared" si="10"/>
        <v>51NL300004</v>
      </c>
      <c r="X168" s="94" t="str">
        <f>COUNTIF($R$15:W168,W168)&amp;W168</f>
        <v>151NL300004</v>
      </c>
      <c r="Y168" s="95">
        <f>IFERROR(VLOOKUP(X168,FAST!$B$7:$M$9722,12,0),"0")</f>
        <v>2</v>
      </c>
      <c r="Z168" s="95">
        <f>IFERROR(VLOOKUP(X168,FAST!$B$7:$N$9722,13,0),"0")</f>
        <v>19000</v>
      </c>
      <c r="AA168" s="96">
        <f t="shared" si="11"/>
        <v>38000</v>
      </c>
      <c r="AB168" s="97">
        <f t="shared" si="12"/>
        <v>0</v>
      </c>
      <c r="AC168" s="98">
        <f t="shared" si="13"/>
        <v>0</v>
      </c>
      <c r="AD168" s="99">
        <f t="shared" si="14"/>
        <v>0</v>
      </c>
    </row>
    <row r="169" spans="1:30" x14ac:dyDescent="0.25">
      <c r="A169" s="41"/>
      <c r="B169" s="80"/>
      <c r="C169" s="52" t="s">
        <v>480</v>
      </c>
      <c r="D169" s="52" t="s">
        <v>426</v>
      </c>
      <c r="E169" s="52" t="s">
        <v>427</v>
      </c>
      <c r="F169" s="107" t="s">
        <v>463</v>
      </c>
      <c r="G169" s="107" t="s">
        <v>418</v>
      </c>
      <c r="H169" s="107" t="s">
        <v>37</v>
      </c>
      <c r="I169" s="107" t="s">
        <v>17</v>
      </c>
      <c r="J169" s="53" t="s">
        <v>20</v>
      </c>
      <c r="K169" s="53" t="s">
        <v>21</v>
      </c>
      <c r="L169" s="73">
        <v>8</v>
      </c>
      <c r="M169" s="103">
        <v>8500</v>
      </c>
      <c r="N169" s="74">
        <v>68000</v>
      </c>
      <c r="O169" s="104"/>
      <c r="P169" s="82" t="s">
        <v>18</v>
      </c>
      <c r="Q169" s="82" t="s">
        <v>347</v>
      </c>
      <c r="R169" s="82"/>
      <c r="S169" s="82"/>
      <c r="T169" s="89" t="s">
        <v>19</v>
      </c>
      <c r="U169" s="41" t="str">
        <f>VLOOKUP(J169,Sheet1!$A$2:$D$200,4,0)</f>
        <v>NL300107</v>
      </c>
      <c r="V169" s="41" t="str">
        <f>VLOOKUP(U169,Sheet1!$D$2:$E$200,2,0)</f>
        <v>Ngô ngọt ( Bắp trái)</v>
      </c>
      <c r="W169" s="94" t="str">
        <f t="shared" si="10"/>
        <v>51NL300107</v>
      </c>
      <c r="X169" s="94" t="str">
        <f>COUNTIF($R$15:W169,W169)&amp;W169</f>
        <v>151NL300107</v>
      </c>
      <c r="Y169" s="95">
        <f>IFERROR(VLOOKUP(X169,FAST!$B$7:$M$9722,12,0),"0")</f>
        <v>8</v>
      </c>
      <c r="Z169" s="95">
        <f>IFERROR(VLOOKUP(X169,FAST!$B$7:$N$9722,13,0),"0")</f>
        <v>8500</v>
      </c>
      <c r="AA169" s="96">
        <f t="shared" si="11"/>
        <v>68000</v>
      </c>
      <c r="AB169" s="97">
        <f t="shared" si="12"/>
        <v>0</v>
      </c>
      <c r="AC169" s="98">
        <f t="shared" si="13"/>
        <v>0</v>
      </c>
      <c r="AD169" s="99">
        <f t="shared" si="14"/>
        <v>0</v>
      </c>
    </row>
    <row r="170" spans="1:30" x14ac:dyDescent="0.25">
      <c r="A170" s="41"/>
      <c r="B170" s="80"/>
      <c r="C170" s="52" t="s">
        <v>480</v>
      </c>
      <c r="D170" s="52" t="s">
        <v>426</v>
      </c>
      <c r="E170" s="52" t="s">
        <v>427</v>
      </c>
      <c r="F170" s="107" t="s">
        <v>464</v>
      </c>
      <c r="G170" s="107" t="s">
        <v>405</v>
      </c>
      <c r="H170" s="107" t="s">
        <v>22</v>
      </c>
      <c r="I170" s="107" t="s">
        <v>17</v>
      </c>
      <c r="J170" s="53" t="s">
        <v>22</v>
      </c>
      <c r="K170" s="53" t="s">
        <v>17</v>
      </c>
      <c r="L170" s="73">
        <v>2.2999999999999998</v>
      </c>
      <c r="M170" s="103">
        <v>30000</v>
      </c>
      <c r="N170" s="74">
        <v>69000</v>
      </c>
      <c r="O170" s="104"/>
      <c r="P170" s="82" t="s">
        <v>18</v>
      </c>
      <c r="Q170" s="82" t="s">
        <v>347</v>
      </c>
      <c r="R170" s="82"/>
      <c r="S170" s="82"/>
      <c r="T170" s="89" t="s">
        <v>19</v>
      </c>
      <c r="U170" s="41" t="str">
        <f>VLOOKUP(J170,Sheet1!$A$2:$D$200,4,0)</f>
        <v>NL300007</v>
      </c>
      <c r="V170" s="41" t="str">
        <f>VLOOKUP(U170,Sheet1!$D$2:$E$200,2,0)</f>
        <v>Bí đỏ</v>
      </c>
      <c r="W170" s="94" t="str">
        <f t="shared" si="10"/>
        <v>51NL300007</v>
      </c>
      <c r="X170" s="94" t="str">
        <f>COUNTIF($R$15:W170,W170)&amp;W170</f>
        <v>151NL300007</v>
      </c>
      <c r="Y170" s="95">
        <f>IFERROR(VLOOKUP(X170,FAST!$B$7:$M$9722,12,0),"0")</f>
        <v>2.2999999999999998</v>
      </c>
      <c r="Z170" s="95">
        <f>IFERROR(VLOOKUP(X170,FAST!$B$7:$N$9722,13,0),"0")</f>
        <v>30000</v>
      </c>
      <c r="AA170" s="96">
        <f t="shared" si="11"/>
        <v>69000</v>
      </c>
      <c r="AB170" s="97">
        <f t="shared" si="12"/>
        <v>0</v>
      </c>
      <c r="AC170" s="98">
        <f t="shared" si="13"/>
        <v>0</v>
      </c>
      <c r="AD170" s="99">
        <f t="shared" si="14"/>
        <v>0</v>
      </c>
    </row>
    <row r="171" spans="1:30" x14ac:dyDescent="0.25">
      <c r="A171" s="41"/>
      <c r="B171" s="80"/>
      <c r="C171" s="52" t="s">
        <v>480</v>
      </c>
      <c r="D171" s="52" t="s">
        <v>426</v>
      </c>
      <c r="E171" s="52" t="s">
        <v>427</v>
      </c>
      <c r="F171" s="107" t="s">
        <v>464</v>
      </c>
      <c r="G171" s="107" t="s">
        <v>435</v>
      </c>
      <c r="H171" s="107" t="s">
        <v>25</v>
      </c>
      <c r="I171" s="107" t="s">
        <v>17</v>
      </c>
      <c r="J171" s="53" t="s">
        <v>23</v>
      </c>
      <c r="K171" s="53" t="s">
        <v>17</v>
      </c>
      <c r="L171" s="73">
        <v>6</v>
      </c>
      <c r="M171" s="103">
        <v>40000</v>
      </c>
      <c r="N171" s="74">
        <v>240000</v>
      </c>
      <c r="O171" s="104"/>
      <c r="P171" s="82" t="s">
        <v>18</v>
      </c>
      <c r="Q171" s="82" t="s">
        <v>347</v>
      </c>
      <c r="R171" s="82"/>
      <c r="S171" s="82"/>
      <c r="T171" s="89" t="s">
        <v>19</v>
      </c>
      <c r="U171" s="41" t="str">
        <f>VLOOKUP(J171,Sheet1!$A$2:$D$200,4,0)</f>
        <v>NL300008</v>
      </c>
      <c r="V171" s="41" t="str">
        <f>VLOOKUP(U171,Sheet1!$D$2:$E$200,2,0)</f>
        <v>Bí ngòi</v>
      </c>
      <c r="W171" s="94" t="str">
        <f t="shared" si="10"/>
        <v>51NL300008</v>
      </c>
      <c r="X171" s="94" t="str">
        <f>COUNTIF($R$15:W171,W171)&amp;W171</f>
        <v>151NL300008</v>
      </c>
      <c r="Y171" s="95">
        <f>IFERROR(VLOOKUP(X171,FAST!$B$7:$M$9722,12,0),"0")</f>
        <v>6</v>
      </c>
      <c r="Z171" s="95">
        <f>IFERROR(VLOOKUP(X171,FAST!$B$7:$N$9722,13,0),"0")</f>
        <v>40000</v>
      </c>
      <c r="AA171" s="96">
        <f t="shared" si="11"/>
        <v>240000</v>
      </c>
      <c r="AB171" s="97">
        <f t="shared" si="12"/>
        <v>0</v>
      </c>
      <c r="AC171" s="98">
        <f t="shared" si="13"/>
        <v>0</v>
      </c>
      <c r="AD171" s="99">
        <f t="shared" si="14"/>
        <v>0</v>
      </c>
    </row>
    <row r="172" spans="1:30" x14ac:dyDescent="0.25">
      <c r="A172" s="41"/>
      <c r="B172" s="80"/>
      <c r="C172" s="52" t="s">
        <v>480</v>
      </c>
      <c r="D172" s="52" t="s">
        <v>426</v>
      </c>
      <c r="E172" s="52" t="s">
        <v>427</v>
      </c>
      <c r="F172" s="107" t="s">
        <v>464</v>
      </c>
      <c r="G172" s="107" t="s">
        <v>408</v>
      </c>
      <c r="H172" s="107" t="s">
        <v>29</v>
      </c>
      <c r="I172" s="107" t="s">
        <v>17</v>
      </c>
      <c r="J172" s="53" t="s">
        <v>50</v>
      </c>
      <c r="K172" s="53" t="s">
        <v>17</v>
      </c>
      <c r="L172" s="73">
        <v>2</v>
      </c>
      <c r="M172" s="103">
        <v>52000</v>
      </c>
      <c r="N172" s="74">
        <v>104000</v>
      </c>
      <c r="O172" s="104"/>
      <c r="P172" s="82" t="s">
        <v>18</v>
      </c>
      <c r="Q172" s="82" t="s">
        <v>347</v>
      </c>
      <c r="R172" s="82"/>
      <c r="S172" s="82"/>
      <c r="T172" s="89" t="s">
        <v>19</v>
      </c>
      <c r="U172" s="41" t="str">
        <f>VLOOKUP(J172,Sheet1!$A$2:$D$200,4,0)</f>
        <v>NL300137</v>
      </c>
      <c r="V172" s="41" t="str">
        <f>VLOOKUP(U172,Sheet1!$D$2:$E$200,2,0)</f>
        <v>Súp lơ xanh</v>
      </c>
      <c r="W172" s="94" t="str">
        <f t="shared" si="10"/>
        <v>51NL300137</v>
      </c>
      <c r="X172" s="94" t="str">
        <f>COUNTIF($R$15:W172,W172)&amp;W172</f>
        <v>151NL300137</v>
      </c>
      <c r="Y172" s="95">
        <f>IFERROR(VLOOKUP(X172,FAST!$B$7:$M$9722,12,0),"0")</f>
        <v>2</v>
      </c>
      <c r="Z172" s="95">
        <f>IFERROR(VLOOKUP(X172,FAST!$B$7:$N$9722,13,0),"0")</f>
        <v>52000</v>
      </c>
      <c r="AA172" s="96">
        <f t="shared" si="11"/>
        <v>104000</v>
      </c>
      <c r="AB172" s="97">
        <f t="shared" si="12"/>
        <v>0</v>
      </c>
      <c r="AC172" s="98">
        <f t="shared" si="13"/>
        <v>0</v>
      </c>
      <c r="AD172" s="99">
        <f t="shared" si="14"/>
        <v>0</v>
      </c>
    </row>
    <row r="173" spans="1:30" x14ac:dyDescent="0.25">
      <c r="A173" s="41"/>
      <c r="B173" s="80"/>
      <c r="C173" s="52" t="s">
        <v>480</v>
      </c>
      <c r="D173" s="52" t="s">
        <v>426</v>
      </c>
      <c r="E173" s="52" t="s">
        <v>427</v>
      </c>
      <c r="F173" s="41" t="s">
        <v>464</v>
      </c>
      <c r="G173" s="41" t="s">
        <v>423</v>
      </c>
      <c r="H173" s="41" t="s">
        <v>42</v>
      </c>
      <c r="I173" s="41" t="s">
        <v>17</v>
      </c>
      <c r="J173" s="53" t="s">
        <v>70</v>
      </c>
      <c r="K173" s="53" t="s">
        <v>17</v>
      </c>
      <c r="L173" s="73">
        <v>0.5</v>
      </c>
      <c r="M173" s="103">
        <v>75000</v>
      </c>
      <c r="N173" s="74">
        <v>37500</v>
      </c>
      <c r="O173" s="104"/>
      <c r="P173" s="82" t="s">
        <v>18</v>
      </c>
      <c r="Q173" s="82" t="s">
        <v>347</v>
      </c>
      <c r="R173" s="82"/>
      <c r="S173" s="82"/>
      <c r="T173" s="89" t="s">
        <v>19</v>
      </c>
      <c r="U173" s="41" t="str">
        <f>VLOOKUP(J173,Sheet1!$A$2:$D$200,4,0)</f>
        <v>NL300028</v>
      </c>
      <c r="V173" s="41" t="str">
        <f>VLOOKUP(U173,Sheet1!$D$2:$E$200,2,0)</f>
        <v>Cà rốt baby</v>
      </c>
      <c r="W173" s="94" t="str">
        <f t="shared" si="10"/>
        <v>51NL300028</v>
      </c>
      <c r="X173" s="94" t="str">
        <f>COUNTIF($R$15:W173,W173)&amp;W173</f>
        <v>151NL300028</v>
      </c>
      <c r="Y173" s="95">
        <f>IFERROR(VLOOKUP(X173,FAST!$B$7:$M$9722,12,0),"0")</f>
        <v>0.5</v>
      </c>
      <c r="Z173" s="95">
        <f>IFERROR(VLOOKUP(X173,FAST!$B$7:$N$9722,13,0),"0")</f>
        <v>75000</v>
      </c>
      <c r="AA173" s="96">
        <f t="shared" si="11"/>
        <v>37500</v>
      </c>
      <c r="AB173" s="97">
        <f t="shared" si="12"/>
        <v>0</v>
      </c>
      <c r="AC173" s="98">
        <f t="shared" si="13"/>
        <v>0</v>
      </c>
      <c r="AD173" s="99">
        <f t="shared" si="14"/>
        <v>0</v>
      </c>
    </row>
    <row r="174" spans="1:30" x14ac:dyDescent="0.25">
      <c r="A174" s="41"/>
      <c r="B174" s="80"/>
      <c r="C174" s="52" t="s">
        <v>480</v>
      </c>
      <c r="D174" s="52" t="s">
        <v>426</v>
      </c>
      <c r="E174" s="52" t="s">
        <v>427</v>
      </c>
      <c r="F174" s="41" t="s">
        <v>464</v>
      </c>
      <c r="G174" s="41" t="s">
        <v>420</v>
      </c>
      <c r="H174" s="41" t="s">
        <v>33</v>
      </c>
      <c r="I174" s="41" t="s">
        <v>17</v>
      </c>
      <c r="J174" s="53" t="s">
        <v>24</v>
      </c>
      <c r="K174" s="53" t="s">
        <v>17</v>
      </c>
      <c r="L174" s="73">
        <v>1.5</v>
      </c>
      <c r="M174" s="103">
        <v>30000</v>
      </c>
      <c r="N174" s="74">
        <v>45000</v>
      </c>
      <c r="O174" s="104"/>
      <c r="P174" s="82" t="s">
        <v>18</v>
      </c>
      <c r="Q174" s="82" t="s">
        <v>347</v>
      </c>
      <c r="R174" s="82"/>
      <c r="S174" s="82"/>
      <c r="T174" s="89" t="s">
        <v>19</v>
      </c>
      <c r="U174" s="41" t="str">
        <f>VLOOKUP(J174,Sheet1!$A$2:$D$200,4,0)</f>
        <v>NL300020</v>
      </c>
      <c r="V174" s="41" t="str">
        <f>VLOOKUP(U174,Sheet1!$D$2:$E$200,2,0)</f>
        <v>Cải ngồng</v>
      </c>
      <c r="W174" s="94" t="str">
        <f t="shared" si="10"/>
        <v>51NL300020</v>
      </c>
      <c r="X174" s="94" t="str">
        <f>COUNTIF($R$15:W174,W174)&amp;W174</f>
        <v>151NL300020</v>
      </c>
      <c r="Y174" s="95">
        <f>IFERROR(VLOOKUP(X174,FAST!$B$7:$M$9722,12,0),"0")</f>
        <v>1.5</v>
      </c>
      <c r="Z174" s="95">
        <f>IFERROR(VLOOKUP(X174,FAST!$B$7:$N$9722,13,0),"0")</f>
        <v>30000</v>
      </c>
      <c r="AA174" s="96">
        <f t="shared" si="11"/>
        <v>45000</v>
      </c>
      <c r="AB174" s="97">
        <f t="shared" si="12"/>
        <v>0</v>
      </c>
      <c r="AC174" s="98">
        <f t="shared" si="13"/>
        <v>0</v>
      </c>
      <c r="AD174" s="99">
        <f t="shared" si="14"/>
        <v>0</v>
      </c>
    </row>
    <row r="175" spans="1:30" x14ac:dyDescent="0.25">
      <c r="A175" s="41"/>
      <c r="B175" s="80"/>
      <c r="C175" s="52" t="s">
        <v>480</v>
      </c>
      <c r="D175" s="52" t="s">
        <v>426</v>
      </c>
      <c r="E175" s="52" t="s">
        <v>427</v>
      </c>
      <c r="F175" s="41" t="s">
        <v>464</v>
      </c>
      <c r="G175" s="41" t="s">
        <v>416</v>
      </c>
      <c r="H175" s="41" t="s">
        <v>60</v>
      </c>
      <c r="I175" s="41" t="s">
        <v>17</v>
      </c>
      <c r="J175" s="53" t="s">
        <v>72</v>
      </c>
      <c r="K175" s="53" t="s">
        <v>17</v>
      </c>
      <c r="L175" s="73">
        <v>0.2</v>
      </c>
      <c r="M175" s="103">
        <v>75000</v>
      </c>
      <c r="N175" s="74">
        <v>15000</v>
      </c>
      <c r="O175" s="104"/>
      <c r="P175" s="82" t="s">
        <v>18</v>
      </c>
      <c r="Q175" s="82" t="s">
        <v>347</v>
      </c>
      <c r="R175" s="82"/>
      <c r="S175" s="82"/>
      <c r="T175" s="89" t="s">
        <v>19</v>
      </c>
      <c r="U175" s="41" t="str">
        <f>VLOOKUP(J175,Sheet1!$A$2:$D$200,4,0)</f>
        <v>NL600067</v>
      </c>
      <c r="V175" s="41" t="str">
        <f>VLOOKUP(U175,Sheet1!$D$2:$E$200,2,0)</f>
        <v>Cam vàng</v>
      </c>
      <c r="W175" s="94" t="str">
        <f t="shared" si="10"/>
        <v>51NL600067</v>
      </c>
      <c r="X175" s="94" t="str">
        <f>COUNTIF($R$15:W175,W175)&amp;W175</f>
        <v>151NL600067</v>
      </c>
      <c r="Y175" s="95">
        <f>IFERROR(VLOOKUP(X175,FAST!$B$7:$M$9722,12,0),"0")</f>
        <v>0.2</v>
      </c>
      <c r="Z175" s="95">
        <f>IFERROR(VLOOKUP(X175,FAST!$B$7:$N$9722,13,0),"0")</f>
        <v>75000</v>
      </c>
      <c r="AA175" s="96">
        <f t="shared" si="11"/>
        <v>15000</v>
      </c>
      <c r="AB175" s="97">
        <f t="shared" si="12"/>
        <v>0</v>
      </c>
      <c r="AC175" s="98">
        <f t="shared" si="13"/>
        <v>0</v>
      </c>
      <c r="AD175" s="99">
        <f t="shared" si="14"/>
        <v>0</v>
      </c>
    </row>
    <row r="176" spans="1:30" x14ac:dyDescent="0.25">
      <c r="A176" s="41"/>
      <c r="B176" s="80"/>
      <c r="C176" s="52" t="s">
        <v>480</v>
      </c>
      <c r="D176" s="52" t="s">
        <v>426</v>
      </c>
      <c r="E176" s="52" t="s">
        <v>427</v>
      </c>
      <c r="F176" s="41" t="s">
        <v>465</v>
      </c>
      <c r="G176" s="41" t="s">
        <v>429</v>
      </c>
      <c r="H176" s="41" t="s">
        <v>54</v>
      </c>
      <c r="I176" s="41" t="s">
        <v>17</v>
      </c>
      <c r="J176" s="53" t="s">
        <v>73</v>
      </c>
      <c r="K176" s="53" t="s">
        <v>17</v>
      </c>
      <c r="L176" s="73">
        <v>0.6</v>
      </c>
      <c r="M176" s="103">
        <v>34000</v>
      </c>
      <c r="N176" s="74">
        <v>20400</v>
      </c>
      <c r="O176" s="104"/>
      <c r="P176" s="82" t="s">
        <v>18</v>
      </c>
      <c r="Q176" s="82" t="s">
        <v>347</v>
      </c>
      <c r="R176" s="82"/>
      <c r="S176" s="82"/>
      <c r="T176" s="89" t="s">
        <v>19</v>
      </c>
      <c r="U176" s="41" t="str">
        <f>VLOOKUP(J176,Sheet1!$A$2:$D$200,4,0)</f>
        <v>NL300030</v>
      </c>
      <c r="V176" s="41" t="str">
        <f>VLOOKUP(U176,Sheet1!$D$2:$E$200,2,0)</f>
        <v>Chanh dây (chanh leo)</v>
      </c>
      <c r="W176" s="94" t="str">
        <f t="shared" si="10"/>
        <v>51NL300030</v>
      </c>
      <c r="X176" s="94" t="str">
        <f>COUNTIF($R$15:W176,W176)&amp;W176</f>
        <v>151NL300030</v>
      </c>
      <c r="Y176" s="95">
        <f>IFERROR(VLOOKUP(X176,FAST!$B$7:$M$9722,12,0),"0")</f>
        <v>0.6</v>
      </c>
      <c r="Z176" s="95">
        <f>IFERROR(VLOOKUP(X176,FAST!$B$7:$N$9722,13,0),"0")</f>
        <v>34000</v>
      </c>
      <c r="AA176" s="96">
        <f t="shared" si="11"/>
        <v>20400</v>
      </c>
      <c r="AB176" s="97">
        <f t="shared" si="12"/>
        <v>0</v>
      </c>
      <c r="AC176" s="98">
        <f t="shared" si="13"/>
        <v>0</v>
      </c>
      <c r="AD176" s="99">
        <f t="shared" si="14"/>
        <v>0</v>
      </c>
    </row>
    <row r="177" spans="1:30" x14ac:dyDescent="0.25">
      <c r="A177" s="41"/>
      <c r="B177" s="80"/>
      <c r="C177" s="52" t="s">
        <v>480</v>
      </c>
      <c r="D177" s="52" t="s">
        <v>426</v>
      </c>
      <c r="E177" s="52" t="s">
        <v>427</v>
      </c>
      <c r="F177" s="41" t="s">
        <v>465</v>
      </c>
      <c r="G177" s="41" t="s">
        <v>430</v>
      </c>
      <c r="H177" s="41" t="s">
        <v>16</v>
      </c>
      <c r="I177" s="41" t="s">
        <v>17</v>
      </c>
      <c r="J177" s="53" t="s">
        <v>74</v>
      </c>
      <c r="K177" s="53" t="s">
        <v>17</v>
      </c>
      <c r="L177" s="73">
        <v>0.2</v>
      </c>
      <c r="M177" s="103">
        <v>95000</v>
      </c>
      <c r="N177" s="74">
        <v>19000</v>
      </c>
      <c r="O177" s="104"/>
      <c r="P177" s="82" t="s">
        <v>18</v>
      </c>
      <c r="Q177" s="82" t="s">
        <v>347</v>
      </c>
      <c r="R177" s="82"/>
      <c r="S177" s="82"/>
      <c r="T177" s="89" t="s">
        <v>19</v>
      </c>
      <c r="U177" s="41" t="str">
        <f>VLOOKUP(J177,Sheet1!$A$2:$D$200,4,0)</f>
        <v>NL600068</v>
      </c>
      <c r="V177" s="41" t="str">
        <f>VLOOKUP(U177,Sheet1!$D$2:$E$200,2,0)</f>
        <v>Chanh vàng</v>
      </c>
      <c r="W177" s="94" t="str">
        <f t="shared" si="10"/>
        <v>51NL600068</v>
      </c>
      <c r="X177" s="94" t="str">
        <f>COUNTIF($R$15:W177,W177)&amp;W177</f>
        <v>151NL600068</v>
      </c>
      <c r="Y177" s="95">
        <f>IFERROR(VLOOKUP(X177,FAST!$B$7:$M$9722,12,0),"0")</f>
        <v>0.2</v>
      </c>
      <c r="Z177" s="95">
        <f>IFERROR(VLOOKUP(X177,FAST!$B$7:$N$9722,13,0),"0")</f>
        <v>95000</v>
      </c>
      <c r="AA177" s="96">
        <f t="shared" si="11"/>
        <v>19000</v>
      </c>
      <c r="AB177" s="97">
        <f t="shared" si="12"/>
        <v>0</v>
      </c>
      <c r="AC177" s="98">
        <f t="shared" si="13"/>
        <v>0</v>
      </c>
      <c r="AD177" s="99">
        <f t="shared" si="14"/>
        <v>0</v>
      </c>
    </row>
    <row r="178" spans="1:30" x14ac:dyDescent="0.25">
      <c r="A178" s="41"/>
      <c r="B178" s="80"/>
      <c r="C178" s="52" t="s">
        <v>480</v>
      </c>
      <c r="D178" s="52" t="s">
        <v>426</v>
      </c>
      <c r="E178" s="52" t="s">
        <v>427</v>
      </c>
      <c r="F178" s="41" t="s">
        <v>465</v>
      </c>
      <c r="G178" s="41" t="s">
        <v>404</v>
      </c>
      <c r="H178" s="41" t="s">
        <v>20</v>
      </c>
      <c r="I178" s="41" t="s">
        <v>21</v>
      </c>
      <c r="J178" s="53" t="s">
        <v>26</v>
      </c>
      <c r="K178" s="53" t="s">
        <v>17</v>
      </c>
      <c r="L178" s="73">
        <v>0.1</v>
      </c>
      <c r="M178" s="103">
        <v>25000</v>
      </c>
      <c r="N178" s="74">
        <v>2500</v>
      </c>
      <c r="O178" s="104"/>
      <c r="P178" s="82" t="s">
        <v>18</v>
      </c>
      <c r="Q178" s="82" t="s">
        <v>347</v>
      </c>
      <c r="R178" s="82"/>
      <c r="S178" s="82"/>
      <c r="T178" s="89" t="s">
        <v>19</v>
      </c>
      <c r="U178" s="41" t="str">
        <f>VLOOKUP(J178,Sheet1!$A$2:$D$200,4,0)</f>
        <v>NL300035</v>
      </c>
      <c r="V178" s="41" t="str">
        <f>VLOOKUP(U178,Sheet1!$D$2:$E$200,2,0)</f>
        <v>Củ riềng</v>
      </c>
      <c r="W178" s="94" t="str">
        <f t="shared" si="10"/>
        <v>51NL300035</v>
      </c>
      <c r="X178" s="94" t="str">
        <f>COUNTIF($R$15:W178,W178)&amp;W178</f>
        <v>151NL300035</v>
      </c>
      <c r="Y178" s="95">
        <f>IFERROR(VLOOKUP(X178,FAST!$B$7:$M$9722,12,0),"0")</f>
        <v>0.1</v>
      </c>
      <c r="Z178" s="95">
        <f>IFERROR(VLOOKUP(X178,FAST!$B$7:$N$9722,13,0),"0")</f>
        <v>25000</v>
      </c>
      <c r="AA178" s="96">
        <f t="shared" si="11"/>
        <v>2500</v>
      </c>
      <c r="AB178" s="97">
        <f t="shared" si="12"/>
        <v>0</v>
      </c>
      <c r="AC178" s="98">
        <f t="shared" si="13"/>
        <v>0</v>
      </c>
      <c r="AD178" s="99">
        <f t="shared" si="14"/>
        <v>0</v>
      </c>
    </row>
    <row r="179" spans="1:30" x14ac:dyDescent="0.25">
      <c r="A179" s="41"/>
      <c r="B179" s="80"/>
      <c r="C179" s="52" t="s">
        <v>480</v>
      </c>
      <c r="D179" s="52" t="s">
        <v>426</v>
      </c>
      <c r="E179" s="52" t="s">
        <v>427</v>
      </c>
      <c r="F179" s="41" t="s">
        <v>465</v>
      </c>
      <c r="G179" s="41" t="s">
        <v>405</v>
      </c>
      <c r="H179" s="41" t="s">
        <v>22</v>
      </c>
      <c r="I179" s="41" t="s">
        <v>17</v>
      </c>
      <c r="J179" s="53" t="s">
        <v>47</v>
      </c>
      <c r="K179" s="53" t="s">
        <v>17</v>
      </c>
      <c r="L179" s="73">
        <v>25.5</v>
      </c>
      <c r="M179" s="103">
        <v>18000</v>
      </c>
      <c r="N179" s="74">
        <v>459000</v>
      </c>
      <c r="O179" s="104"/>
      <c r="P179" s="82" t="s">
        <v>18</v>
      </c>
      <c r="Q179" s="82" t="s">
        <v>347</v>
      </c>
      <c r="R179" s="82"/>
      <c r="S179" s="82"/>
      <c r="T179" s="89" t="s">
        <v>19</v>
      </c>
      <c r="U179" s="41" t="str">
        <f>VLOOKUP(J179,Sheet1!$A$2:$D$200,4,0)</f>
        <v>NL600004</v>
      </c>
      <c r="V179" s="41" t="str">
        <f>VLOOKUP(U179,Sheet1!$D$2:$E$200,2,0)</f>
        <v>Dưa hấu</v>
      </c>
      <c r="W179" s="94" t="str">
        <f t="shared" si="10"/>
        <v>51NL600004</v>
      </c>
      <c r="X179" s="94" t="str">
        <f>COUNTIF($R$15:W179,W179)&amp;W179</f>
        <v>151NL600004</v>
      </c>
      <c r="Y179" s="95">
        <f>IFERROR(VLOOKUP(X179,FAST!$B$7:$M$9722,12,0),"0")</f>
        <v>25.5</v>
      </c>
      <c r="Z179" s="95">
        <f>IFERROR(VLOOKUP(X179,FAST!$B$7:$N$9722,13,0),"0")</f>
        <v>18000</v>
      </c>
      <c r="AA179" s="96">
        <f t="shared" si="11"/>
        <v>459000</v>
      </c>
      <c r="AB179" s="97">
        <f t="shared" si="12"/>
        <v>0</v>
      </c>
      <c r="AC179" s="98">
        <f t="shared" si="13"/>
        <v>0</v>
      </c>
      <c r="AD179" s="99">
        <f t="shared" si="14"/>
        <v>0</v>
      </c>
    </row>
    <row r="180" spans="1:30" x14ac:dyDescent="0.25">
      <c r="A180" s="41"/>
      <c r="B180" s="80"/>
      <c r="C180" s="52" t="s">
        <v>480</v>
      </c>
      <c r="D180" s="52" t="s">
        <v>426</v>
      </c>
      <c r="E180" s="52" t="s">
        <v>427</v>
      </c>
      <c r="F180" s="41" t="s">
        <v>465</v>
      </c>
      <c r="G180" s="41" t="s">
        <v>431</v>
      </c>
      <c r="H180" s="41" t="s">
        <v>23</v>
      </c>
      <c r="I180" s="41" t="s">
        <v>17</v>
      </c>
      <c r="J180" s="53" t="s">
        <v>69</v>
      </c>
      <c r="K180" s="53" t="s">
        <v>17</v>
      </c>
      <c r="L180" s="73">
        <v>0.2</v>
      </c>
      <c r="M180" s="103">
        <v>65000</v>
      </c>
      <c r="N180" s="74">
        <v>13000</v>
      </c>
      <c r="O180" s="104"/>
      <c r="P180" s="82" t="s">
        <v>18</v>
      </c>
      <c r="Q180" s="82" t="s">
        <v>347</v>
      </c>
      <c r="R180" s="82"/>
      <c r="S180" s="82"/>
      <c r="T180" s="89" t="s">
        <v>19</v>
      </c>
      <c r="U180" s="41" t="str">
        <f>VLOOKUP(J180,Sheet1!$A$2:$D$200,4,0)</f>
        <v>NL300062</v>
      </c>
      <c r="V180" s="41" t="str">
        <f>VLOOKUP(U180,Sheet1!$D$2:$E$200,2,0)</f>
        <v>Húng Bạc Hà</v>
      </c>
      <c r="W180" s="94" t="str">
        <f t="shared" si="10"/>
        <v>51NL300062</v>
      </c>
      <c r="X180" s="94" t="str">
        <f>COUNTIF($R$15:W180,W180)&amp;W180</f>
        <v>151NL300062</v>
      </c>
      <c r="Y180" s="95">
        <f>IFERROR(VLOOKUP(X180,FAST!$B$7:$M$9722,12,0),"0")</f>
        <v>0.2</v>
      </c>
      <c r="Z180" s="95">
        <f>IFERROR(VLOOKUP(X180,FAST!$B$7:$N$9722,13,0),"0")</f>
        <v>65000</v>
      </c>
      <c r="AA180" s="96">
        <f t="shared" si="11"/>
        <v>13000</v>
      </c>
      <c r="AB180" s="97">
        <f t="shared" si="12"/>
        <v>0</v>
      </c>
      <c r="AC180" s="98">
        <f t="shared" si="13"/>
        <v>0</v>
      </c>
      <c r="AD180" s="99">
        <f t="shared" si="14"/>
        <v>0</v>
      </c>
    </row>
    <row r="181" spans="1:30" x14ac:dyDescent="0.25">
      <c r="A181" s="41"/>
      <c r="B181" s="80"/>
      <c r="C181" s="52" t="s">
        <v>480</v>
      </c>
      <c r="D181" s="52" t="s">
        <v>426</v>
      </c>
      <c r="E181" s="52" t="s">
        <v>427</v>
      </c>
      <c r="F181" s="41" t="s">
        <v>465</v>
      </c>
      <c r="G181" s="41" t="s">
        <v>434</v>
      </c>
      <c r="H181" s="41" t="s">
        <v>24</v>
      </c>
      <c r="I181" s="41" t="s">
        <v>17</v>
      </c>
      <c r="J181" s="53" t="s">
        <v>39</v>
      </c>
      <c r="K181" s="53" t="s">
        <v>17</v>
      </c>
      <c r="L181" s="73">
        <v>2.5</v>
      </c>
      <c r="M181" s="103">
        <v>145000</v>
      </c>
      <c r="N181" s="74">
        <v>362500</v>
      </c>
      <c r="O181" s="104"/>
      <c r="P181" s="82" t="s">
        <v>18</v>
      </c>
      <c r="Q181" s="82" t="s">
        <v>347</v>
      </c>
      <c r="R181" s="82"/>
      <c r="S181" s="82"/>
      <c r="T181" s="89" t="s">
        <v>19</v>
      </c>
      <c r="U181" s="41" t="str">
        <f>VLOOKUP(J181,Sheet1!$A$2:$D$200,4,0)</f>
        <v>NL300090</v>
      </c>
      <c r="V181" s="41" t="str">
        <f>VLOOKUP(U181,Sheet1!$D$2:$E$200,2,0)</f>
        <v>Nấm đông cô tươi</v>
      </c>
      <c r="W181" s="94" t="str">
        <f t="shared" si="10"/>
        <v>51NL300090</v>
      </c>
      <c r="X181" s="94" t="str">
        <f>COUNTIF($R$15:W181,W181)&amp;W181</f>
        <v>151NL300090</v>
      </c>
      <c r="Y181" s="95">
        <f>IFERROR(VLOOKUP(X181,FAST!$B$7:$M$9722,12,0),"0")</f>
        <v>2.5</v>
      </c>
      <c r="Z181" s="95">
        <f>IFERROR(VLOOKUP(X181,FAST!$B$7:$N$9722,13,0),"0")</f>
        <v>145000</v>
      </c>
      <c r="AA181" s="96">
        <f t="shared" si="11"/>
        <v>362500</v>
      </c>
      <c r="AB181" s="97">
        <f t="shared" si="12"/>
        <v>0</v>
      </c>
      <c r="AC181" s="98">
        <f t="shared" si="13"/>
        <v>0</v>
      </c>
      <c r="AD181" s="99">
        <f t="shared" si="14"/>
        <v>0</v>
      </c>
    </row>
    <row r="182" spans="1:30" x14ac:dyDescent="0.25">
      <c r="A182" s="41"/>
      <c r="B182" s="80"/>
      <c r="C182" s="52" t="s">
        <v>480</v>
      </c>
      <c r="D182" s="52" t="s">
        <v>426</v>
      </c>
      <c r="E182" s="52" t="s">
        <v>427</v>
      </c>
      <c r="F182" s="41" t="s">
        <v>465</v>
      </c>
      <c r="G182" s="41" t="s">
        <v>435</v>
      </c>
      <c r="H182" s="41" t="s">
        <v>25</v>
      </c>
      <c r="I182" s="41" t="s">
        <v>17</v>
      </c>
      <c r="J182" s="53" t="s">
        <v>40</v>
      </c>
      <c r="K182" s="53" t="s">
        <v>17</v>
      </c>
      <c r="L182" s="73">
        <v>1</v>
      </c>
      <c r="M182" s="103">
        <v>47000</v>
      </c>
      <c r="N182" s="74">
        <v>47000</v>
      </c>
      <c r="O182" s="104"/>
      <c r="P182" s="82" t="s">
        <v>18</v>
      </c>
      <c r="Q182" s="82" t="s">
        <v>347</v>
      </c>
      <c r="R182" s="82"/>
      <c r="S182" s="82"/>
      <c r="T182" s="89" t="s">
        <v>19</v>
      </c>
      <c r="U182" s="41" t="str">
        <f>VLOOKUP(J182,Sheet1!$A$2:$D$200,4,0)</f>
        <v>NL300091</v>
      </c>
      <c r="V182" s="41" t="str">
        <f>VLOOKUP(U182,Sheet1!$D$2:$E$200,2,0)</f>
        <v>Nấm đùi gà</v>
      </c>
      <c r="W182" s="94" t="str">
        <f t="shared" si="10"/>
        <v>51NL300091</v>
      </c>
      <c r="X182" s="94" t="str">
        <f>COUNTIF($R$15:W182,W182)&amp;W182</f>
        <v>151NL300091</v>
      </c>
      <c r="Y182" s="95">
        <f>IFERROR(VLOOKUP(X182,FAST!$B$7:$M$9722,12,0),"0")</f>
        <v>1</v>
      </c>
      <c r="Z182" s="95">
        <f>IFERROR(VLOOKUP(X182,FAST!$B$7:$N$9722,13,0),"0")</f>
        <v>47000</v>
      </c>
      <c r="AA182" s="96">
        <f t="shared" si="11"/>
        <v>47000</v>
      </c>
      <c r="AB182" s="97">
        <f t="shared" si="12"/>
        <v>0</v>
      </c>
      <c r="AC182" s="98">
        <f t="shared" si="13"/>
        <v>0</v>
      </c>
      <c r="AD182" s="99">
        <f t="shared" si="14"/>
        <v>0</v>
      </c>
    </row>
    <row r="183" spans="1:30" x14ac:dyDescent="0.25">
      <c r="A183" s="41"/>
      <c r="B183" s="80"/>
      <c r="C183" s="52" t="s">
        <v>480</v>
      </c>
      <c r="D183" s="52" t="s">
        <v>426</v>
      </c>
      <c r="E183" s="52" t="s">
        <v>427</v>
      </c>
      <c r="F183" s="41" t="s">
        <v>465</v>
      </c>
      <c r="G183" s="41" t="s">
        <v>436</v>
      </c>
      <c r="H183" s="41" t="s">
        <v>56</v>
      </c>
      <c r="I183" s="41" t="s">
        <v>17</v>
      </c>
      <c r="J183" s="53" t="s">
        <v>43</v>
      </c>
      <c r="K183" s="53" t="s">
        <v>17</v>
      </c>
      <c r="L183" s="73">
        <v>1</v>
      </c>
      <c r="M183" s="103">
        <v>90000</v>
      </c>
      <c r="N183" s="74">
        <v>90000</v>
      </c>
      <c r="O183" s="104"/>
      <c r="P183" s="82" t="s">
        <v>18</v>
      </c>
      <c r="Q183" s="82" t="s">
        <v>347</v>
      </c>
      <c r="R183" s="82"/>
      <c r="S183" s="82"/>
      <c r="T183" s="89" t="s">
        <v>19</v>
      </c>
      <c r="U183" s="41" t="str">
        <f>VLOOKUP(J183,Sheet1!$A$2:$D$200,4,0)</f>
        <v>NL300092</v>
      </c>
      <c r="V183" s="41" t="str">
        <f>VLOOKUP(U183,Sheet1!$D$2:$E$200,2,0)</f>
        <v>Nấm đùi gà baby</v>
      </c>
      <c r="W183" s="94" t="str">
        <f t="shared" si="10"/>
        <v>51NL300092</v>
      </c>
      <c r="X183" s="94" t="str">
        <f>COUNTIF($R$15:W183,W183)&amp;W183</f>
        <v>151NL300092</v>
      </c>
      <c r="Y183" s="95">
        <f>IFERROR(VLOOKUP(X183,FAST!$B$7:$M$9722,12,0),"0")</f>
        <v>1</v>
      </c>
      <c r="Z183" s="95">
        <f>IFERROR(VLOOKUP(X183,FAST!$B$7:$N$9722,13,0),"0")</f>
        <v>90000</v>
      </c>
      <c r="AA183" s="96">
        <f t="shared" si="11"/>
        <v>90000</v>
      </c>
      <c r="AB183" s="97">
        <f t="shared" si="12"/>
        <v>0</v>
      </c>
      <c r="AC183" s="98">
        <f t="shared" si="13"/>
        <v>0</v>
      </c>
      <c r="AD183" s="99">
        <f t="shared" si="14"/>
        <v>0</v>
      </c>
    </row>
    <row r="184" spans="1:30" x14ac:dyDescent="0.25">
      <c r="A184" s="41"/>
      <c r="B184" s="80"/>
      <c r="C184" s="52" t="s">
        <v>480</v>
      </c>
      <c r="D184" s="52" t="s">
        <v>426</v>
      </c>
      <c r="E184" s="52" t="s">
        <v>427</v>
      </c>
      <c r="F184" s="41" t="s">
        <v>465</v>
      </c>
      <c r="G184" s="41" t="s">
        <v>407</v>
      </c>
      <c r="H184" s="41" t="s">
        <v>27</v>
      </c>
      <c r="I184" s="41" t="s">
        <v>17</v>
      </c>
      <c r="J184" s="53" t="s">
        <v>67</v>
      </c>
      <c r="K184" s="53" t="s">
        <v>17</v>
      </c>
      <c r="L184" s="73">
        <v>1</v>
      </c>
      <c r="M184" s="103">
        <v>80000</v>
      </c>
      <c r="N184" s="74">
        <v>80000</v>
      </c>
      <c r="O184" s="104"/>
      <c r="P184" s="82" t="s">
        <v>18</v>
      </c>
      <c r="Q184" s="82" t="s">
        <v>347</v>
      </c>
      <c r="R184" s="82"/>
      <c r="S184" s="82"/>
      <c r="T184" s="89" t="s">
        <v>19</v>
      </c>
      <c r="U184" s="41" t="str">
        <f>VLOOKUP(J184,Sheet1!$A$2:$D$200,4,0)</f>
        <v>NL300094</v>
      </c>
      <c r="V184" s="41" t="str">
        <f>VLOOKUP(U184,Sheet1!$D$2:$E$200,2,0)</f>
        <v>Nấm hải sản</v>
      </c>
      <c r="W184" s="94" t="str">
        <f t="shared" si="10"/>
        <v>51NL300094</v>
      </c>
      <c r="X184" s="94" t="str">
        <f>COUNTIF($R$15:W184,W184)&amp;W184</f>
        <v>151NL300094</v>
      </c>
      <c r="Y184" s="95">
        <f>IFERROR(VLOOKUP(X184,FAST!$B$7:$M$9722,12,0),"0")</f>
        <v>1</v>
      </c>
      <c r="Z184" s="95">
        <f>IFERROR(VLOOKUP(X184,FAST!$B$7:$N$9722,13,0),"0")</f>
        <v>80000</v>
      </c>
      <c r="AA184" s="96">
        <f t="shared" si="11"/>
        <v>80000</v>
      </c>
      <c r="AB184" s="97">
        <f t="shared" si="12"/>
        <v>0</v>
      </c>
      <c r="AC184" s="98">
        <f t="shared" si="13"/>
        <v>0</v>
      </c>
      <c r="AD184" s="99">
        <f t="shared" si="14"/>
        <v>0</v>
      </c>
    </row>
    <row r="185" spans="1:30" x14ac:dyDescent="0.25">
      <c r="A185" s="41"/>
      <c r="B185" s="80"/>
      <c r="C185" s="52" t="s">
        <v>480</v>
      </c>
      <c r="D185" s="52" t="s">
        <v>426</v>
      </c>
      <c r="E185" s="52" t="s">
        <v>427</v>
      </c>
      <c r="F185" s="41" t="s">
        <v>465</v>
      </c>
      <c r="G185" s="41" t="s">
        <v>437</v>
      </c>
      <c r="H185" s="41" t="s">
        <v>28</v>
      </c>
      <c r="I185" s="41" t="s">
        <v>17</v>
      </c>
      <c r="J185" s="53" t="s">
        <v>35</v>
      </c>
      <c r="K185" s="53" t="s">
        <v>17</v>
      </c>
      <c r="L185" s="73">
        <v>0.2</v>
      </c>
      <c r="M185" s="103">
        <v>22000</v>
      </c>
      <c r="N185" s="74">
        <v>4400</v>
      </c>
      <c r="O185" s="104"/>
      <c r="P185" s="82" t="s">
        <v>18</v>
      </c>
      <c r="Q185" s="82" t="s">
        <v>347</v>
      </c>
      <c r="R185" s="82"/>
      <c r="S185" s="82"/>
      <c r="T185" s="89" t="s">
        <v>19</v>
      </c>
      <c r="U185" s="41" t="str">
        <f>VLOOKUP(J185,Sheet1!$A$2:$D$200,4,0)</f>
        <v>NL300121</v>
      </c>
      <c r="V185" s="41" t="str">
        <f>VLOOKUP(U185,Sheet1!$D$2:$E$200,2,0)</f>
        <v>Rau răm</v>
      </c>
      <c r="W185" s="94" t="str">
        <f t="shared" si="10"/>
        <v>51NL300121</v>
      </c>
      <c r="X185" s="94" t="str">
        <f>COUNTIF($R$15:W185,W185)&amp;W185</f>
        <v>151NL300121</v>
      </c>
      <c r="Y185" s="95">
        <f>IFERROR(VLOOKUP(X185,FAST!$B$7:$M$9722,12,0),"0")</f>
        <v>0.2</v>
      </c>
      <c r="Z185" s="95">
        <f>IFERROR(VLOOKUP(X185,FAST!$B$7:$N$9722,13,0),"0")</f>
        <v>22000</v>
      </c>
      <c r="AA185" s="96">
        <f t="shared" si="11"/>
        <v>4400</v>
      </c>
      <c r="AB185" s="97">
        <f t="shared" si="12"/>
        <v>0</v>
      </c>
      <c r="AC185" s="98">
        <f t="shared" si="13"/>
        <v>0</v>
      </c>
      <c r="AD185" s="99">
        <f t="shared" si="14"/>
        <v>0</v>
      </c>
    </row>
    <row r="186" spans="1:30" x14ac:dyDescent="0.25">
      <c r="A186" s="41"/>
      <c r="B186" s="80"/>
      <c r="C186" s="52" t="s">
        <v>480</v>
      </c>
      <c r="D186" s="52" t="s">
        <v>426</v>
      </c>
      <c r="E186" s="52" t="s">
        <v>427</v>
      </c>
      <c r="F186" s="41" t="s">
        <v>465</v>
      </c>
      <c r="G186" s="41" t="s">
        <v>419</v>
      </c>
      <c r="H186" s="41" t="s">
        <v>47</v>
      </c>
      <c r="I186" s="41" t="s">
        <v>17</v>
      </c>
      <c r="J186" s="53" t="s">
        <v>232</v>
      </c>
      <c r="K186" s="53" t="s">
        <v>17</v>
      </c>
      <c r="L186" s="73">
        <v>0.2</v>
      </c>
      <c r="M186" s="103">
        <v>36000</v>
      </c>
      <c r="N186" s="74">
        <v>7200</v>
      </c>
      <c r="O186" s="104"/>
      <c r="P186" s="82" t="s">
        <v>18</v>
      </c>
      <c r="Q186" s="82" t="s">
        <v>347</v>
      </c>
      <c r="R186" s="82"/>
      <c r="S186" s="82"/>
      <c r="T186" s="89" t="s">
        <v>19</v>
      </c>
      <c r="U186" s="41" t="str">
        <f>VLOOKUP(J186,Sheet1!$A$2:$D$200,4,0)</f>
        <v>NL300140</v>
      </c>
      <c r="V186" s="41" t="str">
        <f>VLOOKUP(U186,Sheet1!$D$2:$E$200,2,0)</f>
        <v>Tía tô</v>
      </c>
      <c r="W186" s="94" t="str">
        <f t="shared" si="10"/>
        <v>51NL300140</v>
      </c>
      <c r="X186" s="94" t="str">
        <f>COUNTIF($R$15:W186,W186)&amp;W186</f>
        <v>151NL300140</v>
      </c>
      <c r="Y186" s="95">
        <f>IFERROR(VLOOKUP(X186,FAST!$B$7:$M$9722,12,0),"0")</f>
        <v>0.2</v>
      </c>
      <c r="Z186" s="95">
        <f>IFERROR(VLOOKUP(X186,FAST!$B$7:$N$9722,13,0),"0")</f>
        <v>36000</v>
      </c>
      <c r="AA186" s="96">
        <f t="shared" si="11"/>
        <v>7200</v>
      </c>
      <c r="AB186" s="97">
        <f t="shared" si="12"/>
        <v>0</v>
      </c>
      <c r="AC186" s="98">
        <f t="shared" si="13"/>
        <v>0</v>
      </c>
      <c r="AD186" s="99">
        <f t="shared" si="14"/>
        <v>0</v>
      </c>
    </row>
    <row r="187" spans="1:30" x14ac:dyDescent="0.25">
      <c r="A187" s="41"/>
      <c r="B187" s="80"/>
      <c r="C187" s="52" t="s">
        <v>480</v>
      </c>
      <c r="D187" s="52" t="s">
        <v>426</v>
      </c>
      <c r="E187" s="52" t="s">
        <v>427</v>
      </c>
      <c r="F187" s="41" t="s">
        <v>465</v>
      </c>
      <c r="G187" s="41" t="s">
        <v>408</v>
      </c>
      <c r="H187" s="41" t="s">
        <v>29</v>
      </c>
      <c r="I187" s="41" t="s">
        <v>17</v>
      </c>
      <c r="J187" s="53" t="s">
        <v>60</v>
      </c>
      <c r="K187" s="53" t="s">
        <v>17</v>
      </c>
      <c r="L187" s="73">
        <v>1</v>
      </c>
      <c r="M187" s="74">
        <v>21000</v>
      </c>
      <c r="N187" s="74">
        <v>21000</v>
      </c>
      <c r="O187" s="104"/>
      <c r="P187" s="82" t="s">
        <v>18</v>
      </c>
      <c r="Q187" s="82" t="s">
        <v>347</v>
      </c>
      <c r="R187" s="82"/>
      <c r="S187" s="82"/>
      <c r="T187" s="89" t="s">
        <v>19</v>
      </c>
      <c r="U187" s="41" t="str">
        <f>VLOOKUP(J187,Sheet1!$A$2:$D$200,4,0)</f>
        <v>NL300119</v>
      </c>
      <c r="V187" s="41" t="str">
        <f>VLOOKUP(U187,Sheet1!$D$2:$E$200,2,0)</f>
        <v>Quất ( Tắc trái )</v>
      </c>
      <c r="W187" s="94" t="str">
        <f t="shared" si="10"/>
        <v>51NL300119</v>
      </c>
      <c r="X187" s="94" t="str">
        <f>COUNTIF($R$15:W187,W187)&amp;W187</f>
        <v>151NL300119</v>
      </c>
      <c r="Y187" s="95">
        <f>IFERROR(VLOOKUP(X187,FAST!$B$7:$M$9722,12,0),"0")</f>
        <v>1</v>
      </c>
      <c r="Z187" s="95">
        <f>IFERROR(VLOOKUP(X187,FAST!$B$7:$N$9722,13,0),"0")</f>
        <v>21000</v>
      </c>
      <c r="AA187" s="96">
        <f t="shared" si="11"/>
        <v>21000</v>
      </c>
      <c r="AB187" s="97">
        <f t="shared" si="12"/>
        <v>0</v>
      </c>
      <c r="AC187" s="98">
        <f t="shared" si="13"/>
        <v>0</v>
      </c>
      <c r="AD187" s="99">
        <f t="shared" si="14"/>
        <v>0</v>
      </c>
    </row>
    <row r="188" spans="1:30" x14ac:dyDescent="0.25">
      <c r="A188" s="41"/>
      <c r="B188" s="80"/>
      <c r="C188" s="52" t="s">
        <v>480</v>
      </c>
      <c r="D188" s="52" t="s">
        <v>426</v>
      </c>
      <c r="E188" s="52" t="s">
        <v>427</v>
      </c>
      <c r="F188" s="41" t="s">
        <v>465</v>
      </c>
      <c r="G188" s="41" t="s">
        <v>462</v>
      </c>
      <c r="H188" s="41" t="s">
        <v>76</v>
      </c>
      <c r="I188" s="41" t="s">
        <v>17</v>
      </c>
      <c r="J188" s="53" t="s">
        <v>472</v>
      </c>
      <c r="K188" s="53" t="s">
        <v>53</v>
      </c>
      <c r="L188" s="73">
        <v>30</v>
      </c>
      <c r="M188" s="74">
        <v>9000</v>
      </c>
      <c r="N188" s="74">
        <v>270000</v>
      </c>
      <c r="O188" s="104"/>
      <c r="P188" s="82" t="s">
        <v>18</v>
      </c>
      <c r="Q188" s="82" t="s">
        <v>347</v>
      </c>
      <c r="R188" s="82"/>
      <c r="S188" s="82"/>
      <c r="T188" s="89" t="s">
        <v>19</v>
      </c>
      <c r="U188" s="41" t="str">
        <f>VLOOKUP(J188,Sheet1!$A$2:$D$200,4,0)</f>
        <v>NL100279</v>
      </c>
      <c r="V188" s="41" t="str">
        <f>VLOOKUP(U188,Sheet1!$D$2:$E$200,2,0)</f>
        <v>Trứng Bắc Thảo</v>
      </c>
      <c r="W188" s="94" t="str">
        <f t="shared" si="10"/>
        <v>51NL100279</v>
      </c>
      <c r="X188" s="94" t="str">
        <f>COUNTIF($R$15:W188,W188)&amp;W188</f>
        <v>151NL100279</v>
      </c>
      <c r="Y188" s="95">
        <f>IFERROR(VLOOKUP(X188,FAST!$B$7:$M$9722,12,0),"0")</f>
        <v>30</v>
      </c>
      <c r="Z188" s="95">
        <f>IFERROR(VLOOKUP(X188,FAST!$B$7:$N$9722,13,0),"0")</f>
        <v>9000</v>
      </c>
      <c r="AA188" s="96">
        <f t="shared" si="11"/>
        <v>270000</v>
      </c>
      <c r="AB188" s="97">
        <f t="shared" si="12"/>
        <v>0</v>
      </c>
      <c r="AC188" s="98">
        <f t="shared" si="13"/>
        <v>0</v>
      </c>
      <c r="AD188" s="99">
        <f t="shared" si="14"/>
        <v>0</v>
      </c>
    </row>
    <row r="189" spans="1:30" x14ac:dyDescent="0.25">
      <c r="A189" s="41"/>
      <c r="B189" s="80"/>
      <c r="C189" s="52" t="s">
        <v>480</v>
      </c>
      <c r="D189" s="52" t="s">
        <v>426</v>
      </c>
      <c r="E189" s="52" t="s">
        <v>427</v>
      </c>
      <c r="F189" s="41" t="s">
        <v>465</v>
      </c>
      <c r="G189" s="41" t="s">
        <v>410</v>
      </c>
      <c r="H189" s="41" t="s">
        <v>39</v>
      </c>
      <c r="I189" s="41" t="s">
        <v>17</v>
      </c>
      <c r="J189" s="53" t="s">
        <v>52</v>
      </c>
      <c r="K189" s="53" t="s">
        <v>53</v>
      </c>
      <c r="L189" s="73">
        <v>30</v>
      </c>
      <c r="M189" s="74">
        <v>5000</v>
      </c>
      <c r="N189" s="74">
        <v>150000</v>
      </c>
      <c r="O189" s="104"/>
      <c r="P189" s="82" t="s">
        <v>18</v>
      </c>
      <c r="Q189" s="82" t="s">
        <v>347</v>
      </c>
      <c r="R189" s="82"/>
      <c r="S189" s="82"/>
      <c r="T189" s="89" t="s">
        <v>19</v>
      </c>
      <c r="U189" s="41" t="str">
        <f>VLOOKUP(J189,Sheet1!$A$2:$D$200,4,0)</f>
        <v>NL100101</v>
      </c>
      <c r="V189" s="41" t="str">
        <f>VLOOKUP(U189,Sheet1!$D$2:$E$200,2,0)</f>
        <v>Trứng vịt muối</v>
      </c>
      <c r="W189" s="94" t="str">
        <f t="shared" si="10"/>
        <v>51NL100101</v>
      </c>
      <c r="X189" s="94" t="str">
        <f>COUNTIF($R$15:W189,W189)&amp;W189</f>
        <v>151NL100101</v>
      </c>
      <c r="Y189" s="95">
        <f>IFERROR(VLOOKUP(X189,FAST!$B$7:$M$9722,12,0),"0")</f>
        <v>30</v>
      </c>
      <c r="Z189" s="95">
        <f>IFERROR(VLOOKUP(X189,FAST!$B$7:$N$9722,13,0),"0")</f>
        <v>5000</v>
      </c>
      <c r="AA189" s="96">
        <f t="shared" si="11"/>
        <v>150000</v>
      </c>
      <c r="AB189" s="97">
        <f t="shared" si="12"/>
        <v>0</v>
      </c>
      <c r="AC189" s="98">
        <f t="shared" si="13"/>
        <v>0</v>
      </c>
      <c r="AD189" s="99">
        <f t="shared" si="14"/>
        <v>0</v>
      </c>
    </row>
    <row r="190" spans="1:30" x14ac:dyDescent="0.25">
      <c r="A190" s="41"/>
      <c r="B190" s="80"/>
      <c r="C190" s="52" t="s">
        <v>481</v>
      </c>
      <c r="D190" s="52" t="s">
        <v>426</v>
      </c>
      <c r="E190" s="52" t="s">
        <v>427</v>
      </c>
      <c r="F190" s="41" t="s">
        <v>465</v>
      </c>
      <c r="G190" s="41" t="s">
        <v>411</v>
      </c>
      <c r="H190" s="41" t="s">
        <v>40</v>
      </c>
      <c r="I190" s="41" t="s">
        <v>17</v>
      </c>
      <c r="J190" s="53" t="s">
        <v>54</v>
      </c>
      <c r="K190" s="53" t="s">
        <v>17</v>
      </c>
      <c r="L190" s="73">
        <v>1.5</v>
      </c>
      <c r="M190" s="74">
        <v>15000</v>
      </c>
      <c r="N190" s="74">
        <v>22500</v>
      </c>
      <c r="O190" s="104"/>
      <c r="P190" s="82" t="s">
        <v>18</v>
      </c>
      <c r="Q190" s="82" t="s">
        <v>347</v>
      </c>
      <c r="R190" s="82"/>
      <c r="S190" s="82"/>
      <c r="T190" s="89" t="s">
        <v>19</v>
      </c>
      <c r="U190" s="41" t="str">
        <f>VLOOKUP(J190,Sheet1!$A$2:$D$200,4,0)</f>
        <v>NL300189</v>
      </c>
      <c r="V190" s="41" t="str">
        <f>VLOOKUP(U190,Sheet1!$D$2:$E$200,2,0)</f>
        <v>Bánh ướt</v>
      </c>
      <c r="W190" s="94" t="str">
        <f t="shared" si="10"/>
        <v>61NL300189</v>
      </c>
      <c r="X190" s="94" t="str">
        <f>COUNTIF($R$15:W190,W190)&amp;W190</f>
        <v>161NL300189</v>
      </c>
      <c r="Y190" s="95">
        <f>IFERROR(VLOOKUP(X190,FAST!$B$7:$M$9722,12,0),"0")</f>
        <v>1.5</v>
      </c>
      <c r="Z190" s="95">
        <f>IFERROR(VLOOKUP(X190,FAST!$B$7:$N$9722,13,0),"0")</f>
        <v>15000</v>
      </c>
      <c r="AA190" s="96">
        <f t="shared" si="11"/>
        <v>22500</v>
      </c>
      <c r="AB190" s="97">
        <f t="shared" si="12"/>
        <v>0</v>
      </c>
      <c r="AC190" s="98">
        <f t="shared" si="13"/>
        <v>0</v>
      </c>
      <c r="AD190" s="99">
        <f t="shared" si="14"/>
        <v>0</v>
      </c>
    </row>
    <row r="191" spans="1:30" x14ac:dyDescent="0.25">
      <c r="A191" s="41"/>
      <c r="B191" s="80"/>
      <c r="C191" s="52" t="s">
        <v>481</v>
      </c>
      <c r="D191" s="52" t="s">
        <v>426</v>
      </c>
      <c r="E191" s="52" t="s">
        <v>427</v>
      </c>
      <c r="F191" s="41" t="s">
        <v>465</v>
      </c>
      <c r="G191" s="41" t="s">
        <v>441</v>
      </c>
      <c r="H191" s="41" t="s">
        <v>43</v>
      </c>
      <c r="I191" s="41" t="s">
        <v>17</v>
      </c>
      <c r="J191" s="53" t="s">
        <v>16</v>
      </c>
      <c r="K191" s="53" t="s">
        <v>17</v>
      </c>
      <c r="L191" s="73">
        <v>2</v>
      </c>
      <c r="M191" s="74">
        <v>19000</v>
      </c>
      <c r="N191" s="74">
        <v>38000</v>
      </c>
      <c r="O191" s="104"/>
      <c r="P191" s="82" t="s">
        <v>18</v>
      </c>
      <c r="Q191" s="82" t="s">
        <v>347</v>
      </c>
      <c r="R191" s="82"/>
      <c r="S191" s="82"/>
      <c r="T191" s="89" t="s">
        <v>19</v>
      </c>
      <c r="U191" s="41" t="str">
        <f>VLOOKUP(J191,Sheet1!$A$2:$D$200,4,0)</f>
        <v>NL300004</v>
      </c>
      <c r="V191" s="41" t="str">
        <f>VLOOKUP(U191,Sheet1!$D$2:$E$200,2,0)</f>
        <v>Bắp cải trắng</v>
      </c>
      <c r="W191" s="94" t="str">
        <f t="shared" si="10"/>
        <v>61NL300004</v>
      </c>
      <c r="X191" s="94" t="str">
        <f>COUNTIF($R$15:W191,W191)&amp;W191</f>
        <v>161NL300004</v>
      </c>
      <c r="Y191" s="95">
        <f>IFERROR(VLOOKUP(X191,FAST!$B$7:$M$9722,12,0),"0")</f>
        <v>2</v>
      </c>
      <c r="Z191" s="95">
        <f>IFERROR(VLOOKUP(X191,FAST!$B$7:$N$9722,13,0),"0")</f>
        <v>19000</v>
      </c>
      <c r="AA191" s="96">
        <f t="shared" si="11"/>
        <v>38000</v>
      </c>
      <c r="AB191" s="97">
        <f t="shared" si="12"/>
        <v>0</v>
      </c>
      <c r="AC191" s="98">
        <f t="shared" si="13"/>
        <v>0</v>
      </c>
      <c r="AD191" s="99">
        <f t="shared" si="14"/>
        <v>0</v>
      </c>
    </row>
    <row r="192" spans="1:30" x14ac:dyDescent="0.25">
      <c r="A192" s="41"/>
      <c r="B192" s="80"/>
      <c r="C192" s="52" t="s">
        <v>481</v>
      </c>
      <c r="D192" s="52" t="s">
        <v>426</v>
      </c>
      <c r="E192" s="52" t="s">
        <v>427</v>
      </c>
      <c r="F192" s="41" t="s">
        <v>465</v>
      </c>
      <c r="G192" s="41" t="s">
        <v>412</v>
      </c>
      <c r="H192" s="41" t="s">
        <v>67</v>
      </c>
      <c r="I192" s="41" t="s">
        <v>17</v>
      </c>
      <c r="J192" s="53" t="s">
        <v>22</v>
      </c>
      <c r="K192" s="53" t="s">
        <v>17</v>
      </c>
      <c r="L192" s="73">
        <v>2</v>
      </c>
      <c r="M192" s="74">
        <v>30000</v>
      </c>
      <c r="N192" s="74">
        <v>60000</v>
      </c>
      <c r="O192" s="104"/>
      <c r="P192" s="82" t="s">
        <v>18</v>
      </c>
      <c r="Q192" s="82" t="s">
        <v>347</v>
      </c>
      <c r="R192" s="82"/>
      <c r="S192" s="82"/>
      <c r="T192" s="89" t="s">
        <v>19</v>
      </c>
      <c r="U192" s="41" t="str">
        <f>VLOOKUP(J192,Sheet1!$A$2:$D$200,4,0)</f>
        <v>NL300007</v>
      </c>
      <c r="V192" s="41" t="str">
        <f>VLOOKUP(U192,Sheet1!$D$2:$E$200,2,0)</f>
        <v>Bí đỏ</v>
      </c>
      <c r="W192" s="94" t="str">
        <f t="shared" si="10"/>
        <v>61NL300007</v>
      </c>
      <c r="X192" s="94" t="str">
        <f>COUNTIF($R$15:W192,W192)&amp;W192</f>
        <v>161NL300007</v>
      </c>
      <c r="Y192" s="95">
        <f>IFERROR(VLOOKUP(X192,FAST!$B$7:$M$9722,12,0),"0")</f>
        <v>2</v>
      </c>
      <c r="Z192" s="95">
        <f>IFERROR(VLOOKUP(X192,FAST!$B$7:$N$9722,13,0),"0")</f>
        <v>30000</v>
      </c>
      <c r="AA192" s="96">
        <f t="shared" si="11"/>
        <v>60000</v>
      </c>
      <c r="AB192" s="97">
        <f t="shared" si="12"/>
        <v>0</v>
      </c>
      <c r="AC192" s="98">
        <f t="shared" si="13"/>
        <v>0</v>
      </c>
      <c r="AD192" s="99">
        <f t="shared" si="14"/>
        <v>0</v>
      </c>
    </row>
    <row r="193" spans="1:30" x14ac:dyDescent="0.25">
      <c r="A193" s="41"/>
      <c r="B193" s="80"/>
      <c r="C193" s="52" t="s">
        <v>481</v>
      </c>
      <c r="D193" s="52" t="s">
        <v>426</v>
      </c>
      <c r="E193" s="52" t="s">
        <v>427</v>
      </c>
      <c r="F193" s="41" t="s">
        <v>465</v>
      </c>
      <c r="G193" s="41" t="s">
        <v>422</v>
      </c>
      <c r="H193" s="41" t="s">
        <v>41</v>
      </c>
      <c r="I193" s="41" t="s">
        <v>17</v>
      </c>
      <c r="J193" s="53" t="s">
        <v>23</v>
      </c>
      <c r="K193" s="53" t="s">
        <v>17</v>
      </c>
      <c r="L193" s="73">
        <v>5</v>
      </c>
      <c r="M193" s="74">
        <v>40000</v>
      </c>
      <c r="N193" s="74">
        <v>200000</v>
      </c>
      <c r="O193" s="104"/>
      <c r="P193" s="82" t="s">
        <v>18</v>
      </c>
      <c r="Q193" s="82" t="s">
        <v>347</v>
      </c>
      <c r="R193" s="82"/>
      <c r="S193" s="82"/>
      <c r="T193" s="89" t="s">
        <v>19</v>
      </c>
      <c r="U193" s="41" t="str">
        <f>VLOOKUP(J193,Sheet1!$A$2:$D$200,4,0)</f>
        <v>NL300008</v>
      </c>
      <c r="V193" s="41" t="str">
        <f>VLOOKUP(U193,Sheet1!$D$2:$E$200,2,0)</f>
        <v>Bí ngòi</v>
      </c>
      <c r="W193" s="94" t="str">
        <f t="shared" si="10"/>
        <v>61NL300008</v>
      </c>
      <c r="X193" s="94" t="str">
        <f>COUNTIF($R$15:W193,W193)&amp;W193</f>
        <v>161NL300008</v>
      </c>
      <c r="Y193" s="95">
        <f>IFERROR(VLOOKUP(X193,FAST!$B$7:$M$9722,12,0),"0")</f>
        <v>5</v>
      </c>
      <c r="Z193" s="95">
        <f>IFERROR(VLOOKUP(X193,FAST!$B$7:$N$9722,13,0),"0")</f>
        <v>40000</v>
      </c>
      <c r="AA193" s="96">
        <f t="shared" si="11"/>
        <v>200000</v>
      </c>
      <c r="AB193" s="97">
        <f t="shared" si="12"/>
        <v>0</v>
      </c>
      <c r="AC193" s="98">
        <f t="shared" si="13"/>
        <v>0</v>
      </c>
      <c r="AD193" s="99">
        <f t="shared" si="14"/>
        <v>0</v>
      </c>
    </row>
    <row r="194" spans="1:30" x14ac:dyDescent="0.25">
      <c r="A194" s="41"/>
      <c r="B194" s="80"/>
      <c r="C194" s="52" t="s">
        <v>481</v>
      </c>
      <c r="D194" s="52" t="s">
        <v>426</v>
      </c>
      <c r="E194" s="52" t="s">
        <v>427</v>
      </c>
      <c r="F194" s="41" t="s">
        <v>465</v>
      </c>
      <c r="G194" s="41" t="s">
        <v>423</v>
      </c>
      <c r="H194" s="41" t="s">
        <v>42</v>
      </c>
      <c r="I194" s="41" t="s">
        <v>17</v>
      </c>
      <c r="J194" s="53" t="s">
        <v>70</v>
      </c>
      <c r="K194" s="53" t="s">
        <v>17</v>
      </c>
      <c r="L194" s="73">
        <v>0.3</v>
      </c>
      <c r="M194" s="74">
        <v>75000</v>
      </c>
      <c r="N194" s="74">
        <v>22500</v>
      </c>
      <c r="O194" s="104"/>
      <c r="P194" s="82" t="s">
        <v>18</v>
      </c>
      <c r="Q194" s="82" t="s">
        <v>347</v>
      </c>
      <c r="R194" s="82"/>
      <c r="S194" s="82"/>
      <c r="T194" s="89" t="s">
        <v>19</v>
      </c>
      <c r="U194" s="41" t="str">
        <f>VLOOKUP(J194,Sheet1!$A$2:$D$200,4,0)</f>
        <v>NL300028</v>
      </c>
      <c r="V194" s="41" t="str">
        <f>VLOOKUP(U194,Sheet1!$D$2:$E$200,2,0)</f>
        <v>Cà rốt baby</v>
      </c>
      <c r="W194" s="94" t="str">
        <f t="shared" si="10"/>
        <v>61NL300028</v>
      </c>
      <c r="X194" s="94" t="str">
        <f>COUNTIF($R$15:W194,W194)&amp;W194</f>
        <v>161NL300028</v>
      </c>
      <c r="Y194" s="95">
        <f>IFERROR(VLOOKUP(X194,FAST!$B$7:$M$9722,12,0),"0")</f>
        <v>0.3</v>
      </c>
      <c r="Z194" s="95">
        <f>IFERROR(VLOOKUP(X194,FAST!$B$7:$N$9722,13,0),"0")</f>
        <v>75000</v>
      </c>
      <c r="AA194" s="96">
        <f t="shared" si="11"/>
        <v>22500</v>
      </c>
      <c r="AB194" s="97">
        <f t="shared" si="12"/>
        <v>0</v>
      </c>
      <c r="AC194" s="98">
        <f t="shared" si="13"/>
        <v>0</v>
      </c>
      <c r="AD194" s="99">
        <f t="shared" si="14"/>
        <v>0</v>
      </c>
    </row>
    <row r="195" spans="1:30" x14ac:dyDescent="0.25">
      <c r="A195" s="41"/>
      <c r="B195" s="80"/>
      <c r="C195" s="52" t="s">
        <v>481</v>
      </c>
      <c r="D195" s="52" t="s">
        <v>426</v>
      </c>
      <c r="E195" s="52" t="s">
        <v>427</v>
      </c>
      <c r="F195" s="41" t="s">
        <v>465</v>
      </c>
      <c r="G195" s="41" t="s">
        <v>466</v>
      </c>
      <c r="H195" s="41" t="s">
        <v>64</v>
      </c>
      <c r="I195" s="41" t="s">
        <v>17</v>
      </c>
      <c r="J195" s="53" t="s">
        <v>25</v>
      </c>
      <c r="K195" s="53" t="s">
        <v>17</v>
      </c>
      <c r="L195" s="73">
        <v>0.5</v>
      </c>
      <c r="M195" s="74">
        <v>44000</v>
      </c>
      <c r="N195" s="74">
        <v>22000</v>
      </c>
      <c r="O195" s="104"/>
      <c r="P195" s="82" t="s">
        <v>18</v>
      </c>
      <c r="Q195" s="82" t="s">
        <v>347</v>
      </c>
      <c r="R195" s="82"/>
      <c r="S195" s="82"/>
      <c r="T195" s="89" t="s">
        <v>19</v>
      </c>
      <c r="U195" s="41" t="str">
        <f>VLOOKUP(J195,Sheet1!$A$2:$D$200,4,0)</f>
        <v>NL300025</v>
      </c>
      <c r="V195" s="41" t="str">
        <f>VLOOKUP(U195,Sheet1!$D$2:$E$200,2,0)</f>
        <v>Rau cần tây</v>
      </c>
      <c r="W195" s="94" t="str">
        <f t="shared" si="10"/>
        <v>61NL300025</v>
      </c>
      <c r="X195" s="94" t="str">
        <f>COUNTIF($R$15:W195,W195)&amp;W195</f>
        <v>161NL300025</v>
      </c>
      <c r="Y195" s="95">
        <f>IFERROR(VLOOKUP(X195,FAST!$B$7:$M$9722,12,0),"0")</f>
        <v>0.5</v>
      </c>
      <c r="Z195" s="95">
        <f>IFERROR(VLOOKUP(X195,FAST!$B$7:$N$9722,13,0),"0")</f>
        <v>44000</v>
      </c>
      <c r="AA195" s="96">
        <f t="shared" si="11"/>
        <v>22000</v>
      </c>
      <c r="AB195" s="97">
        <f t="shared" si="12"/>
        <v>0</v>
      </c>
      <c r="AC195" s="98">
        <f t="shared" si="13"/>
        <v>0</v>
      </c>
      <c r="AD195" s="99">
        <f t="shared" si="14"/>
        <v>0</v>
      </c>
    </row>
    <row r="196" spans="1:30" x14ac:dyDescent="0.25">
      <c r="A196" s="41"/>
      <c r="B196" s="80"/>
      <c r="C196" s="52" t="s">
        <v>481</v>
      </c>
      <c r="D196" s="52" t="s">
        <v>426</v>
      </c>
      <c r="E196" s="53" t="s">
        <v>427</v>
      </c>
      <c r="F196" s="41" t="s">
        <v>465</v>
      </c>
      <c r="G196" s="41" t="s">
        <v>414</v>
      </c>
      <c r="H196" s="41" t="s">
        <v>32</v>
      </c>
      <c r="I196" s="41" t="s">
        <v>17</v>
      </c>
      <c r="J196" s="53" t="s">
        <v>27</v>
      </c>
      <c r="K196" s="53" t="s">
        <v>17</v>
      </c>
      <c r="L196" s="73">
        <v>0.4</v>
      </c>
      <c r="M196" s="74">
        <v>47000</v>
      </c>
      <c r="N196" s="74">
        <v>18800</v>
      </c>
      <c r="O196" s="104"/>
      <c r="P196" s="82" t="s">
        <v>18</v>
      </c>
      <c r="Q196" s="82" t="s">
        <v>347</v>
      </c>
      <c r="R196" s="82"/>
      <c r="S196" s="82"/>
      <c r="T196" s="89" t="s">
        <v>19</v>
      </c>
      <c r="U196" s="41" t="str">
        <f>VLOOKUP(J196,Sheet1!$A$2:$D$200,4,0)</f>
        <v>NL300036</v>
      </c>
      <c r="V196" s="41" t="str">
        <f>VLOOKUP(U196,Sheet1!$D$2:$E$200,2,0)</f>
        <v>Củ sen</v>
      </c>
      <c r="W196" s="94" t="str">
        <f t="shared" si="10"/>
        <v>61NL300036</v>
      </c>
      <c r="X196" s="94" t="str">
        <f>COUNTIF($R$15:W196,W196)&amp;W196</f>
        <v>161NL300036</v>
      </c>
      <c r="Y196" s="95">
        <f>IFERROR(VLOOKUP(X196,FAST!$B$7:$M$9722,12,0),"0")</f>
        <v>0.4</v>
      </c>
      <c r="Z196" s="95">
        <f>IFERROR(VLOOKUP(X196,FAST!$B$7:$N$9722,13,0),"0")</f>
        <v>47000</v>
      </c>
      <c r="AA196" s="96">
        <f t="shared" si="11"/>
        <v>18800</v>
      </c>
      <c r="AB196" s="97">
        <f t="shared" si="12"/>
        <v>0</v>
      </c>
      <c r="AC196" s="98">
        <f t="shared" si="13"/>
        <v>0</v>
      </c>
      <c r="AD196" s="99">
        <f t="shared" si="14"/>
        <v>0</v>
      </c>
    </row>
    <row r="197" spans="1:30" x14ac:dyDescent="0.25">
      <c r="A197" s="41"/>
      <c r="B197" s="80"/>
      <c r="C197" s="52" t="s">
        <v>481</v>
      </c>
      <c r="D197" s="52" t="s">
        <v>426</v>
      </c>
      <c r="E197" s="52" t="s">
        <v>427</v>
      </c>
      <c r="F197" s="41" t="s">
        <v>465</v>
      </c>
      <c r="G197" s="41" t="s">
        <v>415</v>
      </c>
      <c r="H197" s="41" t="s">
        <v>66</v>
      </c>
      <c r="I197" s="41" t="s">
        <v>17</v>
      </c>
      <c r="J197" s="53" t="s">
        <v>75</v>
      </c>
      <c r="K197" s="53" t="s">
        <v>17</v>
      </c>
      <c r="L197" s="73">
        <v>1</v>
      </c>
      <c r="M197" s="74">
        <v>18000</v>
      </c>
      <c r="N197" s="74">
        <v>18000</v>
      </c>
      <c r="O197" s="104"/>
      <c r="P197" s="82" t="s">
        <v>18</v>
      </c>
      <c r="Q197" s="82" t="s">
        <v>347</v>
      </c>
      <c r="R197" s="82"/>
      <c r="S197" s="82"/>
      <c r="T197" s="89" t="s">
        <v>19</v>
      </c>
      <c r="U197" s="41" t="str">
        <f>VLOOKUP(J197,Sheet1!$A$2:$D$200,4,0)</f>
        <v>NL300184</v>
      </c>
      <c r="V197" s="41" t="str">
        <f>VLOOKUP(U197,Sheet1!$D$2:$E$200,2,0)</f>
        <v>Lá Dứa</v>
      </c>
      <c r="W197" s="94" t="str">
        <f t="shared" si="10"/>
        <v>61NL300184</v>
      </c>
      <c r="X197" s="94" t="str">
        <f>COUNTIF($R$15:W197,W197)&amp;W197</f>
        <v>161NL300184</v>
      </c>
      <c r="Y197" s="95">
        <f>IFERROR(VLOOKUP(X197,FAST!$B$7:$M$9722,12,0),"0")</f>
        <v>1</v>
      </c>
      <c r="Z197" s="95">
        <f>IFERROR(VLOOKUP(X197,FAST!$B$7:$N$9722,13,0),"0")</f>
        <v>18000</v>
      </c>
      <c r="AA197" s="96">
        <f t="shared" si="11"/>
        <v>18000</v>
      </c>
      <c r="AB197" s="97">
        <f t="shared" si="12"/>
        <v>0</v>
      </c>
      <c r="AC197" s="98">
        <f t="shared" si="13"/>
        <v>0</v>
      </c>
      <c r="AD197" s="99">
        <f t="shared" si="14"/>
        <v>0</v>
      </c>
    </row>
    <row r="198" spans="1:30" x14ac:dyDescent="0.25">
      <c r="A198" s="41"/>
      <c r="B198" s="80"/>
      <c r="C198" s="52" t="s">
        <v>481</v>
      </c>
      <c r="D198" s="52" t="s">
        <v>426</v>
      </c>
      <c r="E198" s="52" t="s">
        <v>427</v>
      </c>
      <c r="F198" s="41" t="s">
        <v>465</v>
      </c>
      <c r="G198" s="41" t="s">
        <v>420</v>
      </c>
      <c r="H198" s="41" t="s">
        <v>33</v>
      </c>
      <c r="I198" s="41" t="s">
        <v>17</v>
      </c>
      <c r="J198" s="53" t="s">
        <v>31</v>
      </c>
      <c r="K198" s="53" t="s">
        <v>17</v>
      </c>
      <c r="L198" s="73">
        <v>2</v>
      </c>
      <c r="M198" s="74">
        <v>27000</v>
      </c>
      <c r="N198" s="74">
        <v>54000</v>
      </c>
      <c r="O198" s="104"/>
      <c r="P198" s="82" t="s">
        <v>18</v>
      </c>
      <c r="Q198" s="82" t="s">
        <v>347</v>
      </c>
      <c r="R198" s="82"/>
      <c r="S198" s="82"/>
      <c r="T198" s="89" t="s">
        <v>19</v>
      </c>
      <c r="U198" s="41" t="str">
        <f>VLOOKUP(J198,Sheet1!$A$2:$D$200,4,0)</f>
        <v>NL300088</v>
      </c>
      <c r="V198" s="41" t="str">
        <f>VLOOKUP(U198,Sheet1!$D$2:$E$200,2,0)</f>
        <v>Mướp hương</v>
      </c>
      <c r="W198" s="94" t="str">
        <f t="shared" si="10"/>
        <v>61NL300088</v>
      </c>
      <c r="X198" s="94" t="str">
        <f>COUNTIF($R$15:W198,W198)&amp;W198</f>
        <v>161NL300088</v>
      </c>
      <c r="Y198" s="95">
        <f>IFERROR(VLOOKUP(X198,FAST!$B$7:$M$9722,12,0),"0")</f>
        <v>2</v>
      </c>
      <c r="Z198" s="95">
        <f>IFERROR(VLOOKUP(X198,FAST!$B$7:$N$9722,13,0),"0")</f>
        <v>27000</v>
      </c>
      <c r="AA198" s="96">
        <f t="shared" si="11"/>
        <v>54000</v>
      </c>
      <c r="AB198" s="97">
        <f t="shared" si="12"/>
        <v>0</v>
      </c>
      <c r="AC198" s="98">
        <f t="shared" si="13"/>
        <v>0</v>
      </c>
      <c r="AD198" s="99">
        <f t="shared" si="14"/>
        <v>0</v>
      </c>
    </row>
    <row r="199" spans="1:30" x14ac:dyDescent="0.25">
      <c r="A199" s="41"/>
      <c r="B199" s="80"/>
      <c r="C199" s="52" t="s">
        <v>481</v>
      </c>
      <c r="D199" s="52" t="s">
        <v>426</v>
      </c>
      <c r="E199" s="52" t="s">
        <v>427</v>
      </c>
      <c r="F199" s="41" t="s">
        <v>465</v>
      </c>
      <c r="G199" s="41" t="s">
        <v>443</v>
      </c>
      <c r="H199" s="41" t="s">
        <v>51</v>
      </c>
      <c r="I199" s="41" t="s">
        <v>17</v>
      </c>
      <c r="J199" s="53" t="s">
        <v>39</v>
      </c>
      <c r="K199" s="53" t="s">
        <v>17</v>
      </c>
      <c r="L199" s="73">
        <v>2.4</v>
      </c>
      <c r="M199" s="74">
        <v>145000</v>
      </c>
      <c r="N199" s="74">
        <v>348000</v>
      </c>
      <c r="O199" s="104"/>
      <c r="P199" s="82" t="s">
        <v>18</v>
      </c>
      <c r="Q199" s="82" t="s">
        <v>347</v>
      </c>
      <c r="R199" s="82"/>
      <c r="S199" s="82"/>
      <c r="T199" s="89" t="s">
        <v>19</v>
      </c>
      <c r="U199" s="41" t="str">
        <f>VLOOKUP(J199,Sheet1!$A$2:$D$200,4,0)</f>
        <v>NL300090</v>
      </c>
      <c r="V199" s="41" t="str">
        <f>VLOOKUP(U199,Sheet1!$D$2:$E$200,2,0)</f>
        <v>Nấm đông cô tươi</v>
      </c>
      <c r="W199" s="94" t="str">
        <f t="shared" si="10"/>
        <v>61NL300090</v>
      </c>
      <c r="X199" s="94" t="str">
        <f>COUNTIF($R$15:W199,W199)&amp;W199</f>
        <v>161NL300090</v>
      </c>
      <c r="Y199" s="95">
        <f>IFERROR(VLOOKUP(X199,FAST!$B$7:$M$9722,12,0),"0")</f>
        <v>2.4</v>
      </c>
      <c r="Z199" s="95">
        <f>IFERROR(VLOOKUP(X199,FAST!$B$7:$N$9722,13,0),"0")</f>
        <v>145000</v>
      </c>
      <c r="AA199" s="96">
        <f t="shared" si="11"/>
        <v>348000</v>
      </c>
      <c r="AB199" s="97">
        <f t="shared" si="12"/>
        <v>0</v>
      </c>
      <c r="AC199" s="98">
        <f t="shared" si="13"/>
        <v>0</v>
      </c>
      <c r="AD199" s="99">
        <f t="shared" si="14"/>
        <v>0</v>
      </c>
    </row>
    <row r="200" spans="1:30" x14ac:dyDescent="0.25">
      <c r="A200" s="41"/>
      <c r="B200" s="80"/>
      <c r="C200" s="52" t="s">
        <v>481</v>
      </c>
      <c r="D200" s="52" t="s">
        <v>426</v>
      </c>
      <c r="E200" s="52" t="s">
        <v>427</v>
      </c>
      <c r="F200" s="41" t="s">
        <v>465</v>
      </c>
      <c r="G200" s="41" t="s">
        <v>444</v>
      </c>
      <c r="H200" s="41" t="s">
        <v>35</v>
      </c>
      <c r="I200" s="41" t="s">
        <v>17</v>
      </c>
      <c r="J200" s="53" t="s">
        <v>65</v>
      </c>
      <c r="K200" s="53" t="s">
        <v>17</v>
      </c>
      <c r="L200" s="73">
        <v>0.3</v>
      </c>
      <c r="M200" s="74">
        <v>195000</v>
      </c>
      <c r="N200" s="74">
        <v>58500</v>
      </c>
      <c r="O200" s="104"/>
      <c r="P200" s="82" t="s">
        <v>18</v>
      </c>
      <c r="Q200" s="82" t="s">
        <v>347</v>
      </c>
      <c r="R200" s="82"/>
      <c r="S200" s="82"/>
      <c r="T200" s="89" t="s">
        <v>19</v>
      </c>
      <c r="U200" s="41" t="str">
        <f>VLOOKUP(J200,Sheet1!$A$2:$D$200,4,0)</f>
        <v>NL300101</v>
      </c>
      <c r="V200" s="41" t="str">
        <f>VLOOKUP(U200,Sheet1!$D$2:$E$200,2,0)</f>
        <v>Nấm Mối</v>
      </c>
      <c r="W200" s="94" t="str">
        <f t="shared" si="10"/>
        <v>61NL300101</v>
      </c>
      <c r="X200" s="94" t="str">
        <f>COUNTIF($R$15:W200,W200)&amp;W200</f>
        <v>161NL300101</v>
      </c>
      <c r="Y200" s="95">
        <f>IFERROR(VLOOKUP(X200,FAST!$B$7:$M$9722,12,0),"0")</f>
        <v>0.3</v>
      </c>
      <c r="Z200" s="95">
        <f>IFERROR(VLOOKUP(X200,FAST!$B$7:$N$9722,13,0),"0")</f>
        <v>195000</v>
      </c>
      <c r="AA200" s="96">
        <f t="shared" si="11"/>
        <v>58500</v>
      </c>
      <c r="AB200" s="97">
        <f t="shared" si="12"/>
        <v>0</v>
      </c>
      <c r="AC200" s="98">
        <f t="shared" si="13"/>
        <v>0</v>
      </c>
      <c r="AD200" s="99">
        <f t="shared" si="14"/>
        <v>0</v>
      </c>
    </row>
    <row r="201" spans="1:30" x14ac:dyDescent="0.25">
      <c r="A201" s="41"/>
      <c r="B201" s="80"/>
      <c r="C201" s="52" t="s">
        <v>481</v>
      </c>
      <c r="D201" s="52" t="s">
        <v>426</v>
      </c>
      <c r="E201" s="52" t="s">
        <v>427</v>
      </c>
      <c r="F201" s="41" t="s">
        <v>465</v>
      </c>
      <c r="G201" s="41" t="s">
        <v>445</v>
      </c>
      <c r="H201" s="41" t="s">
        <v>36</v>
      </c>
      <c r="I201" s="41" t="s">
        <v>17</v>
      </c>
      <c r="J201" s="53" t="s">
        <v>48</v>
      </c>
      <c r="K201" s="53" t="s">
        <v>17</v>
      </c>
      <c r="L201" s="73">
        <v>1</v>
      </c>
      <c r="M201" s="74">
        <v>42000</v>
      </c>
      <c r="N201" s="74">
        <v>42000</v>
      </c>
      <c r="O201" s="104"/>
      <c r="P201" s="82" t="s">
        <v>18</v>
      </c>
      <c r="Q201" s="82" t="s">
        <v>347</v>
      </c>
      <c r="R201" s="82"/>
      <c r="S201" s="82"/>
      <c r="T201" s="89" t="s">
        <v>19</v>
      </c>
      <c r="U201" s="41" t="str">
        <f>VLOOKUP(J201,Sheet1!$A$2:$D$200,4,0)</f>
        <v>NL300125</v>
      </c>
      <c r="V201" s="41" t="str">
        <f>VLOOKUP(U201,Sheet1!$D$2:$E$200,2,0)</f>
        <v>Rau má</v>
      </c>
      <c r="W201" s="94" t="str">
        <f t="shared" si="10"/>
        <v>61NL300125</v>
      </c>
      <c r="X201" s="94" t="str">
        <f>COUNTIF($R$15:W201,W201)&amp;W201</f>
        <v>161NL300125</v>
      </c>
      <c r="Y201" s="95">
        <f>IFERROR(VLOOKUP(X201,FAST!$B$7:$M$9722,12,0),"0")</f>
        <v>1</v>
      </c>
      <c r="Z201" s="95">
        <f>IFERROR(VLOOKUP(X201,FAST!$B$7:$N$9722,13,0),"0")</f>
        <v>42000</v>
      </c>
      <c r="AA201" s="96">
        <f t="shared" si="11"/>
        <v>42000</v>
      </c>
      <c r="AB201" s="97">
        <f t="shared" si="12"/>
        <v>0</v>
      </c>
      <c r="AC201" s="98">
        <f t="shared" si="13"/>
        <v>0</v>
      </c>
      <c r="AD201" s="99">
        <f t="shared" si="14"/>
        <v>0</v>
      </c>
    </row>
    <row r="202" spans="1:30" x14ac:dyDescent="0.25">
      <c r="A202" s="41"/>
      <c r="B202" s="80"/>
      <c r="C202" s="52" t="s">
        <v>481</v>
      </c>
      <c r="D202" s="52" t="s">
        <v>426</v>
      </c>
      <c r="E202" s="52" t="s">
        <v>427</v>
      </c>
      <c r="F202" s="41" t="s">
        <v>465</v>
      </c>
      <c r="G202" s="41" t="s">
        <v>416</v>
      </c>
      <c r="H202" s="41" t="s">
        <v>60</v>
      </c>
      <c r="I202" s="41" t="s">
        <v>17</v>
      </c>
      <c r="J202" s="53" t="s">
        <v>232</v>
      </c>
      <c r="K202" s="53" t="s">
        <v>17</v>
      </c>
      <c r="L202" s="73">
        <v>0.2</v>
      </c>
      <c r="M202" s="74">
        <v>36000</v>
      </c>
      <c r="N202" s="74">
        <v>7200</v>
      </c>
      <c r="O202" s="104"/>
      <c r="P202" s="82" t="s">
        <v>18</v>
      </c>
      <c r="Q202" s="82" t="s">
        <v>347</v>
      </c>
      <c r="R202" s="82"/>
      <c r="S202" s="82"/>
      <c r="T202" s="89" t="s">
        <v>19</v>
      </c>
      <c r="U202" s="41" t="str">
        <f>VLOOKUP(J202,Sheet1!$A$2:$D$200,4,0)</f>
        <v>NL300140</v>
      </c>
      <c r="V202" s="41" t="str">
        <f>VLOOKUP(U202,Sheet1!$D$2:$E$200,2,0)</f>
        <v>Tía tô</v>
      </c>
      <c r="W202" s="94" t="str">
        <f t="shared" si="10"/>
        <v>61NL300140</v>
      </c>
      <c r="X202" s="94" t="str">
        <f>COUNTIF($R$15:W202,W202)&amp;W202</f>
        <v>161NL300140</v>
      </c>
      <c r="Y202" s="95">
        <f>IFERROR(VLOOKUP(X202,FAST!$B$7:$M$9722,12,0),"0")</f>
        <v>0.2</v>
      </c>
      <c r="Z202" s="95">
        <f>IFERROR(VLOOKUP(X202,FAST!$B$7:$N$9722,13,0),"0")</f>
        <v>36000</v>
      </c>
      <c r="AA202" s="96">
        <f t="shared" si="11"/>
        <v>7200</v>
      </c>
      <c r="AB202" s="97">
        <f t="shared" si="12"/>
        <v>0</v>
      </c>
      <c r="AC202" s="98">
        <f t="shared" si="13"/>
        <v>0</v>
      </c>
      <c r="AD202" s="99">
        <f t="shared" si="14"/>
        <v>0</v>
      </c>
    </row>
    <row r="203" spans="1:30" x14ac:dyDescent="0.25">
      <c r="A203" s="41"/>
      <c r="B203" s="80"/>
      <c r="C203" s="52" t="s">
        <v>481</v>
      </c>
      <c r="D203" s="52" t="s">
        <v>426</v>
      </c>
      <c r="E203" s="52" t="s">
        <v>427</v>
      </c>
      <c r="F203" s="41" t="s">
        <v>465</v>
      </c>
      <c r="G203" s="41" t="s">
        <v>417</v>
      </c>
      <c r="H203" s="41" t="s">
        <v>38</v>
      </c>
      <c r="I203" s="41" t="s">
        <v>17</v>
      </c>
      <c r="J203" s="53" t="s">
        <v>37</v>
      </c>
      <c r="K203" s="53" t="s">
        <v>17</v>
      </c>
      <c r="L203" s="73">
        <v>2</v>
      </c>
      <c r="M203" s="74">
        <v>62000</v>
      </c>
      <c r="N203" s="74">
        <v>124000</v>
      </c>
      <c r="O203" s="104"/>
      <c r="P203" s="82" t="s">
        <v>18</v>
      </c>
      <c r="Q203" s="82" t="s">
        <v>347</v>
      </c>
      <c r="R203" s="82"/>
      <c r="S203" s="82"/>
      <c r="T203" s="89" t="s">
        <v>19</v>
      </c>
      <c r="U203" s="41" t="str">
        <f>VLOOKUP(J203,Sheet1!$A$2:$D$200,4,0)</f>
        <v>NL300147</v>
      </c>
      <c r="V203" s="41" t="str">
        <f>VLOOKUP(U203,Sheet1!$D$2:$E$200,2,0)</f>
        <v>Xà lách Roman</v>
      </c>
      <c r="W203" s="94" t="str">
        <f t="shared" si="10"/>
        <v>61NL300147</v>
      </c>
      <c r="X203" s="94" t="str">
        <f>COUNTIF($R$15:W203,W203)&amp;W203</f>
        <v>161NL300147</v>
      </c>
      <c r="Y203" s="95">
        <f>IFERROR(VLOOKUP(X203,FAST!$B$7:$M$9722,12,0),"0")</f>
        <v>2</v>
      </c>
      <c r="Z203" s="95">
        <f>IFERROR(VLOOKUP(X203,FAST!$B$7:$N$9722,13,0),"0")</f>
        <v>62000</v>
      </c>
      <c r="AA203" s="96">
        <f t="shared" si="11"/>
        <v>124000</v>
      </c>
      <c r="AB203" s="97">
        <f t="shared" si="12"/>
        <v>0</v>
      </c>
      <c r="AC203" s="98">
        <f t="shared" si="13"/>
        <v>0</v>
      </c>
      <c r="AD203" s="99">
        <f t="shared" si="14"/>
        <v>0</v>
      </c>
    </row>
    <row r="204" spans="1:30" x14ac:dyDescent="0.25">
      <c r="A204" s="41"/>
      <c r="B204" s="80"/>
      <c r="C204" s="52" t="s">
        <v>482</v>
      </c>
      <c r="D204" s="52" t="s">
        <v>426</v>
      </c>
      <c r="E204" s="52" t="s">
        <v>427</v>
      </c>
      <c r="F204" s="41" t="s">
        <v>465</v>
      </c>
      <c r="G204" s="41" t="s">
        <v>447</v>
      </c>
      <c r="H204" s="41" t="s">
        <v>52</v>
      </c>
      <c r="I204" s="41" t="s">
        <v>53</v>
      </c>
      <c r="J204" s="53" t="s">
        <v>54</v>
      </c>
      <c r="K204" s="53" t="s">
        <v>17</v>
      </c>
      <c r="L204" s="73">
        <v>1.5</v>
      </c>
      <c r="M204" s="74">
        <v>15000</v>
      </c>
      <c r="N204" s="74">
        <v>22500</v>
      </c>
      <c r="O204" s="104"/>
      <c r="P204" s="82" t="s">
        <v>18</v>
      </c>
      <c r="Q204" s="82" t="s">
        <v>347</v>
      </c>
      <c r="R204" s="82"/>
      <c r="S204" s="82"/>
      <c r="T204" s="89" t="s">
        <v>19</v>
      </c>
      <c r="U204" s="41" t="str">
        <f>VLOOKUP(J204,Sheet1!$A$2:$D$200,4,0)</f>
        <v>NL300189</v>
      </c>
      <c r="V204" s="41" t="str">
        <f>VLOOKUP(U204,Sheet1!$D$2:$E$200,2,0)</f>
        <v>Bánh ướt</v>
      </c>
      <c r="W204" s="94" t="str">
        <f t="shared" si="10"/>
        <v>71NL300189</v>
      </c>
      <c r="X204" s="94" t="str">
        <f>COUNTIF($R$15:W204,W204)&amp;W204</f>
        <v>171NL300189</v>
      </c>
      <c r="Y204" s="95">
        <f>IFERROR(VLOOKUP(X204,FAST!$B$7:$M$9722,12,0),"0")</f>
        <v>1.5</v>
      </c>
      <c r="Z204" s="95">
        <f>IFERROR(VLOOKUP(X204,FAST!$B$7:$N$9722,13,0),"0")</f>
        <v>15000</v>
      </c>
      <c r="AA204" s="96">
        <f t="shared" si="11"/>
        <v>22500</v>
      </c>
      <c r="AB204" s="97">
        <f t="shared" si="12"/>
        <v>0</v>
      </c>
      <c r="AC204" s="98">
        <f t="shared" si="13"/>
        <v>0</v>
      </c>
      <c r="AD204" s="99">
        <f t="shared" si="14"/>
        <v>0</v>
      </c>
    </row>
    <row r="205" spans="1:30" x14ac:dyDescent="0.25">
      <c r="A205" s="41"/>
      <c r="B205" s="80"/>
      <c r="C205" s="52" t="s">
        <v>482</v>
      </c>
      <c r="D205" s="52" t="s">
        <v>426</v>
      </c>
      <c r="E205" s="52" t="s">
        <v>427</v>
      </c>
      <c r="F205" s="41" t="s">
        <v>465</v>
      </c>
      <c r="G205" s="41" t="s">
        <v>418</v>
      </c>
      <c r="H205" s="41" t="s">
        <v>37</v>
      </c>
      <c r="I205" s="41" t="s">
        <v>17</v>
      </c>
      <c r="J205" s="53" t="s">
        <v>33</v>
      </c>
      <c r="K205" s="53" t="s">
        <v>17</v>
      </c>
      <c r="L205" s="73">
        <v>0.8</v>
      </c>
      <c r="M205" s="74">
        <v>145000</v>
      </c>
      <c r="N205" s="74">
        <v>116000</v>
      </c>
      <c r="O205" s="104"/>
      <c r="P205" s="82" t="s">
        <v>18</v>
      </c>
      <c r="Q205" s="82" t="s">
        <v>347</v>
      </c>
      <c r="R205" s="82"/>
      <c r="S205" s="82"/>
      <c r="T205" s="89" t="s">
        <v>19</v>
      </c>
      <c r="U205" s="41" t="str">
        <f>VLOOKUP(J205,Sheet1!$A$2:$D$200,4,0)</f>
        <v>NL300113</v>
      </c>
      <c r="V205" s="41" t="str">
        <f>VLOOKUP(U205,Sheet1!$D$2:$E$200,2,0)</f>
        <v>Ớt hiểm đỏ</v>
      </c>
      <c r="W205" s="94" t="str">
        <f t="shared" si="10"/>
        <v>71NL300113</v>
      </c>
      <c r="X205" s="94" t="str">
        <f>COUNTIF($R$15:W205,W205)&amp;W205</f>
        <v>171NL300113</v>
      </c>
      <c r="Y205" s="95">
        <f>IFERROR(VLOOKUP(X205,FAST!$B$7:$M$9722,12,0),"0")</f>
        <v>0.8</v>
      </c>
      <c r="Z205" s="95">
        <f>IFERROR(VLOOKUP(X205,FAST!$B$7:$N$9722,13,0),"0")</f>
        <v>145000</v>
      </c>
      <c r="AA205" s="96">
        <f t="shared" si="11"/>
        <v>116000</v>
      </c>
      <c r="AB205" s="97">
        <f t="shared" si="12"/>
        <v>0</v>
      </c>
      <c r="AC205" s="98">
        <f t="shared" si="13"/>
        <v>0</v>
      </c>
      <c r="AD205" s="99">
        <f t="shared" si="14"/>
        <v>0</v>
      </c>
    </row>
    <row r="206" spans="1:30" x14ac:dyDescent="0.25">
      <c r="A206" s="41"/>
      <c r="B206" s="80"/>
      <c r="C206" s="52" t="s">
        <v>482</v>
      </c>
      <c r="D206" s="52" t="s">
        <v>426</v>
      </c>
      <c r="E206" s="52" t="s">
        <v>427</v>
      </c>
      <c r="F206" s="41" t="s">
        <v>467</v>
      </c>
      <c r="G206" s="41" t="s">
        <v>422</v>
      </c>
      <c r="H206" s="41" t="s">
        <v>41</v>
      </c>
      <c r="I206" s="41" t="s">
        <v>17</v>
      </c>
      <c r="J206" s="53" t="s">
        <v>22</v>
      </c>
      <c r="K206" s="53" t="s">
        <v>17</v>
      </c>
      <c r="L206" s="73">
        <v>3.2</v>
      </c>
      <c r="M206" s="74">
        <v>30000</v>
      </c>
      <c r="N206" s="74">
        <v>96000</v>
      </c>
      <c r="O206" s="104"/>
      <c r="P206" s="82" t="s">
        <v>18</v>
      </c>
      <c r="Q206" s="82" t="s">
        <v>347</v>
      </c>
      <c r="R206" s="82"/>
      <c r="S206" s="82"/>
      <c r="T206" s="89" t="s">
        <v>19</v>
      </c>
      <c r="U206" s="41" t="str">
        <f>VLOOKUP(J206,Sheet1!$A$2:$D$200,4,0)</f>
        <v>NL300007</v>
      </c>
      <c r="V206" s="41" t="str">
        <f>VLOOKUP(U206,Sheet1!$D$2:$E$200,2,0)</f>
        <v>Bí đỏ</v>
      </c>
      <c r="W206" s="94" t="str">
        <f t="shared" si="10"/>
        <v>71NL300007</v>
      </c>
      <c r="X206" s="94" t="str">
        <f>COUNTIF($R$15:W206,W206)&amp;W206</f>
        <v>171NL300007</v>
      </c>
      <c r="Y206" s="95">
        <f>IFERROR(VLOOKUP(X206,FAST!$B$7:$M$9722,12,0),"0")</f>
        <v>3.2</v>
      </c>
      <c r="Z206" s="95">
        <f>IFERROR(VLOOKUP(X206,FAST!$B$7:$N$9722,13,0),"0")</f>
        <v>30000</v>
      </c>
      <c r="AA206" s="96">
        <f t="shared" si="11"/>
        <v>96000</v>
      </c>
      <c r="AB206" s="97">
        <f t="shared" si="12"/>
        <v>0</v>
      </c>
      <c r="AC206" s="98">
        <f t="shared" si="13"/>
        <v>0</v>
      </c>
      <c r="AD206" s="99">
        <f t="shared" si="14"/>
        <v>0</v>
      </c>
    </row>
    <row r="207" spans="1:30" x14ac:dyDescent="0.25">
      <c r="A207" s="41"/>
      <c r="B207" s="80"/>
      <c r="C207" s="52" t="s">
        <v>482</v>
      </c>
      <c r="D207" s="52" t="s">
        <v>426</v>
      </c>
      <c r="E207" s="52" t="s">
        <v>427</v>
      </c>
      <c r="F207" s="41" t="s">
        <v>468</v>
      </c>
      <c r="G207" s="41" t="s">
        <v>430</v>
      </c>
      <c r="H207" s="41" t="s">
        <v>16</v>
      </c>
      <c r="I207" s="41" t="s">
        <v>17</v>
      </c>
      <c r="J207" s="53" t="s">
        <v>50</v>
      </c>
      <c r="K207" s="53" t="s">
        <v>17</v>
      </c>
      <c r="L207" s="73">
        <v>2</v>
      </c>
      <c r="M207" s="74">
        <v>52000</v>
      </c>
      <c r="N207" s="74">
        <v>104000</v>
      </c>
      <c r="O207" s="104"/>
      <c r="P207" s="82" t="s">
        <v>18</v>
      </c>
      <c r="Q207" s="82" t="s">
        <v>347</v>
      </c>
      <c r="R207" s="82"/>
      <c r="S207" s="82"/>
      <c r="T207" s="89" t="s">
        <v>19</v>
      </c>
      <c r="U207" s="41" t="str">
        <f>VLOOKUP(J207,Sheet1!$A$2:$D$200,4,0)</f>
        <v>NL300137</v>
      </c>
      <c r="V207" s="41" t="str">
        <f>VLOOKUP(U207,Sheet1!$D$2:$E$200,2,0)</f>
        <v>Súp lơ xanh</v>
      </c>
      <c r="W207" s="94" t="str">
        <f t="shared" si="10"/>
        <v>71NL300137</v>
      </c>
      <c r="X207" s="94" t="str">
        <f>COUNTIF($R$15:W207,W207)&amp;W207</f>
        <v>171NL300137</v>
      </c>
      <c r="Y207" s="95">
        <f>IFERROR(VLOOKUP(X207,FAST!$B$7:$M$9722,12,0),"0")</f>
        <v>2</v>
      </c>
      <c r="Z207" s="95">
        <f>IFERROR(VLOOKUP(X207,FAST!$B$7:$N$9722,13,0),"0")</f>
        <v>52000</v>
      </c>
      <c r="AA207" s="96">
        <f t="shared" si="11"/>
        <v>104000</v>
      </c>
      <c r="AB207" s="97">
        <f t="shared" si="12"/>
        <v>0</v>
      </c>
      <c r="AC207" s="98">
        <f t="shared" si="13"/>
        <v>0</v>
      </c>
      <c r="AD207" s="99">
        <f t="shared" si="14"/>
        <v>0</v>
      </c>
    </row>
    <row r="208" spans="1:30" x14ac:dyDescent="0.25">
      <c r="A208" s="41"/>
      <c r="B208" s="80"/>
      <c r="C208" s="52" t="s">
        <v>482</v>
      </c>
      <c r="D208" s="52" t="s">
        <v>426</v>
      </c>
      <c r="E208" s="52" t="s">
        <v>427</v>
      </c>
      <c r="F208" s="41" t="s">
        <v>468</v>
      </c>
      <c r="G208" s="41" t="s">
        <v>404</v>
      </c>
      <c r="H208" s="41" t="s">
        <v>20</v>
      </c>
      <c r="I208" s="41" t="s">
        <v>21</v>
      </c>
      <c r="J208" s="53" t="s">
        <v>56</v>
      </c>
      <c r="K208" s="53" t="s">
        <v>17</v>
      </c>
      <c r="L208" s="73">
        <v>0.8</v>
      </c>
      <c r="M208" s="74">
        <v>38000</v>
      </c>
      <c r="N208" s="74">
        <v>30400</v>
      </c>
      <c r="O208" s="104"/>
      <c r="P208" s="82" t="s">
        <v>18</v>
      </c>
      <c r="Q208" s="82" t="s">
        <v>347</v>
      </c>
      <c r="R208" s="82"/>
      <c r="S208" s="82"/>
      <c r="T208" s="89" t="s">
        <v>19</v>
      </c>
      <c r="U208" s="41" t="str">
        <f>VLOOKUP(J208,Sheet1!$A$2:$D$200,4,0)</f>
        <v>NL300054</v>
      </c>
      <c r="V208" s="41" t="str">
        <f>VLOOKUP(U208,Sheet1!$D$2:$E$200,2,0)</f>
        <v>Gừng tàu</v>
      </c>
      <c r="W208" s="94" t="str">
        <f t="shared" ref="W208:W215" si="15">DAY(C208)&amp;MONTH(C208)&amp;U208</f>
        <v>71NL300054</v>
      </c>
      <c r="X208" s="94" t="str">
        <f>COUNTIF($R$15:W208,W208)&amp;W208</f>
        <v>171NL300054</v>
      </c>
      <c r="Y208" s="95">
        <f>IFERROR(VLOOKUP(X208,FAST!$B$7:$M$9722,12,0),"0")</f>
        <v>0.8</v>
      </c>
      <c r="Z208" s="95">
        <f>IFERROR(VLOOKUP(X208,FAST!$B$7:$N$9722,13,0),"0")</f>
        <v>38000</v>
      </c>
      <c r="AA208" s="96">
        <f t="shared" ref="AA208:AA271" si="16">Y208*Z208</f>
        <v>30400</v>
      </c>
      <c r="AB208" s="97">
        <f t="shared" ref="AB208:AB271" si="17">Y208-L208</f>
        <v>0</v>
      </c>
      <c r="AC208" s="98">
        <f t="shared" ref="AC208:AC271" si="18">Z208-M208</f>
        <v>0</v>
      </c>
      <c r="AD208" s="99">
        <f t="shared" ref="AD208:AD271" si="19">AA208-N208</f>
        <v>0</v>
      </c>
    </row>
    <row r="209" spans="1:30" x14ac:dyDescent="0.25">
      <c r="A209" s="41"/>
      <c r="B209" s="80"/>
      <c r="C209" s="52" t="s">
        <v>482</v>
      </c>
      <c r="D209" s="52" t="s">
        <v>426</v>
      </c>
      <c r="E209" s="52" t="s">
        <v>427</v>
      </c>
      <c r="F209" s="41" t="s">
        <v>468</v>
      </c>
      <c r="G209" s="41" t="s">
        <v>405</v>
      </c>
      <c r="H209" s="41" t="s">
        <v>22</v>
      </c>
      <c r="I209" s="41" t="s">
        <v>17</v>
      </c>
      <c r="J209" s="53" t="s">
        <v>28</v>
      </c>
      <c r="K209" s="53" t="s">
        <v>17</v>
      </c>
      <c r="L209" s="73">
        <v>1.5</v>
      </c>
      <c r="M209" s="74">
        <v>32000</v>
      </c>
      <c r="N209" s="74">
        <v>48000</v>
      </c>
      <c r="O209" s="104"/>
      <c r="P209" s="82" t="s">
        <v>18</v>
      </c>
      <c r="Q209" s="82" t="s">
        <v>347</v>
      </c>
      <c r="R209" s="82"/>
      <c r="S209" s="82"/>
      <c r="T209" s="89" t="s">
        <v>19</v>
      </c>
      <c r="U209" s="41" t="str">
        <f>VLOOKUP(J209,Sheet1!$A$2:$D$200,4,0)</f>
        <v>NL300038</v>
      </c>
      <c r="V209" s="41" t="str">
        <f>VLOOKUP(U209,Sheet1!$D$2:$E$200,2,0)</f>
        <v>Đậu bắp</v>
      </c>
      <c r="W209" s="94" t="str">
        <f t="shared" si="15"/>
        <v>71NL300038</v>
      </c>
      <c r="X209" s="94" t="str">
        <f>COUNTIF($R$15:W209,W209)&amp;W209</f>
        <v>171NL300038</v>
      </c>
      <c r="Y209" s="95">
        <f>IFERROR(VLOOKUP(X209,FAST!$B$7:$M$9722,12,0),"0")</f>
        <v>1.5</v>
      </c>
      <c r="Z209" s="95">
        <f>IFERROR(VLOOKUP(X209,FAST!$B$7:$N$9722,13,0),"0")</f>
        <v>32000</v>
      </c>
      <c r="AA209" s="96">
        <f t="shared" si="16"/>
        <v>48000</v>
      </c>
      <c r="AB209" s="97">
        <f t="shared" si="17"/>
        <v>0</v>
      </c>
      <c r="AC209" s="98">
        <f t="shared" si="18"/>
        <v>0</v>
      </c>
      <c r="AD209" s="99">
        <f t="shared" si="19"/>
        <v>0</v>
      </c>
    </row>
    <row r="210" spans="1:30" x14ac:dyDescent="0.25">
      <c r="A210" s="41"/>
      <c r="B210" s="80"/>
      <c r="C210" s="52" t="s">
        <v>482</v>
      </c>
      <c r="D210" s="52" t="s">
        <v>426</v>
      </c>
      <c r="E210" s="52" t="s">
        <v>427</v>
      </c>
      <c r="F210" s="41" t="s">
        <v>468</v>
      </c>
      <c r="G210" s="41" t="s">
        <v>431</v>
      </c>
      <c r="H210" s="41" t="s">
        <v>23</v>
      </c>
      <c r="I210" s="41" t="s">
        <v>17</v>
      </c>
      <c r="J210" s="53" t="s">
        <v>47</v>
      </c>
      <c r="K210" s="53" t="s">
        <v>17</v>
      </c>
      <c r="L210" s="73">
        <v>11</v>
      </c>
      <c r="M210" s="74">
        <v>18000</v>
      </c>
      <c r="N210" s="74">
        <v>198000</v>
      </c>
      <c r="O210" s="104"/>
      <c r="P210" s="82" t="s">
        <v>18</v>
      </c>
      <c r="Q210" s="82" t="s">
        <v>347</v>
      </c>
      <c r="R210" s="82"/>
      <c r="S210" s="82"/>
      <c r="T210" s="89" t="s">
        <v>19</v>
      </c>
      <c r="U210" s="41" t="str">
        <f>VLOOKUP(J210,Sheet1!$A$2:$D$200,4,0)</f>
        <v>NL600004</v>
      </c>
      <c r="V210" s="41" t="str">
        <f>VLOOKUP(U210,Sheet1!$D$2:$E$200,2,0)</f>
        <v>Dưa hấu</v>
      </c>
      <c r="W210" s="94" t="str">
        <f t="shared" si="15"/>
        <v>71NL600004</v>
      </c>
      <c r="X210" s="94" t="str">
        <f>COUNTIF($R$15:W210,W210)&amp;W210</f>
        <v>171NL600004</v>
      </c>
      <c r="Y210" s="95">
        <f>IFERROR(VLOOKUP(X210,FAST!$B$7:$M$9722,12,0),"0")</f>
        <v>11</v>
      </c>
      <c r="Z210" s="95">
        <f>IFERROR(VLOOKUP(X210,FAST!$B$7:$N$9722,13,0),"0")</f>
        <v>18000</v>
      </c>
      <c r="AA210" s="96">
        <f t="shared" si="16"/>
        <v>198000</v>
      </c>
      <c r="AB210" s="97">
        <f t="shared" si="17"/>
        <v>0</v>
      </c>
      <c r="AC210" s="98">
        <f t="shared" si="18"/>
        <v>0</v>
      </c>
      <c r="AD210" s="99">
        <f t="shared" si="19"/>
        <v>0</v>
      </c>
    </row>
    <row r="211" spans="1:30" x14ac:dyDescent="0.25">
      <c r="A211" s="41"/>
      <c r="B211" s="80"/>
      <c r="C211" s="52" t="s">
        <v>482</v>
      </c>
      <c r="D211" s="52" t="s">
        <v>426</v>
      </c>
      <c r="E211" s="52" t="s">
        <v>427</v>
      </c>
      <c r="F211" s="41" t="s">
        <v>468</v>
      </c>
      <c r="G211" s="41" t="s">
        <v>433</v>
      </c>
      <c r="H211" s="41" t="s">
        <v>70</v>
      </c>
      <c r="I211" s="41" t="s">
        <v>17</v>
      </c>
      <c r="J211" s="53" t="s">
        <v>76</v>
      </c>
      <c r="K211" s="53" t="s">
        <v>17</v>
      </c>
      <c r="L211" s="73">
        <v>0.2</v>
      </c>
      <c r="M211" s="74">
        <v>80000</v>
      </c>
      <c r="N211" s="74">
        <v>16000</v>
      </c>
      <c r="O211" s="104"/>
      <c r="P211" s="82" t="s">
        <v>18</v>
      </c>
      <c r="Q211" s="82" t="s">
        <v>347</v>
      </c>
      <c r="R211" s="82"/>
      <c r="S211" s="82"/>
      <c r="T211" s="89" t="s">
        <v>19</v>
      </c>
      <c r="U211" s="41" t="str">
        <f>VLOOKUP(J211,Sheet1!$A$2:$D$200,4,0)</f>
        <v>NL300055</v>
      </c>
      <c r="V211" s="41" t="str">
        <f>VLOOKUP(U211,Sheet1!$D$2:$E$200,2,0)</f>
        <v>Hành bóc</v>
      </c>
      <c r="W211" s="94" t="str">
        <f t="shared" si="15"/>
        <v>71NL300055</v>
      </c>
      <c r="X211" s="94" t="str">
        <f>COUNTIF($R$15:W211,W211)&amp;W211</f>
        <v>171NL300055</v>
      </c>
      <c r="Y211" s="95">
        <f>IFERROR(VLOOKUP(X211,FAST!$B$7:$M$9722,12,0),"0")</f>
        <v>0.2</v>
      </c>
      <c r="Z211" s="95">
        <f>IFERROR(VLOOKUP(X211,FAST!$B$7:$N$9722,13,0),"0")</f>
        <v>80000</v>
      </c>
      <c r="AA211" s="96">
        <f t="shared" si="16"/>
        <v>16000</v>
      </c>
      <c r="AB211" s="97">
        <f t="shared" si="17"/>
        <v>0</v>
      </c>
      <c r="AC211" s="98">
        <f t="shared" si="18"/>
        <v>0</v>
      </c>
      <c r="AD211" s="99">
        <f t="shared" si="19"/>
        <v>0</v>
      </c>
    </row>
    <row r="212" spans="1:30" x14ac:dyDescent="0.25">
      <c r="A212" s="41"/>
      <c r="B212" s="80"/>
      <c r="C212" s="52" t="s">
        <v>482</v>
      </c>
      <c r="D212" s="52" t="s">
        <v>426</v>
      </c>
      <c r="E212" s="52" t="s">
        <v>427</v>
      </c>
      <c r="F212" s="41" t="s">
        <v>468</v>
      </c>
      <c r="G212" s="41" t="s">
        <v>424</v>
      </c>
      <c r="H212" s="41" t="s">
        <v>72</v>
      </c>
      <c r="I212" s="41" t="s">
        <v>17</v>
      </c>
      <c r="J212" s="53" t="s">
        <v>69</v>
      </c>
      <c r="K212" s="53" t="s">
        <v>17</v>
      </c>
      <c r="L212" s="73">
        <v>0.3</v>
      </c>
      <c r="M212" s="74">
        <v>65000</v>
      </c>
      <c r="N212" s="74">
        <v>19500</v>
      </c>
      <c r="O212" s="104"/>
      <c r="P212" s="82" t="s">
        <v>18</v>
      </c>
      <c r="Q212" s="82" t="s">
        <v>347</v>
      </c>
      <c r="R212" s="82"/>
      <c r="S212" s="82"/>
      <c r="T212" s="89" t="s">
        <v>19</v>
      </c>
      <c r="U212" s="41" t="str">
        <f>VLOOKUP(J212,Sheet1!$A$2:$D$200,4,0)</f>
        <v>NL300062</v>
      </c>
      <c r="V212" s="41" t="str">
        <f>VLOOKUP(U212,Sheet1!$D$2:$E$200,2,0)</f>
        <v>Húng Bạc Hà</v>
      </c>
      <c r="W212" s="94" t="str">
        <f t="shared" si="15"/>
        <v>71NL300062</v>
      </c>
      <c r="X212" s="94" t="str">
        <f>COUNTIF($R$15:W212,W212)&amp;W212</f>
        <v>171NL300062</v>
      </c>
      <c r="Y212" s="95">
        <f>IFERROR(VLOOKUP(X212,FAST!$B$7:$M$9722,12,0),"0")</f>
        <v>0.3</v>
      </c>
      <c r="Z212" s="95">
        <f>IFERROR(VLOOKUP(X212,FAST!$B$7:$N$9722,13,0),"0")</f>
        <v>65000</v>
      </c>
      <c r="AA212" s="96">
        <f t="shared" si="16"/>
        <v>19500</v>
      </c>
      <c r="AB212" s="97">
        <f t="shared" si="17"/>
        <v>0</v>
      </c>
      <c r="AC212" s="98">
        <f t="shared" si="18"/>
        <v>0</v>
      </c>
      <c r="AD212" s="99">
        <f t="shared" si="19"/>
        <v>0</v>
      </c>
    </row>
    <row r="213" spans="1:30" x14ac:dyDescent="0.25">
      <c r="A213" s="41"/>
      <c r="B213" s="80"/>
      <c r="C213" s="52" t="s">
        <v>482</v>
      </c>
      <c r="D213" s="52" t="s">
        <v>426</v>
      </c>
      <c r="E213" s="52" t="s">
        <v>427</v>
      </c>
      <c r="F213" s="41" t="s">
        <v>468</v>
      </c>
      <c r="G213" s="41" t="s">
        <v>435</v>
      </c>
      <c r="H213" s="41" t="s">
        <v>25</v>
      </c>
      <c r="I213" s="41" t="s">
        <v>17</v>
      </c>
      <c r="J213" s="53" t="s">
        <v>31</v>
      </c>
      <c r="K213" s="53" t="s">
        <v>17</v>
      </c>
      <c r="L213" s="73">
        <v>1.5</v>
      </c>
      <c r="M213" s="74">
        <v>27000</v>
      </c>
      <c r="N213" s="74">
        <v>40500</v>
      </c>
      <c r="O213" s="104"/>
      <c r="P213" s="82" t="s">
        <v>18</v>
      </c>
      <c r="Q213" s="82" t="s">
        <v>347</v>
      </c>
      <c r="R213" s="82"/>
      <c r="S213" s="82"/>
      <c r="T213" s="89" t="s">
        <v>19</v>
      </c>
      <c r="U213" s="41" t="str">
        <f>VLOOKUP(J213,Sheet1!$A$2:$D$200,4,0)</f>
        <v>NL300088</v>
      </c>
      <c r="V213" s="41" t="str">
        <f>VLOOKUP(U213,Sheet1!$D$2:$E$200,2,0)</f>
        <v>Mướp hương</v>
      </c>
      <c r="W213" s="94" t="str">
        <f t="shared" si="15"/>
        <v>71NL300088</v>
      </c>
      <c r="X213" s="94" t="str">
        <f>COUNTIF($R$15:W213,W213)&amp;W213</f>
        <v>171NL300088</v>
      </c>
      <c r="Y213" s="95">
        <f>IFERROR(VLOOKUP(X213,FAST!$B$7:$M$9722,12,0),"0")</f>
        <v>1.5</v>
      </c>
      <c r="Z213" s="95">
        <f>IFERROR(VLOOKUP(X213,FAST!$B$7:$N$9722,13,0),"0")</f>
        <v>27000</v>
      </c>
      <c r="AA213" s="96">
        <f t="shared" si="16"/>
        <v>40500</v>
      </c>
      <c r="AB213" s="97">
        <f t="shared" si="17"/>
        <v>0</v>
      </c>
      <c r="AC213" s="98">
        <f t="shared" si="18"/>
        <v>0</v>
      </c>
      <c r="AD213" s="99">
        <f t="shared" si="19"/>
        <v>0</v>
      </c>
    </row>
    <row r="214" spans="1:30" x14ac:dyDescent="0.25">
      <c r="A214" s="41"/>
      <c r="B214" s="80"/>
      <c r="C214" s="52" t="s">
        <v>482</v>
      </c>
      <c r="D214" s="52" t="s">
        <v>426</v>
      </c>
      <c r="E214" s="52" t="s">
        <v>427</v>
      </c>
      <c r="F214" s="41" t="s">
        <v>468</v>
      </c>
      <c r="G214" s="41" t="s">
        <v>421</v>
      </c>
      <c r="H214" s="41" t="s">
        <v>73</v>
      </c>
      <c r="I214" s="41" t="s">
        <v>17</v>
      </c>
      <c r="J214" s="53" t="s">
        <v>42</v>
      </c>
      <c r="K214" s="53" t="s">
        <v>17</v>
      </c>
      <c r="L214" s="73">
        <v>1</v>
      </c>
      <c r="M214" s="74">
        <v>90000</v>
      </c>
      <c r="N214" s="74">
        <v>90000</v>
      </c>
      <c r="O214" s="104"/>
      <c r="P214" s="82" t="s">
        <v>18</v>
      </c>
      <c r="Q214" s="82" t="s">
        <v>347</v>
      </c>
      <c r="R214" s="82"/>
      <c r="S214" s="82"/>
      <c r="T214" s="89" t="s">
        <v>19</v>
      </c>
      <c r="U214" s="41" t="str">
        <f>VLOOKUP(J214,Sheet1!$A$2:$D$200,4,0)</f>
        <v>NL300097</v>
      </c>
      <c r="V214" s="41" t="str">
        <f>VLOOKUP(U214,Sheet1!$D$2:$E$200,2,0)</f>
        <v>Nấm Linh Chi nâu</v>
      </c>
      <c r="W214" s="94" t="str">
        <f t="shared" si="15"/>
        <v>71NL300097</v>
      </c>
      <c r="X214" s="94" t="str">
        <f>COUNTIF($R$15:W214,W214)&amp;W214</f>
        <v>171NL300097</v>
      </c>
      <c r="Y214" s="95">
        <f>IFERROR(VLOOKUP(X214,FAST!$B$7:$M$9722,12,0),"0")</f>
        <v>1</v>
      </c>
      <c r="Z214" s="95">
        <f>IFERROR(VLOOKUP(X214,FAST!$B$7:$N$9722,13,0),"0")</f>
        <v>90000</v>
      </c>
      <c r="AA214" s="96">
        <f t="shared" si="16"/>
        <v>90000</v>
      </c>
      <c r="AB214" s="97">
        <f t="shared" si="17"/>
        <v>0</v>
      </c>
      <c r="AC214" s="98">
        <f t="shared" si="18"/>
        <v>0</v>
      </c>
      <c r="AD214" s="99">
        <f t="shared" si="19"/>
        <v>0</v>
      </c>
    </row>
    <row r="215" spans="1:30" x14ac:dyDescent="0.25">
      <c r="A215" s="41"/>
      <c r="B215" s="80"/>
      <c r="C215" s="52" t="s">
        <v>482</v>
      </c>
      <c r="D215" s="52" t="s">
        <v>426</v>
      </c>
      <c r="E215" s="52" t="s">
        <v>427</v>
      </c>
      <c r="F215" s="41" t="s">
        <v>468</v>
      </c>
      <c r="G215" s="41" t="s">
        <v>406</v>
      </c>
      <c r="H215" s="41" t="s">
        <v>46</v>
      </c>
      <c r="I215" s="41" t="s">
        <v>17</v>
      </c>
      <c r="J215" s="53" t="s">
        <v>51</v>
      </c>
      <c r="K215" s="53" t="s">
        <v>17</v>
      </c>
      <c r="L215" s="73">
        <v>0.2</v>
      </c>
      <c r="M215" s="74">
        <v>148000</v>
      </c>
      <c r="N215" s="74">
        <v>29600</v>
      </c>
      <c r="O215" s="104"/>
      <c r="P215" s="82" t="s">
        <v>18</v>
      </c>
      <c r="Q215" s="82" t="s">
        <v>347</v>
      </c>
      <c r="R215" s="82"/>
      <c r="S215" s="82"/>
      <c r="T215" s="89" t="s">
        <v>19</v>
      </c>
      <c r="U215" s="41" t="str">
        <f>VLOOKUP(J215,Sheet1!$A$2:$D$200,4,0)</f>
        <v>NL300116</v>
      </c>
      <c r="V215" s="41" t="str">
        <f>VLOOKUP(U215,Sheet1!$D$2:$E$200,2,0)</f>
        <v>Ớt sừng</v>
      </c>
      <c r="W215" s="94" t="str">
        <f t="shared" si="15"/>
        <v>71NL300116</v>
      </c>
      <c r="X215" s="94" t="str">
        <f>COUNTIF($R$15:W215,W215)&amp;W215</f>
        <v>171NL300116</v>
      </c>
      <c r="Y215" s="95">
        <f>IFERROR(VLOOKUP(X215,FAST!$B$7:$M$9722,12,0),"0")</f>
        <v>0.2</v>
      </c>
      <c r="Z215" s="95">
        <f>IFERROR(VLOOKUP(X215,FAST!$B$7:$N$9722,13,0),"0")</f>
        <v>148000</v>
      </c>
      <c r="AA215" s="96">
        <f t="shared" si="16"/>
        <v>29600</v>
      </c>
      <c r="AB215" s="97">
        <f t="shared" si="17"/>
        <v>0</v>
      </c>
      <c r="AC215" s="98">
        <f t="shared" si="18"/>
        <v>0</v>
      </c>
      <c r="AD215" s="99">
        <f t="shared" si="19"/>
        <v>0</v>
      </c>
    </row>
    <row r="216" spans="1:30" x14ac:dyDescent="0.25">
      <c r="A216" s="41"/>
      <c r="B216" s="80"/>
      <c r="C216" s="52" t="s">
        <v>482</v>
      </c>
      <c r="D216" s="52" t="s">
        <v>426</v>
      </c>
      <c r="E216" s="52" t="s">
        <v>427</v>
      </c>
      <c r="F216" s="41"/>
      <c r="G216" s="41"/>
      <c r="H216" s="41"/>
      <c r="I216" s="41"/>
      <c r="J216" s="53" t="s">
        <v>232</v>
      </c>
      <c r="K216" s="53" t="s">
        <v>17</v>
      </c>
      <c r="L216" s="73">
        <v>0.1</v>
      </c>
      <c r="M216" s="74">
        <v>36000</v>
      </c>
      <c r="N216" s="74">
        <v>3600</v>
      </c>
      <c r="O216" s="104"/>
      <c r="P216" s="82"/>
      <c r="Q216" s="82"/>
      <c r="R216" s="82"/>
      <c r="S216" s="82"/>
      <c r="T216" s="89"/>
      <c r="U216" s="41" t="str">
        <f>VLOOKUP(J216,Sheet1!$A$2:$D$200,4,0)</f>
        <v>NL300140</v>
      </c>
      <c r="V216" s="41" t="str">
        <f>VLOOKUP(U216,Sheet1!$D$2:$E$200,2,0)</f>
        <v>Tía tô</v>
      </c>
      <c r="W216" s="94" t="str">
        <f t="shared" ref="W216:W279" si="20">DAY(C216)&amp;MONTH(C216)&amp;U216</f>
        <v>71NL300140</v>
      </c>
      <c r="X216" s="94" t="str">
        <f>COUNTIF($R$15:W216,W216)&amp;W216</f>
        <v>171NL300140</v>
      </c>
      <c r="Y216" s="95">
        <f>IFERROR(VLOOKUP(X216,FAST!$B$7:$M$9722,12,0),"0")</f>
        <v>0.1</v>
      </c>
      <c r="Z216" s="95">
        <f>IFERROR(VLOOKUP(X216,FAST!$B$7:$N$9722,13,0),"0")</f>
        <v>36000</v>
      </c>
      <c r="AA216" s="96">
        <f t="shared" si="16"/>
        <v>3600</v>
      </c>
      <c r="AB216" s="97">
        <f t="shared" si="17"/>
        <v>0</v>
      </c>
      <c r="AC216" s="98">
        <f t="shared" si="18"/>
        <v>0</v>
      </c>
      <c r="AD216" s="99">
        <f t="shared" si="19"/>
        <v>0</v>
      </c>
    </row>
    <row r="217" spans="1:30" x14ac:dyDescent="0.25">
      <c r="A217" s="41"/>
      <c r="B217" s="80"/>
      <c r="C217" s="52" t="s">
        <v>482</v>
      </c>
      <c r="D217" s="52" t="s">
        <v>426</v>
      </c>
      <c r="E217" s="52" t="s">
        <v>427</v>
      </c>
      <c r="F217" s="41"/>
      <c r="G217" s="41"/>
      <c r="H217" s="41"/>
      <c r="I217" s="41"/>
      <c r="J217" s="53" t="s">
        <v>60</v>
      </c>
      <c r="K217" s="53" t="s">
        <v>17</v>
      </c>
      <c r="L217" s="73">
        <v>0.8</v>
      </c>
      <c r="M217" s="74">
        <v>21000</v>
      </c>
      <c r="N217" s="74">
        <v>16800</v>
      </c>
      <c r="O217" s="104"/>
      <c r="P217" s="82"/>
      <c r="Q217" s="82"/>
      <c r="R217" s="82"/>
      <c r="S217" s="82"/>
      <c r="T217" s="89"/>
      <c r="U217" s="41" t="str">
        <f>VLOOKUP(J217,Sheet1!$A$2:$D$200,4,0)</f>
        <v>NL300119</v>
      </c>
      <c r="V217" s="41" t="str">
        <f>VLOOKUP(U217,Sheet1!$D$2:$E$200,2,0)</f>
        <v>Quất ( Tắc trái )</v>
      </c>
      <c r="W217" s="94" t="str">
        <f t="shared" si="20"/>
        <v>71NL300119</v>
      </c>
      <c r="X217" s="94" t="str">
        <f>COUNTIF($R$15:W217,W217)&amp;W217</f>
        <v>171NL300119</v>
      </c>
      <c r="Y217" s="95">
        <f>IFERROR(VLOOKUP(X217,FAST!$B$7:$M$9722,12,0),"0")</f>
        <v>0.8</v>
      </c>
      <c r="Z217" s="95">
        <f>IFERROR(VLOOKUP(X217,FAST!$B$7:$N$9722,13,0),"0")</f>
        <v>21000</v>
      </c>
      <c r="AA217" s="96">
        <f t="shared" si="16"/>
        <v>16800</v>
      </c>
      <c r="AB217" s="97">
        <f t="shared" si="17"/>
        <v>0</v>
      </c>
      <c r="AC217" s="98">
        <f t="shared" si="18"/>
        <v>0</v>
      </c>
      <c r="AD217" s="99">
        <f t="shared" si="19"/>
        <v>0</v>
      </c>
    </row>
    <row r="218" spans="1:30" x14ac:dyDescent="0.25">
      <c r="A218" s="41"/>
      <c r="B218" s="80"/>
      <c r="C218" s="52" t="s">
        <v>482</v>
      </c>
      <c r="D218" s="52" t="s">
        <v>426</v>
      </c>
      <c r="E218" s="52" t="s">
        <v>427</v>
      </c>
      <c r="F218" s="41"/>
      <c r="G218" s="41"/>
      <c r="H218" s="41"/>
      <c r="I218" s="41"/>
      <c r="J218" s="53" t="s">
        <v>78</v>
      </c>
      <c r="K218" s="53" t="s">
        <v>17</v>
      </c>
      <c r="L218" s="73">
        <v>0.1</v>
      </c>
      <c r="M218" s="74">
        <v>92000</v>
      </c>
      <c r="N218" s="74">
        <v>9200</v>
      </c>
      <c r="O218" s="104"/>
      <c r="P218" s="82"/>
      <c r="Q218" s="82"/>
      <c r="R218" s="82"/>
      <c r="S218" s="82"/>
      <c r="T218" s="89"/>
      <c r="U218" s="41" t="str">
        <f>VLOOKUP(J218,Sheet1!$A$2:$D$200,4,0)</f>
        <v>NL300141</v>
      </c>
      <c r="V218" s="41" t="str">
        <f>VLOOKUP(U218,Sheet1!$D$2:$E$200,2,0)</f>
        <v>Tiêu xanh</v>
      </c>
      <c r="W218" s="94" t="str">
        <f t="shared" si="20"/>
        <v>71NL300141</v>
      </c>
      <c r="X218" s="94" t="str">
        <f>COUNTIF($R$15:W218,W218)&amp;W218</f>
        <v>171NL300141</v>
      </c>
      <c r="Y218" s="95">
        <f>IFERROR(VLOOKUP(X218,FAST!$B$7:$M$9722,12,0),"0")</f>
        <v>0.1</v>
      </c>
      <c r="Z218" s="95">
        <f>IFERROR(VLOOKUP(X218,FAST!$B$7:$N$9722,13,0),"0")</f>
        <v>92000</v>
      </c>
      <c r="AA218" s="96">
        <f t="shared" si="16"/>
        <v>9200</v>
      </c>
      <c r="AB218" s="97">
        <f t="shared" si="17"/>
        <v>0</v>
      </c>
      <c r="AC218" s="98">
        <f t="shared" si="18"/>
        <v>0</v>
      </c>
      <c r="AD218" s="99">
        <f t="shared" si="19"/>
        <v>0</v>
      </c>
    </row>
    <row r="219" spans="1:30" x14ac:dyDescent="0.25">
      <c r="A219" s="41"/>
      <c r="B219" s="80"/>
      <c r="C219" s="52" t="s">
        <v>482</v>
      </c>
      <c r="D219" s="52" t="s">
        <v>426</v>
      </c>
      <c r="E219" s="52" t="s">
        <v>427</v>
      </c>
      <c r="F219" s="41"/>
      <c r="G219" s="41"/>
      <c r="H219" s="41"/>
      <c r="I219" s="41"/>
      <c r="J219" s="53" t="s">
        <v>52</v>
      </c>
      <c r="K219" s="53" t="s">
        <v>53</v>
      </c>
      <c r="L219" s="73">
        <v>35</v>
      </c>
      <c r="M219" s="74">
        <v>5000</v>
      </c>
      <c r="N219" s="74">
        <v>175000</v>
      </c>
      <c r="O219" s="104"/>
      <c r="P219" s="82"/>
      <c r="Q219" s="82"/>
      <c r="R219" s="82"/>
      <c r="S219" s="82"/>
      <c r="T219" s="89"/>
      <c r="U219" s="41" t="str">
        <f>VLOOKUP(J219,Sheet1!$A$2:$D$200,4,0)</f>
        <v>NL100101</v>
      </c>
      <c r="V219" s="41" t="str">
        <f>VLOOKUP(U219,Sheet1!$D$2:$E$200,2,0)</f>
        <v>Trứng vịt muối</v>
      </c>
      <c r="W219" s="94" t="str">
        <f t="shared" si="20"/>
        <v>71NL100101</v>
      </c>
      <c r="X219" s="94" t="str">
        <f>COUNTIF($R$15:W219,W219)&amp;W219</f>
        <v>171NL100101</v>
      </c>
      <c r="Y219" s="95">
        <f>IFERROR(VLOOKUP(X219,FAST!$B$7:$M$9722,12,0),"0")</f>
        <v>35</v>
      </c>
      <c r="Z219" s="95">
        <f>IFERROR(VLOOKUP(X219,FAST!$B$7:$N$9722,13,0),"0")</f>
        <v>5000</v>
      </c>
      <c r="AA219" s="96">
        <f t="shared" si="16"/>
        <v>175000</v>
      </c>
      <c r="AB219" s="97">
        <f t="shared" si="17"/>
        <v>0</v>
      </c>
      <c r="AC219" s="98">
        <f t="shared" si="18"/>
        <v>0</v>
      </c>
      <c r="AD219" s="99">
        <f t="shared" si="19"/>
        <v>0</v>
      </c>
    </row>
    <row r="220" spans="1:30" x14ac:dyDescent="0.25">
      <c r="A220" s="41"/>
      <c r="B220" s="80"/>
      <c r="C220" s="52" t="s">
        <v>482</v>
      </c>
      <c r="D220" s="52" t="s">
        <v>426</v>
      </c>
      <c r="E220" s="52" t="s">
        <v>427</v>
      </c>
      <c r="F220" s="41"/>
      <c r="G220" s="41"/>
      <c r="H220" s="41"/>
      <c r="I220" s="41"/>
      <c r="J220" s="53" t="s">
        <v>62</v>
      </c>
      <c r="K220" s="53" t="s">
        <v>17</v>
      </c>
      <c r="L220" s="73">
        <v>0.2</v>
      </c>
      <c r="M220" s="74">
        <v>220000</v>
      </c>
      <c r="N220" s="74">
        <v>44000</v>
      </c>
      <c r="O220" s="104"/>
      <c r="P220" s="82"/>
      <c r="Q220" s="82"/>
      <c r="R220" s="82"/>
      <c r="S220" s="82"/>
      <c r="T220" s="89"/>
      <c r="U220" s="41" t="str">
        <f>VLOOKUP(J220,Sheet1!$A$2:$D$200,4,0)</f>
        <v>NL300131</v>
      </c>
      <c r="V220" s="41" t="str">
        <f>VLOOKUP(U220,Sheet1!$D$2:$E$200,2,0)</f>
        <v>Xà lách Rocket</v>
      </c>
      <c r="W220" s="94" t="str">
        <f t="shared" si="20"/>
        <v>71NL300131</v>
      </c>
      <c r="X220" s="94" t="str">
        <f>COUNTIF($R$15:W220,W220)&amp;W220</f>
        <v>171NL300131</v>
      </c>
      <c r="Y220" s="95">
        <f>IFERROR(VLOOKUP(X220,FAST!$B$7:$M$9722,12,0),"0")</f>
        <v>0.2</v>
      </c>
      <c r="Z220" s="95">
        <f>IFERROR(VLOOKUP(X220,FAST!$B$7:$N$9722,13,0),"0")</f>
        <v>220000</v>
      </c>
      <c r="AA220" s="96">
        <f t="shared" si="16"/>
        <v>44000</v>
      </c>
      <c r="AB220" s="97">
        <f t="shared" si="17"/>
        <v>0</v>
      </c>
      <c r="AC220" s="98">
        <f t="shared" si="18"/>
        <v>0</v>
      </c>
      <c r="AD220" s="99">
        <f t="shared" si="19"/>
        <v>0</v>
      </c>
    </row>
    <row r="221" spans="1:30" x14ac:dyDescent="0.25">
      <c r="A221" s="41"/>
      <c r="B221" s="80"/>
      <c r="C221" s="52" t="s">
        <v>482</v>
      </c>
      <c r="D221" s="52" t="s">
        <v>426</v>
      </c>
      <c r="E221" s="52" t="s">
        <v>427</v>
      </c>
      <c r="F221" s="41"/>
      <c r="G221" s="41"/>
      <c r="H221" s="41"/>
      <c r="I221" s="41"/>
      <c r="J221" s="53" t="s">
        <v>37</v>
      </c>
      <c r="K221" s="53" t="s">
        <v>17</v>
      </c>
      <c r="L221" s="73">
        <v>1.5</v>
      </c>
      <c r="M221" s="74">
        <v>62000</v>
      </c>
      <c r="N221" s="74">
        <v>93000</v>
      </c>
      <c r="O221" s="104"/>
      <c r="P221" s="82"/>
      <c r="Q221" s="82"/>
      <c r="R221" s="82"/>
      <c r="S221" s="82"/>
      <c r="T221" s="89"/>
      <c r="U221" s="41" t="str">
        <f>VLOOKUP(J221,Sheet1!$A$2:$D$200,4,0)</f>
        <v>NL300147</v>
      </c>
      <c r="V221" s="41" t="str">
        <f>VLOOKUP(U221,Sheet1!$D$2:$E$200,2,0)</f>
        <v>Xà lách Roman</v>
      </c>
      <c r="W221" s="94" t="str">
        <f t="shared" si="20"/>
        <v>71NL300147</v>
      </c>
      <c r="X221" s="94" t="str">
        <f>COUNTIF($R$15:W221,W221)&amp;W221</f>
        <v>171NL300147</v>
      </c>
      <c r="Y221" s="95">
        <f>IFERROR(VLOOKUP(X221,FAST!$B$7:$M$9722,12,0),"0")</f>
        <v>1.5</v>
      </c>
      <c r="Z221" s="95">
        <f>IFERROR(VLOOKUP(X221,FAST!$B$7:$N$9722,13,0),"0")</f>
        <v>62000</v>
      </c>
      <c r="AA221" s="96">
        <f t="shared" si="16"/>
        <v>93000</v>
      </c>
      <c r="AB221" s="97">
        <f t="shared" si="17"/>
        <v>0</v>
      </c>
      <c r="AC221" s="98">
        <f t="shared" si="18"/>
        <v>0</v>
      </c>
      <c r="AD221" s="99">
        <f t="shared" si="19"/>
        <v>0</v>
      </c>
    </row>
    <row r="222" spans="1:30" x14ac:dyDescent="0.25">
      <c r="A222" s="41"/>
      <c r="B222" s="80"/>
      <c r="C222" s="52" t="s">
        <v>483</v>
      </c>
      <c r="D222" s="52" t="s">
        <v>426</v>
      </c>
      <c r="E222" s="52" t="s">
        <v>427</v>
      </c>
      <c r="F222" s="41"/>
      <c r="G222" s="41"/>
      <c r="H222" s="41"/>
      <c r="I222" s="41"/>
      <c r="J222" s="53" t="s">
        <v>54</v>
      </c>
      <c r="K222" s="53" t="s">
        <v>17</v>
      </c>
      <c r="L222" s="73">
        <v>1.5</v>
      </c>
      <c r="M222" s="74">
        <v>15000</v>
      </c>
      <c r="N222" s="74">
        <v>22500</v>
      </c>
      <c r="O222" s="104"/>
      <c r="P222" s="82"/>
      <c r="Q222" s="82"/>
      <c r="R222" s="82"/>
      <c r="S222" s="82"/>
      <c r="T222" s="89"/>
      <c r="U222" s="41" t="str">
        <f>VLOOKUP(J222,Sheet1!$A$2:$D$200,4,0)</f>
        <v>NL300189</v>
      </c>
      <c r="V222" s="41" t="str">
        <f>VLOOKUP(U222,Sheet1!$D$2:$E$200,2,0)</f>
        <v>Bánh ướt</v>
      </c>
      <c r="W222" s="94" t="str">
        <f t="shared" si="20"/>
        <v>81NL300189</v>
      </c>
      <c r="X222" s="94" t="str">
        <f>COUNTIF($R$15:W222,W222)&amp;W222</f>
        <v>181NL300189</v>
      </c>
      <c r="Y222" s="95">
        <f>IFERROR(VLOOKUP(X222,FAST!$B$7:$M$9722,12,0),"0")</f>
        <v>1.5</v>
      </c>
      <c r="Z222" s="95">
        <f>IFERROR(VLOOKUP(X222,FAST!$B$7:$N$9722,13,0),"0")</f>
        <v>15000</v>
      </c>
      <c r="AA222" s="96">
        <f t="shared" si="16"/>
        <v>22500</v>
      </c>
      <c r="AB222" s="97">
        <f t="shared" si="17"/>
        <v>0</v>
      </c>
      <c r="AC222" s="98">
        <f t="shared" si="18"/>
        <v>0</v>
      </c>
      <c r="AD222" s="99">
        <f t="shared" si="19"/>
        <v>0</v>
      </c>
    </row>
    <row r="223" spans="1:30" x14ac:dyDescent="0.25">
      <c r="A223" s="41"/>
      <c r="B223" s="80"/>
      <c r="C223" s="52" t="s">
        <v>483</v>
      </c>
      <c r="D223" s="52" t="s">
        <v>426</v>
      </c>
      <c r="E223" s="52" t="s">
        <v>427</v>
      </c>
      <c r="F223" s="41"/>
      <c r="G223" s="41"/>
      <c r="H223" s="41"/>
      <c r="I223" s="41"/>
      <c r="J223" s="53" t="s">
        <v>16</v>
      </c>
      <c r="K223" s="53" t="s">
        <v>17</v>
      </c>
      <c r="L223" s="73">
        <v>1</v>
      </c>
      <c r="M223" s="74">
        <v>19000</v>
      </c>
      <c r="N223" s="74">
        <v>19000</v>
      </c>
      <c r="O223" s="104"/>
      <c r="P223" s="82"/>
      <c r="Q223" s="82"/>
      <c r="R223" s="82"/>
      <c r="S223" s="82"/>
      <c r="T223" s="89"/>
      <c r="U223" s="41" t="str">
        <f>VLOOKUP(J223,Sheet1!$A$2:$D$200,4,0)</f>
        <v>NL300004</v>
      </c>
      <c r="V223" s="41" t="str">
        <f>VLOOKUP(U223,Sheet1!$D$2:$E$200,2,0)</f>
        <v>Bắp cải trắng</v>
      </c>
      <c r="W223" s="94" t="str">
        <f t="shared" si="20"/>
        <v>81NL300004</v>
      </c>
      <c r="X223" s="94" t="str">
        <f>COUNTIF($R$15:W223,W223)&amp;W223</f>
        <v>181NL300004</v>
      </c>
      <c r="Y223" s="95">
        <f>IFERROR(VLOOKUP(X223,FAST!$B$7:$M$9722,12,0),"0")</f>
        <v>1</v>
      </c>
      <c r="Z223" s="95">
        <f>IFERROR(VLOOKUP(X223,FAST!$B$7:$N$9722,13,0),"0")</f>
        <v>19000</v>
      </c>
      <c r="AA223" s="96">
        <f t="shared" si="16"/>
        <v>19000</v>
      </c>
      <c r="AB223" s="97">
        <f t="shared" si="17"/>
        <v>0</v>
      </c>
      <c r="AC223" s="98">
        <f t="shared" si="18"/>
        <v>0</v>
      </c>
      <c r="AD223" s="99">
        <f t="shared" si="19"/>
        <v>0</v>
      </c>
    </row>
    <row r="224" spans="1:30" x14ac:dyDescent="0.25">
      <c r="A224" s="41"/>
      <c r="B224" s="80"/>
      <c r="C224" s="52" t="s">
        <v>483</v>
      </c>
      <c r="D224" s="52" t="s">
        <v>426</v>
      </c>
      <c r="E224" s="52" t="s">
        <v>427</v>
      </c>
      <c r="F224" s="41"/>
      <c r="G224" s="41"/>
      <c r="H224" s="41"/>
      <c r="I224" s="41"/>
      <c r="J224" s="53" t="s">
        <v>23</v>
      </c>
      <c r="K224" s="53" t="s">
        <v>17</v>
      </c>
      <c r="L224" s="73">
        <v>3.5</v>
      </c>
      <c r="M224" s="74">
        <v>40000</v>
      </c>
      <c r="N224" s="74">
        <v>140000</v>
      </c>
      <c r="O224" s="104"/>
      <c r="P224" s="82"/>
      <c r="Q224" s="82"/>
      <c r="R224" s="82"/>
      <c r="S224" s="82"/>
      <c r="T224" s="89"/>
      <c r="U224" s="41" t="str">
        <f>VLOOKUP(J224,Sheet1!$A$2:$D$200,4,0)</f>
        <v>NL300008</v>
      </c>
      <c r="V224" s="41" t="str">
        <f>VLOOKUP(U224,Sheet1!$D$2:$E$200,2,0)</f>
        <v>Bí ngòi</v>
      </c>
      <c r="W224" s="94" t="str">
        <f t="shared" si="20"/>
        <v>81NL300008</v>
      </c>
      <c r="X224" s="94" t="str">
        <f>COUNTIF($R$15:W224,W224)&amp;W224</f>
        <v>181NL300008</v>
      </c>
      <c r="Y224" s="95">
        <f>IFERROR(VLOOKUP(X224,FAST!$B$7:$M$9722,12,0),"0")</f>
        <v>3.5</v>
      </c>
      <c r="Z224" s="95">
        <f>IFERROR(VLOOKUP(X224,FAST!$B$7:$N$9722,13,0),"0")</f>
        <v>40000</v>
      </c>
      <c r="AA224" s="96">
        <f t="shared" si="16"/>
        <v>140000</v>
      </c>
      <c r="AB224" s="97">
        <f t="shared" si="17"/>
        <v>0</v>
      </c>
      <c r="AC224" s="98">
        <f t="shared" si="18"/>
        <v>0</v>
      </c>
      <c r="AD224" s="99">
        <f t="shared" si="19"/>
        <v>0</v>
      </c>
    </row>
    <row r="225" spans="1:30" x14ac:dyDescent="0.25">
      <c r="A225" s="41"/>
      <c r="B225" s="80"/>
      <c r="C225" s="52" t="s">
        <v>483</v>
      </c>
      <c r="D225" s="52" t="s">
        <v>426</v>
      </c>
      <c r="E225" s="52" t="s">
        <v>427</v>
      </c>
      <c r="F225" s="41"/>
      <c r="G225" s="41"/>
      <c r="H225" s="41"/>
      <c r="I225" s="41"/>
      <c r="J225" s="53" t="s">
        <v>50</v>
      </c>
      <c r="K225" s="53" t="s">
        <v>17</v>
      </c>
      <c r="L225" s="73">
        <v>1.9</v>
      </c>
      <c r="M225" s="74">
        <v>52000</v>
      </c>
      <c r="N225" s="74">
        <v>98800</v>
      </c>
      <c r="O225" s="104"/>
      <c r="P225" s="82"/>
      <c r="Q225" s="82"/>
      <c r="R225" s="82"/>
      <c r="S225" s="82"/>
      <c r="T225" s="89"/>
      <c r="U225" s="41" t="str">
        <f>VLOOKUP(J225,Sheet1!$A$2:$D$200,4,0)</f>
        <v>NL300137</v>
      </c>
      <c r="V225" s="41" t="str">
        <f>VLOOKUP(U225,Sheet1!$D$2:$E$200,2,0)</f>
        <v>Súp lơ xanh</v>
      </c>
      <c r="W225" s="94" t="str">
        <f t="shared" si="20"/>
        <v>81NL300137</v>
      </c>
      <c r="X225" s="94" t="str">
        <f>COUNTIF($R$15:W225,W225)&amp;W225</f>
        <v>181NL300137</v>
      </c>
      <c r="Y225" s="95">
        <f>IFERROR(VLOOKUP(X225,FAST!$B$7:$M$9722,12,0),"0")</f>
        <v>1.9</v>
      </c>
      <c r="Z225" s="95">
        <f>IFERROR(VLOOKUP(X225,FAST!$B$7:$N$9722,13,0),"0")</f>
        <v>52000</v>
      </c>
      <c r="AA225" s="96">
        <f t="shared" si="16"/>
        <v>98800</v>
      </c>
      <c r="AB225" s="97">
        <f t="shared" si="17"/>
        <v>0</v>
      </c>
      <c r="AC225" s="98">
        <f t="shared" si="18"/>
        <v>0</v>
      </c>
      <c r="AD225" s="99">
        <f t="shared" si="19"/>
        <v>0</v>
      </c>
    </row>
    <row r="226" spans="1:30" x14ac:dyDescent="0.25">
      <c r="A226" s="41"/>
      <c r="B226" s="80"/>
      <c r="C226" s="52" t="s">
        <v>483</v>
      </c>
      <c r="D226" s="52" t="s">
        <v>426</v>
      </c>
      <c r="E226" s="52" t="s">
        <v>427</v>
      </c>
      <c r="F226" s="41"/>
      <c r="G226" s="41"/>
      <c r="H226" s="41"/>
      <c r="I226" s="41"/>
      <c r="J226" s="53" t="s">
        <v>24</v>
      </c>
      <c r="K226" s="53" t="s">
        <v>17</v>
      </c>
      <c r="L226" s="73">
        <v>1.8</v>
      </c>
      <c r="M226" s="74">
        <v>30000</v>
      </c>
      <c r="N226" s="74">
        <v>54000</v>
      </c>
      <c r="O226" s="104"/>
      <c r="P226" s="82"/>
      <c r="Q226" s="82"/>
      <c r="R226" s="82"/>
      <c r="S226" s="82"/>
      <c r="T226" s="89"/>
      <c r="U226" s="41" t="str">
        <f>VLOOKUP(J226,Sheet1!$A$2:$D$200,4,0)</f>
        <v>NL300020</v>
      </c>
      <c r="V226" s="41" t="str">
        <f>VLOOKUP(U226,Sheet1!$D$2:$E$200,2,0)</f>
        <v>Cải ngồng</v>
      </c>
      <c r="W226" s="94" t="str">
        <f t="shared" si="20"/>
        <v>81NL300020</v>
      </c>
      <c r="X226" s="94" t="str">
        <f>COUNTIF($R$15:W226,W226)&amp;W226</f>
        <v>181NL300020</v>
      </c>
      <c r="Y226" s="95">
        <f>IFERROR(VLOOKUP(X226,FAST!$B$7:$M$9722,12,0),"0")</f>
        <v>1.8</v>
      </c>
      <c r="Z226" s="95">
        <f>IFERROR(VLOOKUP(X226,FAST!$B$7:$N$9722,13,0),"0")</f>
        <v>30000</v>
      </c>
      <c r="AA226" s="96">
        <f t="shared" si="16"/>
        <v>54000</v>
      </c>
      <c r="AB226" s="97">
        <f t="shared" si="17"/>
        <v>0</v>
      </c>
      <c r="AC226" s="98">
        <f t="shared" si="18"/>
        <v>0</v>
      </c>
      <c r="AD226" s="99">
        <f t="shared" si="19"/>
        <v>0</v>
      </c>
    </row>
    <row r="227" spans="1:30" x14ac:dyDescent="0.25">
      <c r="A227" s="41"/>
      <c r="B227" s="80"/>
      <c r="C227" s="52" t="s">
        <v>483</v>
      </c>
      <c r="D227" s="52" t="s">
        <v>426</v>
      </c>
      <c r="E227" s="52" t="s">
        <v>427</v>
      </c>
      <c r="F227" s="41"/>
      <c r="G227" s="41"/>
      <c r="H227" s="41"/>
      <c r="I227" s="41"/>
      <c r="J227" s="53" t="s">
        <v>72</v>
      </c>
      <c r="K227" s="53" t="s">
        <v>17</v>
      </c>
      <c r="L227" s="73">
        <v>0.3</v>
      </c>
      <c r="M227" s="74">
        <v>75000</v>
      </c>
      <c r="N227" s="74">
        <v>22500</v>
      </c>
      <c r="O227" s="104"/>
      <c r="P227" s="82"/>
      <c r="Q227" s="82"/>
      <c r="R227" s="82"/>
      <c r="S227" s="82"/>
      <c r="T227" s="89"/>
      <c r="U227" s="41" t="str">
        <f>VLOOKUP(J227,Sheet1!$A$2:$D$200,4,0)</f>
        <v>NL600067</v>
      </c>
      <c r="V227" s="41" t="str">
        <f>VLOOKUP(U227,Sheet1!$D$2:$E$200,2,0)</f>
        <v>Cam vàng</v>
      </c>
      <c r="W227" s="94" t="str">
        <f t="shared" si="20"/>
        <v>81NL600067</v>
      </c>
      <c r="X227" s="94" t="str">
        <f>COUNTIF($R$15:W227,W227)&amp;W227</f>
        <v>181NL600067</v>
      </c>
      <c r="Y227" s="95">
        <f>IFERROR(VLOOKUP(X227,FAST!$B$7:$M$9722,12,0),"0")</f>
        <v>0.3</v>
      </c>
      <c r="Z227" s="95">
        <f>IFERROR(VLOOKUP(X227,FAST!$B$7:$N$9722,13,0),"0")</f>
        <v>75000</v>
      </c>
      <c r="AA227" s="96">
        <f t="shared" si="16"/>
        <v>22500</v>
      </c>
      <c r="AB227" s="97">
        <f t="shared" si="17"/>
        <v>0</v>
      </c>
      <c r="AC227" s="98">
        <f t="shared" si="18"/>
        <v>0</v>
      </c>
      <c r="AD227" s="99">
        <f t="shared" si="19"/>
        <v>0</v>
      </c>
    </row>
    <row r="228" spans="1:30" x14ac:dyDescent="0.25">
      <c r="A228" s="41"/>
      <c r="B228" s="80"/>
      <c r="C228" s="52" t="s">
        <v>483</v>
      </c>
      <c r="D228" s="52" t="s">
        <v>426</v>
      </c>
      <c r="E228" s="52" t="s">
        <v>427</v>
      </c>
      <c r="F228" s="41"/>
      <c r="G228" s="41"/>
      <c r="H228" s="41"/>
      <c r="I228" s="41"/>
      <c r="J228" s="53" t="s">
        <v>25</v>
      </c>
      <c r="K228" s="53" t="s">
        <v>17</v>
      </c>
      <c r="L228" s="73">
        <v>0.7</v>
      </c>
      <c r="M228" s="74">
        <v>44000</v>
      </c>
      <c r="N228" s="74">
        <v>30799.999999999996</v>
      </c>
      <c r="O228" s="104"/>
      <c r="P228" s="82"/>
      <c r="Q228" s="82"/>
      <c r="R228" s="82"/>
      <c r="S228" s="82"/>
      <c r="T228" s="89"/>
      <c r="U228" s="41" t="str">
        <f>VLOOKUP(J228,Sheet1!$A$2:$D$200,4,0)</f>
        <v>NL300025</v>
      </c>
      <c r="V228" s="41" t="str">
        <f>VLOOKUP(U228,Sheet1!$D$2:$E$200,2,0)</f>
        <v>Rau cần tây</v>
      </c>
      <c r="W228" s="94" t="str">
        <f t="shared" si="20"/>
        <v>81NL300025</v>
      </c>
      <c r="X228" s="94" t="str">
        <f>COUNTIF($R$15:W228,W228)&amp;W228</f>
        <v>181NL300025</v>
      </c>
      <c r="Y228" s="95">
        <f>IFERROR(VLOOKUP(X228,FAST!$B$7:$M$9722,12,0),"0")</f>
        <v>0.7</v>
      </c>
      <c r="Z228" s="95">
        <f>IFERROR(VLOOKUP(X228,FAST!$B$7:$N$9722,13,0),"0")</f>
        <v>44000</v>
      </c>
      <c r="AA228" s="96">
        <f t="shared" si="16"/>
        <v>30799.999999999996</v>
      </c>
      <c r="AB228" s="97">
        <f t="shared" si="17"/>
        <v>0</v>
      </c>
      <c r="AC228" s="98">
        <f t="shared" si="18"/>
        <v>0</v>
      </c>
      <c r="AD228" s="99">
        <f t="shared" si="19"/>
        <v>0</v>
      </c>
    </row>
    <row r="229" spans="1:30" x14ac:dyDescent="0.25">
      <c r="A229" s="41"/>
      <c r="B229" s="80"/>
      <c r="C229" s="52" t="s">
        <v>483</v>
      </c>
      <c r="D229" s="52" t="s">
        <v>426</v>
      </c>
      <c r="E229" s="52" t="s">
        <v>427</v>
      </c>
      <c r="F229" s="41"/>
      <c r="G229" s="41"/>
      <c r="H229" s="41"/>
      <c r="I229" s="41"/>
      <c r="J229" s="53" t="s">
        <v>73</v>
      </c>
      <c r="K229" s="53" t="s">
        <v>17</v>
      </c>
      <c r="L229" s="73">
        <v>0.5</v>
      </c>
      <c r="M229" s="74">
        <v>34000</v>
      </c>
      <c r="N229" s="74">
        <v>17000</v>
      </c>
      <c r="O229" s="104"/>
      <c r="P229" s="82"/>
      <c r="Q229" s="82"/>
      <c r="R229" s="82"/>
      <c r="S229" s="82"/>
      <c r="T229" s="89"/>
      <c r="U229" s="41" t="str">
        <f>VLOOKUP(J229,Sheet1!$A$2:$D$200,4,0)</f>
        <v>NL300030</v>
      </c>
      <c r="V229" s="41" t="str">
        <f>VLOOKUP(U229,Sheet1!$D$2:$E$200,2,0)</f>
        <v>Chanh dây (chanh leo)</v>
      </c>
      <c r="W229" s="94" t="str">
        <f t="shared" si="20"/>
        <v>81NL300030</v>
      </c>
      <c r="X229" s="94" t="str">
        <f>COUNTIF($R$15:W229,W229)&amp;W229</f>
        <v>181NL300030</v>
      </c>
      <c r="Y229" s="95">
        <f>IFERROR(VLOOKUP(X229,FAST!$B$7:$M$9722,12,0),"0")</f>
        <v>0.5</v>
      </c>
      <c r="Z229" s="95">
        <f>IFERROR(VLOOKUP(X229,FAST!$B$7:$N$9722,13,0),"0")</f>
        <v>34000</v>
      </c>
      <c r="AA229" s="96">
        <f t="shared" si="16"/>
        <v>17000</v>
      </c>
      <c r="AB229" s="97">
        <f t="shared" si="17"/>
        <v>0</v>
      </c>
      <c r="AC229" s="98">
        <f t="shared" si="18"/>
        <v>0</v>
      </c>
      <c r="AD229" s="99">
        <f t="shared" si="19"/>
        <v>0</v>
      </c>
    </row>
    <row r="230" spans="1:30" x14ac:dyDescent="0.25">
      <c r="A230" s="41"/>
      <c r="B230" s="80"/>
      <c r="C230" s="52" t="s">
        <v>483</v>
      </c>
      <c r="D230" s="52" t="s">
        <v>426</v>
      </c>
      <c r="E230" s="52" t="s">
        <v>427</v>
      </c>
      <c r="F230" s="41"/>
      <c r="G230" s="41"/>
      <c r="H230" s="41"/>
      <c r="I230" s="41"/>
      <c r="J230" s="53" t="s">
        <v>27</v>
      </c>
      <c r="K230" s="53" t="s">
        <v>17</v>
      </c>
      <c r="L230" s="73">
        <v>0.4</v>
      </c>
      <c r="M230" s="74">
        <v>47000</v>
      </c>
      <c r="N230" s="74">
        <v>18800</v>
      </c>
      <c r="O230" s="104"/>
      <c r="P230" s="82"/>
      <c r="Q230" s="82"/>
      <c r="R230" s="82"/>
      <c r="S230" s="82"/>
      <c r="T230" s="89"/>
      <c r="U230" s="41" t="str">
        <f>VLOOKUP(J230,Sheet1!$A$2:$D$200,4,0)</f>
        <v>NL300036</v>
      </c>
      <c r="V230" s="41" t="str">
        <f>VLOOKUP(U230,Sheet1!$D$2:$E$200,2,0)</f>
        <v>Củ sen</v>
      </c>
      <c r="W230" s="94" t="str">
        <f t="shared" si="20"/>
        <v>81NL300036</v>
      </c>
      <c r="X230" s="94" t="str">
        <f>COUNTIF($R$15:W230,W230)&amp;W230</f>
        <v>181NL300036</v>
      </c>
      <c r="Y230" s="95">
        <f>IFERROR(VLOOKUP(X230,FAST!$B$7:$M$9722,12,0),"0")</f>
        <v>0.4</v>
      </c>
      <c r="Z230" s="95">
        <f>IFERROR(VLOOKUP(X230,FAST!$B$7:$N$9722,13,0),"0")</f>
        <v>47000</v>
      </c>
      <c r="AA230" s="96">
        <f t="shared" si="16"/>
        <v>18800</v>
      </c>
      <c r="AB230" s="97">
        <f t="shared" si="17"/>
        <v>0</v>
      </c>
      <c r="AC230" s="98">
        <f t="shared" si="18"/>
        <v>0</v>
      </c>
      <c r="AD230" s="99">
        <f t="shared" si="19"/>
        <v>0</v>
      </c>
    </row>
    <row r="231" spans="1:30" x14ac:dyDescent="0.25">
      <c r="A231" s="41"/>
      <c r="B231" s="80"/>
      <c r="C231" s="52" t="s">
        <v>483</v>
      </c>
      <c r="D231" s="52" t="s">
        <v>426</v>
      </c>
      <c r="E231" s="52" t="s">
        <v>427</v>
      </c>
      <c r="F231" s="41"/>
      <c r="G231" s="41"/>
      <c r="H231" s="41"/>
      <c r="I231" s="41"/>
      <c r="J231" s="53" t="s">
        <v>28</v>
      </c>
      <c r="K231" s="53" t="s">
        <v>17</v>
      </c>
      <c r="L231" s="73">
        <v>1.7</v>
      </c>
      <c r="M231" s="74">
        <v>32000</v>
      </c>
      <c r="N231" s="74">
        <v>54400</v>
      </c>
      <c r="O231" s="104"/>
      <c r="P231" s="82"/>
      <c r="Q231" s="82"/>
      <c r="R231" s="82"/>
      <c r="S231" s="82"/>
      <c r="T231" s="89"/>
      <c r="U231" s="41" t="str">
        <f>VLOOKUP(J231,Sheet1!$A$2:$D$200,4,0)</f>
        <v>NL300038</v>
      </c>
      <c r="V231" s="41" t="str">
        <f>VLOOKUP(U231,Sheet1!$D$2:$E$200,2,0)</f>
        <v>Đậu bắp</v>
      </c>
      <c r="W231" s="94" t="str">
        <f t="shared" si="20"/>
        <v>81NL300038</v>
      </c>
      <c r="X231" s="94" t="str">
        <f>COUNTIF($R$15:W231,W231)&amp;W231</f>
        <v>181NL300038</v>
      </c>
      <c r="Y231" s="95">
        <f>IFERROR(VLOOKUP(X231,FAST!$B$7:$M$9722,12,0),"0")</f>
        <v>1.7</v>
      </c>
      <c r="Z231" s="95">
        <f>IFERROR(VLOOKUP(X231,FAST!$B$7:$N$9722,13,0),"0")</f>
        <v>32000</v>
      </c>
      <c r="AA231" s="96">
        <f t="shared" si="16"/>
        <v>54400</v>
      </c>
      <c r="AB231" s="97">
        <f t="shared" si="17"/>
        <v>0</v>
      </c>
      <c r="AC231" s="98">
        <f t="shared" si="18"/>
        <v>0</v>
      </c>
      <c r="AD231" s="99">
        <f t="shared" si="19"/>
        <v>0</v>
      </c>
    </row>
    <row r="232" spans="1:30" x14ac:dyDescent="0.25">
      <c r="A232" s="41"/>
      <c r="B232" s="80"/>
      <c r="C232" s="52" t="s">
        <v>483</v>
      </c>
      <c r="D232" s="52" t="s">
        <v>426</v>
      </c>
      <c r="E232" s="52" t="s">
        <v>427</v>
      </c>
      <c r="F232" s="41"/>
      <c r="G232" s="41"/>
      <c r="H232" s="41"/>
      <c r="I232" s="41"/>
      <c r="J232" s="53" t="s">
        <v>47</v>
      </c>
      <c r="K232" s="53" t="s">
        <v>17</v>
      </c>
      <c r="L232" s="73">
        <v>9.8000000000000007</v>
      </c>
      <c r="M232" s="74">
        <v>18000</v>
      </c>
      <c r="N232" s="74">
        <v>176400</v>
      </c>
      <c r="O232" s="104"/>
      <c r="P232" s="82"/>
      <c r="Q232" s="82"/>
      <c r="R232" s="82"/>
      <c r="S232" s="82"/>
      <c r="T232" s="89"/>
      <c r="U232" s="41" t="str">
        <f>VLOOKUP(J232,Sheet1!$A$2:$D$200,4,0)</f>
        <v>NL600004</v>
      </c>
      <c r="V232" s="41" t="str">
        <f>VLOOKUP(U232,Sheet1!$D$2:$E$200,2,0)</f>
        <v>Dưa hấu</v>
      </c>
      <c r="W232" s="94" t="str">
        <f t="shared" si="20"/>
        <v>81NL600004</v>
      </c>
      <c r="X232" s="94" t="str">
        <f>COUNTIF($R$15:W232,W232)&amp;W232</f>
        <v>181NL600004</v>
      </c>
      <c r="Y232" s="95">
        <f>IFERROR(VLOOKUP(X232,FAST!$B$7:$M$9722,12,0),"0")</f>
        <v>9.8000000000000007</v>
      </c>
      <c r="Z232" s="95">
        <f>IFERROR(VLOOKUP(X232,FAST!$B$7:$N$9722,13,0),"0")</f>
        <v>18000</v>
      </c>
      <c r="AA232" s="96">
        <f t="shared" si="16"/>
        <v>176400</v>
      </c>
      <c r="AB232" s="97">
        <f t="shared" si="17"/>
        <v>0</v>
      </c>
      <c r="AC232" s="98">
        <f t="shared" si="18"/>
        <v>0</v>
      </c>
      <c r="AD232" s="99">
        <f t="shared" si="19"/>
        <v>0</v>
      </c>
    </row>
    <row r="233" spans="1:30" x14ac:dyDescent="0.25">
      <c r="A233" s="41"/>
      <c r="B233" s="80"/>
      <c r="C233" s="52" t="s">
        <v>483</v>
      </c>
      <c r="D233" s="52" t="s">
        <v>426</v>
      </c>
      <c r="E233" s="52" t="s">
        <v>427</v>
      </c>
      <c r="F233" s="41"/>
      <c r="G233" s="41"/>
      <c r="H233" s="41"/>
      <c r="I233" s="41"/>
      <c r="J233" s="53" t="s">
        <v>71</v>
      </c>
      <c r="K233" s="53" t="s">
        <v>17</v>
      </c>
      <c r="L233" s="73">
        <v>0.9</v>
      </c>
      <c r="M233" s="74">
        <v>13000</v>
      </c>
      <c r="N233" s="74">
        <v>11700</v>
      </c>
      <c r="O233" s="104"/>
      <c r="P233" s="82"/>
      <c r="Q233" s="82"/>
      <c r="R233" s="82"/>
      <c r="S233" s="82"/>
      <c r="T233" s="89"/>
      <c r="U233" s="41" t="str">
        <f>VLOOKUP(J233,Sheet1!$A$2:$D$200,4,0)</f>
        <v>NL300059</v>
      </c>
      <c r="V233" s="41" t="str">
        <f>VLOOKUP(U233,Sheet1!$D$2:$E$200,2,0)</f>
        <v>Hành tây</v>
      </c>
      <c r="W233" s="94" t="str">
        <f t="shared" si="20"/>
        <v>81NL300059</v>
      </c>
      <c r="X233" s="94" t="str">
        <f>COUNTIF($R$15:W233,W233)&amp;W233</f>
        <v>181NL300059</v>
      </c>
      <c r="Y233" s="95">
        <f>IFERROR(VLOOKUP(X233,FAST!$B$7:$M$9722,12,0),"0")</f>
        <v>0.9</v>
      </c>
      <c r="Z233" s="95">
        <f>IFERROR(VLOOKUP(X233,FAST!$B$7:$N$9722,13,0),"0")</f>
        <v>13000</v>
      </c>
      <c r="AA233" s="96">
        <f t="shared" si="16"/>
        <v>11700</v>
      </c>
      <c r="AB233" s="97">
        <f t="shared" si="17"/>
        <v>0</v>
      </c>
      <c r="AC233" s="98">
        <f t="shared" si="18"/>
        <v>0</v>
      </c>
      <c r="AD233" s="99">
        <f t="shared" si="19"/>
        <v>0</v>
      </c>
    </row>
    <row r="234" spans="1:30" x14ac:dyDescent="0.25">
      <c r="A234" s="41"/>
      <c r="B234" s="80"/>
      <c r="C234" s="52" t="s">
        <v>483</v>
      </c>
      <c r="D234" s="52" t="s">
        <v>426</v>
      </c>
      <c r="E234" s="52" t="s">
        <v>427</v>
      </c>
      <c r="F234" s="41"/>
      <c r="G234" s="41"/>
      <c r="H234" s="41"/>
      <c r="I234" s="41"/>
      <c r="J234" s="53" t="s">
        <v>31</v>
      </c>
      <c r="K234" s="53" t="s">
        <v>17</v>
      </c>
      <c r="L234" s="73">
        <v>0.9</v>
      </c>
      <c r="M234" s="74">
        <v>27000</v>
      </c>
      <c r="N234" s="74">
        <v>24300</v>
      </c>
      <c r="O234" s="104"/>
      <c r="P234" s="82"/>
      <c r="Q234" s="82"/>
      <c r="R234" s="82"/>
      <c r="S234" s="82"/>
      <c r="T234" s="89"/>
      <c r="U234" s="41" t="str">
        <f>VLOOKUP(J234,Sheet1!$A$2:$D$200,4,0)</f>
        <v>NL300088</v>
      </c>
      <c r="V234" s="41" t="str">
        <f>VLOOKUP(U234,Sheet1!$D$2:$E$200,2,0)</f>
        <v>Mướp hương</v>
      </c>
      <c r="W234" s="94" t="str">
        <f t="shared" si="20"/>
        <v>81NL300088</v>
      </c>
      <c r="X234" s="94" t="str">
        <f>COUNTIF($R$15:W234,W234)&amp;W234</f>
        <v>181NL300088</v>
      </c>
      <c r="Y234" s="95">
        <f>IFERROR(VLOOKUP(X234,FAST!$B$7:$M$9722,12,0),"0")</f>
        <v>0.9</v>
      </c>
      <c r="Z234" s="95">
        <f>IFERROR(VLOOKUP(X234,FAST!$B$7:$N$9722,13,0),"0")</f>
        <v>27000</v>
      </c>
      <c r="AA234" s="96">
        <f t="shared" si="16"/>
        <v>24300</v>
      </c>
      <c r="AB234" s="97">
        <f t="shared" si="17"/>
        <v>0</v>
      </c>
      <c r="AC234" s="98">
        <f t="shared" si="18"/>
        <v>0</v>
      </c>
      <c r="AD234" s="99">
        <f t="shared" si="19"/>
        <v>0</v>
      </c>
    </row>
    <row r="235" spans="1:30" x14ac:dyDescent="0.25">
      <c r="A235" s="41"/>
      <c r="B235" s="80"/>
      <c r="C235" s="52" t="s">
        <v>483</v>
      </c>
      <c r="D235" s="52" t="s">
        <v>426</v>
      </c>
      <c r="E235" s="52" t="s">
        <v>427</v>
      </c>
      <c r="F235" s="41"/>
      <c r="G235" s="41"/>
      <c r="H235" s="41"/>
      <c r="I235" s="41"/>
      <c r="J235" s="53" t="s">
        <v>64</v>
      </c>
      <c r="K235" s="53" t="s">
        <v>17</v>
      </c>
      <c r="L235" s="73">
        <v>0.2</v>
      </c>
      <c r="M235" s="74">
        <v>250000</v>
      </c>
      <c r="N235" s="74">
        <v>50000</v>
      </c>
      <c r="O235" s="104"/>
      <c r="P235" s="82"/>
      <c r="Q235" s="82"/>
      <c r="R235" s="82"/>
      <c r="S235" s="82"/>
      <c r="T235" s="89"/>
      <c r="U235" s="41" t="str">
        <f>VLOOKUP(J235,Sheet1!$A$2:$D$200,4,0)</f>
        <v>NL300158</v>
      </c>
      <c r="V235" s="41" t="str">
        <f>VLOOKUP(U235,Sheet1!$D$2:$E$200,2,0)</f>
        <v>Nấm mỡ đen</v>
      </c>
      <c r="W235" s="94" t="str">
        <f t="shared" si="20"/>
        <v>81NL300158</v>
      </c>
      <c r="X235" s="94" t="str">
        <f>COUNTIF($R$15:W235,W235)&amp;W235</f>
        <v>181NL300158</v>
      </c>
      <c r="Y235" s="95">
        <f>IFERROR(VLOOKUP(X235,FAST!$B$7:$M$9722,12,0),"0")</f>
        <v>0.2</v>
      </c>
      <c r="Z235" s="95">
        <f>IFERROR(VLOOKUP(X235,FAST!$B$7:$N$9722,13,0),"0")</f>
        <v>250000</v>
      </c>
      <c r="AA235" s="96">
        <f t="shared" si="16"/>
        <v>50000</v>
      </c>
      <c r="AB235" s="97">
        <f t="shared" si="17"/>
        <v>0</v>
      </c>
      <c r="AC235" s="98">
        <f t="shared" si="18"/>
        <v>0</v>
      </c>
      <c r="AD235" s="99">
        <f t="shared" si="19"/>
        <v>0</v>
      </c>
    </row>
    <row r="236" spans="1:30" x14ac:dyDescent="0.25">
      <c r="A236" s="41"/>
      <c r="B236" s="80"/>
      <c r="C236" s="52" t="s">
        <v>483</v>
      </c>
      <c r="D236" s="52" t="s">
        <v>426</v>
      </c>
      <c r="E236" s="52" t="s">
        <v>427</v>
      </c>
      <c r="F236" s="41"/>
      <c r="G236" s="41"/>
      <c r="H236" s="41"/>
      <c r="I236" s="41"/>
      <c r="J236" s="53" t="s">
        <v>66</v>
      </c>
      <c r="K236" s="53" t="s">
        <v>17</v>
      </c>
      <c r="L236" s="73">
        <v>0.1</v>
      </c>
      <c r="M236" s="74">
        <v>70000</v>
      </c>
      <c r="N236" s="74">
        <v>7000</v>
      </c>
      <c r="O236" s="104"/>
      <c r="P236" s="82"/>
      <c r="Q236" s="82"/>
      <c r="R236" s="82"/>
      <c r="S236" s="82"/>
      <c r="T236" s="89"/>
      <c r="U236" s="41" t="str">
        <f>VLOOKUP(J236,Sheet1!$A$2:$D$200,4,0)</f>
        <v>NL300126</v>
      </c>
      <c r="V236" s="41" t="str">
        <f>VLOOKUP(U236,Sheet1!$D$2:$E$200,2,0)</f>
        <v>Rau mùi tây</v>
      </c>
      <c r="W236" s="94" t="str">
        <f t="shared" si="20"/>
        <v>81NL300126</v>
      </c>
      <c r="X236" s="94" t="str">
        <f>COUNTIF($R$15:W236,W236)&amp;W236</f>
        <v>181NL300126</v>
      </c>
      <c r="Y236" s="95">
        <f>IFERROR(VLOOKUP(X236,FAST!$B$7:$M$9722,12,0),"0")</f>
        <v>0.1</v>
      </c>
      <c r="Z236" s="95">
        <f>IFERROR(VLOOKUP(X236,FAST!$B$7:$N$9722,13,0),"0")</f>
        <v>70000</v>
      </c>
      <c r="AA236" s="96">
        <f t="shared" si="16"/>
        <v>7000</v>
      </c>
      <c r="AB236" s="97">
        <f t="shared" si="17"/>
        <v>0</v>
      </c>
      <c r="AC236" s="98">
        <f t="shared" si="18"/>
        <v>0</v>
      </c>
      <c r="AD236" s="99">
        <f t="shared" si="19"/>
        <v>0</v>
      </c>
    </row>
    <row r="237" spans="1:30" x14ac:dyDescent="0.25">
      <c r="A237" s="41"/>
      <c r="B237" s="80"/>
      <c r="C237" s="52" t="s">
        <v>483</v>
      </c>
      <c r="D237" s="52" t="s">
        <v>426</v>
      </c>
      <c r="E237" s="52" t="s">
        <v>427</v>
      </c>
      <c r="F237" s="41"/>
      <c r="G237" s="41"/>
      <c r="H237" s="41"/>
      <c r="I237" s="41"/>
      <c r="J237" s="53" t="s">
        <v>33</v>
      </c>
      <c r="K237" s="53" t="s">
        <v>17</v>
      </c>
      <c r="L237" s="73">
        <v>0.8</v>
      </c>
      <c r="M237" s="74">
        <v>145000</v>
      </c>
      <c r="N237" s="74">
        <v>116000</v>
      </c>
      <c r="O237" s="104"/>
      <c r="P237" s="82"/>
      <c r="Q237" s="82"/>
      <c r="R237" s="82"/>
      <c r="S237" s="82"/>
      <c r="T237" s="89"/>
      <c r="U237" s="41" t="str">
        <f>VLOOKUP(J237,Sheet1!$A$2:$D$200,4,0)</f>
        <v>NL300113</v>
      </c>
      <c r="V237" s="41" t="str">
        <f>VLOOKUP(U237,Sheet1!$D$2:$E$200,2,0)</f>
        <v>Ớt hiểm đỏ</v>
      </c>
      <c r="W237" s="94" t="str">
        <f t="shared" si="20"/>
        <v>81NL300113</v>
      </c>
      <c r="X237" s="94" t="str">
        <f>COUNTIF($R$15:W237,W237)&amp;W237</f>
        <v>181NL300113</v>
      </c>
      <c r="Y237" s="95">
        <f>IFERROR(VLOOKUP(X237,FAST!$B$7:$M$9722,12,0),"0")</f>
        <v>0.8</v>
      </c>
      <c r="Z237" s="95">
        <f>IFERROR(VLOOKUP(X237,FAST!$B$7:$N$9722,13,0),"0")</f>
        <v>145000</v>
      </c>
      <c r="AA237" s="96">
        <f t="shared" si="16"/>
        <v>116000</v>
      </c>
      <c r="AB237" s="97">
        <f t="shared" si="17"/>
        <v>0</v>
      </c>
      <c r="AC237" s="98">
        <f t="shared" si="18"/>
        <v>0</v>
      </c>
      <c r="AD237" s="99">
        <f t="shared" si="19"/>
        <v>0</v>
      </c>
    </row>
    <row r="238" spans="1:30" x14ac:dyDescent="0.25">
      <c r="A238" s="41"/>
      <c r="B238" s="80"/>
      <c r="C238" s="52" t="s">
        <v>483</v>
      </c>
      <c r="D238" s="52" t="s">
        <v>426</v>
      </c>
      <c r="E238" s="52" t="s">
        <v>427</v>
      </c>
      <c r="F238" s="41"/>
      <c r="G238" s="41"/>
      <c r="H238" s="41"/>
      <c r="I238" s="41"/>
      <c r="J238" s="53" t="s">
        <v>51</v>
      </c>
      <c r="K238" s="53" t="s">
        <v>17</v>
      </c>
      <c r="L238" s="73">
        <v>0.18</v>
      </c>
      <c r="M238" s="74">
        <v>148000</v>
      </c>
      <c r="N238" s="74">
        <v>26640</v>
      </c>
      <c r="O238" s="104"/>
      <c r="P238" s="82"/>
      <c r="Q238" s="82"/>
      <c r="R238" s="82"/>
      <c r="S238" s="82"/>
      <c r="T238" s="89"/>
      <c r="U238" s="41" t="str">
        <f>VLOOKUP(J238,Sheet1!$A$2:$D$200,4,0)</f>
        <v>NL300116</v>
      </c>
      <c r="V238" s="41" t="str">
        <f>VLOOKUP(U238,Sheet1!$D$2:$E$200,2,0)</f>
        <v>Ớt sừng</v>
      </c>
      <c r="W238" s="94" t="str">
        <f t="shared" si="20"/>
        <v>81NL300116</v>
      </c>
      <c r="X238" s="94" t="str">
        <f>COUNTIF($R$15:W238,W238)&amp;W238</f>
        <v>181NL300116</v>
      </c>
      <c r="Y238" s="95">
        <f>IFERROR(VLOOKUP(X238,FAST!$B$7:$M$9722,12,0),"0")</f>
        <v>0.18</v>
      </c>
      <c r="Z238" s="95">
        <f>IFERROR(VLOOKUP(X238,FAST!$B$7:$N$9722,13,0),"0")</f>
        <v>148000</v>
      </c>
      <c r="AA238" s="96">
        <f t="shared" si="16"/>
        <v>26640</v>
      </c>
      <c r="AB238" s="97">
        <f t="shared" si="17"/>
        <v>0</v>
      </c>
      <c r="AC238" s="98">
        <f t="shared" si="18"/>
        <v>0</v>
      </c>
      <c r="AD238" s="99">
        <f t="shared" si="19"/>
        <v>0</v>
      </c>
    </row>
    <row r="239" spans="1:30" x14ac:dyDescent="0.25">
      <c r="A239" s="41"/>
      <c r="B239" s="80"/>
      <c r="C239" s="52" t="s">
        <v>483</v>
      </c>
      <c r="D239" s="52" t="s">
        <v>426</v>
      </c>
      <c r="E239" s="52" t="s">
        <v>427</v>
      </c>
      <c r="F239" s="41"/>
      <c r="G239" s="41"/>
      <c r="H239" s="41"/>
      <c r="I239" s="41"/>
      <c r="J239" s="53" t="s">
        <v>35</v>
      </c>
      <c r="K239" s="53" t="s">
        <v>17</v>
      </c>
      <c r="L239" s="73">
        <v>0.1</v>
      </c>
      <c r="M239" s="74">
        <v>22000</v>
      </c>
      <c r="N239" s="74">
        <v>2200</v>
      </c>
      <c r="O239" s="104"/>
      <c r="P239" s="82"/>
      <c r="Q239" s="82"/>
      <c r="R239" s="82"/>
      <c r="S239" s="82"/>
      <c r="T239" s="89"/>
      <c r="U239" s="41" t="str">
        <f>VLOOKUP(J239,Sheet1!$A$2:$D$200,4,0)</f>
        <v>NL300121</v>
      </c>
      <c r="V239" s="41" t="str">
        <f>VLOOKUP(U239,Sheet1!$D$2:$E$200,2,0)</f>
        <v>Rau răm</v>
      </c>
      <c r="W239" s="94" t="str">
        <f t="shared" si="20"/>
        <v>81NL300121</v>
      </c>
      <c r="X239" s="94" t="str">
        <f>COUNTIF($R$15:W239,W239)&amp;W239</f>
        <v>181NL300121</v>
      </c>
      <c r="Y239" s="95">
        <f>IFERROR(VLOOKUP(X239,FAST!$B$7:$M$9722,12,0),"0")</f>
        <v>0.1</v>
      </c>
      <c r="Z239" s="95">
        <f>IFERROR(VLOOKUP(X239,FAST!$B$7:$N$9722,13,0),"0")</f>
        <v>22000</v>
      </c>
      <c r="AA239" s="96">
        <f t="shared" si="16"/>
        <v>2200</v>
      </c>
      <c r="AB239" s="97">
        <f t="shared" si="17"/>
        <v>0</v>
      </c>
      <c r="AC239" s="98">
        <f t="shared" si="18"/>
        <v>0</v>
      </c>
      <c r="AD239" s="99">
        <f t="shared" si="19"/>
        <v>0</v>
      </c>
    </row>
    <row r="240" spans="1:30" x14ac:dyDescent="0.25">
      <c r="A240" s="41"/>
      <c r="B240" s="80"/>
      <c r="C240" s="52" t="s">
        <v>483</v>
      </c>
      <c r="D240" s="52" t="s">
        <v>426</v>
      </c>
      <c r="E240" s="52" t="s">
        <v>427</v>
      </c>
      <c r="F240" s="41"/>
      <c r="G240" s="41"/>
      <c r="H240" s="41"/>
      <c r="I240" s="41"/>
      <c r="J240" s="53" t="s">
        <v>232</v>
      </c>
      <c r="K240" s="53" t="s">
        <v>17</v>
      </c>
      <c r="L240" s="73">
        <v>0.2</v>
      </c>
      <c r="M240" s="74">
        <v>36000</v>
      </c>
      <c r="N240" s="74">
        <v>7200</v>
      </c>
      <c r="O240" s="104"/>
      <c r="P240" s="82"/>
      <c r="Q240" s="82"/>
      <c r="R240" s="82"/>
      <c r="S240" s="82"/>
      <c r="T240" s="89"/>
      <c r="U240" s="41" t="str">
        <f>VLOOKUP(J240,Sheet1!$A$2:$D$200,4,0)</f>
        <v>NL300140</v>
      </c>
      <c r="V240" s="41" t="str">
        <f>VLOOKUP(U240,Sheet1!$D$2:$E$200,2,0)</f>
        <v>Tía tô</v>
      </c>
      <c r="W240" s="94" t="str">
        <f t="shared" si="20"/>
        <v>81NL300140</v>
      </c>
      <c r="X240" s="94" t="str">
        <f>COUNTIF($R$15:W240,W240)&amp;W240</f>
        <v>181NL300140</v>
      </c>
      <c r="Y240" s="95">
        <f>IFERROR(VLOOKUP(X240,FAST!$B$7:$M$9722,12,0),"0")</f>
        <v>0.2</v>
      </c>
      <c r="Z240" s="95">
        <f>IFERROR(VLOOKUP(X240,FAST!$B$7:$N$9722,13,0),"0")</f>
        <v>36000</v>
      </c>
      <c r="AA240" s="96">
        <f t="shared" si="16"/>
        <v>7200</v>
      </c>
      <c r="AB240" s="97">
        <f t="shared" si="17"/>
        <v>0</v>
      </c>
      <c r="AC240" s="98">
        <f t="shared" si="18"/>
        <v>0</v>
      </c>
      <c r="AD240" s="99">
        <f t="shared" si="19"/>
        <v>0</v>
      </c>
    </row>
    <row r="241" spans="1:30" x14ac:dyDescent="0.25">
      <c r="A241" s="41"/>
      <c r="B241" s="80"/>
      <c r="C241" s="52" t="s">
        <v>483</v>
      </c>
      <c r="D241" s="52" t="s">
        <v>426</v>
      </c>
      <c r="E241" s="52" t="s">
        <v>427</v>
      </c>
      <c r="F241" s="41"/>
      <c r="G241" s="41"/>
      <c r="H241" s="41"/>
      <c r="I241" s="41"/>
      <c r="J241" s="53" t="s">
        <v>60</v>
      </c>
      <c r="K241" s="53" t="s">
        <v>17</v>
      </c>
      <c r="L241" s="73">
        <v>0.5</v>
      </c>
      <c r="M241" s="74">
        <v>21000</v>
      </c>
      <c r="N241" s="74">
        <v>10500</v>
      </c>
      <c r="O241" s="104"/>
      <c r="P241" s="82"/>
      <c r="Q241" s="82"/>
      <c r="R241" s="82"/>
      <c r="S241" s="82"/>
      <c r="T241" s="89"/>
      <c r="U241" s="41" t="str">
        <f>VLOOKUP(J241,Sheet1!$A$2:$D$200,4,0)</f>
        <v>NL300119</v>
      </c>
      <c r="V241" s="41" t="str">
        <f>VLOOKUP(U241,Sheet1!$D$2:$E$200,2,0)</f>
        <v>Quất ( Tắc trái )</v>
      </c>
      <c r="W241" s="94" t="str">
        <f t="shared" si="20"/>
        <v>81NL300119</v>
      </c>
      <c r="X241" s="94" t="str">
        <f>COUNTIF($R$15:W241,W241)&amp;W241</f>
        <v>181NL300119</v>
      </c>
      <c r="Y241" s="95">
        <f>IFERROR(VLOOKUP(X241,FAST!$B$7:$M$9722,12,0),"0")</f>
        <v>0.5</v>
      </c>
      <c r="Z241" s="95">
        <f>IFERROR(VLOOKUP(X241,FAST!$B$7:$N$9722,13,0),"0")</f>
        <v>21000</v>
      </c>
      <c r="AA241" s="96">
        <f t="shared" si="16"/>
        <v>10500</v>
      </c>
      <c r="AB241" s="97">
        <f t="shared" si="17"/>
        <v>0</v>
      </c>
      <c r="AC241" s="98">
        <f t="shared" si="18"/>
        <v>0</v>
      </c>
      <c r="AD241" s="99">
        <f t="shared" si="19"/>
        <v>0</v>
      </c>
    </row>
    <row r="242" spans="1:30" x14ac:dyDescent="0.25">
      <c r="A242" s="41"/>
      <c r="B242" s="80"/>
      <c r="C242" s="52" t="s">
        <v>483</v>
      </c>
      <c r="D242" s="52" t="s">
        <v>426</v>
      </c>
      <c r="E242" s="52" t="s">
        <v>427</v>
      </c>
      <c r="F242" s="41"/>
      <c r="G242" s="41"/>
      <c r="H242" s="41"/>
      <c r="I242" s="41"/>
      <c r="J242" s="53" t="s">
        <v>58</v>
      </c>
      <c r="K242" s="53" t="s">
        <v>17</v>
      </c>
      <c r="L242" s="73">
        <v>0.1</v>
      </c>
      <c r="M242" s="74">
        <v>42000</v>
      </c>
      <c r="N242" s="74">
        <v>4200</v>
      </c>
      <c r="O242" s="104"/>
      <c r="P242" s="82"/>
      <c r="Q242" s="82"/>
      <c r="R242" s="82"/>
      <c r="S242" s="82"/>
      <c r="T242" s="89"/>
      <c r="U242" s="41" t="str">
        <f>VLOOKUP(J242,Sheet1!$A$2:$D$200,4,0)</f>
        <v>NL300139</v>
      </c>
      <c r="V242" s="41" t="str">
        <f>VLOOKUP(U242,Sheet1!$D$2:$E$200,2,0)</f>
        <v>Thì là</v>
      </c>
      <c r="W242" s="94" t="str">
        <f t="shared" si="20"/>
        <v>81NL300139</v>
      </c>
      <c r="X242" s="94" t="str">
        <f>COUNTIF($R$15:W242,W242)&amp;W242</f>
        <v>181NL300139</v>
      </c>
      <c r="Y242" s="95">
        <f>IFERROR(VLOOKUP(X242,FAST!$B$7:$M$9722,12,0),"0")</f>
        <v>0.1</v>
      </c>
      <c r="Z242" s="95">
        <f>IFERROR(VLOOKUP(X242,FAST!$B$7:$N$9722,13,0),"0")</f>
        <v>42000</v>
      </c>
      <c r="AA242" s="96">
        <f t="shared" si="16"/>
        <v>4200</v>
      </c>
      <c r="AB242" s="97">
        <f t="shared" si="17"/>
        <v>0</v>
      </c>
      <c r="AC242" s="98">
        <f t="shared" si="18"/>
        <v>0</v>
      </c>
      <c r="AD242" s="99">
        <f t="shared" si="19"/>
        <v>0</v>
      </c>
    </row>
    <row r="243" spans="1:30" x14ac:dyDescent="0.25">
      <c r="A243" s="41"/>
      <c r="B243" s="80"/>
      <c r="C243" s="52" t="s">
        <v>483</v>
      </c>
      <c r="D243" s="52" t="s">
        <v>426</v>
      </c>
      <c r="E243" s="52" t="s">
        <v>427</v>
      </c>
      <c r="F243" s="41"/>
      <c r="G243" s="41"/>
      <c r="H243" s="41"/>
      <c r="I243" s="41"/>
      <c r="J243" s="53" t="s">
        <v>38</v>
      </c>
      <c r="K243" s="53" t="s">
        <v>17</v>
      </c>
      <c r="L243" s="73">
        <v>2.1</v>
      </c>
      <c r="M243" s="74">
        <v>50000</v>
      </c>
      <c r="N243" s="74">
        <v>105000</v>
      </c>
      <c r="O243" s="104"/>
      <c r="P243" s="82"/>
      <c r="Q243" s="82"/>
      <c r="R243" s="82"/>
      <c r="S243" s="82"/>
      <c r="T243" s="89"/>
      <c r="U243" s="41" t="str">
        <f>VLOOKUP(J243,Sheet1!$A$2:$D$200,4,0)</f>
        <v>NL300142</v>
      </c>
      <c r="V243" s="41" t="str">
        <f>VLOOKUP(U243,Sheet1!$D$2:$E$200,2,0)</f>
        <v>Tỏi bóc</v>
      </c>
      <c r="W243" s="94" t="str">
        <f t="shared" si="20"/>
        <v>81NL300142</v>
      </c>
      <c r="X243" s="94" t="str">
        <f>COUNTIF($R$15:W243,W243)&amp;W243</f>
        <v>181NL300142</v>
      </c>
      <c r="Y243" s="95">
        <f>IFERROR(VLOOKUP(X243,FAST!$B$7:$M$9722,12,0),"0")</f>
        <v>2.1</v>
      </c>
      <c r="Z243" s="95">
        <f>IFERROR(VLOOKUP(X243,FAST!$B$7:$N$9722,13,0),"0")</f>
        <v>50000</v>
      </c>
      <c r="AA243" s="96">
        <f t="shared" si="16"/>
        <v>105000</v>
      </c>
      <c r="AB243" s="97">
        <f t="shared" si="17"/>
        <v>0</v>
      </c>
      <c r="AC243" s="98">
        <f t="shared" si="18"/>
        <v>0</v>
      </c>
      <c r="AD243" s="99">
        <f t="shared" si="19"/>
        <v>0</v>
      </c>
    </row>
    <row r="244" spans="1:30" x14ac:dyDescent="0.25">
      <c r="A244" s="41"/>
      <c r="B244" s="80"/>
      <c r="C244" s="52" t="s">
        <v>483</v>
      </c>
      <c r="D244" s="52" t="s">
        <v>426</v>
      </c>
      <c r="E244" s="52" t="s">
        <v>427</v>
      </c>
      <c r="F244" s="41"/>
      <c r="G244" s="41"/>
      <c r="H244" s="41"/>
      <c r="I244" s="41"/>
      <c r="J244" s="53" t="s">
        <v>472</v>
      </c>
      <c r="K244" s="53" t="s">
        <v>53</v>
      </c>
      <c r="L244" s="73">
        <v>10</v>
      </c>
      <c r="M244" s="74">
        <v>9000</v>
      </c>
      <c r="N244" s="74">
        <v>90000</v>
      </c>
      <c r="O244" s="104"/>
      <c r="P244" s="82"/>
      <c r="Q244" s="82"/>
      <c r="R244" s="82"/>
      <c r="S244" s="82"/>
      <c r="T244" s="82"/>
      <c r="U244" s="41" t="str">
        <f>VLOOKUP(J244,Sheet1!$A$2:$D$200,4,0)</f>
        <v>NL100279</v>
      </c>
      <c r="V244" s="41" t="str">
        <f>VLOOKUP(U244,Sheet1!$D$2:$E$200,2,0)</f>
        <v>Trứng Bắc Thảo</v>
      </c>
      <c r="W244" s="94" t="str">
        <f t="shared" si="20"/>
        <v>81NL100279</v>
      </c>
      <c r="X244" s="94" t="str">
        <f>COUNTIF($R$15:W244,W244)&amp;W244</f>
        <v>181NL100279</v>
      </c>
      <c r="Y244" s="95">
        <f>IFERROR(VLOOKUP(X244,FAST!$B$7:$M$9722,12,0),"0")</f>
        <v>10</v>
      </c>
      <c r="Z244" s="95">
        <f>IFERROR(VLOOKUP(X244,FAST!$B$7:$N$9722,13,0),"0")</f>
        <v>9000</v>
      </c>
      <c r="AA244" s="96">
        <f t="shared" si="16"/>
        <v>90000</v>
      </c>
      <c r="AB244" s="97">
        <f t="shared" si="17"/>
        <v>0</v>
      </c>
      <c r="AC244" s="98">
        <f t="shared" si="18"/>
        <v>0</v>
      </c>
      <c r="AD244" s="99">
        <f t="shared" si="19"/>
        <v>0</v>
      </c>
    </row>
    <row r="245" spans="1:30" x14ac:dyDescent="0.25">
      <c r="A245" s="41"/>
      <c r="B245" s="80"/>
      <c r="C245" s="52" t="s">
        <v>483</v>
      </c>
      <c r="D245" s="52" t="s">
        <v>426</v>
      </c>
      <c r="E245" s="52" t="s">
        <v>427</v>
      </c>
      <c r="F245" s="41"/>
      <c r="G245" s="41"/>
      <c r="H245" s="41"/>
      <c r="I245" s="41"/>
      <c r="J245" s="53" t="s">
        <v>52</v>
      </c>
      <c r="K245" s="53" t="s">
        <v>53</v>
      </c>
      <c r="L245" s="73">
        <v>37</v>
      </c>
      <c r="M245" s="74">
        <v>5000</v>
      </c>
      <c r="N245" s="74">
        <v>185000</v>
      </c>
      <c r="O245" s="104"/>
      <c r="P245" s="82"/>
      <c r="Q245" s="82"/>
      <c r="R245" s="82"/>
      <c r="S245" s="82"/>
      <c r="T245" s="82"/>
      <c r="U245" s="41" t="str">
        <f>VLOOKUP(J245,Sheet1!$A$2:$D$200,4,0)</f>
        <v>NL100101</v>
      </c>
      <c r="V245" s="41" t="str">
        <f>VLOOKUP(U245,Sheet1!$D$2:$E$200,2,0)</f>
        <v>Trứng vịt muối</v>
      </c>
      <c r="W245" s="94" t="str">
        <f t="shared" si="20"/>
        <v>81NL100101</v>
      </c>
      <c r="X245" s="94" t="str">
        <f>COUNTIF($R$15:W245,W245)&amp;W245</f>
        <v>181NL100101</v>
      </c>
      <c r="Y245" s="95">
        <f>IFERROR(VLOOKUP(X245,FAST!$B$7:$M$9722,12,0),"0")</f>
        <v>37</v>
      </c>
      <c r="Z245" s="95">
        <f>IFERROR(VLOOKUP(X245,FAST!$B$7:$N$9722,13,0),"0")</f>
        <v>5000</v>
      </c>
      <c r="AA245" s="96">
        <f t="shared" si="16"/>
        <v>185000</v>
      </c>
      <c r="AB245" s="97">
        <f t="shared" si="17"/>
        <v>0</v>
      </c>
      <c r="AC245" s="98">
        <f t="shared" si="18"/>
        <v>0</v>
      </c>
      <c r="AD245" s="99">
        <f t="shared" si="19"/>
        <v>0</v>
      </c>
    </row>
    <row r="246" spans="1:30" x14ac:dyDescent="0.25">
      <c r="A246" s="41"/>
      <c r="B246" s="80"/>
      <c r="C246" s="52" t="s">
        <v>483</v>
      </c>
      <c r="D246" s="52" t="s">
        <v>426</v>
      </c>
      <c r="E246" s="52" t="s">
        <v>427</v>
      </c>
      <c r="F246" s="41"/>
      <c r="G246" s="41"/>
      <c r="H246" s="41"/>
      <c r="I246" s="41"/>
      <c r="J246" s="53" t="s">
        <v>37</v>
      </c>
      <c r="K246" s="53" t="s">
        <v>17</v>
      </c>
      <c r="L246" s="73">
        <v>1.5</v>
      </c>
      <c r="M246" s="74">
        <v>62000</v>
      </c>
      <c r="N246" s="74">
        <v>93000</v>
      </c>
      <c r="O246" s="104"/>
      <c r="P246" s="82"/>
      <c r="Q246" s="82"/>
      <c r="R246" s="82"/>
      <c r="S246" s="82"/>
      <c r="T246" s="82"/>
      <c r="U246" s="41" t="str">
        <f>VLOOKUP(J246,Sheet1!$A$2:$D$200,4,0)</f>
        <v>NL300147</v>
      </c>
      <c r="V246" s="41" t="str">
        <f>VLOOKUP(U246,Sheet1!$D$2:$E$200,2,0)</f>
        <v>Xà lách Roman</v>
      </c>
      <c r="W246" s="94" t="str">
        <f t="shared" si="20"/>
        <v>81NL300147</v>
      </c>
      <c r="X246" s="94" t="str">
        <f>COUNTIF($R$15:W246,W246)&amp;W246</f>
        <v>181NL300147</v>
      </c>
      <c r="Y246" s="95">
        <f>IFERROR(VLOOKUP(X246,FAST!$B$7:$M$9722,12,0),"0")</f>
        <v>1.5</v>
      </c>
      <c r="Z246" s="95">
        <f>IFERROR(VLOOKUP(X246,FAST!$B$7:$N$9722,13,0),"0")</f>
        <v>62000</v>
      </c>
      <c r="AA246" s="96">
        <f t="shared" si="16"/>
        <v>93000</v>
      </c>
      <c r="AB246" s="97">
        <f t="shared" si="17"/>
        <v>0</v>
      </c>
      <c r="AC246" s="98">
        <f t="shared" si="18"/>
        <v>0</v>
      </c>
      <c r="AD246" s="99">
        <f t="shared" si="19"/>
        <v>0</v>
      </c>
    </row>
    <row r="247" spans="1:30" x14ac:dyDescent="0.25">
      <c r="A247" s="41"/>
      <c r="B247" s="80"/>
      <c r="C247" s="52" t="s">
        <v>483</v>
      </c>
      <c r="D247" s="52" t="s">
        <v>426</v>
      </c>
      <c r="E247" s="52" t="s">
        <v>427</v>
      </c>
      <c r="F247" s="41"/>
      <c r="G247" s="41"/>
      <c r="H247" s="41"/>
      <c r="I247" s="41"/>
      <c r="J247" s="53" t="s">
        <v>74</v>
      </c>
      <c r="K247" s="53" t="s">
        <v>17</v>
      </c>
      <c r="L247" s="73">
        <v>0.3</v>
      </c>
      <c r="M247" s="74">
        <v>95000</v>
      </c>
      <c r="N247" s="74">
        <v>28500</v>
      </c>
      <c r="O247" s="104"/>
      <c r="P247" s="82"/>
      <c r="Q247" s="82"/>
      <c r="R247" s="82"/>
      <c r="S247" s="82"/>
      <c r="T247" s="82"/>
      <c r="U247" s="41" t="str">
        <f>VLOOKUP(J247,Sheet1!$A$2:$D$200,4,0)</f>
        <v>NL600068</v>
      </c>
      <c r="V247" s="41" t="str">
        <f>VLOOKUP(U247,Sheet1!$D$2:$E$200,2,0)</f>
        <v>Chanh vàng</v>
      </c>
      <c r="W247" s="94" t="str">
        <f t="shared" si="20"/>
        <v>81NL600068</v>
      </c>
      <c r="X247" s="94" t="str">
        <f>COUNTIF($R$15:W247,W247)&amp;W247</f>
        <v>181NL600068</v>
      </c>
      <c r="Y247" s="95">
        <f>IFERROR(VLOOKUP(X247,FAST!$B$7:$M$9722,12,0),"0")</f>
        <v>0.3</v>
      </c>
      <c r="Z247" s="95">
        <f>IFERROR(VLOOKUP(X247,FAST!$B$7:$N$9722,13,0),"0")</f>
        <v>95000</v>
      </c>
      <c r="AA247" s="96">
        <f t="shared" si="16"/>
        <v>28500</v>
      </c>
      <c r="AB247" s="97">
        <f t="shared" si="17"/>
        <v>0</v>
      </c>
      <c r="AC247" s="98">
        <f t="shared" si="18"/>
        <v>0</v>
      </c>
      <c r="AD247" s="99">
        <f t="shared" si="19"/>
        <v>0</v>
      </c>
    </row>
    <row r="248" spans="1:30" x14ac:dyDescent="0.25">
      <c r="A248" s="41"/>
      <c r="B248" s="80"/>
      <c r="C248" s="52" t="s">
        <v>484</v>
      </c>
      <c r="D248" s="52" t="s">
        <v>426</v>
      </c>
      <c r="E248" s="52" t="s">
        <v>427</v>
      </c>
      <c r="F248" s="41"/>
      <c r="G248" s="41"/>
      <c r="H248" s="41"/>
      <c r="I248" s="41"/>
      <c r="J248" s="53" t="s">
        <v>54</v>
      </c>
      <c r="K248" s="53" t="s">
        <v>17</v>
      </c>
      <c r="L248" s="73">
        <v>1.5</v>
      </c>
      <c r="M248" s="74">
        <v>15000</v>
      </c>
      <c r="N248" s="74">
        <v>22500</v>
      </c>
      <c r="O248" s="104"/>
      <c r="P248" s="82"/>
      <c r="Q248" s="82"/>
      <c r="R248" s="82"/>
      <c r="S248" s="82"/>
      <c r="T248" s="82"/>
      <c r="U248" s="41" t="str">
        <f>VLOOKUP(J248,Sheet1!$A$2:$D$200,4,0)</f>
        <v>NL300189</v>
      </c>
      <c r="V248" s="41" t="str">
        <f>VLOOKUP(U248,Sheet1!$D$2:$E$200,2,0)</f>
        <v>Bánh ướt</v>
      </c>
      <c r="W248" s="94" t="str">
        <f t="shared" si="20"/>
        <v>91NL300189</v>
      </c>
      <c r="X248" s="94" t="str">
        <f>COUNTIF($R$15:W248,W248)&amp;W248</f>
        <v>191NL300189</v>
      </c>
      <c r="Y248" s="95">
        <f>IFERROR(VLOOKUP(X248,FAST!$B$7:$M$9722,12,0),"0")</f>
        <v>1.5</v>
      </c>
      <c r="Z248" s="95">
        <f>IFERROR(VLOOKUP(X248,FAST!$B$7:$N$9722,13,0),"0")</f>
        <v>15000</v>
      </c>
      <c r="AA248" s="96">
        <f t="shared" si="16"/>
        <v>22500</v>
      </c>
      <c r="AB248" s="97">
        <f t="shared" si="17"/>
        <v>0</v>
      </c>
      <c r="AC248" s="98">
        <f t="shared" si="18"/>
        <v>0</v>
      </c>
      <c r="AD248" s="99">
        <f t="shared" si="19"/>
        <v>0</v>
      </c>
    </row>
    <row r="249" spans="1:30" x14ac:dyDescent="0.25">
      <c r="A249" s="41"/>
      <c r="B249" s="80"/>
      <c r="C249" s="52" t="s">
        <v>484</v>
      </c>
      <c r="D249" s="52" t="s">
        <v>426</v>
      </c>
      <c r="E249" s="52" t="s">
        <v>427</v>
      </c>
      <c r="F249" s="41"/>
      <c r="G249" s="41"/>
      <c r="H249" s="41"/>
      <c r="I249" s="41"/>
      <c r="J249" s="53" t="s">
        <v>16</v>
      </c>
      <c r="K249" s="53" t="s">
        <v>17</v>
      </c>
      <c r="L249" s="73">
        <v>2.2000000000000002</v>
      </c>
      <c r="M249" s="74">
        <v>19000</v>
      </c>
      <c r="N249" s="74">
        <v>41800</v>
      </c>
      <c r="O249" s="104"/>
      <c r="P249" s="82"/>
      <c r="Q249" s="82"/>
      <c r="R249" s="82"/>
      <c r="S249" s="82"/>
      <c r="T249" s="82"/>
      <c r="U249" s="41" t="str">
        <f>VLOOKUP(J249,Sheet1!$A$2:$D$200,4,0)</f>
        <v>NL300004</v>
      </c>
      <c r="V249" s="41" t="str">
        <f>VLOOKUP(U249,Sheet1!$D$2:$E$200,2,0)</f>
        <v>Bắp cải trắng</v>
      </c>
      <c r="W249" s="94" t="str">
        <f t="shared" si="20"/>
        <v>91NL300004</v>
      </c>
      <c r="X249" s="94" t="str">
        <f>COUNTIF($R$15:W249,W249)&amp;W249</f>
        <v>191NL300004</v>
      </c>
      <c r="Y249" s="95">
        <f>IFERROR(VLOOKUP(X249,FAST!$B$7:$M$9722,12,0),"0")</f>
        <v>1.8</v>
      </c>
      <c r="Z249" s="95">
        <f>IFERROR(VLOOKUP(X249,FAST!$B$7:$N$9722,13,0),"0")</f>
        <v>19000</v>
      </c>
      <c r="AA249" s="96">
        <f t="shared" si="16"/>
        <v>34200</v>
      </c>
      <c r="AB249" s="97">
        <f t="shared" si="17"/>
        <v>-0.40000000000000013</v>
      </c>
      <c r="AC249" s="98">
        <f t="shared" si="18"/>
        <v>0</v>
      </c>
      <c r="AD249" s="99">
        <f t="shared" si="19"/>
        <v>-7600</v>
      </c>
    </row>
    <row r="250" spans="1:30" x14ac:dyDescent="0.25">
      <c r="A250" s="41"/>
      <c r="B250" s="80"/>
      <c r="C250" s="52" t="s">
        <v>484</v>
      </c>
      <c r="D250" s="52" t="s">
        <v>426</v>
      </c>
      <c r="E250" s="52" t="s">
        <v>427</v>
      </c>
      <c r="F250" s="41"/>
      <c r="G250" s="41"/>
      <c r="H250" s="41"/>
      <c r="I250" s="41"/>
      <c r="J250" s="53" t="s">
        <v>20</v>
      </c>
      <c r="K250" s="53" t="s">
        <v>21</v>
      </c>
      <c r="L250" s="73">
        <v>8</v>
      </c>
      <c r="M250" s="74">
        <v>8500</v>
      </c>
      <c r="N250" s="74">
        <v>68000</v>
      </c>
      <c r="O250" s="104"/>
      <c r="P250" s="82"/>
      <c r="Q250" s="82"/>
      <c r="R250" s="82"/>
      <c r="S250" s="82"/>
      <c r="T250" s="82"/>
      <c r="U250" s="41" t="str">
        <f>VLOOKUP(J250,Sheet1!$A$2:$D$200,4,0)</f>
        <v>NL300107</v>
      </c>
      <c r="V250" s="41" t="str">
        <f>VLOOKUP(U250,Sheet1!$D$2:$E$200,2,0)</f>
        <v>Ngô ngọt ( Bắp trái)</v>
      </c>
      <c r="W250" s="94" t="str">
        <f t="shared" si="20"/>
        <v>91NL300107</v>
      </c>
      <c r="X250" s="94" t="str">
        <f>COUNTIF($R$15:W250,W250)&amp;W250</f>
        <v>191NL300107</v>
      </c>
      <c r="Y250" s="95">
        <f>IFERROR(VLOOKUP(X250,FAST!$B$7:$M$9722,12,0),"0")</f>
        <v>3</v>
      </c>
      <c r="Z250" s="95">
        <f>IFERROR(VLOOKUP(X250,FAST!$B$7:$N$9722,13,0),"0")</f>
        <v>8500</v>
      </c>
      <c r="AA250" s="96">
        <f t="shared" si="16"/>
        <v>25500</v>
      </c>
      <c r="AB250" s="97">
        <f t="shared" si="17"/>
        <v>-5</v>
      </c>
      <c r="AC250" s="98">
        <f t="shared" si="18"/>
        <v>0</v>
      </c>
      <c r="AD250" s="99">
        <f t="shared" si="19"/>
        <v>-42500</v>
      </c>
    </row>
    <row r="251" spans="1:30" x14ac:dyDescent="0.25">
      <c r="A251" s="41"/>
      <c r="B251" s="80"/>
      <c r="C251" s="52" t="s">
        <v>484</v>
      </c>
      <c r="D251" s="52" t="s">
        <v>426</v>
      </c>
      <c r="E251" s="52" t="s">
        <v>427</v>
      </c>
      <c r="F251" s="41"/>
      <c r="G251" s="41"/>
      <c r="H251" s="41"/>
      <c r="I251" s="41"/>
      <c r="J251" s="53" t="s">
        <v>22</v>
      </c>
      <c r="K251" s="53" t="s">
        <v>17</v>
      </c>
      <c r="L251" s="73">
        <v>0.6</v>
      </c>
      <c r="M251" s="74">
        <v>30000</v>
      </c>
      <c r="N251" s="74">
        <v>18000</v>
      </c>
      <c r="O251" s="104"/>
      <c r="P251" s="82"/>
      <c r="Q251" s="82"/>
      <c r="R251" s="82"/>
      <c r="S251" s="82"/>
      <c r="T251" s="82"/>
      <c r="U251" s="41" t="str">
        <f>VLOOKUP(J251,Sheet1!$A$2:$D$200,4,0)</f>
        <v>NL300007</v>
      </c>
      <c r="V251" s="41" t="str">
        <f>VLOOKUP(U251,Sheet1!$D$2:$E$200,2,0)</f>
        <v>Bí đỏ</v>
      </c>
      <c r="W251" s="94" t="str">
        <f t="shared" si="20"/>
        <v>91NL300007</v>
      </c>
      <c r="X251" s="94" t="str">
        <f>COUNTIF($R$15:W251,W251)&amp;W251</f>
        <v>191NL300007</v>
      </c>
      <c r="Y251" s="95">
        <f>IFERROR(VLOOKUP(X251,FAST!$B$7:$M$9722,12,0),"0")</f>
        <v>0.6</v>
      </c>
      <c r="Z251" s="95">
        <f>IFERROR(VLOOKUP(X251,FAST!$B$7:$N$9722,13,0),"0")</f>
        <v>30000</v>
      </c>
      <c r="AA251" s="96">
        <f t="shared" si="16"/>
        <v>18000</v>
      </c>
      <c r="AB251" s="97">
        <f t="shared" si="17"/>
        <v>0</v>
      </c>
      <c r="AC251" s="98">
        <f t="shared" si="18"/>
        <v>0</v>
      </c>
      <c r="AD251" s="99">
        <f t="shared" si="19"/>
        <v>0</v>
      </c>
    </row>
    <row r="252" spans="1:30" x14ac:dyDescent="0.25">
      <c r="A252" s="41"/>
      <c r="B252" s="80"/>
      <c r="C252" s="52" t="s">
        <v>484</v>
      </c>
      <c r="D252" s="52" t="s">
        <v>426</v>
      </c>
      <c r="E252" s="52" t="s">
        <v>427</v>
      </c>
      <c r="F252" s="41"/>
      <c r="G252" s="41"/>
      <c r="H252" s="41"/>
      <c r="I252" s="41"/>
      <c r="J252" s="53" t="s">
        <v>23</v>
      </c>
      <c r="K252" s="53" t="s">
        <v>17</v>
      </c>
      <c r="L252" s="73">
        <v>6</v>
      </c>
      <c r="M252" s="74">
        <v>40000</v>
      </c>
      <c r="N252" s="74">
        <v>240000</v>
      </c>
      <c r="O252" s="104"/>
      <c r="P252" s="82"/>
      <c r="Q252" s="82"/>
      <c r="R252" s="82"/>
      <c r="S252" s="82"/>
      <c r="T252" s="82"/>
      <c r="U252" s="41" t="str">
        <f>VLOOKUP(J252,Sheet1!$A$2:$D$200,4,0)</f>
        <v>NL300008</v>
      </c>
      <c r="V252" s="41" t="str">
        <f>VLOOKUP(U252,Sheet1!$D$2:$E$200,2,0)</f>
        <v>Bí ngòi</v>
      </c>
      <c r="W252" s="94" t="str">
        <f t="shared" si="20"/>
        <v>91NL300008</v>
      </c>
      <c r="X252" s="94" t="str">
        <f>COUNTIF($R$15:W252,W252)&amp;W252</f>
        <v>191NL300008</v>
      </c>
      <c r="Y252" s="95">
        <f>IFERROR(VLOOKUP(X252,FAST!$B$7:$M$9722,12,0),"0")</f>
        <v>6</v>
      </c>
      <c r="Z252" s="95">
        <f>IFERROR(VLOOKUP(X252,FAST!$B$7:$N$9722,13,0),"0")</f>
        <v>40000</v>
      </c>
      <c r="AA252" s="96">
        <f t="shared" si="16"/>
        <v>240000</v>
      </c>
      <c r="AB252" s="97">
        <f t="shared" si="17"/>
        <v>0</v>
      </c>
      <c r="AC252" s="98">
        <f t="shared" si="18"/>
        <v>0</v>
      </c>
      <c r="AD252" s="99">
        <f t="shared" si="19"/>
        <v>0</v>
      </c>
    </row>
    <row r="253" spans="1:30" x14ac:dyDescent="0.25">
      <c r="A253" s="41"/>
      <c r="B253" s="80"/>
      <c r="C253" s="52" t="s">
        <v>484</v>
      </c>
      <c r="D253" s="52" t="s">
        <v>426</v>
      </c>
      <c r="E253" s="52" t="s">
        <v>427</v>
      </c>
      <c r="F253" s="41"/>
      <c r="G253" s="41"/>
      <c r="H253" s="41"/>
      <c r="I253" s="41"/>
      <c r="J253" s="53" t="s">
        <v>50</v>
      </c>
      <c r="K253" s="53" t="s">
        <v>17</v>
      </c>
      <c r="L253" s="73">
        <v>3</v>
      </c>
      <c r="M253" s="74">
        <v>52000</v>
      </c>
      <c r="N253" s="74">
        <v>156000</v>
      </c>
      <c r="O253" s="104"/>
      <c r="P253" s="82"/>
      <c r="Q253" s="82"/>
      <c r="R253" s="82"/>
      <c r="S253" s="82"/>
      <c r="T253" s="82"/>
      <c r="U253" s="41" t="str">
        <f>VLOOKUP(J253,Sheet1!$A$2:$D$200,4,0)</f>
        <v>NL300137</v>
      </c>
      <c r="V253" s="41" t="str">
        <f>VLOOKUP(U253,Sheet1!$D$2:$E$200,2,0)</f>
        <v>Súp lơ xanh</v>
      </c>
      <c r="W253" s="94" t="str">
        <f t="shared" si="20"/>
        <v>91NL300137</v>
      </c>
      <c r="X253" s="94" t="str">
        <f>COUNTIF($R$15:W253,W253)&amp;W253</f>
        <v>191NL300137</v>
      </c>
      <c r="Y253" s="95">
        <f>IFERROR(VLOOKUP(X253,FAST!$B$7:$M$9722,12,0),"0")</f>
        <v>2.4</v>
      </c>
      <c r="Z253" s="95">
        <f>IFERROR(VLOOKUP(X253,FAST!$B$7:$N$9722,13,0),"0")</f>
        <v>52000</v>
      </c>
      <c r="AA253" s="96">
        <f t="shared" si="16"/>
        <v>124800</v>
      </c>
      <c r="AB253" s="97">
        <f t="shared" si="17"/>
        <v>-0.60000000000000009</v>
      </c>
      <c r="AC253" s="98">
        <f t="shared" si="18"/>
        <v>0</v>
      </c>
      <c r="AD253" s="99">
        <f t="shared" si="19"/>
        <v>-31200</v>
      </c>
    </row>
    <row r="254" spans="1:30" x14ac:dyDescent="0.25">
      <c r="A254" s="41"/>
      <c r="B254" s="80"/>
      <c r="C254" s="52" t="s">
        <v>484</v>
      </c>
      <c r="D254" s="52" t="s">
        <v>426</v>
      </c>
      <c r="E254" s="52" t="s">
        <v>427</v>
      </c>
      <c r="F254" s="41"/>
      <c r="G254" s="41"/>
      <c r="H254" s="41"/>
      <c r="I254" s="41"/>
      <c r="J254" s="53" t="s">
        <v>70</v>
      </c>
      <c r="K254" s="53" t="s">
        <v>17</v>
      </c>
      <c r="L254" s="73">
        <v>0.3</v>
      </c>
      <c r="M254" s="74">
        <v>75000</v>
      </c>
      <c r="N254" s="74">
        <v>22500</v>
      </c>
      <c r="O254" s="104"/>
      <c r="P254" s="82"/>
      <c r="Q254" s="82"/>
      <c r="R254" s="82"/>
      <c r="S254" s="82"/>
      <c r="T254" s="82"/>
      <c r="U254" s="41" t="str">
        <f>VLOOKUP(J254,Sheet1!$A$2:$D$200,4,0)</f>
        <v>NL300028</v>
      </c>
      <c r="V254" s="41" t="str">
        <f>VLOOKUP(U254,Sheet1!$D$2:$E$200,2,0)</f>
        <v>Cà rốt baby</v>
      </c>
      <c r="W254" s="94" t="str">
        <f t="shared" si="20"/>
        <v>91NL300028</v>
      </c>
      <c r="X254" s="94" t="str">
        <f>COUNTIF($R$15:W254,W254)&amp;W254</f>
        <v>191NL300028</v>
      </c>
      <c r="Y254" s="95">
        <f>IFERROR(VLOOKUP(X254,FAST!$B$7:$M$9722,12,0),"0")</f>
        <v>0.3</v>
      </c>
      <c r="Z254" s="95">
        <f>IFERROR(VLOOKUP(X254,FAST!$B$7:$N$9722,13,0),"0")</f>
        <v>75000</v>
      </c>
      <c r="AA254" s="96">
        <f t="shared" si="16"/>
        <v>22500</v>
      </c>
      <c r="AB254" s="97">
        <f t="shared" si="17"/>
        <v>0</v>
      </c>
      <c r="AC254" s="98">
        <f t="shared" si="18"/>
        <v>0</v>
      </c>
      <c r="AD254" s="99">
        <f t="shared" si="19"/>
        <v>0</v>
      </c>
    </row>
    <row r="255" spans="1:30" x14ac:dyDescent="0.25">
      <c r="A255" s="41"/>
      <c r="B255" s="80"/>
      <c r="C255" s="52" t="s">
        <v>484</v>
      </c>
      <c r="D255" s="52" t="s">
        <v>426</v>
      </c>
      <c r="E255" s="52" t="s">
        <v>427</v>
      </c>
      <c r="F255" s="41"/>
      <c r="G255" s="41"/>
      <c r="H255" s="41"/>
      <c r="I255" s="41"/>
      <c r="J255" s="53" t="s">
        <v>25</v>
      </c>
      <c r="K255" s="53" t="s">
        <v>17</v>
      </c>
      <c r="L255" s="73">
        <v>0.7</v>
      </c>
      <c r="M255" s="74">
        <v>44000</v>
      </c>
      <c r="N255" s="74">
        <v>30799.999999999996</v>
      </c>
      <c r="O255" s="104"/>
      <c r="P255" s="82"/>
      <c r="Q255" s="82"/>
      <c r="R255" s="82"/>
      <c r="S255" s="82"/>
      <c r="T255" s="82"/>
      <c r="U255" s="41" t="str">
        <f>VLOOKUP(J255,Sheet1!$A$2:$D$200,4,0)</f>
        <v>NL300025</v>
      </c>
      <c r="V255" s="41" t="str">
        <f>VLOOKUP(U255,Sheet1!$D$2:$E$200,2,0)</f>
        <v>Rau cần tây</v>
      </c>
      <c r="W255" s="94" t="str">
        <f t="shared" si="20"/>
        <v>91NL300025</v>
      </c>
      <c r="X255" s="94" t="str">
        <f>COUNTIF($R$15:W255,W255)&amp;W255</f>
        <v>191NL300025</v>
      </c>
      <c r="Y255" s="95">
        <f>IFERROR(VLOOKUP(X255,FAST!$B$7:$M$9722,12,0),"0")</f>
        <v>0.7</v>
      </c>
      <c r="Z255" s="95">
        <f>IFERROR(VLOOKUP(X255,FAST!$B$7:$N$9722,13,0),"0")</f>
        <v>44000</v>
      </c>
      <c r="AA255" s="96">
        <f t="shared" si="16"/>
        <v>30799.999999999996</v>
      </c>
      <c r="AB255" s="97">
        <f t="shared" si="17"/>
        <v>0</v>
      </c>
      <c r="AC255" s="98">
        <f t="shared" si="18"/>
        <v>0</v>
      </c>
      <c r="AD255" s="99">
        <f t="shared" si="19"/>
        <v>0</v>
      </c>
    </row>
    <row r="256" spans="1:30" x14ac:dyDescent="0.25">
      <c r="A256" s="41"/>
      <c r="B256" s="80"/>
      <c r="C256" s="52" t="s">
        <v>484</v>
      </c>
      <c r="D256" s="52" t="s">
        <v>426</v>
      </c>
      <c r="E256" s="52" t="s">
        <v>427</v>
      </c>
      <c r="F256" s="41"/>
      <c r="G256" s="41"/>
      <c r="H256" s="41"/>
      <c r="I256" s="41"/>
      <c r="J256" s="53" t="s">
        <v>46</v>
      </c>
      <c r="K256" s="53" t="s">
        <v>17</v>
      </c>
      <c r="L256" s="73">
        <v>1</v>
      </c>
      <c r="M256" s="74">
        <v>22000</v>
      </c>
      <c r="N256" s="74">
        <v>22000</v>
      </c>
      <c r="O256" s="104"/>
      <c r="P256" s="82"/>
      <c r="Q256" s="82"/>
      <c r="R256" s="82"/>
      <c r="S256" s="82"/>
      <c r="T256" s="82"/>
      <c r="U256" s="41" t="str">
        <f>VLOOKUP(J256,Sheet1!$A$2:$D$200,4,0)</f>
        <v>NL300029</v>
      </c>
      <c r="V256" s="41" t="str">
        <f>VLOOKUP(U256,Sheet1!$D$2:$E$200,2,0)</f>
        <v>Chanh</v>
      </c>
      <c r="W256" s="94" t="str">
        <f t="shared" si="20"/>
        <v>91NL300029</v>
      </c>
      <c r="X256" s="94" t="str">
        <f>COUNTIF($R$15:W256,W256)&amp;W256</f>
        <v>191NL300029</v>
      </c>
      <c r="Y256" s="95">
        <f>IFERROR(VLOOKUP(X256,FAST!$B$7:$M$9722,12,0),"0")</f>
        <v>1</v>
      </c>
      <c r="Z256" s="95">
        <f>IFERROR(VLOOKUP(X256,FAST!$B$7:$N$9722,13,0),"0")</f>
        <v>22000</v>
      </c>
      <c r="AA256" s="96">
        <f t="shared" si="16"/>
        <v>22000</v>
      </c>
      <c r="AB256" s="97">
        <f t="shared" si="17"/>
        <v>0</v>
      </c>
      <c r="AC256" s="98">
        <f t="shared" si="18"/>
        <v>0</v>
      </c>
      <c r="AD256" s="99">
        <f t="shared" si="19"/>
        <v>0</v>
      </c>
    </row>
    <row r="257" spans="1:30" x14ac:dyDescent="0.25">
      <c r="A257" s="41"/>
      <c r="B257" s="80"/>
      <c r="C257" s="52" t="s">
        <v>484</v>
      </c>
      <c r="D257" s="52" t="s">
        <v>426</v>
      </c>
      <c r="E257" s="52" t="s">
        <v>427</v>
      </c>
      <c r="F257" s="41"/>
      <c r="G257" s="41"/>
      <c r="H257" s="41"/>
      <c r="I257" s="41"/>
      <c r="J257" s="53" t="s">
        <v>56</v>
      </c>
      <c r="K257" s="53" t="s">
        <v>17</v>
      </c>
      <c r="L257" s="73">
        <v>1.5</v>
      </c>
      <c r="M257" s="74">
        <v>38000</v>
      </c>
      <c r="N257" s="74">
        <v>57000</v>
      </c>
      <c r="O257" s="104"/>
      <c r="P257" s="82"/>
      <c r="Q257" s="82"/>
      <c r="R257" s="82"/>
      <c r="S257" s="82"/>
      <c r="T257" s="82"/>
      <c r="U257" s="41" t="str">
        <f>VLOOKUP(J257,Sheet1!$A$2:$D$200,4,0)</f>
        <v>NL300054</v>
      </c>
      <c r="V257" s="41" t="str">
        <f>VLOOKUP(U257,Sheet1!$D$2:$E$200,2,0)</f>
        <v>Gừng tàu</v>
      </c>
      <c r="W257" s="94" t="str">
        <f t="shared" si="20"/>
        <v>91NL300054</v>
      </c>
      <c r="X257" s="94" t="str">
        <f>COUNTIF($R$15:W257,W257)&amp;W257</f>
        <v>191NL300054</v>
      </c>
      <c r="Y257" s="95">
        <f>IFERROR(VLOOKUP(X257,FAST!$B$7:$M$9722,12,0),"0")</f>
        <v>2</v>
      </c>
      <c r="Z257" s="95">
        <f>IFERROR(VLOOKUP(X257,FAST!$B$7:$N$9722,13,0),"0")</f>
        <v>38000</v>
      </c>
      <c r="AA257" s="96">
        <f t="shared" si="16"/>
        <v>76000</v>
      </c>
      <c r="AB257" s="97">
        <f t="shared" si="17"/>
        <v>0.5</v>
      </c>
      <c r="AC257" s="98">
        <f t="shared" si="18"/>
        <v>0</v>
      </c>
      <c r="AD257" s="99">
        <f t="shared" si="19"/>
        <v>19000</v>
      </c>
    </row>
    <row r="258" spans="1:30" x14ac:dyDescent="0.25">
      <c r="A258" s="41"/>
      <c r="B258" s="80"/>
      <c r="C258" s="52" t="s">
        <v>484</v>
      </c>
      <c r="D258" s="52" t="s">
        <v>426</v>
      </c>
      <c r="E258" s="52" t="s">
        <v>427</v>
      </c>
      <c r="F258" s="41"/>
      <c r="G258" s="41"/>
      <c r="H258" s="41"/>
      <c r="I258" s="41"/>
      <c r="J258" s="53" t="s">
        <v>27</v>
      </c>
      <c r="K258" s="53" t="s">
        <v>17</v>
      </c>
      <c r="L258" s="73">
        <v>0.5</v>
      </c>
      <c r="M258" s="74">
        <v>47000</v>
      </c>
      <c r="N258" s="74">
        <v>23500</v>
      </c>
      <c r="O258" s="104"/>
      <c r="P258" s="82"/>
      <c r="Q258" s="82"/>
      <c r="R258" s="82"/>
      <c r="S258" s="82"/>
      <c r="T258" s="82"/>
      <c r="U258" s="41" t="str">
        <f>VLOOKUP(J258,Sheet1!$A$2:$D$200,4,0)</f>
        <v>NL300036</v>
      </c>
      <c r="V258" s="41" t="str">
        <f>VLOOKUP(U258,Sheet1!$D$2:$E$200,2,0)</f>
        <v>Củ sen</v>
      </c>
      <c r="W258" s="94" t="str">
        <f t="shared" si="20"/>
        <v>91NL300036</v>
      </c>
      <c r="X258" s="94" t="str">
        <f>COUNTIF($R$15:W258,W258)&amp;W258</f>
        <v>191NL300036</v>
      </c>
      <c r="Y258" s="95">
        <f>IFERROR(VLOOKUP(X258,FAST!$B$7:$M$9722,12,0),"0")</f>
        <v>0.5</v>
      </c>
      <c r="Z258" s="95">
        <f>IFERROR(VLOOKUP(X258,FAST!$B$7:$N$9722,13,0),"0")</f>
        <v>47000</v>
      </c>
      <c r="AA258" s="96">
        <f t="shared" si="16"/>
        <v>23500</v>
      </c>
      <c r="AB258" s="97">
        <f t="shared" si="17"/>
        <v>0</v>
      </c>
      <c r="AC258" s="98">
        <f t="shared" si="18"/>
        <v>0</v>
      </c>
      <c r="AD258" s="99">
        <f t="shared" si="19"/>
        <v>0</v>
      </c>
    </row>
    <row r="259" spans="1:30" x14ac:dyDescent="0.25">
      <c r="A259" s="41"/>
      <c r="B259" s="80"/>
      <c r="C259" s="52" t="s">
        <v>484</v>
      </c>
      <c r="D259" s="52" t="s">
        <v>426</v>
      </c>
      <c r="E259" s="52" t="s">
        <v>427</v>
      </c>
      <c r="F259" s="41"/>
      <c r="G259" s="41"/>
      <c r="H259" s="41"/>
      <c r="I259" s="41"/>
      <c r="J259" s="53" t="s">
        <v>28</v>
      </c>
      <c r="K259" s="53" t="s">
        <v>17</v>
      </c>
      <c r="L259" s="73">
        <v>1.5</v>
      </c>
      <c r="M259" s="74">
        <v>32000</v>
      </c>
      <c r="N259" s="74">
        <v>48000</v>
      </c>
      <c r="O259" s="104"/>
      <c r="P259" s="82"/>
      <c r="Q259" s="82"/>
      <c r="R259" s="82"/>
      <c r="S259" s="82"/>
      <c r="T259" s="82"/>
      <c r="U259" s="41" t="str">
        <f>VLOOKUP(J259,Sheet1!$A$2:$D$200,4,0)</f>
        <v>NL300038</v>
      </c>
      <c r="V259" s="41" t="str">
        <f>VLOOKUP(U259,Sheet1!$D$2:$E$200,2,0)</f>
        <v>Đậu bắp</v>
      </c>
      <c r="W259" s="94" t="str">
        <f t="shared" si="20"/>
        <v>91NL300038</v>
      </c>
      <c r="X259" s="94" t="str">
        <f>COUNTIF($R$15:W259,W259)&amp;W259</f>
        <v>191NL300038</v>
      </c>
      <c r="Y259" s="95">
        <f>IFERROR(VLOOKUP(X259,FAST!$B$7:$M$9722,12,0),"0")</f>
        <v>1.5</v>
      </c>
      <c r="Z259" s="95">
        <f>IFERROR(VLOOKUP(X259,FAST!$B$7:$N$9722,13,0),"0")</f>
        <v>32000</v>
      </c>
      <c r="AA259" s="96">
        <f t="shared" si="16"/>
        <v>48000</v>
      </c>
      <c r="AB259" s="97">
        <f t="shared" si="17"/>
        <v>0</v>
      </c>
      <c r="AC259" s="98">
        <f t="shared" si="18"/>
        <v>0</v>
      </c>
      <c r="AD259" s="99">
        <f t="shared" si="19"/>
        <v>0</v>
      </c>
    </row>
    <row r="260" spans="1:30" x14ac:dyDescent="0.25">
      <c r="A260" s="41"/>
      <c r="B260" s="80"/>
      <c r="C260" s="52" t="s">
        <v>484</v>
      </c>
      <c r="D260" s="52" t="s">
        <v>426</v>
      </c>
      <c r="E260" s="52" t="s">
        <v>427</v>
      </c>
      <c r="F260" s="41"/>
      <c r="G260" s="41"/>
      <c r="H260" s="41"/>
      <c r="I260" s="41"/>
      <c r="J260" s="53" t="s">
        <v>47</v>
      </c>
      <c r="K260" s="53" t="s">
        <v>17</v>
      </c>
      <c r="L260" s="73">
        <v>36</v>
      </c>
      <c r="M260" s="74">
        <v>18000</v>
      </c>
      <c r="N260" s="74">
        <v>648000</v>
      </c>
      <c r="O260" s="104"/>
      <c r="P260" s="82"/>
      <c r="Q260" s="82"/>
      <c r="R260" s="82"/>
      <c r="S260" s="82"/>
      <c r="T260" s="82"/>
      <c r="U260" s="41" t="str">
        <f>VLOOKUP(J260,Sheet1!$A$2:$D$200,4,0)</f>
        <v>NL600004</v>
      </c>
      <c r="V260" s="41" t="str">
        <f>VLOOKUP(U260,Sheet1!$D$2:$E$200,2,0)</f>
        <v>Dưa hấu</v>
      </c>
      <c r="W260" s="94" t="str">
        <f t="shared" si="20"/>
        <v>91NL600004</v>
      </c>
      <c r="X260" s="94" t="str">
        <f>COUNTIF($R$15:W260,W260)&amp;W260</f>
        <v>191NL600004</v>
      </c>
      <c r="Y260" s="95">
        <f>IFERROR(VLOOKUP(X260,FAST!$B$7:$M$9722,12,0),"0")</f>
        <v>1.5</v>
      </c>
      <c r="Z260" s="95">
        <f>IFERROR(VLOOKUP(X260,FAST!$B$7:$N$9722,13,0),"0")</f>
        <v>18000</v>
      </c>
      <c r="AA260" s="96">
        <f t="shared" si="16"/>
        <v>27000</v>
      </c>
      <c r="AB260" s="97">
        <f t="shared" si="17"/>
        <v>-34.5</v>
      </c>
      <c r="AC260" s="98">
        <f t="shared" si="18"/>
        <v>0</v>
      </c>
      <c r="AD260" s="99">
        <f t="shared" si="19"/>
        <v>-621000</v>
      </c>
    </row>
    <row r="261" spans="1:30" s="137" customFormat="1" x14ac:dyDescent="0.25">
      <c r="A261" s="132"/>
      <c r="B261" s="138"/>
      <c r="C261" s="133" t="s">
        <v>484</v>
      </c>
      <c r="D261" s="133" t="s">
        <v>426</v>
      </c>
      <c r="E261" s="133" t="s">
        <v>427</v>
      </c>
      <c r="F261" s="132"/>
      <c r="G261" s="132"/>
      <c r="H261" s="132"/>
      <c r="I261" s="132"/>
      <c r="J261" s="134" t="s">
        <v>29</v>
      </c>
      <c r="K261" s="134" t="s">
        <v>17</v>
      </c>
      <c r="L261" s="135">
        <v>3</v>
      </c>
      <c r="M261" s="136">
        <v>55000</v>
      </c>
      <c r="N261" s="136">
        <v>165000</v>
      </c>
      <c r="O261" s="139"/>
      <c r="P261" s="140"/>
      <c r="Q261" s="140"/>
      <c r="R261" s="140"/>
      <c r="S261" s="140"/>
      <c r="T261" s="140"/>
      <c r="U261" s="41" t="str">
        <f>VLOOKUP(J261,Sheet1!$A$2:$D$200,4,0)</f>
        <v>NL300058</v>
      </c>
      <c r="V261" s="41" t="str">
        <f>VLOOKUP(U261,Sheet1!$D$2:$E$200,2,0)</f>
        <v>Hành lá</v>
      </c>
      <c r="W261" s="94" t="str">
        <f t="shared" si="20"/>
        <v>91NL300058</v>
      </c>
      <c r="X261" s="94" t="str">
        <f>COUNTIF($R$15:W261,W261)&amp;W261</f>
        <v>191NL300058</v>
      </c>
      <c r="Y261" s="95">
        <f>IFERROR(VLOOKUP(X261,FAST!$B$7:$M$9722,12,0),"0")</f>
        <v>3</v>
      </c>
      <c r="Z261" s="95">
        <f>IFERROR(VLOOKUP(X261,FAST!$B$7:$N$9722,13,0),"0")</f>
        <v>55000</v>
      </c>
      <c r="AA261" s="96">
        <f t="shared" si="16"/>
        <v>165000</v>
      </c>
      <c r="AB261" s="97">
        <f t="shared" si="17"/>
        <v>0</v>
      </c>
      <c r="AC261" s="98">
        <f t="shared" si="18"/>
        <v>0</v>
      </c>
      <c r="AD261" s="99">
        <f t="shared" si="19"/>
        <v>0</v>
      </c>
    </row>
    <row r="262" spans="1:30" x14ac:dyDescent="0.25">
      <c r="A262" s="41"/>
      <c r="B262" s="80"/>
      <c r="C262" s="52" t="s">
        <v>484</v>
      </c>
      <c r="D262" s="52" t="s">
        <v>426</v>
      </c>
      <c r="E262" s="52" t="s">
        <v>427</v>
      </c>
      <c r="F262" s="41"/>
      <c r="G262" s="41"/>
      <c r="H262" s="41"/>
      <c r="I262" s="41"/>
      <c r="J262" s="53" t="s">
        <v>31</v>
      </c>
      <c r="K262" s="53" t="s">
        <v>17</v>
      </c>
      <c r="L262" s="73">
        <v>2.2000000000000002</v>
      </c>
      <c r="M262" s="74">
        <v>27000</v>
      </c>
      <c r="N262" s="74">
        <v>59400.000000000007</v>
      </c>
      <c r="O262" s="104"/>
      <c r="P262" s="82"/>
      <c r="Q262" s="82"/>
      <c r="R262" s="82"/>
      <c r="S262" s="82"/>
      <c r="T262" s="82"/>
      <c r="U262" s="41" t="str">
        <f>VLOOKUP(J262,Sheet1!$A$2:$D$200,4,0)</f>
        <v>NL300088</v>
      </c>
      <c r="V262" s="41" t="str">
        <f>VLOOKUP(U262,Sheet1!$D$2:$E$200,2,0)</f>
        <v>Mướp hương</v>
      </c>
      <c r="W262" s="94" t="str">
        <f t="shared" si="20"/>
        <v>91NL300088</v>
      </c>
      <c r="X262" s="94" t="str">
        <f>COUNTIF($R$15:W262,W262)&amp;W262</f>
        <v>191NL300088</v>
      </c>
      <c r="Y262" s="95">
        <f>IFERROR(VLOOKUP(X262,FAST!$B$7:$M$9722,12,0),"0")</f>
        <v>2.2000000000000002</v>
      </c>
      <c r="Z262" s="95">
        <f>IFERROR(VLOOKUP(X262,FAST!$B$7:$N$9722,13,0),"0")</f>
        <v>27000</v>
      </c>
      <c r="AA262" s="96">
        <f t="shared" si="16"/>
        <v>59400.000000000007</v>
      </c>
      <c r="AB262" s="97">
        <f t="shared" si="17"/>
        <v>0</v>
      </c>
      <c r="AC262" s="98">
        <f t="shared" si="18"/>
        <v>0</v>
      </c>
      <c r="AD262" s="99">
        <f t="shared" si="19"/>
        <v>0</v>
      </c>
    </row>
    <row r="263" spans="1:30" x14ac:dyDescent="0.25">
      <c r="A263" s="41"/>
      <c r="B263" s="80"/>
      <c r="C263" s="52" t="s">
        <v>484</v>
      </c>
      <c r="D263" s="52" t="s">
        <v>426</v>
      </c>
      <c r="E263" s="52" t="s">
        <v>427</v>
      </c>
      <c r="F263" s="41"/>
      <c r="G263" s="41"/>
      <c r="H263" s="41"/>
      <c r="I263" s="41"/>
      <c r="J263" s="53" t="s">
        <v>39</v>
      </c>
      <c r="K263" s="53" t="s">
        <v>17</v>
      </c>
      <c r="L263" s="73">
        <v>2.5</v>
      </c>
      <c r="M263" s="74">
        <v>145000</v>
      </c>
      <c r="N263" s="74">
        <v>362500</v>
      </c>
      <c r="O263" s="104"/>
      <c r="P263" s="82"/>
      <c r="Q263" s="82"/>
      <c r="R263" s="82"/>
      <c r="S263" s="82"/>
      <c r="T263" s="82"/>
      <c r="U263" s="41" t="str">
        <f>VLOOKUP(J263,Sheet1!$A$2:$D$200,4,0)</f>
        <v>NL300090</v>
      </c>
      <c r="V263" s="41" t="str">
        <f>VLOOKUP(U263,Sheet1!$D$2:$E$200,2,0)</f>
        <v>Nấm đông cô tươi</v>
      </c>
      <c r="W263" s="94" t="str">
        <f t="shared" si="20"/>
        <v>91NL300090</v>
      </c>
      <c r="X263" s="94" t="str">
        <f>COUNTIF($R$15:W263,W263)&amp;W263</f>
        <v>191NL300090</v>
      </c>
      <c r="Y263" s="95">
        <f>IFERROR(VLOOKUP(X263,FAST!$B$7:$M$9722,12,0),"0")</f>
        <v>2.5</v>
      </c>
      <c r="Z263" s="95">
        <f>IFERROR(VLOOKUP(X263,FAST!$B$7:$N$9722,13,0),"0")</f>
        <v>145000</v>
      </c>
      <c r="AA263" s="96">
        <f t="shared" si="16"/>
        <v>362500</v>
      </c>
      <c r="AB263" s="97">
        <f t="shared" si="17"/>
        <v>0</v>
      </c>
      <c r="AC263" s="98">
        <f t="shared" si="18"/>
        <v>0</v>
      </c>
      <c r="AD263" s="99">
        <f t="shared" si="19"/>
        <v>0</v>
      </c>
    </row>
    <row r="264" spans="1:30" x14ac:dyDescent="0.25">
      <c r="A264" s="41"/>
      <c r="B264" s="80"/>
      <c r="C264" s="52" t="s">
        <v>484</v>
      </c>
      <c r="D264" s="52" t="s">
        <v>426</v>
      </c>
      <c r="E264" s="52" t="s">
        <v>427</v>
      </c>
      <c r="F264" s="41"/>
      <c r="G264" s="41"/>
      <c r="H264" s="41"/>
      <c r="I264" s="41"/>
      <c r="J264" s="53" t="s">
        <v>40</v>
      </c>
      <c r="K264" s="53" t="s">
        <v>17</v>
      </c>
      <c r="L264" s="73">
        <v>1</v>
      </c>
      <c r="M264" s="74">
        <v>47000</v>
      </c>
      <c r="N264" s="74">
        <v>47000</v>
      </c>
      <c r="O264" s="104"/>
      <c r="P264" s="82"/>
      <c r="Q264" s="82"/>
      <c r="R264" s="82"/>
      <c r="S264" s="82"/>
      <c r="T264" s="82"/>
      <c r="U264" s="41" t="str">
        <f>VLOOKUP(J264,Sheet1!$A$2:$D$200,4,0)</f>
        <v>NL300091</v>
      </c>
      <c r="V264" s="41" t="str">
        <f>VLOOKUP(U264,Sheet1!$D$2:$E$200,2,0)</f>
        <v>Nấm đùi gà</v>
      </c>
      <c r="W264" s="94" t="str">
        <f t="shared" si="20"/>
        <v>91NL300091</v>
      </c>
      <c r="X264" s="94" t="str">
        <f>COUNTIF($R$15:W264,W264)&amp;W264</f>
        <v>191NL300091</v>
      </c>
      <c r="Y264" s="95">
        <f>IFERROR(VLOOKUP(X264,FAST!$B$7:$M$9722,12,0),"0")</f>
        <v>1</v>
      </c>
      <c r="Z264" s="95">
        <f>IFERROR(VLOOKUP(X264,FAST!$B$7:$N$9722,13,0),"0")</f>
        <v>47000</v>
      </c>
      <c r="AA264" s="96">
        <f t="shared" si="16"/>
        <v>47000</v>
      </c>
      <c r="AB264" s="97">
        <f t="shared" si="17"/>
        <v>0</v>
      </c>
      <c r="AC264" s="98">
        <f t="shared" si="18"/>
        <v>0</v>
      </c>
      <c r="AD264" s="99">
        <f t="shared" si="19"/>
        <v>0</v>
      </c>
    </row>
    <row r="265" spans="1:30" x14ac:dyDescent="0.25">
      <c r="A265" s="41"/>
      <c r="B265" s="80"/>
      <c r="C265" s="52" t="s">
        <v>484</v>
      </c>
      <c r="D265" s="52" t="s">
        <v>426</v>
      </c>
      <c r="E265" s="52" t="s">
        <v>427</v>
      </c>
      <c r="F265" s="41"/>
      <c r="G265" s="41"/>
      <c r="H265" s="41"/>
      <c r="I265" s="41"/>
      <c r="J265" s="53" t="s">
        <v>43</v>
      </c>
      <c r="K265" s="53" t="s">
        <v>17</v>
      </c>
      <c r="L265" s="73">
        <v>2</v>
      </c>
      <c r="M265" s="74">
        <v>90000</v>
      </c>
      <c r="N265" s="74">
        <v>180000</v>
      </c>
      <c r="O265" s="104"/>
      <c r="P265" s="82"/>
      <c r="Q265" s="82"/>
      <c r="R265" s="82"/>
      <c r="S265" s="82"/>
      <c r="T265" s="82"/>
      <c r="U265" s="41" t="str">
        <f>VLOOKUP(J265,Sheet1!$A$2:$D$200,4,0)</f>
        <v>NL300092</v>
      </c>
      <c r="V265" s="41" t="str">
        <f>VLOOKUP(U265,Sheet1!$D$2:$E$200,2,0)</f>
        <v>Nấm đùi gà baby</v>
      </c>
      <c r="W265" s="94" t="str">
        <f t="shared" si="20"/>
        <v>91NL300092</v>
      </c>
      <c r="X265" s="94" t="str">
        <f>COUNTIF($R$15:W265,W265)&amp;W265</f>
        <v>191NL300092</v>
      </c>
      <c r="Y265" s="95">
        <f>IFERROR(VLOOKUP(X265,FAST!$B$7:$M$9722,12,0),"0")</f>
        <v>2</v>
      </c>
      <c r="Z265" s="95">
        <f>IFERROR(VLOOKUP(X265,FAST!$B$7:$N$9722,13,0),"0")</f>
        <v>90000</v>
      </c>
      <c r="AA265" s="96">
        <f t="shared" si="16"/>
        <v>180000</v>
      </c>
      <c r="AB265" s="97">
        <f t="shared" si="17"/>
        <v>0</v>
      </c>
      <c r="AC265" s="98">
        <f t="shared" si="18"/>
        <v>0</v>
      </c>
      <c r="AD265" s="99">
        <f t="shared" si="19"/>
        <v>0</v>
      </c>
    </row>
    <row r="266" spans="1:30" x14ac:dyDescent="0.25">
      <c r="A266" s="41"/>
      <c r="B266" s="80"/>
      <c r="C266" s="52" t="s">
        <v>484</v>
      </c>
      <c r="D266" s="52" t="s">
        <v>426</v>
      </c>
      <c r="E266" s="52" t="s">
        <v>427</v>
      </c>
      <c r="F266" s="41"/>
      <c r="G266" s="41"/>
      <c r="H266" s="41"/>
      <c r="I266" s="41"/>
      <c r="J266" s="53" t="s">
        <v>67</v>
      </c>
      <c r="K266" s="53" t="s">
        <v>17</v>
      </c>
      <c r="L266" s="73">
        <v>1</v>
      </c>
      <c r="M266" s="74">
        <v>80000</v>
      </c>
      <c r="N266" s="74">
        <v>80000</v>
      </c>
      <c r="O266" s="104"/>
      <c r="P266" s="82"/>
      <c r="Q266" s="82"/>
      <c r="R266" s="82"/>
      <c r="S266" s="82"/>
      <c r="T266" s="82"/>
      <c r="U266" s="41" t="str">
        <f>VLOOKUP(J266,Sheet1!$A$2:$D$200,4,0)</f>
        <v>NL300094</v>
      </c>
      <c r="V266" s="41" t="str">
        <f>VLOOKUP(U266,Sheet1!$D$2:$E$200,2,0)</f>
        <v>Nấm hải sản</v>
      </c>
      <c r="W266" s="94" t="str">
        <f t="shared" si="20"/>
        <v>91NL300094</v>
      </c>
      <c r="X266" s="94" t="str">
        <f>COUNTIF($R$15:W266,W266)&amp;W266</f>
        <v>191NL300094</v>
      </c>
      <c r="Y266" s="95">
        <f>IFERROR(VLOOKUP(X266,FAST!$B$7:$M$9722,12,0),"0")</f>
        <v>1</v>
      </c>
      <c r="Z266" s="95">
        <f>IFERROR(VLOOKUP(X266,FAST!$B$7:$N$9722,13,0),"0")</f>
        <v>80000</v>
      </c>
      <c r="AA266" s="96">
        <f t="shared" si="16"/>
        <v>80000</v>
      </c>
      <c r="AB266" s="97">
        <f t="shared" si="17"/>
        <v>0</v>
      </c>
      <c r="AC266" s="98">
        <f t="shared" si="18"/>
        <v>0</v>
      </c>
      <c r="AD266" s="99">
        <f t="shared" si="19"/>
        <v>0</v>
      </c>
    </row>
    <row r="267" spans="1:30" x14ac:dyDescent="0.25">
      <c r="A267" s="41"/>
      <c r="B267" s="80"/>
      <c r="C267" s="52" t="s">
        <v>484</v>
      </c>
      <c r="D267" s="52" t="s">
        <v>426</v>
      </c>
      <c r="E267" s="52" t="s">
        <v>427</v>
      </c>
      <c r="F267" s="41"/>
      <c r="G267" s="41"/>
      <c r="H267" s="41"/>
      <c r="I267" s="41"/>
      <c r="J267" s="53" t="s">
        <v>41</v>
      </c>
      <c r="K267" s="53" t="s">
        <v>17</v>
      </c>
      <c r="L267" s="73">
        <v>2.4</v>
      </c>
      <c r="M267" s="74">
        <v>45000</v>
      </c>
      <c r="N267" s="74">
        <v>108000</v>
      </c>
      <c r="O267" s="104"/>
      <c r="P267" s="82"/>
      <c r="Q267" s="82"/>
      <c r="R267" s="82"/>
      <c r="S267" s="82"/>
      <c r="T267" s="82"/>
      <c r="U267" s="41" t="str">
        <f>VLOOKUP(J267,Sheet1!$A$2:$D$200,4,0)</f>
        <v>NL300096</v>
      </c>
      <c r="V267" s="41" t="str">
        <f>VLOOKUP(U267,Sheet1!$D$2:$E$200,2,0)</f>
        <v>Nấm kim châm tươi</v>
      </c>
      <c r="W267" s="94" t="str">
        <f t="shared" si="20"/>
        <v>91NL300096</v>
      </c>
      <c r="X267" s="94" t="str">
        <f>COUNTIF($R$15:W267,W267)&amp;W267</f>
        <v>191NL300096</v>
      </c>
      <c r="Y267" s="95">
        <f>IFERROR(VLOOKUP(X267,FAST!$B$7:$M$9722,12,0),"0")</f>
        <v>3</v>
      </c>
      <c r="Z267" s="95">
        <f>IFERROR(VLOOKUP(X267,FAST!$B$7:$N$9722,13,0),"0")</f>
        <v>45000</v>
      </c>
      <c r="AA267" s="96">
        <f t="shared" si="16"/>
        <v>135000</v>
      </c>
      <c r="AB267" s="97">
        <f t="shared" si="17"/>
        <v>0.60000000000000009</v>
      </c>
      <c r="AC267" s="98">
        <f t="shared" si="18"/>
        <v>0</v>
      </c>
      <c r="AD267" s="99">
        <f t="shared" si="19"/>
        <v>27000</v>
      </c>
    </row>
    <row r="268" spans="1:30" x14ac:dyDescent="0.25">
      <c r="A268" s="41"/>
      <c r="B268" s="80"/>
      <c r="C268" s="52" t="s">
        <v>484</v>
      </c>
      <c r="D268" s="52" t="s">
        <v>426</v>
      </c>
      <c r="E268" s="52" t="s">
        <v>427</v>
      </c>
      <c r="F268" s="41"/>
      <c r="G268" s="41"/>
      <c r="H268" s="41"/>
      <c r="I268" s="41"/>
      <c r="J268" s="53" t="s">
        <v>36</v>
      </c>
      <c r="K268" s="53" t="s">
        <v>17</v>
      </c>
      <c r="L268" s="73">
        <v>1</v>
      </c>
      <c r="M268" s="74">
        <v>12000</v>
      </c>
      <c r="N268" s="74">
        <v>12000</v>
      </c>
      <c r="O268" s="104"/>
      <c r="P268" s="82"/>
      <c r="Q268" s="82"/>
      <c r="R268" s="82"/>
      <c r="S268" s="82"/>
      <c r="T268" s="82"/>
      <c r="U268" s="41" t="str">
        <f>VLOOKUP(J268,Sheet1!$A$2:$D$200,4,0)</f>
        <v>NL300132</v>
      </c>
      <c r="V268" s="41" t="str">
        <f>VLOOKUP(U268,Sheet1!$D$2:$E$200,2,0)</f>
        <v>Sả cây</v>
      </c>
      <c r="W268" s="94" t="str">
        <f t="shared" si="20"/>
        <v>91NL300132</v>
      </c>
      <c r="X268" s="94" t="str">
        <f>COUNTIF($R$15:W268,W268)&amp;W268</f>
        <v>191NL300132</v>
      </c>
      <c r="Y268" s="95">
        <f>IFERROR(VLOOKUP(X268,FAST!$B$7:$M$9722,12,0),"0")</f>
        <v>1</v>
      </c>
      <c r="Z268" s="95">
        <f>IFERROR(VLOOKUP(X268,FAST!$B$7:$N$9722,13,0),"0")</f>
        <v>12000</v>
      </c>
      <c r="AA268" s="96">
        <f t="shared" si="16"/>
        <v>12000</v>
      </c>
      <c r="AB268" s="97">
        <f t="shared" si="17"/>
        <v>0</v>
      </c>
      <c r="AC268" s="98">
        <f t="shared" si="18"/>
        <v>0</v>
      </c>
      <c r="AD268" s="99">
        <f t="shared" si="19"/>
        <v>0</v>
      </c>
    </row>
    <row r="269" spans="1:30" x14ac:dyDescent="0.25">
      <c r="A269" s="41"/>
      <c r="B269" s="80"/>
      <c r="C269" s="52" t="s">
        <v>484</v>
      </c>
      <c r="D269" s="52" t="s">
        <v>426</v>
      </c>
      <c r="E269" s="52" t="s">
        <v>427</v>
      </c>
      <c r="F269" s="41"/>
      <c r="G269" s="41"/>
      <c r="H269" s="41"/>
      <c r="I269" s="41"/>
      <c r="J269" s="53" t="s">
        <v>38</v>
      </c>
      <c r="K269" s="53" t="s">
        <v>17</v>
      </c>
      <c r="L269" s="73">
        <v>1</v>
      </c>
      <c r="M269" s="74">
        <v>50000</v>
      </c>
      <c r="N269" s="74">
        <v>50000</v>
      </c>
      <c r="O269" s="104"/>
      <c r="P269" s="82"/>
      <c r="Q269" s="82"/>
      <c r="R269" s="82"/>
      <c r="S269" s="82"/>
      <c r="T269" s="82"/>
      <c r="U269" s="41" t="str">
        <f>VLOOKUP(J269,Sheet1!$A$2:$D$200,4,0)</f>
        <v>NL300142</v>
      </c>
      <c r="V269" s="41" t="str">
        <f>VLOOKUP(U269,Sheet1!$D$2:$E$200,2,0)</f>
        <v>Tỏi bóc</v>
      </c>
      <c r="W269" s="94" t="str">
        <f t="shared" si="20"/>
        <v>91NL300142</v>
      </c>
      <c r="X269" s="94" t="str">
        <f>COUNTIF($R$15:W269,W269)&amp;W269</f>
        <v>191NL300142</v>
      </c>
      <c r="Y269" s="95">
        <f>IFERROR(VLOOKUP(X269,FAST!$B$7:$M$9722,12,0),"0")</f>
        <v>1</v>
      </c>
      <c r="Z269" s="95">
        <f>IFERROR(VLOOKUP(X269,FAST!$B$7:$N$9722,13,0),"0")</f>
        <v>50000</v>
      </c>
      <c r="AA269" s="96">
        <f t="shared" si="16"/>
        <v>50000</v>
      </c>
      <c r="AB269" s="97">
        <f t="shared" si="17"/>
        <v>0</v>
      </c>
      <c r="AC269" s="98">
        <f t="shared" si="18"/>
        <v>0</v>
      </c>
      <c r="AD269" s="99">
        <f t="shared" si="19"/>
        <v>0</v>
      </c>
    </row>
    <row r="270" spans="1:30" x14ac:dyDescent="0.25">
      <c r="A270" s="41"/>
      <c r="B270" s="80"/>
      <c r="C270" s="52" t="s">
        <v>484</v>
      </c>
      <c r="D270" s="52" t="s">
        <v>426</v>
      </c>
      <c r="E270" s="52" t="s">
        <v>427</v>
      </c>
      <c r="F270" s="41"/>
      <c r="G270" s="41"/>
      <c r="H270" s="41"/>
      <c r="I270" s="41"/>
      <c r="J270" s="53" t="s">
        <v>37</v>
      </c>
      <c r="K270" s="53" t="s">
        <v>17</v>
      </c>
      <c r="L270" s="73">
        <v>2</v>
      </c>
      <c r="M270" s="74">
        <v>62000</v>
      </c>
      <c r="N270" s="74">
        <v>124000</v>
      </c>
      <c r="O270" s="104"/>
      <c r="P270" s="82"/>
      <c r="Q270" s="82"/>
      <c r="R270" s="82"/>
      <c r="S270" s="82"/>
      <c r="T270" s="82"/>
      <c r="U270" s="41" t="str">
        <f>VLOOKUP(J270,Sheet1!$A$2:$D$200,4,0)</f>
        <v>NL300147</v>
      </c>
      <c r="V270" s="41" t="str">
        <f>VLOOKUP(U270,Sheet1!$D$2:$E$200,2,0)</f>
        <v>Xà lách Roman</v>
      </c>
      <c r="W270" s="94" t="str">
        <f t="shared" si="20"/>
        <v>91NL300147</v>
      </c>
      <c r="X270" s="94" t="str">
        <f>COUNTIF($R$15:W270,W270)&amp;W270</f>
        <v>191NL300147</v>
      </c>
      <c r="Y270" s="95">
        <f>IFERROR(VLOOKUP(X270,FAST!$B$7:$M$9722,12,0),"0")</f>
        <v>2</v>
      </c>
      <c r="Z270" s="95">
        <f>IFERROR(VLOOKUP(X270,FAST!$B$7:$N$9722,13,0),"0")</f>
        <v>62000</v>
      </c>
      <c r="AA270" s="96">
        <f t="shared" si="16"/>
        <v>124000</v>
      </c>
      <c r="AB270" s="97">
        <f t="shared" si="17"/>
        <v>0</v>
      </c>
      <c r="AC270" s="98">
        <f t="shared" si="18"/>
        <v>0</v>
      </c>
      <c r="AD270" s="99">
        <f t="shared" si="19"/>
        <v>0</v>
      </c>
    </row>
    <row r="271" spans="1:30" x14ac:dyDescent="0.25">
      <c r="A271" s="41"/>
      <c r="B271" s="80"/>
      <c r="C271" s="52" t="s">
        <v>485</v>
      </c>
      <c r="D271" s="52" t="s">
        <v>426</v>
      </c>
      <c r="E271" s="52" t="s">
        <v>427</v>
      </c>
      <c r="F271" s="41"/>
      <c r="G271" s="41"/>
      <c r="H271" s="41"/>
      <c r="I271" s="41"/>
      <c r="J271" s="53" t="s">
        <v>54</v>
      </c>
      <c r="K271" s="53" t="s">
        <v>17</v>
      </c>
      <c r="L271" s="73">
        <v>1.5</v>
      </c>
      <c r="M271" s="74">
        <v>15000</v>
      </c>
      <c r="N271" s="74">
        <v>22500</v>
      </c>
      <c r="O271" s="104"/>
      <c r="P271" s="82"/>
      <c r="Q271" s="82"/>
      <c r="R271" s="82"/>
      <c r="S271" s="82"/>
      <c r="T271" s="82"/>
      <c r="U271" s="41" t="str">
        <f>VLOOKUP(J271,Sheet1!$A$2:$D$200,4,0)</f>
        <v>NL300189</v>
      </c>
      <c r="V271" s="41" t="str">
        <f>VLOOKUP(U271,Sheet1!$D$2:$E$200,2,0)</f>
        <v>Bánh ướt</v>
      </c>
      <c r="W271" s="94" t="str">
        <f t="shared" si="20"/>
        <v>101NL300189</v>
      </c>
      <c r="X271" s="94" t="str">
        <f>COUNTIF($R$15:W271,W271)&amp;W271</f>
        <v>1101NL300189</v>
      </c>
      <c r="Y271" s="95">
        <f>IFERROR(VLOOKUP(X271,FAST!$B$7:$M$9722,12,0),"0")</f>
        <v>1.5</v>
      </c>
      <c r="Z271" s="95">
        <f>IFERROR(VLOOKUP(X271,FAST!$B$7:$N$9722,13,0),"0")</f>
        <v>15000</v>
      </c>
      <c r="AA271" s="96">
        <f t="shared" si="16"/>
        <v>22500</v>
      </c>
      <c r="AB271" s="97">
        <f t="shared" si="17"/>
        <v>0</v>
      </c>
      <c r="AC271" s="98">
        <f t="shared" si="18"/>
        <v>0</v>
      </c>
      <c r="AD271" s="99">
        <f t="shared" si="19"/>
        <v>0</v>
      </c>
    </row>
    <row r="272" spans="1:30" x14ac:dyDescent="0.25">
      <c r="A272" s="41"/>
      <c r="B272" s="80"/>
      <c r="C272" s="52" t="s">
        <v>485</v>
      </c>
      <c r="D272" s="52" t="s">
        <v>426</v>
      </c>
      <c r="E272" s="52" t="s">
        <v>427</v>
      </c>
      <c r="F272" s="41"/>
      <c r="G272" s="41"/>
      <c r="H272" s="41"/>
      <c r="I272" s="41"/>
      <c r="J272" s="53" t="s">
        <v>16</v>
      </c>
      <c r="K272" s="53" t="s">
        <v>17</v>
      </c>
      <c r="L272" s="73">
        <v>1.5</v>
      </c>
      <c r="M272" s="74">
        <v>19000</v>
      </c>
      <c r="N272" s="74">
        <v>28500</v>
      </c>
      <c r="O272" s="104"/>
      <c r="P272" s="82"/>
      <c r="Q272" s="82"/>
      <c r="R272" s="82"/>
      <c r="S272" s="82"/>
      <c r="T272" s="82"/>
      <c r="U272" s="41" t="str">
        <f>VLOOKUP(J272,Sheet1!$A$2:$D$200,4,0)</f>
        <v>NL300004</v>
      </c>
      <c r="V272" s="41" t="str">
        <f>VLOOKUP(U272,Sheet1!$D$2:$E$200,2,0)</f>
        <v>Bắp cải trắng</v>
      </c>
      <c r="W272" s="94" t="str">
        <f t="shared" si="20"/>
        <v>101NL300004</v>
      </c>
      <c r="X272" s="94" t="str">
        <f>COUNTIF($R$15:W272,W272)&amp;W272</f>
        <v>1101NL300004</v>
      </c>
      <c r="Y272" s="95">
        <f>IFERROR(VLOOKUP(X272,FAST!$B$7:$M$9722,12,0),"0")</f>
        <v>1.5</v>
      </c>
      <c r="Z272" s="95">
        <f>IFERROR(VLOOKUP(X272,FAST!$B$7:$N$9722,13,0),"0")</f>
        <v>19000</v>
      </c>
      <c r="AA272" s="96">
        <f t="shared" ref="AA272:AA335" si="21">Y272*Z272</f>
        <v>28500</v>
      </c>
      <c r="AB272" s="97">
        <f t="shared" ref="AB272:AB335" si="22">Y272-L272</f>
        <v>0</v>
      </c>
      <c r="AC272" s="98">
        <f t="shared" ref="AC272:AC335" si="23">Z272-M272</f>
        <v>0</v>
      </c>
      <c r="AD272" s="99">
        <f t="shared" ref="AD272:AD335" si="24">AA272-N272</f>
        <v>0</v>
      </c>
    </row>
    <row r="273" spans="1:30" x14ac:dyDescent="0.25">
      <c r="A273" s="41"/>
      <c r="B273" s="80"/>
      <c r="C273" s="52" t="s">
        <v>485</v>
      </c>
      <c r="D273" s="52" t="s">
        <v>426</v>
      </c>
      <c r="E273" s="52" t="s">
        <v>427</v>
      </c>
      <c r="F273" s="41"/>
      <c r="G273" s="41"/>
      <c r="H273" s="41"/>
      <c r="I273" s="41"/>
      <c r="J273" s="53" t="s">
        <v>20</v>
      </c>
      <c r="K273" s="53" t="s">
        <v>21</v>
      </c>
      <c r="L273" s="73">
        <v>20</v>
      </c>
      <c r="M273" s="74">
        <v>8500</v>
      </c>
      <c r="N273" s="74">
        <v>170000</v>
      </c>
      <c r="O273" s="104"/>
      <c r="P273" s="82"/>
      <c r="Q273" s="82"/>
      <c r="R273" s="82"/>
      <c r="S273" s="82"/>
      <c r="T273" s="82"/>
      <c r="U273" s="41" t="str">
        <f>VLOOKUP(J273,Sheet1!$A$2:$D$200,4,0)</f>
        <v>NL300107</v>
      </c>
      <c r="V273" s="41" t="str">
        <f>VLOOKUP(U273,Sheet1!$D$2:$E$200,2,0)</f>
        <v>Ngô ngọt ( Bắp trái)</v>
      </c>
      <c r="W273" s="94" t="str">
        <f t="shared" si="20"/>
        <v>101NL300107</v>
      </c>
      <c r="X273" s="94" t="str">
        <f>COUNTIF($R$15:W273,W273)&amp;W273</f>
        <v>1101NL300107</v>
      </c>
      <c r="Y273" s="95">
        <f>IFERROR(VLOOKUP(X273,FAST!$B$7:$M$9722,12,0),"0")</f>
        <v>20</v>
      </c>
      <c r="Z273" s="95">
        <f>IFERROR(VLOOKUP(X273,FAST!$B$7:$N$9722,13,0),"0")</f>
        <v>8500</v>
      </c>
      <c r="AA273" s="96">
        <f t="shared" si="21"/>
        <v>170000</v>
      </c>
      <c r="AB273" s="97">
        <f t="shared" si="22"/>
        <v>0</v>
      </c>
      <c r="AC273" s="98">
        <f t="shared" si="23"/>
        <v>0</v>
      </c>
      <c r="AD273" s="99">
        <f t="shared" si="24"/>
        <v>0</v>
      </c>
    </row>
    <row r="274" spans="1:30" x14ac:dyDescent="0.25">
      <c r="A274" s="41"/>
      <c r="B274" s="80"/>
      <c r="C274" s="52" t="s">
        <v>485</v>
      </c>
      <c r="D274" s="52" t="s">
        <v>426</v>
      </c>
      <c r="E274" s="52" t="s">
        <v>427</v>
      </c>
      <c r="F274" s="41"/>
      <c r="G274" s="41"/>
      <c r="H274" s="41"/>
      <c r="I274" s="41"/>
      <c r="J274" s="53" t="s">
        <v>22</v>
      </c>
      <c r="K274" s="53" t="s">
        <v>17</v>
      </c>
      <c r="L274" s="73">
        <v>5</v>
      </c>
      <c r="M274" s="74">
        <v>30000</v>
      </c>
      <c r="N274" s="74">
        <v>150000</v>
      </c>
      <c r="O274" s="104"/>
      <c r="P274" s="82"/>
      <c r="Q274" s="82"/>
      <c r="R274" s="82"/>
      <c r="S274" s="82"/>
      <c r="T274" s="82"/>
      <c r="U274" s="41" t="str">
        <f>VLOOKUP(J274,Sheet1!$A$2:$D$200,4,0)</f>
        <v>NL300007</v>
      </c>
      <c r="V274" s="41" t="str">
        <f>VLOOKUP(U274,Sheet1!$D$2:$E$200,2,0)</f>
        <v>Bí đỏ</v>
      </c>
      <c r="W274" s="94" t="str">
        <f t="shared" si="20"/>
        <v>101NL300007</v>
      </c>
      <c r="X274" s="94" t="str">
        <f>COUNTIF($R$15:W274,W274)&amp;W274</f>
        <v>1101NL300007</v>
      </c>
      <c r="Y274" s="95">
        <f>IFERROR(VLOOKUP(X274,FAST!$B$7:$M$9722,12,0),"0")</f>
        <v>5</v>
      </c>
      <c r="Z274" s="95">
        <f>IFERROR(VLOOKUP(X274,FAST!$B$7:$N$9722,13,0),"0")</f>
        <v>30000</v>
      </c>
      <c r="AA274" s="96">
        <f t="shared" si="21"/>
        <v>150000</v>
      </c>
      <c r="AB274" s="97">
        <f t="shared" si="22"/>
        <v>0</v>
      </c>
      <c r="AC274" s="98">
        <f t="shared" si="23"/>
        <v>0</v>
      </c>
      <c r="AD274" s="99">
        <f t="shared" si="24"/>
        <v>0</v>
      </c>
    </row>
    <row r="275" spans="1:30" x14ac:dyDescent="0.25">
      <c r="A275" s="41"/>
      <c r="B275" s="80"/>
      <c r="C275" s="52" t="s">
        <v>485</v>
      </c>
      <c r="D275" s="52" t="s">
        <v>426</v>
      </c>
      <c r="E275" s="52" t="s">
        <v>427</v>
      </c>
      <c r="F275" s="41"/>
      <c r="G275" s="41"/>
      <c r="H275" s="41"/>
      <c r="I275" s="41"/>
      <c r="J275" s="53" t="s">
        <v>23</v>
      </c>
      <c r="K275" s="53" t="s">
        <v>17</v>
      </c>
      <c r="L275" s="73">
        <v>1.5</v>
      </c>
      <c r="M275" s="74">
        <v>40000</v>
      </c>
      <c r="N275" s="74">
        <v>60000</v>
      </c>
      <c r="O275" s="104"/>
      <c r="P275" s="82"/>
      <c r="Q275" s="82"/>
      <c r="R275" s="82"/>
      <c r="S275" s="82"/>
      <c r="T275" s="82"/>
      <c r="U275" s="41" t="str">
        <f>VLOOKUP(J275,Sheet1!$A$2:$D$200,4,0)</f>
        <v>NL300008</v>
      </c>
      <c r="V275" s="41" t="str">
        <f>VLOOKUP(U275,Sheet1!$D$2:$E$200,2,0)</f>
        <v>Bí ngòi</v>
      </c>
      <c r="W275" s="94" t="str">
        <f t="shared" si="20"/>
        <v>101NL300008</v>
      </c>
      <c r="X275" s="94" t="str">
        <f>COUNTIF($R$15:W275,W275)&amp;W275</f>
        <v>1101NL300008</v>
      </c>
      <c r="Y275" s="95">
        <f>IFERROR(VLOOKUP(X275,FAST!$B$7:$M$9722,12,0),"0")</f>
        <v>15</v>
      </c>
      <c r="Z275" s="95">
        <f>IFERROR(VLOOKUP(X275,FAST!$B$7:$N$9722,13,0),"0")</f>
        <v>40000</v>
      </c>
      <c r="AA275" s="96">
        <f t="shared" si="21"/>
        <v>600000</v>
      </c>
      <c r="AB275" s="97">
        <f t="shared" si="22"/>
        <v>13.5</v>
      </c>
      <c r="AC275" s="98">
        <f t="shared" si="23"/>
        <v>0</v>
      </c>
      <c r="AD275" s="99">
        <f t="shared" si="24"/>
        <v>540000</v>
      </c>
    </row>
    <row r="276" spans="1:30" x14ac:dyDescent="0.25">
      <c r="A276" s="41"/>
      <c r="B276" s="80"/>
      <c r="C276" s="52" t="s">
        <v>485</v>
      </c>
      <c r="D276" s="52" t="s">
        <v>426</v>
      </c>
      <c r="E276" s="52" t="s">
        <v>427</v>
      </c>
      <c r="F276" s="41"/>
      <c r="G276" s="41"/>
      <c r="H276" s="41"/>
      <c r="I276" s="41"/>
      <c r="J276" s="53" t="s">
        <v>50</v>
      </c>
      <c r="K276" s="53" t="s">
        <v>17</v>
      </c>
      <c r="L276" s="73">
        <v>4.5</v>
      </c>
      <c r="M276" s="74">
        <v>52000</v>
      </c>
      <c r="N276" s="74">
        <v>234000</v>
      </c>
      <c r="O276" s="104"/>
      <c r="P276" s="82"/>
      <c r="Q276" s="82"/>
      <c r="R276" s="82"/>
      <c r="S276" s="82"/>
      <c r="T276" s="82"/>
      <c r="U276" s="41" t="str">
        <f>VLOOKUP(J276,Sheet1!$A$2:$D$200,4,0)</f>
        <v>NL300137</v>
      </c>
      <c r="V276" s="41" t="str">
        <f>VLOOKUP(U276,Sheet1!$D$2:$E$200,2,0)</f>
        <v>Súp lơ xanh</v>
      </c>
      <c r="W276" s="94" t="str">
        <f t="shared" si="20"/>
        <v>101NL300137</v>
      </c>
      <c r="X276" s="94" t="str">
        <f>COUNTIF($R$15:W276,W276)&amp;W276</f>
        <v>1101NL300137</v>
      </c>
      <c r="Y276" s="95">
        <f>IFERROR(VLOOKUP(X276,FAST!$B$7:$M$9722,12,0),"0")</f>
        <v>4.5</v>
      </c>
      <c r="Z276" s="95">
        <f>IFERROR(VLOOKUP(X276,FAST!$B$7:$N$9722,13,0),"0")</f>
        <v>52000</v>
      </c>
      <c r="AA276" s="96">
        <f t="shared" si="21"/>
        <v>234000</v>
      </c>
      <c r="AB276" s="97">
        <f t="shared" si="22"/>
        <v>0</v>
      </c>
      <c r="AC276" s="98">
        <f t="shared" si="23"/>
        <v>0</v>
      </c>
      <c r="AD276" s="99">
        <f t="shared" si="24"/>
        <v>0</v>
      </c>
    </row>
    <row r="277" spans="1:30" x14ac:dyDescent="0.25">
      <c r="A277" s="41"/>
      <c r="B277" s="80"/>
      <c r="C277" s="52" t="s">
        <v>485</v>
      </c>
      <c r="D277" s="52" t="s">
        <v>426</v>
      </c>
      <c r="E277" s="52" t="s">
        <v>427</v>
      </c>
      <c r="F277" s="41"/>
      <c r="G277" s="41"/>
      <c r="H277" s="41"/>
      <c r="I277" s="41"/>
      <c r="J277" s="53" t="s">
        <v>70</v>
      </c>
      <c r="K277" s="53" t="s">
        <v>17</v>
      </c>
      <c r="L277" s="73">
        <v>0.5</v>
      </c>
      <c r="M277" s="74">
        <v>75000</v>
      </c>
      <c r="N277" s="74">
        <v>37500</v>
      </c>
      <c r="O277" s="104"/>
      <c r="P277" s="82"/>
      <c r="Q277" s="82"/>
      <c r="R277" s="82"/>
      <c r="S277" s="82"/>
      <c r="T277" s="82"/>
      <c r="U277" s="41" t="str">
        <f>VLOOKUP(J277,Sheet1!$A$2:$D$200,4,0)</f>
        <v>NL300028</v>
      </c>
      <c r="V277" s="41" t="str">
        <f>VLOOKUP(U277,Sheet1!$D$2:$E$200,2,0)</f>
        <v>Cà rốt baby</v>
      </c>
      <c r="W277" s="94" t="str">
        <f t="shared" si="20"/>
        <v>101NL300028</v>
      </c>
      <c r="X277" s="94" t="str">
        <f>COUNTIF($R$15:W277,W277)&amp;W277</f>
        <v>1101NL300028</v>
      </c>
      <c r="Y277" s="95">
        <f>IFERROR(VLOOKUP(X277,FAST!$B$7:$M$9722,12,0),"0")</f>
        <v>0.5</v>
      </c>
      <c r="Z277" s="95">
        <f>IFERROR(VLOOKUP(X277,FAST!$B$7:$N$9722,13,0),"0")</f>
        <v>75000</v>
      </c>
      <c r="AA277" s="96">
        <f t="shared" si="21"/>
        <v>37500</v>
      </c>
      <c r="AB277" s="97">
        <f t="shared" si="22"/>
        <v>0</v>
      </c>
      <c r="AC277" s="98">
        <f t="shared" si="23"/>
        <v>0</v>
      </c>
      <c r="AD277" s="99">
        <f t="shared" si="24"/>
        <v>0</v>
      </c>
    </row>
    <row r="278" spans="1:30" x14ac:dyDescent="0.25">
      <c r="A278" s="41"/>
      <c r="B278" s="80"/>
      <c r="C278" s="52" t="s">
        <v>485</v>
      </c>
      <c r="D278" s="52" t="s">
        <v>426</v>
      </c>
      <c r="E278" s="52" t="s">
        <v>427</v>
      </c>
      <c r="F278" s="41"/>
      <c r="G278" s="41"/>
      <c r="H278" s="41"/>
      <c r="I278" s="41"/>
      <c r="J278" s="53" t="s">
        <v>24</v>
      </c>
      <c r="K278" s="53" t="s">
        <v>17</v>
      </c>
      <c r="L278" s="73">
        <v>2</v>
      </c>
      <c r="M278" s="74">
        <v>30000</v>
      </c>
      <c r="N278" s="74">
        <v>60000</v>
      </c>
      <c r="O278" s="104"/>
      <c r="P278" s="82"/>
      <c r="Q278" s="82"/>
      <c r="R278" s="82"/>
      <c r="S278" s="82"/>
      <c r="T278" s="82"/>
      <c r="U278" s="41" t="str">
        <f>VLOOKUP(J278,Sheet1!$A$2:$D$200,4,0)</f>
        <v>NL300020</v>
      </c>
      <c r="V278" s="41" t="str">
        <f>VLOOKUP(U278,Sheet1!$D$2:$E$200,2,0)</f>
        <v>Cải ngồng</v>
      </c>
      <c r="W278" s="94" t="str">
        <f t="shared" si="20"/>
        <v>101NL300020</v>
      </c>
      <c r="X278" s="94" t="str">
        <f>COUNTIF($R$15:W278,W278)&amp;W278</f>
        <v>1101NL300020</v>
      </c>
      <c r="Y278" s="95">
        <f>IFERROR(VLOOKUP(X278,FAST!$B$7:$M$9722,12,0),"0")</f>
        <v>2</v>
      </c>
      <c r="Z278" s="95">
        <f>IFERROR(VLOOKUP(X278,FAST!$B$7:$N$9722,13,0),"0")</f>
        <v>30000</v>
      </c>
      <c r="AA278" s="96">
        <f t="shared" si="21"/>
        <v>60000</v>
      </c>
      <c r="AB278" s="97">
        <f t="shared" si="22"/>
        <v>0</v>
      </c>
      <c r="AC278" s="98">
        <f t="shared" si="23"/>
        <v>0</v>
      </c>
      <c r="AD278" s="99">
        <f t="shared" si="24"/>
        <v>0</v>
      </c>
    </row>
    <row r="279" spans="1:30" x14ac:dyDescent="0.25">
      <c r="A279" s="41"/>
      <c r="B279" s="80"/>
      <c r="C279" s="52" t="s">
        <v>485</v>
      </c>
      <c r="D279" s="52" t="s">
        <v>426</v>
      </c>
      <c r="E279" s="52" t="s">
        <v>427</v>
      </c>
      <c r="F279" s="41"/>
      <c r="G279" s="41"/>
      <c r="H279" s="41"/>
      <c r="I279" s="41"/>
      <c r="J279" s="53" t="s">
        <v>25</v>
      </c>
      <c r="K279" s="53" t="s">
        <v>17</v>
      </c>
      <c r="L279" s="73">
        <v>0.8</v>
      </c>
      <c r="M279" s="74">
        <v>44000</v>
      </c>
      <c r="N279" s="74">
        <v>35200</v>
      </c>
      <c r="O279" s="108"/>
      <c r="P279" s="109"/>
      <c r="Q279" s="109"/>
      <c r="R279" s="109"/>
      <c r="S279" s="109"/>
      <c r="T279" s="109"/>
      <c r="U279" s="41" t="str">
        <f>VLOOKUP(J279,Sheet1!$A$2:$D$200,4,0)</f>
        <v>NL300025</v>
      </c>
      <c r="V279" s="41" t="str">
        <f>VLOOKUP(U279,Sheet1!$D$2:$E$200,2,0)</f>
        <v>Rau cần tây</v>
      </c>
      <c r="W279" s="94" t="str">
        <f t="shared" si="20"/>
        <v>101NL300025</v>
      </c>
      <c r="X279" s="94" t="str">
        <f>COUNTIF($R$15:W279,W279)&amp;W279</f>
        <v>1101NL300025</v>
      </c>
      <c r="Y279" s="95">
        <f>IFERROR(VLOOKUP(X279,FAST!$B$7:$M$9722,12,0),"0")</f>
        <v>0.8</v>
      </c>
      <c r="Z279" s="95">
        <f>IFERROR(VLOOKUP(X279,FAST!$B$7:$N$9722,13,0),"0")</f>
        <v>44000</v>
      </c>
      <c r="AA279" s="96">
        <f t="shared" si="21"/>
        <v>35200</v>
      </c>
      <c r="AB279" s="97">
        <f t="shared" si="22"/>
        <v>0</v>
      </c>
      <c r="AC279" s="98">
        <f t="shared" si="23"/>
        <v>0</v>
      </c>
      <c r="AD279" s="99">
        <f t="shared" si="24"/>
        <v>0</v>
      </c>
    </row>
    <row r="280" spans="1:30" x14ac:dyDescent="0.25">
      <c r="A280" s="41"/>
      <c r="B280" s="80"/>
      <c r="C280" s="52" t="s">
        <v>485</v>
      </c>
      <c r="D280" s="52" t="s">
        <v>426</v>
      </c>
      <c r="E280" s="52" t="s">
        <v>427</v>
      </c>
      <c r="F280" s="41"/>
      <c r="G280" s="41"/>
      <c r="H280" s="41"/>
      <c r="I280" s="41"/>
      <c r="J280" s="53" t="s">
        <v>56</v>
      </c>
      <c r="K280" s="53" t="s">
        <v>17</v>
      </c>
      <c r="L280" s="73">
        <v>1.8</v>
      </c>
      <c r="M280" s="74">
        <v>38000</v>
      </c>
      <c r="N280" s="74">
        <v>68400</v>
      </c>
      <c r="O280" s="104"/>
      <c r="P280" s="82"/>
      <c r="Q280" s="82"/>
      <c r="R280" s="82"/>
      <c r="S280" s="82"/>
      <c r="T280" s="82"/>
      <c r="U280" s="41" t="str">
        <f>VLOOKUP(J280,Sheet1!$A$2:$D$200,4,0)</f>
        <v>NL300054</v>
      </c>
      <c r="V280" s="41" t="str">
        <f>VLOOKUP(U280,Sheet1!$D$2:$E$200,2,0)</f>
        <v>Gừng tàu</v>
      </c>
      <c r="W280" s="94" t="str">
        <f t="shared" ref="W280:W343" si="25">DAY(C280)&amp;MONTH(C280)&amp;U280</f>
        <v>101NL300054</v>
      </c>
      <c r="X280" s="94" t="str">
        <f>COUNTIF($R$15:W280,W280)&amp;W280</f>
        <v>1101NL300054</v>
      </c>
      <c r="Y280" s="95">
        <f>IFERROR(VLOOKUP(X280,FAST!$B$7:$M$9722,12,0),"0")</f>
        <v>1.8</v>
      </c>
      <c r="Z280" s="95">
        <f>IFERROR(VLOOKUP(X280,FAST!$B$7:$N$9722,13,0),"0")</f>
        <v>38000</v>
      </c>
      <c r="AA280" s="96">
        <f t="shared" si="21"/>
        <v>68400</v>
      </c>
      <c r="AB280" s="97">
        <f t="shared" si="22"/>
        <v>0</v>
      </c>
      <c r="AC280" s="98">
        <f t="shared" si="23"/>
        <v>0</v>
      </c>
      <c r="AD280" s="99">
        <f t="shared" si="24"/>
        <v>0</v>
      </c>
    </row>
    <row r="281" spans="1:30" x14ac:dyDescent="0.25">
      <c r="A281" s="41"/>
      <c r="B281" s="80"/>
      <c r="C281" s="52" t="s">
        <v>485</v>
      </c>
      <c r="D281" s="52" t="s">
        <v>426</v>
      </c>
      <c r="E281" s="52" t="s">
        <v>427</v>
      </c>
      <c r="F281" s="41"/>
      <c r="G281" s="41"/>
      <c r="H281" s="41"/>
      <c r="I281" s="41"/>
      <c r="J281" s="53" t="s">
        <v>26</v>
      </c>
      <c r="K281" s="53" t="s">
        <v>17</v>
      </c>
      <c r="L281" s="73">
        <v>0.1</v>
      </c>
      <c r="M281" s="74">
        <v>25000</v>
      </c>
      <c r="N281" s="74">
        <v>2500</v>
      </c>
      <c r="O281" s="104"/>
      <c r="P281" s="82"/>
      <c r="Q281" s="82"/>
      <c r="R281" s="82"/>
      <c r="S281" s="82"/>
      <c r="T281" s="82"/>
      <c r="U281" s="41" t="str">
        <f>VLOOKUP(J281,Sheet1!$A$2:$D$200,4,0)</f>
        <v>NL300035</v>
      </c>
      <c r="V281" s="41" t="str">
        <f>VLOOKUP(U281,Sheet1!$D$2:$E$200,2,0)</f>
        <v>Củ riềng</v>
      </c>
      <c r="W281" s="94" t="str">
        <f t="shared" si="25"/>
        <v>101NL300035</v>
      </c>
      <c r="X281" s="94" t="str">
        <f>COUNTIF($R$15:W281,W281)&amp;W281</f>
        <v>1101NL300035</v>
      </c>
      <c r="Y281" s="95">
        <f>IFERROR(VLOOKUP(X281,FAST!$B$7:$M$9722,12,0),"0")</f>
        <v>0.1</v>
      </c>
      <c r="Z281" s="95">
        <f>IFERROR(VLOOKUP(X281,FAST!$B$7:$N$9722,13,0),"0")</f>
        <v>25000</v>
      </c>
      <c r="AA281" s="96">
        <f t="shared" si="21"/>
        <v>2500</v>
      </c>
      <c r="AB281" s="97">
        <f t="shared" si="22"/>
        <v>0</v>
      </c>
      <c r="AC281" s="98">
        <f t="shared" si="23"/>
        <v>0</v>
      </c>
      <c r="AD281" s="99">
        <f t="shared" si="24"/>
        <v>0</v>
      </c>
    </row>
    <row r="282" spans="1:30" x14ac:dyDescent="0.25">
      <c r="A282" s="41"/>
      <c r="B282" s="80"/>
      <c r="C282" s="52" t="s">
        <v>485</v>
      </c>
      <c r="D282" s="52" t="s">
        <v>426</v>
      </c>
      <c r="E282" s="52" t="s">
        <v>427</v>
      </c>
      <c r="F282" s="41"/>
      <c r="G282" s="41"/>
      <c r="H282" s="41"/>
      <c r="I282" s="41"/>
      <c r="J282" s="53" t="s">
        <v>27</v>
      </c>
      <c r="K282" s="53" t="s">
        <v>17</v>
      </c>
      <c r="L282" s="73">
        <v>0.6</v>
      </c>
      <c r="M282" s="74">
        <v>47000</v>
      </c>
      <c r="N282" s="74">
        <v>28200</v>
      </c>
      <c r="O282" s="104"/>
      <c r="P282" s="82"/>
      <c r="Q282" s="82"/>
      <c r="R282" s="82"/>
      <c r="S282" s="82"/>
      <c r="T282" s="82"/>
      <c r="U282" s="41" t="str">
        <f>VLOOKUP(J282,Sheet1!$A$2:$D$200,4,0)</f>
        <v>NL300036</v>
      </c>
      <c r="V282" s="41" t="str">
        <f>VLOOKUP(U282,Sheet1!$D$2:$E$200,2,0)</f>
        <v>Củ sen</v>
      </c>
      <c r="W282" s="94" t="str">
        <f t="shared" si="25"/>
        <v>101NL300036</v>
      </c>
      <c r="X282" s="94" t="str">
        <f>COUNTIF($R$15:W282,W282)&amp;W282</f>
        <v>1101NL300036</v>
      </c>
      <c r="Y282" s="95">
        <f>IFERROR(VLOOKUP(X282,FAST!$B$7:$M$9722,12,0),"0")</f>
        <v>0.6</v>
      </c>
      <c r="Z282" s="95">
        <f>IFERROR(VLOOKUP(X282,FAST!$B$7:$N$9722,13,0),"0")</f>
        <v>47000</v>
      </c>
      <c r="AA282" s="96">
        <f t="shared" si="21"/>
        <v>28200</v>
      </c>
      <c r="AB282" s="97">
        <f t="shared" si="22"/>
        <v>0</v>
      </c>
      <c r="AC282" s="98">
        <f t="shared" si="23"/>
        <v>0</v>
      </c>
      <c r="AD282" s="99">
        <f t="shared" si="24"/>
        <v>0</v>
      </c>
    </row>
    <row r="283" spans="1:30" x14ac:dyDescent="0.25">
      <c r="A283" s="41"/>
      <c r="B283" s="80"/>
      <c r="C283" s="52" t="s">
        <v>485</v>
      </c>
      <c r="D283" s="52" t="s">
        <v>426</v>
      </c>
      <c r="E283" s="52" t="s">
        <v>427</v>
      </c>
      <c r="F283" s="41"/>
      <c r="G283" s="41"/>
      <c r="H283" s="41"/>
      <c r="I283" s="41"/>
      <c r="J283" s="53" t="s">
        <v>28</v>
      </c>
      <c r="K283" s="53" t="s">
        <v>17</v>
      </c>
      <c r="L283" s="73">
        <v>3</v>
      </c>
      <c r="M283" s="74">
        <v>32000</v>
      </c>
      <c r="N283" s="74">
        <v>96000</v>
      </c>
      <c r="O283" s="104"/>
      <c r="P283" s="82"/>
      <c r="Q283" s="82"/>
      <c r="R283" s="82"/>
      <c r="S283" s="82"/>
      <c r="T283" s="82"/>
      <c r="U283" s="41" t="str">
        <f>VLOOKUP(J283,Sheet1!$A$2:$D$200,4,0)</f>
        <v>NL300038</v>
      </c>
      <c r="V283" s="41" t="str">
        <f>VLOOKUP(U283,Sheet1!$D$2:$E$200,2,0)</f>
        <v>Đậu bắp</v>
      </c>
      <c r="W283" s="94" t="str">
        <f t="shared" si="25"/>
        <v>101NL300038</v>
      </c>
      <c r="X283" s="94" t="str">
        <f>COUNTIF($R$15:W283,W283)&amp;W283</f>
        <v>1101NL300038</v>
      </c>
      <c r="Y283" s="95">
        <f>IFERROR(VLOOKUP(X283,FAST!$B$7:$M$9722,12,0),"0")</f>
        <v>3</v>
      </c>
      <c r="Z283" s="95">
        <f>IFERROR(VLOOKUP(X283,FAST!$B$7:$N$9722,13,0),"0")</f>
        <v>32000</v>
      </c>
      <c r="AA283" s="96">
        <f t="shared" si="21"/>
        <v>96000</v>
      </c>
      <c r="AB283" s="97">
        <f t="shared" si="22"/>
        <v>0</v>
      </c>
      <c r="AC283" s="98">
        <f t="shared" si="23"/>
        <v>0</v>
      </c>
      <c r="AD283" s="99">
        <f t="shared" si="24"/>
        <v>0</v>
      </c>
    </row>
    <row r="284" spans="1:30" x14ac:dyDescent="0.25">
      <c r="A284" s="41"/>
      <c r="B284" s="80"/>
      <c r="C284" s="52" t="s">
        <v>485</v>
      </c>
      <c r="D284" s="52" t="s">
        <v>426</v>
      </c>
      <c r="E284" s="52" t="s">
        <v>427</v>
      </c>
      <c r="F284" s="41"/>
      <c r="G284" s="41"/>
      <c r="H284" s="41"/>
      <c r="I284" s="41"/>
      <c r="J284" s="53" t="s">
        <v>44</v>
      </c>
      <c r="K284" s="53" t="s">
        <v>45</v>
      </c>
      <c r="L284" s="73">
        <v>12</v>
      </c>
      <c r="M284" s="74">
        <v>15000</v>
      </c>
      <c r="N284" s="74">
        <v>180000</v>
      </c>
      <c r="O284" s="104"/>
      <c r="P284" s="82"/>
      <c r="Q284" s="82"/>
      <c r="R284" s="82"/>
      <c r="S284" s="82"/>
      <c r="T284" s="82"/>
      <c r="U284" s="41" t="str">
        <f>VLOOKUP(J284,Sheet1!$A$2:$D$200,4,0)</f>
        <v>NL300041</v>
      </c>
      <c r="V284" s="41" t="str">
        <f>VLOOKUP(U284,Sheet1!$D$2:$E$200,2,0)</f>
        <v>Đậu hủ non trứng</v>
      </c>
      <c r="W284" s="94" t="str">
        <f t="shared" si="25"/>
        <v>101NL300041</v>
      </c>
      <c r="X284" s="94" t="str">
        <f>COUNTIF($R$15:W284,W284)&amp;W284</f>
        <v>1101NL300041</v>
      </c>
      <c r="Y284" s="95">
        <f>IFERROR(VLOOKUP(X284,FAST!$B$7:$M$9722,12,0),"0")</f>
        <v>12</v>
      </c>
      <c r="Z284" s="95">
        <f>IFERROR(VLOOKUP(X284,FAST!$B$7:$N$9722,13,0),"0")</f>
        <v>15000</v>
      </c>
      <c r="AA284" s="96">
        <f t="shared" si="21"/>
        <v>180000</v>
      </c>
      <c r="AB284" s="97">
        <f t="shared" si="22"/>
        <v>0</v>
      </c>
      <c r="AC284" s="98">
        <f t="shared" si="23"/>
        <v>0</v>
      </c>
      <c r="AD284" s="99">
        <f t="shared" si="24"/>
        <v>0</v>
      </c>
    </row>
    <row r="285" spans="1:30" x14ac:dyDescent="0.25">
      <c r="A285" s="41"/>
      <c r="B285" s="80"/>
      <c r="C285" s="52" t="s">
        <v>485</v>
      </c>
      <c r="D285" s="52" t="s">
        <v>426</v>
      </c>
      <c r="E285" s="52" t="s">
        <v>427</v>
      </c>
      <c r="F285" s="41"/>
      <c r="G285" s="41"/>
      <c r="H285" s="41"/>
      <c r="I285" s="41"/>
      <c r="J285" s="53" t="s">
        <v>47</v>
      </c>
      <c r="K285" s="53" t="s">
        <v>17</v>
      </c>
      <c r="L285" s="73">
        <v>27.5</v>
      </c>
      <c r="M285" s="74">
        <v>18000</v>
      </c>
      <c r="N285" s="74">
        <v>495000</v>
      </c>
      <c r="O285" s="104"/>
      <c r="P285" s="82"/>
      <c r="Q285" s="82"/>
      <c r="R285" s="82"/>
      <c r="S285" s="82"/>
      <c r="T285" s="82"/>
      <c r="U285" s="41" t="str">
        <f>VLOOKUP(J285,Sheet1!$A$2:$D$200,4,0)</f>
        <v>NL600004</v>
      </c>
      <c r="V285" s="41" t="str">
        <f>VLOOKUP(U285,Sheet1!$D$2:$E$200,2,0)</f>
        <v>Dưa hấu</v>
      </c>
      <c r="W285" s="94" t="str">
        <f t="shared" si="25"/>
        <v>101NL600004</v>
      </c>
      <c r="X285" s="94" t="str">
        <f>COUNTIF($R$15:W285,W285)&amp;W285</f>
        <v>1101NL600004</v>
      </c>
      <c r="Y285" s="95">
        <f>IFERROR(VLOOKUP(X285,FAST!$B$7:$M$9722,12,0),"0")</f>
        <v>27.5</v>
      </c>
      <c r="Z285" s="95">
        <f>IFERROR(VLOOKUP(X285,FAST!$B$7:$N$9722,13,0),"0")</f>
        <v>18000</v>
      </c>
      <c r="AA285" s="96">
        <f t="shared" si="21"/>
        <v>495000</v>
      </c>
      <c r="AB285" s="97">
        <f t="shared" si="22"/>
        <v>0</v>
      </c>
      <c r="AC285" s="98">
        <f t="shared" si="23"/>
        <v>0</v>
      </c>
      <c r="AD285" s="99">
        <f t="shared" si="24"/>
        <v>0</v>
      </c>
    </row>
    <row r="286" spans="1:30" x14ac:dyDescent="0.25">
      <c r="A286" s="41"/>
      <c r="B286" s="80"/>
      <c r="C286" s="52" t="s">
        <v>485</v>
      </c>
      <c r="D286" s="52" t="s">
        <v>426</v>
      </c>
      <c r="E286" s="52" t="s">
        <v>427</v>
      </c>
      <c r="F286" s="41"/>
      <c r="G286" s="41"/>
      <c r="H286" s="41"/>
      <c r="I286" s="41"/>
      <c r="J286" s="53" t="s">
        <v>29</v>
      </c>
      <c r="K286" s="53" t="s">
        <v>17</v>
      </c>
      <c r="L286" s="73">
        <v>6</v>
      </c>
      <c r="M286" s="74">
        <v>55000</v>
      </c>
      <c r="N286" s="74">
        <v>330000</v>
      </c>
      <c r="O286" s="104"/>
      <c r="P286" s="82"/>
      <c r="Q286" s="82"/>
      <c r="R286" s="82"/>
      <c r="S286" s="82"/>
      <c r="T286" s="82"/>
      <c r="U286" s="41" t="str">
        <f>VLOOKUP(J286,Sheet1!$A$2:$D$200,4,0)</f>
        <v>NL300058</v>
      </c>
      <c r="V286" s="41" t="str">
        <f>VLOOKUP(U286,Sheet1!$D$2:$E$200,2,0)</f>
        <v>Hành lá</v>
      </c>
      <c r="W286" s="94" t="str">
        <f t="shared" si="25"/>
        <v>101NL300058</v>
      </c>
      <c r="X286" s="94" t="str">
        <f>COUNTIF($R$15:W286,W286)&amp;W286</f>
        <v>1101NL300058</v>
      </c>
      <c r="Y286" s="95">
        <f>IFERROR(VLOOKUP(X286,FAST!$B$7:$M$9722,12,0),"0")</f>
        <v>6</v>
      </c>
      <c r="Z286" s="95">
        <f>IFERROR(VLOOKUP(X286,FAST!$B$7:$N$9722,13,0),"0")</f>
        <v>55000</v>
      </c>
      <c r="AA286" s="96">
        <f t="shared" si="21"/>
        <v>330000</v>
      </c>
      <c r="AB286" s="97">
        <f t="shared" si="22"/>
        <v>0</v>
      </c>
      <c r="AC286" s="98">
        <f t="shared" si="23"/>
        <v>0</v>
      </c>
      <c r="AD286" s="99">
        <f t="shared" si="24"/>
        <v>0</v>
      </c>
    </row>
    <row r="287" spans="1:30" x14ac:dyDescent="0.25">
      <c r="A287" s="41"/>
      <c r="B287" s="80"/>
      <c r="C287" s="52" t="s">
        <v>485</v>
      </c>
      <c r="D287" s="52" t="s">
        <v>426</v>
      </c>
      <c r="E287" s="52" t="s">
        <v>427</v>
      </c>
      <c r="F287" s="41"/>
      <c r="G287" s="41"/>
      <c r="H287" s="41"/>
      <c r="I287" s="41"/>
      <c r="J287" s="53" t="s">
        <v>30</v>
      </c>
      <c r="K287" s="53" t="s">
        <v>17</v>
      </c>
      <c r="L287" s="73">
        <v>0.5</v>
      </c>
      <c r="M287" s="74">
        <v>38000</v>
      </c>
      <c r="N287" s="74">
        <v>19000</v>
      </c>
      <c r="O287" s="104"/>
      <c r="P287" s="82"/>
      <c r="Q287" s="82"/>
      <c r="R287" s="82"/>
      <c r="S287" s="82"/>
      <c r="T287" s="82"/>
      <c r="U287" s="41" t="str">
        <f>VLOOKUP(J287,Sheet1!$A$2:$D$200,4,0)</f>
        <v>NL300061</v>
      </c>
      <c r="V287" s="41" t="str">
        <f>VLOOKUP(U287,Sheet1!$D$2:$E$200,2,0)</f>
        <v>Hành Paro (Hành Baro)</v>
      </c>
      <c r="W287" s="94" t="str">
        <f t="shared" si="25"/>
        <v>101NL300061</v>
      </c>
      <c r="X287" s="94" t="str">
        <f>COUNTIF($R$15:W287,W287)&amp;W287</f>
        <v>1101NL300061</v>
      </c>
      <c r="Y287" s="95">
        <f>IFERROR(VLOOKUP(X287,FAST!$B$7:$M$9722,12,0),"0")</f>
        <v>0.5</v>
      </c>
      <c r="Z287" s="95">
        <f>IFERROR(VLOOKUP(X287,FAST!$B$7:$N$9722,13,0),"0")</f>
        <v>38000</v>
      </c>
      <c r="AA287" s="96">
        <f t="shared" si="21"/>
        <v>19000</v>
      </c>
      <c r="AB287" s="97">
        <f t="shared" si="22"/>
        <v>0</v>
      </c>
      <c r="AC287" s="98">
        <f t="shared" si="23"/>
        <v>0</v>
      </c>
      <c r="AD287" s="99">
        <f t="shared" si="24"/>
        <v>0</v>
      </c>
    </row>
    <row r="288" spans="1:30" x14ac:dyDescent="0.25">
      <c r="A288" s="41"/>
      <c r="B288" s="80"/>
      <c r="C288" s="52" t="s">
        <v>485</v>
      </c>
      <c r="D288" s="52" t="s">
        <v>426</v>
      </c>
      <c r="E288" s="52" t="s">
        <v>427</v>
      </c>
      <c r="F288" s="41"/>
      <c r="G288" s="41"/>
      <c r="H288" s="41"/>
      <c r="I288" s="41"/>
      <c r="J288" s="53" t="s">
        <v>76</v>
      </c>
      <c r="K288" s="53" t="s">
        <v>17</v>
      </c>
      <c r="L288" s="73">
        <v>0.1</v>
      </c>
      <c r="M288" s="74">
        <v>80000</v>
      </c>
      <c r="N288" s="74">
        <v>8000</v>
      </c>
      <c r="O288" s="104"/>
      <c r="P288" s="82"/>
      <c r="Q288" s="82"/>
      <c r="R288" s="82"/>
      <c r="S288" s="82"/>
      <c r="T288" s="82"/>
      <c r="U288" s="41" t="str">
        <f>VLOOKUP(J288,Sheet1!$A$2:$D$200,4,0)</f>
        <v>NL300055</v>
      </c>
      <c r="V288" s="41" t="str">
        <f>VLOOKUP(U288,Sheet1!$D$2:$E$200,2,0)</f>
        <v>Hành bóc</v>
      </c>
      <c r="W288" s="94" t="str">
        <f t="shared" si="25"/>
        <v>101NL300055</v>
      </c>
      <c r="X288" s="94" t="str">
        <f>COUNTIF($R$15:W288,W288)&amp;W288</f>
        <v>1101NL300055</v>
      </c>
      <c r="Y288" s="95">
        <f>IFERROR(VLOOKUP(X288,FAST!$B$7:$M$9722,12,0),"0")</f>
        <v>0.1</v>
      </c>
      <c r="Z288" s="95">
        <f>IFERROR(VLOOKUP(X288,FAST!$B$7:$N$9722,13,0),"0")</f>
        <v>80000</v>
      </c>
      <c r="AA288" s="96">
        <f t="shared" si="21"/>
        <v>8000</v>
      </c>
      <c r="AB288" s="97">
        <f t="shared" si="22"/>
        <v>0</v>
      </c>
      <c r="AC288" s="98">
        <f t="shared" si="23"/>
        <v>0</v>
      </c>
      <c r="AD288" s="99">
        <f t="shared" si="24"/>
        <v>0</v>
      </c>
    </row>
    <row r="289" spans="1:30" x14ac:dyDescent="0.25">
      <c r="A289" s="41"/>
      <c r="B289" s="80"/>
      <c r="C289" s="52" t="s">
        <v>485</v>
      </c>
      <c r="D289" s="52" t="s">
        <v>426</v>
      </c>
      <c r="E289" s="52" t="s">
        <v>427</v>
      </c>
      <c r="F289" s="41"/>
      <c r="G289" s="41"/>
      <c r="H289" s="41"/>
      <c r="I289" s="41"/>
      <c r="J289" s="53" t="s">
        <v>69</v>
      </c>
      <c r="K289" s="53" t="s">
        <v>17</v>
      </c>
      <c r="L289" s="73">
        <v>0.3</v>
      </c>
      <c r="M289" s="74">
        <v>65000</v>
      </c>
      <c r="N289" s="74">
        <v>19500</v>
      </c>
      <c r="O289" s="104"/>
      <c r="P289" s="82"/>
      <c r="Q289" s="82"/>
      <c r="R289" s="82"/>
      <c r="S289" s="82"/>
      <c r="T289" s="82"/>
      <c r="U289" s="41" t="str">
        <f>VLOOKUP(J289,Sheet1!$A$2:$D$200,4,0)</f>
        <v>NL300062</v>
      </c>
      <c r="V289" s="41" t="str">
        <f>VLOOKUP(U289,Sheet1!$D$2:$E$200,2,0)</f>
        <v>Húng Bạc Hà</v>
      </c>
      <c r="W289" s="94" t="str">
        <f t="shared" si="25"/>
        <v>101NL300062</v>
      </c>
      <c r="X289" s="94" t="str">
        <f>COUNTIF($R$15:W289,W289)&amp;W289</f>
        <v>1101NL300062</v>
      </c>
      <c r="Y289" s="95">
        <f>IFERROR(VLOOKUP(X289,FAST!$B$7:$M$9722,12,0),"0")</f>
        <v>0.3</v>
      </c>
      <c r="Z289" s="95">
        <f>IFERROR(VLOOKUP(X289,FAST!$B$7:$N$9722,13,0),"0")</f>
        <v>65000</v>
      </c>
      <c r="AA289" s="96">
        <f t="shared" si="21"/>
        <v>19500</v>
      </c>
      <c r="AB289" s="97">
        <f t="shared" si="22"/>
        <v>0</v>
      </c>
      <c r="AC289" s="98">
        <f t="shared" si="23"/>
        <v>0</v>
      </c>
      <c r="AD289" s="99">
        <f t="shared" si="24"/>
        <v>0</v>
      </c>
    </row>
    <row r="290" spans="1:30" x14ac:dyDescent="0.25">
      <c r="A290" s="41"/>
      <c r="B290" s="80"/>
      <c r="C290" s="52" t="s">
        <v>485</v>
      </c>
      <c r="D290" s="52" t="s">
        <v>426</v>
      </c>
      <c r="E290" s="52" t="s">
        <v>427</v>
      </c>
      <c r="F290" s="41"/>
      <c r="G290" s="41"/>
      <c r="H290" s="41"/>
      <c r="I290" s="41"/>
      <c r="J290" s="53" t="s">
        <v>57</v>
      </c>
      <c r="K290" s="53" t="s">
        <v>17</v>
      </c>
      <c r="L290" s="73">
        <v>0.4</v>
      </c>
      <c r="M290" s="74">
        <v>23000</v>
      </c>
      <c r="N290" s="74">
        <v>9200</v>
      </c>
      <c r="O290" s="104"/>
      <c r="P290" s="82"/>
      <c r="Q290" s="82"/>
      <c r="R290" s="82"/>
      <c r="S290" s="82"/>
      <c r="T290" s="82"/>
      <c r="U290" s="41" t="str">
        <f>VLOOKUP(J290,Sheet1!$A$2:$D$200,4,0)</f>
        <v>NL300070</v>
      </c>
      <c r="V290" s="41" t="str">
        <f>VLOOKUP(U290,Sheet1!$D$2:$E$200,2,0)</f>
        <v>Khoai lang Nhật</v>
      </c>
      <c r="W290" s="94" t="str">
        <f t="shared" si="25"/>
        <v>101NL300070</v>
      </c>
      <c r="X290" s="94" t="str">
        <f>COUNTIF($R$15:W290,W290)&amp;W290</f>
        <v>1101NL300070</v>
      </c>
      <c r="Y290" s="95">
        <f>IFERROR(VLOOKUP(X290,FAST!$B$7:$M$9722,12,0),"0")</f>
        <v>0.4</v>
      </c>
      <c r="Z290" s="95">
        <f>IFERROR(VLOOKUP(X290,FAST!$B$7:$N$9722,13,0),"0")</f>
        <v>23000</v>
      </c>
      <c r="AA290" s="96">
        <f t="shared" si="21"/>
        <v>9200</v>
      </c>
      <c r="AB290" s="97">
        <f t="shared" si="22"/>
        <v>0</v>
      </c>
      <c r="AC290" s="98">
        <f t="shared" si="23"/>
        <v>0</v>
      </c>
      <c r="AD290" s="99">
        <f t="shared" si="24"/>
        <v>0</v>
      </c>
    </row>
    <row r="291" spans="1:30" x14ac:dyDescent="0.25">
      <c r="A291" s="41"/>
      <c r="B291" s="80"/>
      <c r="C291" s="52" t="s">
        <v>485</v>
      </c>
      <c r="D291" s="52" t="s">
        <v>426</v>
      </c>
      <c r="E291" s="52" t="s">
        <v>427</v>
      </c>
      <c r="F291" s="41"/>
      <c r="G291" s="41"/>
      <c r="H291" s="41"/>
      <c r="I291" s="41"/>
      <c r="J291" s="53" t="s">
        <v>31</v>
      </c>
      <c r="K291" s="53" t="s">
        <v>17</v>
      </c>
      <c r="L291" s="73">
        <v>5</v>
      </c>
      <c r="M291" s="74">
        <v>27000</v>
      </c>
      <c r="N291" s="74">
        <v>135000</v>
      </c>
      <c r="O291" s="104"/>
      <c r="P291" s="82"/>
      <c r="Q291" s="82"/>
      <c r="R291" s="82"/>
      <c r="S291" s="82"/>
      <c r="T291" s="82"/>
      <c r="U291" s="41" t="str">
        <f>VLOOKUP(J291,Sheet1!$A$2:$D$200,4,0)</f>
        <v>NL300088</v>
      </c>
      <c r="V291" s="41" t="str">
        <f>VLOOKUP(U291,Sheet1!$D$2:$E$200,2,0)</f>
        <v>Mướp hương</v>
      </c>
      <c r="W291" s="94" t="str">
        <f t="shared" si="25"/>
        <v>101NL300088</v>
      </c>
      <c r="X291" s="94" t="str">
        <f>COUNTIF($R$15:W291,W291)&amp;W291</f>
        <v>1101NL300088</v>
      </c>
      <c r="Y291" s="95">
        <f>IFERROR(VLOOKUP(X291,FAST!$B$7:$M$9722,12,0),"0")</f>
        <v>5</v>
      </c>
      <c r="Z291" s="95">
        <f>IFERROR(VLOOKUP(X291,FAST!$B$7:$N$9722,13,0),"0")</f>
        <v>27000</v>
      </c>
      <c r="AA291" s="96">
        <f t="shared" si="21"/>
        <v>135000</v>
      </c>
      <c r="AB291" s="97">
        <f t="shared" si="22"/>
        <v>0</v>
      </c>
      <c r="AC291" s="98">
        <f t="shared" si="23"/>
        <v>0</v>
      </c>
      <c r="AD291" s="99">
        <f t="shared" si="24"/>
        <v>0</v>
      </c>
    </row>
    <row r="292" spans="1:30" x14ac:dyDescent="0.25">
      <c r="A292" s="41"/>
      <c r="B292" s="80"/>
      <c r="C292" s="52" t="s">
        <v>485</v>
      </c>
      <c r="D292" s="52" t="s">
        <v>426</v>
      </c>
      <c r="E292" s="52" t="s">
        <v>427</v>
      </c>
      <c r="F292" s="41"/>
      <c r="G292" s="41"/>
      <c r="H292" s="41"/>
      <c r="I292" s="41"/>
      <c r="J292" s="53" t="s">
        <v>39</v>
      </c>
      <c r="K292" s="53" t="s">
        <v>17</v>
      </c>
      <c r="L292" s="73">
        <v>4</v>
      </c>
      <c r="M292" s="74">
        <v>145000</v>
      </c>
      <c r="N292" s="74">
        <v>580000</v>
      </c>
      <c r="O292" s="104"/>
      <c r="P292" s="82"/>
      <c r="Q292" s="82"/>
      <c r="R292" s="82"/>
      <c r="S292" s="82"/>
      <c r="T292" s="82"/>
      <c r="U292" s="41" t="str">
        <f>VLOOKUP(J292,Sheet1!$A$2:$D$200,4,0)</f>
        <v>NL300090</v>
      </c>
      <c r="V292" s="41" t="str">
        <f>VLOOKUP(U292,Sheet1!$D$2:$E$200,2,0)</f>
        <v>Nấm đông cô tươi</v>
      </c>
      <c r="W292" s="94" t="str">
        <f t="shared" si="25"/>
        <v>101NL300090</v>
      </c>
      <c r="X292" s="94" t="str">
        <f>COUNTIF($R$15:W292,W292)&amp;W292</f>
        <v>1101NL300090</v>
      </c>
      <c r="Y292" s="95">
        <f>IFERROR(VLOOKUP(X292,FAST!$B$7:$M$9722,12,0),"0")</f>
        <v>4</v>
      </c>
      <c r="Z292" s="95">
        <f>IFERROR(VLOOKUP(X292,FAST!$B$7:$N$9722,13,0),"0")</f>
        <v>145000</v>
      </c>
      <c r="AA292" s="96">
        <f t="shared" si="21"/>
        <v>580000</v>
      </c>
      <c r="AB292" s="97">
        <f t="shared" si="22"/>
        <v>0</v>
      </c>
      <c r="AC292" s="98">
        <f t="shared" si="23"/>
        <v>0</v>
      </c>
      <c r="AD292" s="99">
        <f t="shared" si="24"/>
        <v>0</v>
      </c>
    </row>
    <row r="293" spans="1:30" x14ac:dyDescent="0.25">
      <c r="A293" s="41"/>
      <c r="B293" s="80"/>
      <c r="C293" s="52" t="s">
        <v>485</v>
      </c>
      <c r="D293" s="52" t="s">
        <v>426</v>
      </c>
      <c r="E293" s="52" t="s">
        <v>427</v>
      </c>
      <c r="F293" s="41"/>
      <c r="G293" s="41"/>
      <c r="H293" s="41"/>
      <c r="I293" s="41"/>
      <c r="J293" s="53" t="s">
        <v>40</v>
      </c>
      <c r="K293" s="53" t="s">
        <v>17</v>
      </c>
      <c r="L293" s="73">
        <v>2</v>
      </c>
      <c r="M293" s="74">
        <v>47000</v>
      </c>
      <c r="N293" s="74">
        <v>94000</v>
      </c>
      <c r="O293" s="104"/>
      <c r="P293" s="82"/>
      <c r="Q293" s="82"/>
      <c r="R293" s="82"/>
      <c r="S293" s="82"/>
      <c r="T293" s="82"/>
      <c r="U293" s="41" t="str">
        <f>VLOOKUP(J293,Sheet1!$A$2:$D$200,4,0)</f>
        <v>NL300091</v>
      </c>
      <c r="V293" s="41" t="str">
        <f>VLOOKUP(U293,Sheet1!$D$2:$E$200,2,0)</f>
        <v>Nấm đùi gà</v>
      </c>
      <c r="W293" s="94" t="str">
        <f t="shared" si="25"/>
        <v>101NL300091</v>
      </c>
      <c r="X293" s="94" t="str">
        <f>COUNTIF($R$15:W293,W293)&amp;W293</f>
        <v>1101NL300091</v>
      </c>
      <c r="Y293" s="95">
        <f>IFERROR(VLOOKUP(X293,FAST!$B$7:$M$9722,12,0),"0")</f>
        <v>2</v>
      </c>
      <c r="Z293" s="95">
        <f>IFERROR(VLOOKUP(X293,FAST!$B$7:$N$9722,13,0),"0")</f>
        <v>47000</v>
      </c>
      <c r="AA293" s="96">
        <f t="shared" si="21"/>
        <v>94000</v>
      </c>
      <c r="AB293" s="97">
        <f t="shared" si="22"/>
        <v>0</v>
      </c>
      <c r="AC293" s="98">
        <f t="shared" si="23"/>
        <v>0</v>
      </c>
      <c r="AD293" s="99">
        <f t="shared" si="24"/>
        <v>0</v>
      </c>
    </row>
    <row r="294" spans="1:30" x14ac:dyDescent="0.25">
      <c r="A294" s="41"/>
      <c r="B294" s="80"/>
      <c r="C294" s="52" t="s">
        <v>485</v>
      </c>
      <c r="D294" s="52" t="s">
        <v>426</v>
      </c>
      <c r="E294" s="52" t="s">
        <v>427</v>
      </c>
      <c r="F294" s="41"/>
      <c r="G294" s="41"/>
      <c r="H294" s="41"/>
      <c r="I294" s="41"/>
      <c r="J294" s="53" t="s">
        <v>43</v>
      </c>
      <c r="K294" s="53" t="s">
        <v>17</v>
      </c>
      <c r="L294" s="73">
        <v>1.8</v>
      </c>
      <c r="M294" s="74">
        <v>90000</v>
      </c>
      <c r="N294" s="74">
        <v>162000</v>
      </c>
      <c r="O294" s="104"/>
      <c r="P294" s="82"/>
      <c r="Q294" s="82"/>
      <c r="R294" s="82"/>
      <c r="S294" s="82"/>
      <c r="T294" s="82"/>
      <c r="U294" s="41" t="str">
        <f>VLOOKUP(J294,Sheet1!$A$2:$D$200,4,0)</f>
        <v>NL300092</v>
      </c>
      <c r="V294" s="41" t="str">
        <f>VLOOKUP(U294,Sheet1!$D$2:$E$200,2,0)</f>
        <v>Nấm đùi gà baby</v>
      </c>
      <c r="W294" s="94" t="str">
        <f t="shared" si="25"/>
        <v>101NL300092</v>
      </c>
      <c r="X294" s="94" t="str">
        <f>COUNTIF($R$15:W294,W294)&amp;W294</f>
        <v>1101NL300092</v>
      </c>
      <c r="Y294" s="95">
        <f>IFERROR(VLOOKUP(X294,FAST!$B$7:$M$9722,12,0),"0")</f>
        <v>1.8</v>
      </c>
      <c r="Z294" s="95">
        <f>IFERROR(VLOOKUP(X294,FAST!$B$7:$N$9722,13,0),"0")</f>
        <v>90000</v>
      </c>
      <c r="AA294" s="96">
        <f t="shared" si="21"/>
        <v>162000</v>
      </c>
      <c r="AB294" s="97">
        <f t="shared" si="22"/>
        <v>0</v>
      </c>
      <c r="AC294" s="98">
        <f t="shared" si="23"/>
        <v>0</v>
      </c>
      <c r="AD294" s="99">
        <f t="shared" si="24"/>
        <v>0</v>
      </c>
    </row>
    <row r="295" spans="1:30" x14ac:dyDescent="0.25">
      <c r="A295" s="41"/>
      <c r="B295" s="80"/>
      <c r="C295" s="52" t="s">
        <v>485</v>
      </c>
      <c r="D295" s="52" t="s">
        <v>426</v>
      </c>
      <c r="E295" s="52" t="s">
        <v>427</v>
      </c>
      <c r="F295" s="41"/>
      <c r="G295" s="41"/>
      <c r="H295" s="41"/>
      <c r="I295" s="41"/>
      <c r="J295" s="53" t="s">
        <v>67</v>
      </c>
      <c r="K295" s="53" t="s">
        <v>17</v>
      </c>
      <c r="L295" s="73">
        <v>1</v>
      </c>
      <c r="M295" s="74">
        <v>80000</v>
      </c>
      <c r="N295" s="74">
        <v>80000</v>
      </c>
      <c r="O295" s="104"/>
      <c r="P295" s="82"/>
      <c r="Q295" s="82"/>
      <c r="R295" s="82"/>
      <c r="S295" s="82"/>
      <c r="T295" s="82"/>
      <c r="U295" s="41" t="str">
        <f>VLOOKUP(J295,Sheet1!$A$2:$D$200,4,0)</f>
        <v>NL300094</v>
      </c>
      <c r="V295" s="41" t="str">
        <f>VLOOKUP(U295,Sheet1!$D$2:$E$200,2,0)</f>
        <v>Nấm hải sản</v>
      </c>
      <c r="W295" s="94" t="str">
        <f t="shared" si="25"/>
        <v>101NL300094</v>
      </c>
      <c r="X295" s="94" t="str">
        <f>COUNTIF($R$15:W295,W295)&amp;W295</f>
        <v>1101NL300094</v>
      </c>
      <c r="Y295" s="95">
        <f>IFERROR(VLOOKUP(X295,FAST!$B$7:$M$9722,12,0),"0")</f>
        <v>1</v>
      </c>
      <c r="Z295" s="95">
        <f>IFERROR(VLOOKUP(X295,FAST!$B$7:$N$9722,13,0),"0")</f>
        <v>80000</v>
      </c>
      <c r="AA295" s="96">
        <f t="shared" si="21"/>
        <v>80000</v>
      </c>
      <c r="AB295" s="97">
        <f t="shared" si="22"/>
        <v>0</v>
      </c>
      <c r="AC295" s="98">
        <f t="shared" si="23"/>
        <v>0</v>
      </c>
      <c r="AD295" s="99">
        <f t="shared" si="24"/>
        <v>0</v>
      </c>
    </row>
    <row r="296" spans="1:30" x14ac:dyDescent="0.25">
      <c r="A296" s="41"/>
      <c r="B296" s="80"/>
      <c r="C296" s="52" t="s">
        <v>485</v>
      </c>
      <c r="D296" s="52" t="s">
        <v>426</v>
      </c>
      <c r="E296" s="52" t="s">
        <v>427</v>
      </c>
      <c r="F296" s="41"/>
      <c r="G296" s="41"/>
      <c r="H296" s="41"/>
      <c r="I296" s="41"/>
      <c r="J296" s="53" t="s">
        <v>41</v>
      </c>
      <c r="K296" s="53" t="s">
        <v>17</v>
      </c>
      <c r="L296" s="73">
        <v>7.5</v>
      </c>
      <c r="M296" s="74">
        <v>45000</v>
      </c>
      <c r="N296" s="74">
        <v>337500</v>
      </c>
      <c r="O296" s="104"/>
      <c r="P296" s="82"/>
      <c r="Q296" s="82"/>
      <c r="R296" s="82"/>
      <c r="S296" s="82"/>
      <c r="T296" s="82"/>
      <c r="U296" s="41" t="str">
        <f>VLOOKUP(J296,Sheet1!$A$2:$D$200,4,0)</f>
        <v>NL300096</v>
      </c>
      <c r="V296" s="41" t="str">
        <f>VLOOKUP(U296,Sheet1!$D$2:$E$200,2,0)</f>
        <v>Nấm kim châm tươi</v>
      </c>
      <c r="W296" s="94" t="str">
        <f t="shared" si="25"/>
        <v>101NL300096</v>
      </c>
      <c r="X296" s="94" t="str">
        <f>COUNTIF($R$15:W296,W296)&amp;W296</f>
        <v>1101NL300096</v>
      </c>
      <c r="Y296" s="95">
        <f>IFERROR(VLOOKUP(X296,FAST!$B$7:$M$9722,12,0),"0")</f>
        <v>7.5</v>
      </c>
      <c r="Z296" s="95">
        <f>IFERROR(VLOOKUP(X296,FAST!$B$7:$N$9722,13,0),"0")</f>
        <v>45000</v>
      </c>
      <c r="AA296" s="96">
        <f t="shared" si="21"/>
        <v>337500</v>
      </c>
      <c r="AB296" s="97">
        <f t="shared" si="22"/>
        <v>0</v>
      </c>
      <c r="AC296" s="98">
        <f t="shared" si="23"/>
        <v>0</v>
      </c>
      <c r="AD296" s="99">
        <f t="shared" si="24"/>
        <v>0</v>
      </c>
    </row>
    <row r="297" spans="1:30" x14ac:dyDescent="0.25">
      <c r="A297" s="41"/>
      <c r="B297" s="80"/>
      <c r="C297" s="52" t="s">
        <v>485</v>
      </c>
      <c r="D297" s="52" t="s">
        <v>426</v>
      </c>
      <c r="E297" s="52" t="s">
        <v>427</v>
      </c>
      <c r="F297" s="41"/>
      <c r="G297" s="41"/>
      <c r="H297" s="41"/>
      <c r="I297" s="41"/>
      <c r="J297" s="53" t="s">
        <v>42</v>
      </c>
      <c r="K297" s="53" t="s">
        <v>17</v>
      </c>
      <c r="L297" s="73">
        <v>1</v>
      </c>
      <c r="M297" s="74">
        <v>90000</v>
      </c>
      <c r="N297" s="74">
        <v>90000</v>
      </c>
      <c r="O297" s="104"/>
      <c r="P297" s="82"/>
      <c r="Q297" s="82"/>
      <c r="R297" s="82"/>
      <c r="S297" s="82"/>
      <c r="T297" s="82"/>
      <c r="U297" s="41" t="str">
        <f>VLOOKUP(J297,Sheet1!$A$2:$D$200,4,0)</f>
        <v>NL300097</v>
      </c>
      <c r="V297" s="41" t="str">
        <f>VLOOKUP(U297,Sheet1!$D$2:$E$200,2,0)</f>
        <v>Nấm Linh Chi nâu</v>
      </c>
      <c r="W297" s="94" t="str">
        <f t="shared" si="25"/>
        <v>101NL300097</v>
      </c>
      <c r="X297" s="94" t="str">
        <f>COUNTIF($R$15:W297,W297)&amp;W297</f>
        <v>1101NL300097</v>
      </c>
      <c r="Y297" s="95">
        <f>IFERROR(VLOOKUP(X297,FAST!$B$7:$M$9722,12,0),"0")</f>
        <v>1</v>
      </c>
      <c r="Z297" s="95">
        <f>IFERROR(VLOOKUP(X297,FAST!$B$7:$N$9722,13,0),"0")</f>
        <v>90000</v>
      </c>
      <c r="AA297" s="96">
        <f t="shared" si="21"/>
        <v>90000</v>
      </c>
      <c r="AB297" s="97">
        <f t="shared" si="22"/>
        <v>0</v>
      </c>
      <c r="AC297" s="98">
        <f t="shared" si="23"/>
        <v>0</v>
      </c>
      <c r="AD297" s="99">
        <f t="shared" si="24"/>
        <v>0</v>
      </c>
    </row>
    <row r="298" spans="1:30" x14ac:dyDescent="0.25">
      <c r="A298" s="41"/>
      <c r="B298" s="80"/>
      <c r="C298" s="52" t="s">
        <v>485</v>
      </c>
      <c r="D298" s="52" t="s">
        <v>426</v>
      </c>
      <c r="E298" s="52" t="s">
        <v>427</v>
      </c>
      <c r="F298" s="41"/>
      <c r="G298" s="41"/>
      <c r="H298" s="41"/>
      <c r="I298" s="41"/>
      <c r="J298" s="53" t="s">
        <v>32</v>
      </c>
      <c r="K298" s="53" t="s">
        <v>17</v>
      </c>
      <c r="L298" s="73">
        <v>5</v>
      </c>
      <c r="M298" s="74">
        <v>45000</v>
      </c>
      <c r="N298" s="74">
        <v>225000</v>
      </c>
      <c r="O298" s="104"/>
      <c r="P298" s="82"/>
      <c r="Q298" s="82"/>
      <c r="R298" s="82"/>
      <c r="S298" s="82"/>
      <c r="T298" s="82"/>
      <c r="U298" s="41" t="str">
        <f>VLOOKUP(J298,Sheet1!$A$2:$D$200,4,0)</f>
        <v>NL300085</v>
      </c>
      <c r="V298" s="41" t="str">
        <f>VLOOKUP(U298,Sheet1!$D$2:$E$200,2,0)</f>
        <v>Mùi ta ( Ngò rí )</v>
      </c>
      <c r="W298" s="94" t="str">
        <f t="shared" si="25"/>
        <v>101NL300085</v>
      </c>
      <c r="X298" s="94" t="str">
        <f>COUNTIF($R$15:W298,W298)&amp;W298</f>
        <v>1101NL300085</v>
      </c>
      <c r="Y298" s="95">
        <f>IFERROR(VLOOKUP(X298,FAST!$B$7:$M$9722,12,0),"0")</f>
        <v>5</v>
      </c>
      <c r="Z298" s="95">
        <f>IFERROR(VLOOKUP(X298,FAST!$B$7:$N$9722,13,0),"0")</f>
        <v>45000</v>
      </c>
      <c r="AA298" s="96">
        <f t="shared" si="21"/>
        <v>225000</v>
      </c>
      <c r="AB298" s="97">
        <f t="shared" si="22"/>
        <v>0</v>
      </c>
      <c r="AC298" s="98">
        <f t="shared" si="23"/>
        <v>0</v>
      </c>
      <c r="AD298" s="99">
        <f t="shared" si="24"/>
        <v>0</v>
      </c>
    </row>
    <row r="299" spans="1:30" x14ac:dyDescent="0.25">
      <c r="A299" s="41"/>
      <c r="B299" s="80"/>
      <c r="C299" s="52" t="s">
        <v>485</v>
      </c>
      <c r="D299" s="52" t="s">
        <v>426</v>
      </c>
      <c r="E299" s="52" t="s">
        <v>427</v>
      </c>
      <c r="F299" s="41"/>
      <c r="G299" s="41"/>
      <c r="H299" s="41"/>
      <c r="I299" s="41"/>
      <c r="J299" s="53" t="s">
        <v>66</v>
      </c>
      <c r="K299" s="53" t="s">
        <v>17</v>
      </c>
      <c r="L299" s="73">
        <v>0.1</v>
      </c>
      <c r="M299" s="74">
        <v>70000</v>
      </c>
      <c r="N299" s="74">
        <v>7000</v>
      </c>
      <c r="O299" s="104"/>
      <c r="P299" s="82"/>
      <c r="Q299" s="82"/>
      <c r="R299" s="82"/>
      <c r="S299" s="82"/>
      <c r="T299" s="82"/>
      <c r="U299" s="41" t="str">
        <f>VLOOKUP(J299,Sheet1!$A$2:$D$200,4,0)</f>
        <v>NL300126</v>
      </c>
      <c r="V299" s="41" t="str">
        <f>VLOOKUP(U299,Sheet1!$D$2:$E$200,2,0)</f>
        <v>Rau mùi tây</v>
      </c>
      <c r="W299" s="94" t="str">
        <f t="shared" si="25"/>
        <v>101NL300126</v>
      </c>
      <c r="X299" s="94" t="str">
        <f>COUNTIF($R$15:W299,W299)&amp;W299</f>
        <v>1101NL300126</v>
      </c>
      <c r="Y299" s="95">
        <f>IFERROR(VLOOKUP(X299,FAST!$B$7:$M$9722,12,0),"0")</f>
        <v>0.1</v>
      </c>
      <c r="Z299" s="95">
        <f>IFERROR(VLOOKUP(X299,FAST!$B$7:$N$9722,13,0),"0")</f>
        <v>70000</v>
      </c>
      <c r="AA299" s="96">
        <f t="shared" si="21"/>
        <v>7000</v>
      </c>
      <c r="AB299" s="97">
        <f t="shared" si="22"/>
        <v>0</v>
      </c>
      <c r="AC299" s="98">
        <f t="shared" si="23"/>
        <v>0</v>
      </c>
      <c r="AD299" s="99">
        <f t="shared" si="24"/>
        <v>0</v>
      </c>
    </row>
    <row r="300" spans="1:30" x14ac:dyDescent="0.25">
      <c r="A300" s="41"/>
      <c r="B300" s="80"/>
      <c r="C300" s="52" t="s">
        <v>485</v>
      </c>
      <c r="D300" s="52" t="s">
        <v>426</v>
      </c>
      <c r="E300" s="52" t="s">
        <v>427</v>
      </c>
      <c r="F300" s="41"/>
      <c r="G300" s="41"/>
      <c r="H300" s="41"/>
      <c r="I300" s="41"/>
      <c r="J300" s="53" t="s">
        <v>33</v>
      </c>
      <c r="K300" s="53" t="s">
        <v>17</v>
      </c>
      <c r="L300" s="73">
        <v>1</v>
      </c>
      <c r="M300" s="74">
        <v>145000</v>
      </c>
      <c r="N300" s="74">
        <v>145000</v>
      </c>
      <c r="O300" s="104"/>
      <c r="P300" s="82"/>
      <c r="Q300" s="82"/>
      <c r="R300" s="82"/>
      <c r="S300" s="82"/>
      <c r="T300" s="82"/>
      <c r="U300" s="41" t="str">
        <f>VLOOKUP(J300,Sheet1!$A$2:$D$200,4,0)</f>
        <v>NL300113</v>
      </c>
      <c r="V300" s="41" t="str">
        <f>VLOOKUP(U300,Sheet1!$D$2:$E$200,2,0)</f>
        <v>Ớt hiểm đỏ</v>
      </c>
      <c r="W300" s="94" t="str">
        <f t="shared" si="25"/>
        <v>101NL300113</v>
      </c>
      <c r="X300" s="94" t="str">
        <f>COUNTIF($R$15:W300,W300)&amp;W300</f>
        <v>1101NL300113</v>
      </c>
      <c r="Y300" s="95">
        <f>IFERROR(VLOOKUP(X300,FAST!$B$7:$M$9722,12,0),"0")</f>
        <v>1</v>
      </c>
      <c r="Z300" s="95">
        <f>IFERROR(VLOOKUP(X300,FAST!$B$7:$N$9722,13,0),"0")</f>
        <v>145000</v>
      </c>
      <c r="AA300" s="96">
        <f t="shared" si="21"/>
        <v>145000</v>
      </c>
      <c r="AB300" s="97">
        <f t="shared" si="22"/>
        <v>0</v>
      </c>
      <c r="AC300" s="98">
        <f t="shared" si="23"/>
        <v>0</v>
      </c>
      <c r="AD300" s="99">
        <f t="shared" si="24"/>
        <v>0</v>
      </c>
    </row>
    <row r="301" spans="1:30" x14ac:dyDescent="0.25">
      <c r="A301" s="41"/>
      <c r="B301" s="80"/>
      <c r="C301" s="52" t="s">
        <v>485</v>
      </c>
      <c r="D301" s="52" t="s">
        <v>426</v>
      </c>
      <c r="E301" s="52" t="s">
        <v>427</v>
      </c>
      <c r="F301" s="41"/>
      <c r="G301" s="41"/>
      <c r="H301" s="41"/>
      <c r="I301" s="41"/>
      <c r="J301" s="53" t="s">
        <v>51</v>
      </c>
      <c r="K301" s="53" t="s">
        <v>17</v>
      </c>
      <c r="L301" s="73">
        <v>0.1</v>
      </c>
      <c r="M301" s="74">
        <v>148000</v>
      </c>
      <c r="N301" s="74">
        <v>14800</v>
      </c>
      <c r="O301" s="104"/>
      <c r="P301" s="82"/>
      <c r="Q301" s="82"/>
      <c r="R301" s="82"/>
      <c r="S301" s="82"/>
      <c r="T301" s="82"/>
      <c r="U301" s="41" t="str">
        <f>VLOOKUP(J301,Sheet1!$A$2:$D$200,4,0)</f>
        <v>NL300116</v>
      </c>
      <c r="V301" s="41" t="str">
        <f>VLOOKUP(U301,Sheet1!$D$2:$E$200,2,0)</f>
        <v>Ớt sừng</v>
      </c>
      <c r="W301" s="94" t="str">
        <f t="shared" si="25"/>
        <v>101NL300116</v>
      </c>
      <c r="X301" s="94" t="str">
        <f>COUNTIF($R$15:W301,W301)&amp;W301</f>
        <v>1101NL300116</v>
      </c>
      <c r="Y301" s="95">
        <f>IFERROR(VLOOKUP(X301,FAST!$B$7:$M$9722,12,0),"0")</f>
        <v>0.1</v>
      </c>
      <c r="Z301" s="95">
        <f>IFERROR(VLOOKUP(X301,FAST!$B$7:$N$9722,13,0),"0")</f>
        <v>148000</v>
      </c>
      <c r="AA301" s="96">
        <f t="shared" si="21"/>
        <v>14800</v>
      </c>
      <c r="AB301" s="97">
        <f t="shared" si="22"/>
        <v>0</v>
      </c>
      <c r="AC301" s="98">
        <f t="shared" si="23"/>
        <v>0</v>
      </c>
      <c r="AD301" s="99">
        <f t="shared" si="24"/>
        <v>0</v>
      </c>
    </row>
    <row r="302" spans="1:30" x14ac:dyDescent="0.25">
      <c r="A302" s="41"/>
      <c r="B302" s="80"/>
      <c r="C302" s="52" t="s">
        <v>485</v>
      </c>
      <c r="D302" s="52" t="s">
        <v>426</v>
      </c>
      <c r="E302" s="52" t="s">
        <v>427</v>
      </c>
      <c r="F302" s="41"/>
      <c r="G302" s="41"/>
      <c r="H302" s="41"/>
      <c r="I302" s="41"/>
      <c r="J302" s="53" t="s">
        <v>48</v>
      </c>
      <c r="K302" s="53" t="s">
        <v>17</v>
      </c>
      <c r="L302" s="73">
        <v>1</v>
      </c>
      <c r="M302" s="74">
        <v>42000</v>
      </c>
      <c r="N302" s="74">
        <v>42000</v>
      </c>
      <c r="O302" s="104"/>
      <c r="P302" s="82"/>
      <c r="Q302" s="82"/>
      <c r="R302" s="82"/>
      <c r="S302" s="82"/>
      <c r="T302" s="82"/>
      <c r="U302" s="41" t="str">
        <f>VLOOKUP(J302,Sheet1!$A$2:$D$200,4,0)</f>
        <v>NL300125</v>
      </c>
      <c r="V302" s="41" t="str">
        <f>VLOOKUP(U302,Sheet1!$D$2:$E$200,2,0)</f>
        <v>Rau má</v>
      </c>
      <c r="W302" s="94" t="str">
        <f t="shared" si="25"/>
        <v>101NL300125</v>
      </c>
      <c r="X302" s="94" t="str">
        <f>COUNTIF($R$15:W302,W302)&amp;W302</f>
        <v>1101NL300125</v>
      </c>
      <c r="Y302" s="95">
        <f>IFERROR(VLOOKUP(X302,FAST!$B$7:$M$9722,12,0),"0")</f>
        <v>1</v>
      </c>
      <c r="Z302" s="95">
        <f>IFERROR(VLOOKUP(X302,FAST!$B$7:$N$9722,13,0),"0")</f>
        <v>42000</v>
      </c>
      <c r="AA302" s="96">
        <f t="shared" si="21"/>
        <v>42000</v>
      </c>
      <c r="AB302" s="97">
        <f t="shared" si="22"/>
        <v>0</v>
      </c>
      <c r="AC302" s="98">
        <f t="shared" si="23"/>
        <v>0</v>
      </c>
      <c r="AD302" s="99">
        <f t="shared" si="24"/>
        <v>0</v>
      </c>
    </row>
    <row r="303" spans="1:30" x14ac:dyDescent="0.25">
      <c r="A303" s="41"/>
      <c r="B303" s="80"/>
      <c r="C303" s="52" t="s">
        <v>485</v>
      </c>
      <c r="D303" s="52" t="s">
        <v>426</v>
      </c>
      <c r="E303" s="52" t="s">
        <v>427</v>
      </c>
      <c r="F303" s="41"/>
      <c r="G303" s="41"/>
      <c r="H303" s="41"/>
      <c r="I303" s="41"/>
      <c r="J303" s="53" t="s">
        <v>232</v>
      </c>
      <c r="K303" s="53" t="s">
        <v>17</v>
      </c>
      <c r="L303" s="73">
        <v>0.3</v>
      </c>
      <c r="M303" s="74">
        <v>36000</v>
      </c>
      <c r="N303" s="74">
        <v>10800</v>
      </c>
      <c r="O303" s="104"/>
      <c r="P303" s="82"/>
      <c r="Q303" s="82"/>
      <c r="R303" s="82"/>
      <c r="S303" s="82"/>
      <c r="T303" s="82"/>
      <c r="U303" s="41" t="str">
        <f>VLOOKUP(J303,Sheet1!$A$2:$D$200,4,0)</f>
        <v>NL300140</v>
      </c>
      <c r="V303" s="41" t="str">
        <f>VLOOKUP(U303,Sheet1!$D$2:$E$200,2,0)</f>
        <v>Tía tô</v>
      </c>
      <c r="W303" s="94" t="str">
        <f t="shared" si="25"/>
        <v>101NL300140</v>
      </c>
      <c r="X303" s="94" t="str">
        <f>COUNTIF($R$15:W303,W303)&amp;W303</f>
        <v>1101NL300140</v>
      </c>
      <c r="Y303" s="95">
        <f>IFERROR(VLOOKUP(X303,FAST!$B$7:$M$9722,12,0),"0")</f>
        <v>0.3</v>
      </c>
      <c r="Z303" s="95">
        <f>IFERROR(VLOOKUP(X303,FAST!$B$7:$N$9722,13,0),"0")</f>
        <v>36000</v>
      </c>
      <c r="AA303" s="96">
        <f t="shared" si="21"/>
        <v>10800</v>
      </c>
      <c r="AB303" s="97">
        <f t="shared" si="22"/>
        <v>0</v>
      </c>
      <c r="AC303" s="98">
        <f t="shared" si="23"/>
        <v>0</v>
      </c>
      <c r="AD303" s="99">
        <f t="shared" si="24"/>
        <v>0</v>
      </c>
    </row>
    <row r="304" spans="1:30" x14ac:dyDescent="0.25">
      <c r="A304" s="41"/>
      <c r="B304" s="80"/>
      <c r="C304" s="52" t="s">
        <v>485</v>
      </c>
      <c r="D304" s="52" t="s">
        <v>426</v>
      </c>
      <c r="E304" s="52" t="s">
        <v>427</v>
      </c>
      <c r="F304" s="41"/>
      <c r="G304" s="41"/>
      <c r="H304" s="41"/>
      <c r="I304" s="41"/>
      <c r="J304" s="53" t="s">
        <v>36</v>
      </c>
      <c r="K304" s="53" t="s">
        <v>17</v>
      </c>
      <c r="L304" s="73">
        <v>2</v>
      </c>
      <c r="M304" s="74">
        <v>12000</v>
      </c>
      <c r="N304" s="74">
        <v>24000</v>
      </c>
      <c r="O304" s="104"/>
      <c r="P304" s="82"/>
      <c r="Q304" s="82"/>
      <c r="R304" s="82"/>
      <c r="S304" s="82"/>
      <c r="T304" s="82"/>
      <c r="U304" s="41" t="str">
        <f>VLOOKUP(J304,Sheet1!$A$2:$D$200,4,0)</f>
        <v>NL300132</v>
      </c>
      <c r="V304" s="41" t="str">
        <f>VLOOKUP(U304,Sheet1!$D$2:$E$200,2,0)</f>
        <v>Sả cây</v>
      </c>
      <c r="W304" s="94" t="str">
        <f t="shared" si="25"/>
        <v>101NL300132</v>
      </c>
      <c r="X304" s="94" t="str">
        <f>COUNTIF($R$15:W304,W304)&amp;W304</f>
        <v>1101NL300132</v>
      </c>
      <c r="Y304" s="95">
        <f>IFERROR(VLOOKUP(X304,FAST!$B$7:$M$9722,12,0),"0")</f>
        <v>2</v>
      </c>
      <c r="Z304" s="95">
        <f>IFERROR(VLOOKUP(X304,FAST!$B$7:$N$9722,13,0),"0")</f>
        <v>12000</v>
      </c>
      <c r="AA304" s="96">
        <f t="shared" si="21"/>
        <v>24000</v>
      </c>
      <c r="AB304" s="97">
        <f t="shared" si="22"/>
        <v>0</v>
      </c>
      <c r="AC304" s="98">
        <f t="shared" si="23"/>
        <v>0</v>
      </c>
      <c r="AD304" s="99">
        <f t="shared" si="24"/>
        <v>0</v>
      </c>
    </row>
    <row r="305" spans="1:30" x14ac:dyDescent="0.25">
      <c r="A305" s="41"/>
      <c r="B305" s="80"/>
      <c r="C305" s="52" t="s">
        <v>485</v>
      </c>
      <c r="D305" s="52" t="s">
        <v>426</v>
      </c>
      <c r="E305" s="52" t="s">
        <v>427</v>
      </c>
      <c r="F305" s="41"/>
      <c r="G305" s="41"/>
      <c r="H305" s="41"/>
      <c r="I305" s="41"/>
      <c r="J305" s="53" t="s">
        <v>60</v>
      </c>
      <c r="K305" s="53" t="s">
        <v>17</v>
      </c>
      <c r="L305" s="73">
        <v>2</v>
      </c>
      <c r="M305" s="74">
        <v>21000</v>
      </c>
      <c r="N305" s="74">
        <v>42000</v>
      </c>
      <c r="O305" s="104"/>
      <c r="P305" s="82"/>
      <c r="Q305" s="82"/>
      <c r="R305" s="82"/>
      <c r="S305" s="82"/>
      <c r="T305" s="82"/>
      <c r="U305" s="41" t="str">
        <f>VLOOKUP(J305,Sheet1!$A$2:$D$200,4,0)</f>
        <v>NL300119</v>
      </c>
      <c r="V305" s="41" t="str">
        <f>VLOOKUP(U305,Sheet1!$D$2:$E$200,2,0)</f>
        <v>Quất ( Tắc trái )</v>
      </c>
      <c r="W305" s="94" t="str">
        <f t="shared" si="25"/>
        <v>101NL300119</v>
      </c>
      <c r="X305" s="94" t="str">
        <f>COUNTIF($R$15:W305,W305)&amp;W305</f>
        <v>1101NL300119</v>
      </c>
      <c r="Y305" s="95">
        <f>IFERROR(VLOOKUP(X305,FAST!$B$7:$M$9722,12,0),"0")</f>
        <v>2</v>
      </c>
      <c r="Z305" s="95">
        <f>IFERROR(VLOOKUP(X305,FAST!$B$7:$N$9722,13,0),"0")</f>
        <v>21000</v>
      </c>
      <c r="AA305" s="96">
        <f t="shared" si="21"/>
        <v>42000</v>
      </c>
      <c r="AB305" s="97">
        <f t="shared" si="22"/>
        <v>0</v>
      </c>
      <c r="AC305" s="98">
        <f t="shared" si="23"/>
        <v>0</v>
      </c>
      <c r="AD305" s="99">
        <f t="shared" si="24"/>
        <v>0</v>
      </c>
    </row>
    <row r="306" spans="1:30" x14ac:dyDescent="0.25">
      <c r="A306" s="41"/>
      <c r="B306" s="80"/>
      <c r="C306" s="52" t="s">
        <v>485</v>
      </c>
      <c r="D306" s="52" t="s">
        <v>426</v>
      </c>
      <c r="E306" s="52" t="s">
        <v>427</v>
      </c>
      <c r="F306" s="41"/>
      <c r="G306" s="41"/>
      <c r="H306" s="41"/>
      <c r="I306" s="41"/>
      <c r="J306" s="53" t="s">
        <v>58</v>
      </c>
      <c r="K306" s="53" t="s">
        <v>17</v>
      </c>
      <c r="L306" s="73">
        <v>0.1</v>
      </c>
      <c r="M306" s="74">
        <v>42000</v>
      </c>
      <c r="N306" s="74">
        <v>4200</v>
      </c>
      <c r="O306" s="104"/>
      <c r="P306" s="82"/>
      <c r="Q306" s="82"/>
      <c r="R306" s="82"/>
      <c r="S306" s="82"/>
      <c r="T306" s="82"/>
      <c r="U306" s="41" t="str">
        <f>VLOOKUP(J306,Sheet1!$A$2:$D$200,4,0)</f>
        <v>NL300139</v>
      </c>
      <c r="V306" s="41" t="str">
        <f>VLOOKUP(U306,Sheet1!$D$2:$E$200,2,0)</f>
        <v>Thì là</v>
      </c>
      <c r="W306" s="94" t="str">
        <f t="shared" si="25"/>
        <v>101NL300139</v>
      </c>
      <c r="X306" s="94" t="str">
        <f>COUNTIF($R$15:W306,W306)&amp;W306</f>
        <v>1101NL300139</v>
      </c>
      <c r="Y306" s="95">
        <f>IFERROR(VLOOKUP(X306,FAST!$B$7:$M$9722,12,0),"0")</f>
        <v>0.1</v>
      </c>
      <c r="Z306" s="95">
        <f>IFERROR(VLOOKUP(X306,FAST!$B$7:$N$9722,13,0),"0")</f>
        <v>42000</v>
      </c>
      <c r="AA306" s="96">
        <f t="shared" si="21"/>
        <v>4200</v>
      </c>
      <c r="AB306" s="97">
        <f t="shared" si="22"/>
        <v>0</v>
      </c>
      <c r="AC306" s="98">
        <f t="shared" si="23"/>
        <v>0</v>
      </c>
      <c r="AD306" s="99">
        <f t="shared" si="24"/>
        <v>0</v>
      </c>
    </row>
    <row r="307" spans="1:30" x14ac:dyDescent="0.25">
      <c r="A307" s="41"/>
      <c r="B307" s="80"/>
      <c r="C307" s="52" t="s">
        <v>485</v>
      </c>
      <c r="D307" s="52" t="s">
        <v>426</v>
      </c>
      <c r="E307" s="52" t="s">
        <v>427</v>
      </c>
      <c r="F307" s="41"/>
      <c r="G307" s="41"/>
      <c r="H307" s="41"/>
      <c r="I307" s="41"/>
      <c r="J307" s="53" t="s">
        <v>78</v>
      </c>
      <c r="K307" s="53" t="s">
        <v>17</v>
      </c>
      <c r="L307" s="73">
        <v>0.2</v>
      </c>
      <c r="M307" s="74">
        <v>92000</v>
      </c>
      <c r="N307" s="74">
        <v>18400</v>
      </c>
      <c r="O307" s="104"/>
      <c r="P307" s="82"/>
      <c r="Q307" s="82"/>
      <c r="R307" s="82"/>
      <c r="S307" s="82"/>
      <c r="T307" s="82"/>
      <c r="U307" s="41" t="str">
        <f>VLOOKUP(J307,Sheet1!$A$2:$D$200,4,0)</f>
        <v>NL300141</v>
      </c>
      <c r="V307" s="41" t="str">
        <f>VLOOKUP(U307,Sheet1!$D$2:$E$200,2,0)</f>
        <v>Tiêu xanh</v>
      </c>
      <c r="W307" s="94" t="str">
        <f t="shared" si="25"/>
        <v>101NL300141</v>
      </c>
      <c r="X307" s="94" t="str">
        <f>COUNTIF($R$15:W307,W307)&amp;W307</f>
        <v>1101NL300141</v>
      </c>
      <c r="Y307" s="95">
        <f>IFERROR(VLOOKUP(X307,FAST!$B$7:$M$9722,12,0),"0")</f>
        <v>0.2</v>
      </c>
      <c r="Z307" s="95">
        <f>IFERROR(VLOOKUP(X307,FAST!$B$7:$N$9722,13,0),"0")</f>
        <v>92000</v>
      </c>
      <c r="AA307" s="96">
        <f t="shared" si="21"/>
        <v>18400</v>
      </c>
      <c r="AB307" s="97">
        <f t="shared" si="22"/>
        <v>0</v>
      </c>
      <c r="AC307" s="98">
        <f t="shared" si="23"/>
        <v>0</v>
      </c>
      <c r="AD307" s="99">
        <f t="shared" si="24"/>
        <v>0</v>
      </c>
    </row>
    <row r="308" spans="1:30" x14ac:dyDescent="0.25">
      <c r="A308" s="41"/>
      <c r="B308" s="80"/>
      <c r="C308" s="52" t="s">
        <v>485</v>
      </c>
      <c r="D308" s="52" t="s">
        <v>426</v>
      </c>
      <c r="E308" s="52" t="s">
        <v>427</v>
      </c>
      <c r="F308" s="41"/>
      <c r="G308" s="41"/>
      <c r="H308" s="41"/>
      <c r="I308" s="41"/>
      <c r="J308" s="53" t="s">
        <v>38</v>
      </c>
      <c r="K308" s="53" t="s">
        <v>17</v>
      </c>
      <c r="L308" s="73">
        <v>5</v>
      </c>
      <c r="M308" s="74">
        <v>50000</v>
      </c>
      <c r="N308" s="74">
        <v>250000</v>
      </c>
      <c r="O308" s="104"/>
      <c r="P308" s="82"/>
      <c r="Q308" s="82"/>
      <c r="R308" s="82"/>
      <c r="S308" s="82"/>
      <c r="T308" s="82"/>
      <c r="U308" s="41" t="str">
        <f>VLOOKUP(J308,Sheet1!$A$2:$D$200,4,0)</f>
        <v>NL300142</v>
      </c>
      <c r="V308" s="41" t="str">
        <f>VLOOKUP(U308,Sheet1!$D$2:$E$200,2,0)</f>
        <v>Tỏi bóc</v>
      </c>
      <c r="W308" s="94" t="str">
        <f t="shared" si="25"/>
        <v>101NL300142</v>
      </c>
      <c r="X308" s="94" t="str">
        <f>COUNTIF($R$15:W308,W308)&amp;W308</f>
        <v>1101NL300142</v>
      </c>
      <c r="Y308" s="95">
        <f>IFERROR(VLOOKUP(X308,FAST!$B$7:$M$9722,12,0),"0")</f>
        <v>5</v>
      </c>
      <c r="Z308" s="95">
        <f>IFERROR(VLOOKUP(X308,FAST!$B$7:$N$9722,13,0),"0")</f>
        <v>50000</v>
      </c>
      <c r="AA308" s="96">
        <f t="shared" si="21"/>
        <v>250000</v>
      </c>
      <c r="AB308" s="97">
        <f t="shared" si="22"/>
        <v>0</v>
      </c>
      <c r="AC308" s="98">
        <f t="shared" si="23"/>
        <v>0</v>
      </c>
      <c r="AD308" s="99">
        <f t="shared" si="24"/>
        <v>0</v>
      </c>
    </row>
    <row r="309" spans="1:30" x14ac:dyDescent="0.25">
      <c r="A309" s="41"/>
      <c r="B309" s="80"/>
      <c r="C309" s="52" t="s">
        <v>485</v>
      </c>
      <c r="D309" s="52" t="s">
        <v>426</v>
      </c>
      <c r="E309" s="52" t="s">
        <v>427</v>
      </c>
      <c r="F309" s="41"/>
      <c r="G309" s="41"/>
      <c r="H309" s="41"/>
      <c r="I309" s="41"/>
      <c r="J309" s="53" t="s">
        <v>472</v>
      </c>
      <c r="K309" s="53" t="s">
        <v>53</v>
      </c>
      <c r="L309" s="73">
        <v>20</v>
      </c>
      <c r="M309" s="74">
        <v>9000</v>
      </c>
      <c r="N309" s="74">
        <v>180000</v>
      </c>
      <c r="O309" s="104"/>
      <c r="P309" s="82"/>
      <c r="Q309" s="82"/>
      <c r="R309" s="82"/>
      <c r="S309" s="82"/>
      <c r="T309" s="82"/>
      <c r="U309" s="41" t="str">
        <f>VLOOKUP(J309,Sheet1!$A$2:$D$200,4,0)</f>
        <v>NL100279</v>
      </c>
      <c r="V309" s="41" t="str">
        <f>VLOOKUP(U309,Sheet1!$D$2:$E$200,2,0)</f>
        <v>Trứng Bắc Thảo</v>
      </c>
      <c r="W309" s="94" t="str">
        <f t="shared" si="25"/>
        <v>101NL100279</v>
      </c>
      <c r="X309" s="94" t="str">
        <f>COUNTIF($R$15:W309,W309)&amp;W309</f>
        <v>1101NL100279</v>
      </c>
      <c r="Y309" s="95">
        <f>IFERROR(VLOOKUP(X309,FAST!$B$7:$M$9722,12,0),"0")</f>
        <v>20</v>
      </c>
      <c r="Z309" s="95">
        <f>IFERROR(VLOOKUP(X309,FAST!$B$7:$N$9722,13,0),"0")</f>
        <v>9000</v>
      </c>
      <c r="AA309" s="96">
        <f t="shared" si="21"/>
        <v>180000</v>
      </c>
      <c r="AB309" s="97">
        <f t="shared" si="22"/>
        <v>0</v>
      </c>
      <c r="AC309" s="98">
        <f t="shared" si="23"/>
        <v>0</v>
      </c>
      <c r="AD309" s="99">
        <f t="shared" si="24"/>
        <v>0</v>
      </c>
    </row>
    <row r="310" spans="1:30" x14ac:dyDescent="0.25">
      <c r="A310" s="41"/>
      <c r="B310" s="80"/>
      <c r="C310" s="52" t="s">
        <v>485</v>
      </c>
      <c r="D310" s="52" t="s">
        <v>426</v>
      </c>
      <c r="E310" s="52" t="s">
        <v>427</v>
      </c>
      <c r="F310" s="41"/>
      <c r="G310" s="41"/>
      <c r="H310" s="41"/>
      <c r="I310" s="41"/>
      <c r="J310" s="53" t="s">
        <v>52</v>
      </c>
      <c r="K310" s="53" t="s">
        <v>53</v>
      </c>
      <c r="L310" s="73">
        <v>45</v>
      </c>
      <c r="M310" s="74">
        <v>5000</v>
      </c>
      <c r="N310" s="74">
        <v>225000</v>
      </c>
      <c r="O310" s="104"/>
      <c r="P310" s="82"/>
      <c r="Q310" s="82"/>
      <c r="R310" s="82"/>
      <c r="S310" s="82"/>
      <c r="T310" s="82"/>
      <c r="U310" s="41" t="str">
        <f>VLOOKUP(J310,Sheet1!$A$2:$D$200,4,0)</f>
        <v>NL100101</v>
      </c>
      <c r="V310" s="41" t="str">
        <f>VLOOKUP(U310,Sheet1!$D$2:$E$200,2,0)</f>
        <v>Trứng vịt muối</v>
      </c>
      <c r="W310" s="94" t="str">
        <f t="shared" si="25"/>
        <v>101NL100101</v>
      </c>
      <c r="X310" s="94" t="str">
        <f>COUNTIF($R$15:W310,W310)&amp;W310</f>
        <v>1101NL100101</v>
      </c>
      <c r="Y310" s="95">
        <f>IFERROR(VLOOKUP(X310,FAST!$B$7:$M$9722,12,0),"0")</f>
        <v>45</v>
      </c>
      <c r="Z310" s="95">
        <f>IFERROR(VLOOKUP(X310,FAST!$B$7:$N$9722,13,0),"0")</f>
        <v>5000</v>
      </c>
      <c r="AA310" s="96">
        <f t="shared" si="21"/>
        <v>225000</v>
      </c>
      <c r="AB310" s="97">
        <f t="shared" si="22"/>
        <v>0</v>
      </c>
      <c r="AC310" s="98">
        <f t="shared" si="23"/>
        <v>0</v>
      </c>
      <c r="AD310" s="99">
        <f t="shared" si="24"/>
        <v>0</v>
      </c>
    </row>
    <row r="311" spans="1:30" x14ac:dyDescent="0.25">
      <c r="A311" s="41"/>
      <c r="B311" s="80"/>
      <c r="C311" s="52" t="s">
        <v>485</v>
      </c>
      <c r="D311" s="52" t="s">
        <v>426</v>
      </c>
      <c r="E311" s="52" t="s">
        <v>427</v>
      </c>
      <c r="F311" s="41"/>
      <c r="G311" s="41"/>
      <c r="H311" s="41"/>
      <c r="I311" s="41"/>
      <c r="J311" s="53" t="s">
        <v>37</v>
      </c>
      <c r="K311" s="53" t="s">
        <v>17</v>
      </c>
      <c r="L311" s="73">
        <v>6</v>
      </c>
      <c r="M311" s="74">
        <v>62000</v>
      </c>
      <c r="N311" s="74">
        <v>372000</v>
      </c>
      <c r="O311" s="104"/>
      <c r="P311" s="82"/>
      <c r="Q311" s="82"/>
      <c r="R311" s="82"/>
      <c r="S311" s="82"/>
      <c r="T311" s="82"/>
      <c r="U311" s="41" t="str">
        <f>VLOOKUP(J311,Sheet1!$A$2:$D$200,4,0)</f>
        <v>NL300147</v>
      </c>
      <c r="V311" s="41" t="str">
        <f>VLOOKUP(U311,Sheet1!$D$2:$E$200,2,0)</f>
        <v>Xà lách Roman</v>
      </c>
      <c r="W311" s="94" t="str">
        <f t="shared" si="25"/>
        <v>101NL300147</v>
      </c>
      <c r="X311" s="94" t="str">
        <f>COUNTIF($R$15:W311,W311)&amp;W311</f>
        <v>1101NL300147</v>
      </c>
      <c r="Y311" s="95">
        <f>IFERROR(VLOOKUP(X311,FAST!$B$7:$M$9722,12,0),"0")</f>
        <v>6</v>
      </c>
      <c r="Z311" s="95">
        <f>IFERROR(VLOOKUP(X311,FAST!$B$7:$N$9722,13,0),"0")</f>
        <v>62000</v>
      </c>
      <c r="AA311" s="96">
        <f t="shared" si="21"/>
        <v>372000</v>
      </c>
      <c r="AB311" s="97">
        <f t="shared" si="22"/>
        <v>0</v>
      </c>
      <c r="AC311" s="98">
        <f t="shared" si="23"/>
        <v>0</v>
      </c>
      <c r="AD311" s="99">
        <f t="shared" si="24"/>
        <v>0</v>
      </c>
    </row>
    <row r="312" spans="1:30" x14ac:dyDescent="0.25">
      <c r="A312" s="41"/>
      <c r="B312" s="80"/>
      <c r="C312" s="52" t="s">
        <v>486</v>
      </c>
      <c r="D312" s="52" t="s">
        <v>426</v>
      </c>
      <c r="E312" s="52" t="s">
        <v>427</v>
      </c>
      <c r="F312" s="41"/>
      <c r="G312" s="41"/>
      <c r="H312" s="41"/>
      <c r="I312" s="41"/>
      <c r="J312" s="53" t="s">
        <v>16</v>
      </c>
      <c r="K312" s="53" t="s">
        <v>17</v>
      </c>
      <c r="L312" s="73">
        <v>2</v>
      </c>
      <c r="M312" s="74">
        <v>19000</v>
      </c>
      <c r="N312" s="74">
        <v>38000</v>
      </c>
      <c r="O312" s="104"/>
      <c r="P312" s="82"/>
      <c r="Q312" s="82"/>
      <c r="R312" s="82"/>
      <c r="S312" s="82"/>
      <c r="T312" s="82"/>
      <c r="U312" s="41" t="str">
        <f>VLOOKUP(J312,Sheet1!$A$2:$D$200,4,0)</f>
        <v>NL300004</v>
      </c>
      <c r="V312" s="41" t="str">
        <f>VLOOKUP(U312,Sheet1!$D$2:$E$200,2,0)</f>
        <v>Bắp cải trắng</v>
      </c>
      <c r="W312" s="94" t="str">
        <f t="shared" si="25"/>
        <v>111NL300004</v>
      </c>
      <c r="X312" s="94" t="str">
        <f>COUNTIF($R$15:W312,W312)&amp;W312</f>
        <v>1111NL300004</v>
      </c>
      <c r="Y312" s="95">
        <f>IFERROR(VLOOKUP(X312,FAST!$B$7:$M$9722,12,0),"0")</f>
        <v>2</v>
      </c>
      <c r="Z312" s="95">
        <f>IFERROR(VLOOKUP(X312,FAST!$B$7:$N$9722,13,0),"0")</f>
        <v>19000</v>
      </c>
      <c r="AA312" s="96">
        <f t="shared" si="21"/>
        <v>38000</v>
      </c>
      <c r="AB312" s="97">
        <f t="shared" si="22"/>
        <v>0</v>
      </c>
      <c r="AC312" s="98">
        <f t="shared" si="23"/>
        <v>0</v>
      </c>
      <c r="AD312" s="99">
        <f t="shared" si="24"/>
        <v>0</v>
      </c>
    </row>
    <row r="313" spans="1:30" x14ac:dyDescent="0.25">
      <c r="A313" s="41"/>
      <c r="B313" s="80"/>
      <c r="C313" s="52" t="s">
        <v>486</v>
      </c>
      <c r="D313" s="52" t="s">
        <v>426</v>
      </c>
      <c r="E313" s="52" t="s">
        <v>427</v>
      </c>
      <c r="F313" s="41"/>
      <c r="G313" s="41"/>
      <c r="H313" s="41"/>
      <c r="I313" s="41"/>
      <c r="J313" s="53" t="s">
        <v>20</v>
      </c>
      <c r="K313" s="53" t="s">
        <v>21</v>
      </c>
      <c r="L313" s="73">
        <v>8</v>
      </c>
      <c r="M313" s="74">
        <v>8500</v>
      </c>
      <c r="N313" s="74">
        <v>68000</v>
      </c>
      <c r="O313" s="104"/>
      <c r="P313" s="82"/>
      <c r="Q313" s="82"/>
      <c r="R313" s="82"/>
      <c r="S313" s="82"/>
      <c r="T313" s="82"/>
      <c r="U313" s="41" t="str">
        <f>VLOOKUP(J313,Sheet1!$A$2:$D$200,4,0)</f>
        <v>NL300107</v>
      </c>
      <c r="V313" s="41" t="str">
        <f>VLOOKUP(U313,Sheet1!$D$2:$E$200,2,0)</f>
        <v>Ngô ngọt ( Bắp trái)</v>
      </c>
      <c r="W313" s="94" t="str">
        <f t="shared" si="25"/>
        <v>111NL300107</v>
      </c>
      <c r="X313" s="94" t="str">
        <f>COUNTIF($R$15:W313,W313)&amp;W313</f>
        <v>1111NL300107</v>
      </c>
      <c r="Y313" s="95">
        <f>IFERROR(VLOOKUP(X313,FAST!$B$7:$M$9722,12,0),"0")</f>
        <v>8</v>
      </c>
      <c r="Z313" s="95">
        <f>IFERROR(VLOOKUP(X313,FAST!$B$7:$N$9722,13,0),"0")</f>
        <v>8500</v>
      </c>
      <c r="AA313" s="96">
        <f t="shared" si="21"/>
        <v>68000</v>
      </c>
      <c r="AB313" s="97">
        <f t="shared" si="22"/>
        <v>0</v>
      </c>
      <c r="AC313" s="98">
        <f t="shared" si="23"/>
        <v>0</v>
      </c>
      <c r="AD313" s="99">
        <f t="shared" si="24"/>
        <v>0</v>
      </c>
    </row>
    <row r="314" spans="1:30" x14ac:dyDescent="0.25">
      <c r="A314" s="41"/>
      <c r="B314" s="80"/>
      <c r="C314" s="52" t="s">
        <v>486</v>
      </c>
      <c r="D314" s="52" t="s">
        <v>426</v>
      </c>
      <c r="E314" s="52" t="s">
        <v>427</v>
      </c>
      <c r="F314" s="41"/>
      <c r="G314" s="41"/>
      <c r="H314" s="41"/>
      <c r="I314" s="41"/>
      <c r="J314" s="53" t="s">
        <v>22</v>
      </c>
      <c r="K314" s="53" t="s">
        <v>17</v>
      </c>
      <c r="L314" s="73">
        <v>3</v>
      </c>
      <c r="M314" s="74">
        <v>30000</v>
      </c>
      <c r="N314" s="74">
        <v>90000</v>
      </c>
      <c r="O314" s="104"/>
      <c r="P314" s="82"/>
      <c r="Q314" s="82"/>
      <c r="R314" s="82"/>
      <c r="S314" s="82"/>
      <c r="T314" s="82"/>
      <c r="U314" s="41" t="str">
        <f>VLOOKUP(J314,Sheet1!$A$2:$D$200,4,0)</f>
        <v>NL300007</v>
      </c>
      <c r="V314" s="41" t="str">
        <f>VLOOKUP(U314,Sheet1!$D$2:$E$200,2,0)</f>
        <v>Bí đỏ</v>
      </c>
      <c r="W314" s="94" t="str">
        <f t="shared" si="25"/>
        <v>111NL300007</v>
      </c>
      <c r="X314" s="94" t="str">
        <f>COUNTIF($R$15:W314,W314)&amp;W314</f>
        <v>1111NL300007</v>
      </c>
      <c r="Y314" s="95">
        <f>IFERROR(VLOOKUP(X314,FAST!$B$7:$M$9722,12,0),"0")</f>
        <v>3</v>
      </c>
      <c r="Z314" s="95">
        <f>IFERROR(VLOOKUP(X314,FAST!$B$7:$N$9722,13,0),"0")</f>
        <v>30000</v>
      </c>
      <c r="AA314" s="96">
        <f t="shared" si="21"/>
        <v>90000</v>
      </c>
      <c r="AB314" s="97">
        <f t="shared" si="22"/>
        <v>0</v>
      </c>
      <c r="AC314" s="98">
        <f t="shared" si="23"/>
        <v>0</v>
      </c>
      <c r="AD314" s="99">
        <f t="shared" si="24"/>
        <v>0</v>
      </c>
    </row>
    <row r="315" spans="1:30" x14ac:dyDescent="0.25">
      <c r="A315" s="41"/>
      <c r="B315" s="41"/>
      <c r="C315" s="52" t="s">
        <v>486</v>
      </c>
      <c r="D315" s="52" t="s">
        <v>426</v>
      </c>
      <c r="E315" s="52" t="s">
        <v>427</v>
      </c>
      <c r="F315" s="41"/>
      <c r="G315" s="41"/>
      <c r="H315" s="41"/>
      <c r="I315" s="41"/>
      <c r="J315" s="53" t="s">
        <v>23</v>
      </c>
      <c r="K315" s="53" t="s">
        <v>17</v>
      </c>
      <c r="L315" s="73">
        <v>8</v>
      </c>
      <c r="M315" s="74">
        <v>40000</v>
      </c>
      <c r="N315" s="74">
        <v>320000</v>
      </c>
      <c r="U315" s="41" t="str">
        <f>VLOOKUP(J315,Sheet1!$A$2:$D$200,4,0)</f>
        <v>NL300008</v>
      </c>
      <c r="V315" s="41" t="str">
        <f>VLOOKUP(U315,Sheet1!$D$2:$E$200,2,0)</f>
        <v>Bí ngòi</v>
      </c>
      <c r="W315" s="94" t="str">
        <f t="shared" si="25"/>
        <v>111NL300008</v>
      </c>
      <c r="X315" s="94" t="str">
        <f>COUNTIF($R$15:W315,W315)&amp;W315</f>
        <v>1111NL300008</v>
      </c>
      <c r="Y315" s="95">
        <f>IFERROR(VLOOKUP(X315,FAST!$B$7:$M$9722,12,0),"0")</f>
        <v>8</v>
      </c>
      <c r="Z315" s="95">
        <f>IFERROR(VLOOKUP(X315,FAST!$B$7:$N$9722,13,0),"0")</f>
        <v>40000</v>
      </c>
      <c r="AA315" s="96">
        <f t="shared" si="21"/>
        <v>320000</v>
      </c>
      <c r="AB315" s="97">
        <f t="shared" si="22"/>
        <v>0</v>
      </c>
      <c r="AC315" s="98">
        <f t="shared" si="23"/>
        <v>0</v>
      </c>
      <c r="AD315" s="99">
        <f t="shared" si="24"/>
        <v>0</v>
      </c>
    </row>
    <row r="316" spans="1:30" x14ac:dyDescent="0.25">
      <c r="A316" s="41"/>
      <c r="B316" s="41"/>
      <c r="C316" s="52" t="s">
        <v>486</v>
      </c>
      <c r="D316" s="52" t="s">
        <v>426</v>
      </c>
      <c r="E316" s="52" t="s">
        <v>427</v>
      </c>
      <c r="F316" s="41"/>
      <c r="G316" s="41"/>
      <c r="H316" s="41"/>
      <c r="I316" s="41"/>
      <c r="J316" s="53" t="s">
        <v>50</v>
      </c>
      <c r="K316" s="53" t="s">
        <v>17</v>
      </c>
      <c r="L316" s="73">
        <v>2</v>
      </c>
      <c r="M316" s="74">
        <v>52000</v>
      </c>
      <c r="N316" s="74">
        <v>104000</v>
      </c>
      <c r="U316" s="41" t="str">
        <f>VLOOKUP(J316,Sheet1!$A$2:$D$200,4,0)</f>
        <v>NL300137</v>
      </c>
      <c r="V316" s="41" t="str">
        <f>VLOOKUP(U316,Sheet1!$D$2:$E$200,2,0)</f>
        <v>Súp lơ xanh</v>
      </c>
      <c r="W316" s="94" t="str">
        <f t="shared" si="25"/>
        <v>111NL300137</v>
      </c>
      <c r="X316" s="94" t="str">
        <f>COUNTIF($R$15:W316,W316)&amp;W316</f>
        <v>1111NL300137</v>
      </c>
      <c r="Y316" s="95">
        <f>IFERROR(VLOOKUP(X316,FAST!$B$7:$M$9722,12,0),"0")</f>
        <v>2</v>
      </c>
      <c r="Z316" s="95">
        <f>IFERROR(VLOOKUP(X316,FAST!$B$7:$N$9722,13,0),"0")</f>
        <v>52000</v>
      </c>
      <c r="AA316" s="96">
        <f t="shared" si="21"/>
        <v>104000</v>
      </c>
      <c r="AB316" s="97">
        <f t="shared" si="22"/>
        <v>0</v>
      </c>
      <c r="AC316" s="98">
        <f t="shared" si="23"/>
        <v>0</v>
      </c>
      <c r="AD316" s="99">
        <f t="shared" si="24"/>
        <v>0</v>
      </c>
    </row>
    <row r="317" spans="1:30" x14ac:dyDescent="0.25">
      <c r="A317" s="41"/>
      <c r="B317" s="41"/>
      <c r="C317" s="52" t="s">
        <v>486</v>
      </c>
      <c r="D317" s="52" t="s">
        <v>426</v>
      </c>
      <c r="E317" s="52" t="s">
        <v>427</v>
      </c>
      <c r="F317" s="41"/>
      <c r="G317" s="41"/>
      <c r="H317" s="41"/>
      <c r="I317" s="41"/>
      <c r="J317" s="53" t="s">
        <v>24</v>
      </c>
      <c r="K317" s="53" t="s">
        <v>17</v>
      </c>
      <c r="L317" s="73">
        <v>2</v>
      </c>
      <c r="M317" s="74">
        <v>30000</v>
      </c>
      <c r="N317" s="74">
        <v>60000</v>
      </c>
      <c r="U317" s="41" t="str">
        <f>VLOOKUP(J317,Sheet1!$A$2:$D$200,4,0)</f>
        <v>NL300020</v>
      </c>
      <c r="V317" s="41" t="str">
        <f>VLOOKUP(U317,Sheet1!$D$2:$E$200,2,0)</f>
        <v>Cải ngồng</v>
      </c>
      <c r="W317" s="94" t="str">
        <f t="shared" si="25"/>
        <v>111NL300020</v>
      </c>
      <c r="X317" s="94" t="str">
        <f>COUNTIF($R$15:W317,W317)&amp;W317</f>
        <v>1111NL300020</v>
      </c>
      <c r="Y317" s="95">
        <f>IFERROR(VLOOKUP(X317,FAST!$B$7:$M$9722,12,0),"0")</f>
        <v>2</v>
      </c>
      <c r="Z317" s="95">
        <f>IFERROR(VLOOKUP(X317,FAST!$B$7:$N$9722,13,0),"0")</f>
        <v>30000</v>
      </c>
      <c r="AA317" s="96">
        <f t="shared" si="21"/>
        <v>60000</v>
      </c>
      <c r="AB317" s="97">
        <f t="shared" si="22"/>
        <v>0</v>
      </c>
      <c r="AC317" s="98">
        <f t="shared" si="23"/>
        <v>0</v>
      </c>
      <c r="AD317" s="99">
        <f t="shared" si="24"/>
        <v>0</v>
      </c>
    </row>
    <row r="318" spans="1:30" x14ac:dyDescent="0.25">
      <c r="A318" s="41"/>
      <c r="B318" s="41"/>
      <c r="C318" s="52" t="s">
        <v>486</v>
      </c>
      <c r="D318" s="52" t="s">
        <v>426</v>
      </c>
      <c r="E318" s="52" t="s">
        <v>427</v>
      </c>
      <c r="F318" s="41"/>
      <c r="G318" s="41"/>
      <c r="H318" s="41"/>
      <c r="I318" s="41"/>
      <c r="J318" s="53" t="s">
        <v>72</v>
      </c>
      <c r="K318" s="53" t="s">
        <v>17</v>
      </c>
      <c r="L318" s="73">
        <v>0.3</v>
      </c>
      <c r="M318" s="74">
        <v>75000</v>
      </c>
      <c r="N318" s="74">
        <v>22500</v>
      </c>
      <c r="U318" s="41" t="str">
        <f>VLOOKUP(J318,Sheet1!$A$2:$D$200,4,0)</f>
        <v>NL600067</v>
      </c>
      <c r="V318" s="41" t="str">
        <f>VLOOKUP(U318,Sheet1!$D$2:$E$200,2,0)</f>
        <v>Cam vàng</v>
      </c>
      <c r="W318" s="94" t="str">
        <f t="shared" si="25"/>
        <v>111NL600067</v>
      </c>
      <c r="X318" s="94" t="str">
        <f>COUNTIF($R$15:W318,W318)&amp;W318</f>
        <v>1111NL600067</v>
      </c>
      <c r="Y318" s="95">
        <f>IFERROR(VLOOKUP(X318,FAST!$B$7:$M$9722,12,0),"0")</f>
        <v>0.3</v>
      </c>
      <c r="Z318" s="95">
        <f>IFERROR(VLOOKUP(X318,FAST!$B$7:$N$9722,13,0),"0")</f>
        <v>75000</v>
      </c>
      <c r="AA318" s="96">
        <f t="shared" si="21"/>
        <v>22500</v>
      </c>
      <c r="AB318" s="97">
        <f t="shared" si="22"/>
        <v>0</v>
      </c>
      <c r="AC318" s="98">
        <f t="shared" si="23"/>
        <v>0</v>
      </c>
      <c r="AD318" s="99">
        <f t="shared" si="24"/>
        <v>0</v>
      </c>
    </row>
    <row r="319" spans="1:30" x14ac:dyDescent="0.25">
      <c r="A319" s="41"/>
      <c r="B319" s="41"/>
      <c r="C319" s="52" t="s">
        <v>486</v>
      </c>
      <c r="D319" s="52" t="s">
        <v>426</v>
      </c>
      <c r="E319" s="52" t="s">
        <v>427</v>
      </c>
      <c r="F319" s="41"/>
      <c r="G319" s="41"/>
      <c r="H319" s="41"/>
      <c r="I319" s="41"/>
      <c r="J319" s="53" t="s">
        <v>25</v>
      </c>
      <c r="K319" s="53" t="s">
        <v>17</v>
      </c>
      <c r="L319" s="73">
        <v>0.5</v>
      </c>
      <c r="M319" s="74">
        <v>44000</v>
      </c>
      <c r="N319" s="74">
        <v>22000</v>
      </c>
      <c r="U319" s="41" t="str">
        <f>VLOOKUP(J319,Sheet1!$A$2:$D$200,4,0)</f>
        <v>NL300025</v>
      </c>
      <c r="V319" s="41" t="str">
        <f>VLOOKUP(U319,Sheet1!$D$2:$E$200,2,0)</f>
        <v>Rau cần tây</v>
      </c>
      <c r="W319" s="94" t="str">
        <f t="shared" si="25"/>
        <v>111NL300025</v>
      </c>
      <c r="X319" s="94" t="str">
        <f>COUNTIF($R$15:W319,W319)&amp;W319</f>
        <v>1111NL300025</v>
      </c>
      <c r="Y319" s="95">
        <f>IFERROR(VLOOKUP(X319,FAST!$B$7:$M$9722,12,0),"0")</f>
        <v>0.5</v>
      </c>
      <c r="Z319" s="95">
        <f>IFERROR(VLOOKUP(X319,FAST!$B$7:$N$9722,13,0),"0")</f>
        <v>44000</v>
      </c>
      <c r="AA319" s="96">
        <f t="shared" si="21"/>
        <v>22000</v>
      </c>
      <c r="AB319" s="97">
        <f t="shared" si="22"/>
        <v>0</v>
      </c>
      <c r="AC319" s="98">
        <f t="shared" si="23"/>
        <v>0</v>
      </c>
      <c r="AD319" s="99">
        <f t="shared" si="24"/>
        <v>0</v>
      </c>
    </row>
    <row r="320" spans="1:30" x14ac:dyDescent="0.25">
      <c r="A320" s="41"/>
      <c r="B320" s="41"/>
      <c r="C320" s="52" t="s">
        <v>486</v>
      </c>
      <c r="D320" s="52" t="s">
        <v>426</v>
      </c>
      <c r="E320" s="52" t="s">
        <v>427</v>
      </c>
      <c r="F320" s="41"/>
      <c r="G320" s="41"/>
      <c r="H320" s="41"/>
      <c r="I320" s="41"/>
      <c r="J320" s="53" t="s">
        <v>73</v>
      </c>
      <c r="K320" s="53" t="s">
        <v>17</v>
      </c>
      <c r="L320" s="73">
        <v>0.5</v>
      </c>
      <c r="M320" s="74">
        <v>34000</v>
      </c>
      <c r="N320" s="74">
        <v>17000</v>
      </c>
      <c r="U320" s="41" t="str">
        <f>VLOOKUP(J320,Sheet1!$A$2:$D$200,4,0)</f>
        <v>NL300030</v>
      </c>
      <c r="V320" s="41" t="str">
        <f>VLOOKUP(U320,Sheet1!$D$2:$E$200,2,0)</f>
        <v>Chanh dây (chanh leo)</v>
      </c>
      <c r="W320" s="94" t="str">
        <f t="shared" si="25"/>
        <v>111NL300030</v>
      </c>
      <c r="X320" s="94" t="str">
        <f>COUNTIF($R$15:W320,W320)&amp;W320</f>
        <v>1111NL300030</v>
      </c>
      <c r="Y320" s="95">
        <f>IFERROR(VLOOKUP(X320,FAST!$B$7:$M$9722,12,0),"0")</f>
        <v>0.5</v>
      </c>
      <c r="Z320" s="95">
        <f>IFERROR(VLOOKUP(X320,FAST!$B$7:$N$9722,13,0),"0")</f>
        <v>34000</v>
      </c>
      <c r="AA320" s="96">
        <f t="shared" si="21"/>
        <v>17000</v>
      </c>
      <c r="AB320" s="97">
        <f t="shared" si="22"/>
        <v>0</v>
      </c>
      <c r="AC320" s="98">
        <f t="shared" si="23"/>
        <v>0</v>
      </c>
      <c r="AD320" s="99">
        <f t="shared" si="24"/>
        <v>0</v>
      </c>
    </row>
    <row r="321" spans="1:30" x14ac:dyDescent="0.25">
      <c r="A321" s="41"/>
      <c r="B321" s="41"/>
      <c r="C321" s="52" t="s">
        <v>486</v>
      </c>
      <c r="D321" s="52" t="s">
        <v>426</v>
      </c>
      <c r="E321" s="52" t="s">
        <v>427</v>
      </c>
      <c r="F321" s="41"/>
      <c r="G321" s="41"/>
      <c r="H321" s="41"/>
      <c r="I321" s="41"/>
      <c r="J321" s="53" t="s">
        <v>46</v>
      </c>
      <c r="K321" s="53" t="s">
        <v>17</v>
      </c>
      <c r="L321" s="73">
        <v>1</v>
      </c>
      <c r="M321" s="74">
        <v>22000</v>
      </c>
      <c r="N321" s="74">
        <v>22000</v>
      </c>
      <c r="U321" s="41" t="str">
        <f>VLOOKUP(J321,Sheet1!$A$2:$D$200,4,0)</f>
        <v>NL300029</v>
      </c>
      <c r="V321" s="41" t="str">
        <f>VLOOKUP(U321,Sheet1!$D$2:$E$200,2,0)</f>
        <v>Chanh</v>
      </c>
      <c r="W321" s="94" t="str">
        <f t="shared" si="25"/>
        <v>111NL300029</v>
      </c>
      <c r="X321" s="94" t="str">
        <f>COUNTIF($R$15:W321,W321)&amp;W321</f>
        <v>1111NL300029</v>
      </c>
      <c r="Y321" s="95">
        <f>IFERROR(VLOOKUP(X321,FAST!$B$7:$M$9722,12,0),"0")</f>
        <v>1</v>
      </c>
      <c r="Z321" s="95">
        <f>IFERROR(VLOOKUP(X321,FAST!$B$7:$N$9722,13,0),"0")</f>
        <v>22000</v>
      </c>
      <c r="AA321" s="96">
        <f t="shared" si="21"/>
        <v>22000</v>
      </c>
      <c r="AB321" s="97">
        <f t="shared" si="22"/>
        <v>0</v>
      </c>
      <c r="AC321" s="98">
        <f t="shared" si="23"/>
        <v>0</v>
      </c>
      <c r="AD321" s="99">
        <f t="shared" si="24"/>
        <v>0</v>
      </c>
    </row>
    <row r="322" spans="1:30" x14ac:dyDescent="0.25">
      <c r="A322" s="41"/>
      <c r="B322" s="41"/>
      <c r="C322" s="52" t="s">
        <v>486</v>
      </c>
      <c r="D322" s="52" t="s">
        <v>426</v>
      </c>
      <c r="E322" s="52" t="s">
        <v>427</v>
      </c>
      <c r="F322" s="41"/>
      <c r="G322" s="41"/>
      <c r="H322" s="41"/>
      <c r="I322" s="41"/>
      <c r="J322" s="53" t="s">
        <v>74</v>
      </c>
      <c r="K322" s="53" t="s">
        <v>17</v>
      </c>
      <c r="L322" s="73">
        <v>0.3</v>
      </c>
      <c r="M322" s="74">
        <v>95000</v>
      </c>
      <c r="N322" s="74">
        <v>28500</v>
      </c>
      <c r="U322" s="41" t="str">
        <f>VLOOKUP(J322,Sheet1!$A$2:$D$200,4,0)</f>
        <v>NL600068</v>
      </c>
      <c r="V322" s="41" t="str">
        <f>VLOOKUP(U322,Sheet1!$D$2:$E$200,2,0)</f>
        <v>Chanh vàng</v>
      </c>
      <c r="W322" s="94" t="str">
        <f t="shared" si="25"/>
        <v>111NL600068</v>
      </c>
      <c r="X322" s="94" t="str">
        <f>COUNTIF($R$15:W322,W322)&amp;W322</f>
        <v>1111NL600068</v>
      </c>
      <c r="Y322" s="95">
        <f>IFERROR(VLOOKUP(X322,FAST!$B$7:$M$9722,12,0),"0")</f>
        <v>0.3</v>
      </c>
      <c r="Z322" s="95">
        <f>IFERROR(VLOOKUP(X322,FAST!$B$7:$N$9722,13,0),"0")</f>
        <v>95000</v>
      </c>
      <c r="AA322" s="96">
        <f t="shared" si="21"/>
        <v>28500</v>
      </c>
      <c r="AB322" s="97">
        <f t="shared" si="22"/>
        <v>0</v>
      </c>
      <c r="AC322" s="98">
        <f t="shared" si="23"/>
        <v>0</v>
      </c>
      <c r="AD322" s="99">
        <f t="shared" si="24"/>
        <v>0</v>
      </c>
    </row>
    <row r="323" spans="1:30" x14ac:dyDescent="0.25">
      <c r="A323" s="41"/>
      <c r="B323" s="41"/>
      <c r="C323" s="52" t="s">
        <v>486</v>
      </c>
      <c r="D323" s="52" t="s">
        <v>426</v>
      </c>
      <c r="E323" s="52" t="s">
        <v>427</v>
      </c>
      <c r="F323" s="41"/>
      <c r="G323" s="41"/>
      <c r="H323" s="41"/>
      <c r="I323" s="41"/>
      <c r="J323" s="53" t="s">
        <v>27</v>
      </c>
      <c r="K323" s="53" t="s">
        <v>17</v>
      </c>
      <c r="L323" s="73">
        <v>0.5</v>
      </c>
      <c r="M323" s="74">
        <v>47000</v>
      </c>
      <c r="N323" s="74">
        <v>23500</v>
      </c>
      <c r="U323" s="41" t="str">
        <f>VLOOKUP(J323,Sheet1!$A$2:$D$200,4,0)</f>
        <v>NL300036</v>
      </c>
      <c r="V323" s="41" t="str">
        <f>VLOOKUP(U323,Sheet1!$D$2:$E$200,2,0)</f>
        <v>Củ sen</v>
      </c>
      <c r="W323" s="94" t="str">
        <f t="shared" si="25"/>
        <v>111NL300036</v>
      </c>
      <c r="X323" s="94" t="str">
        <f>COUNTIF($R$15:W323,W323)&amp;W323</f>
        <v>1111NL300036</v>
      </c>
      <c r="Y323" s="95">
        <f>IFERROR(VLOOKUP(X323,FAST!$B$7:$M$9722,12,0),"0")</f>
        <v>0.5</v>
      </c>
      <c r="Z323" s="95">
        <f>IFERROR(VLOOKUP(X323,FAST!$B$7:$N$9722,13,0),"0")</f>
        <v>47000</v>
      </c>
      <c r="AA323" s="96">
        <f t="shared" si="21"/>
        <v>23500</v>
      </c>
      <c r="AB323" s="97">
        <f t="shared" si="22"/>
        <v>0</v>
      </c>
      <c r="AC323" s="98">
        <f t="shared" si="23"/>
        <v>0</v>
      </c>
      <c r="AD323" s="99">
        <f t="shared" si="24"/>
        <v>0</v>
      </c>
    </row>
    <row r="324" spans="1:30" x14ac:dyDescent="0.25">
      <c r="A324" s="41"/>
      <c r="B324" s="41"/>
      <c r="C324" s="52" t="s">
        <v>486</v>
      </c>
      <c r="D324" s="52" t="s">
        <v>426</v>
      </c>
      <c r="E324" s="52" t="s">
        <v>427</v>
      </c>
      <c r="F324" s="41"/>
      <c r="G324" s="41"/>
      <c r="H324" s="41"/>
      <c r="I324" s="41"/>
      <c r="J324" s="53" t="s">
        <v>47</v>
      </c>
      <c r="K324" s="53" t="s">
        <v>17</v>
      </c>
      <c r="L324" s="73">
        <v>53</v>
      </c>
      <c r="M324" s="74">
        <v>18000</v>
      </c>
      <c r="N324" s="74">
        <v>954000</v>
      </c>
      <c r="U324" s="41" t="str">
        <f>VLOOKUP(J324,Sheet1!$A$2:$D$200,4,0)</f>
        <v>NL600004</v>
      </c>
      <c r="V324" s="41" t="str">
        <f>VLOOKUP(U324,Sheet1!$D$2:$E$200,2,0)</f>
        <v>Dưa hấu</v>
      </c>
      <c r="W324" s="94" t="str">
        <f t="shared" si="25"/>
        <v>111NL600004</v>
      </c>
      <c r="X324" s="94" t="str">
        <f>COUNTIF($R$15:W324,W324)&amp;W324</f>
        <v>1111NL600004</v>
      </c>
      <c r="Y324" s="95">
        <f>IFERROR(VLOOKUP(X324,FAST!$B$7:$M$9722,12,0),"0")</f>
        <v>53</v>
      </c>
      <c r="Z324" s="95">
        <f>IFERROR(VLOOKUP(X324,FAST!$B$7:$N$9722,13,0),"0")</f>
        <v>18000</v>
      </c>
      <c r="AA324" s="96">
        <f t="shared" si="21"/>
        <v>954000</v>
      </c>
      <c r="AB324" s="97">
        <f t="shared" si="22"/>
        <v>0</v>
      </c>
      <c r="AC324" s="98">
        <f t="shared" si="23"/>
        <v>0</v>
      </c>
      <c r="AD324" s="99">
        <f t="shared" si="24"/>
        <v>0</v>
      </c>
    </row>
    <row r="325" spans="1:30" x14ac:dyDescent="0.25">
      <c r="A325" s="41"/>
      <c r="B325" s="41"/>
      <c r="C325" s="52" t="s">
        <v>486</v>
      </c>
      <c r="D325" s="52" t="s">
        <v>426</v>
      </c>
      <c r="E325" s="52" t="s">
        <v>427</v>
      </c>
      <c r="F325" s="41"/>
      <c r="G325" s="41"/>
      <c r="H325" s="41"/>
      <c r="I325" s="41"/>
      <c r="J325" s="53" t="s">
        <v>29</v>
      </c>
      <c r="K325" s="53" t="s">
        <v>17</v>
      </c>
      <c r="L325" s="73">
        <v>2.5</v>
      </c>
      <c r="M325" s="74">
        <v>55000</v>
      </c>
      <c r="N325" s="74">
        <v>137500</v>
      </c>
      <c r="U325" s="41" t="str">
        <f>VLOOKUP(J325,Sheet1!$A$2:$D$200,4,0)</f>
        <v>NL300058</v>
      </c>
      <c r="V325" s="41" t="str">
        <f>VLOOKUP(U325,Sheet1!$D$2:$E$200,2,0)</f>
        <v>Hành lá</v>
      </c>
      <c r="W325" s="94" t="str">
        <f t="shared" si="25"/>
        <v>111NL300058</v>
      </c>
      <c r="X325" s="94" t="str">
        <f>COUNTIF($R$15:W325,W325)&amp;W325</f>
        <v>1111NL300058</v>
      </c>
      <c r="Y325" s="95">
        <f>IFERROR(VLOOKUP(X325,FAST!$B$7:$M$9722,12,0),"0")</f>
        <v>2.5</v>
      </c>
      <c r="Z325" s="95">
        <f>IFERROR(VLOOKUP(X325,FAST!$B$7:$N$9722,13,0),"0")</f>
        <v>55000</v>
      </c>
      <c r="AA325" s="96">
        <f t="shared" si="21"/>
        <v>137500</v>
      </c>
      <c r="AB325" s="97">
        <f t="shared" si="22"/>
        <v>0</v>
      </c>
      <c r="AC325" s="98">
        <f t="shared" si="23"/>
        <v>0</v>
      </c>
      <c r="AD325" s="99">
        <f t="shared" si="24"/>
        <v>0</v>
      </c>
    </row>
    <row r="326" spans="1:30" x14ac:dyDescent="0.25">
      <c r="A326" s="41"/>
      <c r="B326" s="41"/>
      <c r="C326" s="52" t="s">
        <v>486</v>
      </c>
      <c r="D326" s="52" t="s">
        <v>426</v>
      </c>
      <c r="E326" s="52" t="s">
        <v>427</v>
      </c>
      <c r="F326" s="41"/>
      <c r="G326" s="41"/>
      <c r="H326" s="41"/>
      <c r="I326" s="41"/>
      <c r="J326" s="53" t="s">
        <v>75</v>
      </c>
      <c r="K326" s="53" t="s">
        <v>17</v>
      </c>
      <c r="L326" s="73">
        <v>1</v>
      </c>
      <c r="M326" s="74">
        <v>18000</v>
      </c>
      <c r="N326" s="74">
        <v>18000</v>
      </c>
      <c r="U326" s="41" t="str">
        <f>VLOOKUP(J326,Sheet1!$A$2:$D$200,4,0)</f>
        <v>NL300184</v>
      </c>
      <c r="V326" s="41" t="str">
        <f>VLOOKUP(U326,Sheet1!$D$2:$E$200,2,0)</f>
        <v>Lá Dứa</v>
      </c>
      <c r="W326" s="94" t="str">
        <f t="shared" si="25"/>
        <v>111NL300184</v>
      </c>
      <c r="X326" s="94" t="str">
        <f>COUNTIF($R$15:W326,W326)&amp;W326</f>
        <v>1111NL300184</v>
      </c>
      <c r="Y326" s="95">
        <f>IFERROR(VLOOKUP(X326,FAST!$B$7:$M$9722,12,0),"0")</f>
        <v>1</v>
      </c>
      <c r="Z326" s="95">
        <f>IFERROR(VLOOKUP(X326,FAST!$B$7:$N$9722,13,0),"0")</f>
        <v>18000</v>
      </c>
      <c r="AA326" s="96">
        <f t="shared" si="21"/>
        <v>18000</v>
      </c>
      <c r="AB326" s="97">
        <f t="shared" si="22"/>
        <v>0</v>
      </c>
      <c r="AC326" s="98">
        <f t="shared" si="23"/>
        <v>0</v>
      </c>
      <c r="AD326" s="99">
        <f t="shared" si="24"/>
        <v>0</v>
      </c>
    </row>
    <row r="327" spans="1:30" x14ac:dyDescent="0.25">
      <c r="A327" s="41"/>
      <c r="B327" s="41"/>
      <c r="C327" s="52" t="s">
        <v>486</v>
      </c>
      <c r="D327" s="52" t="s">
        <v>426</v>
      </c>
      <c r="E327" s="52" t="s">
        <v>427</v>
      </c>
      <c r="F327" s="41"/>
      <c r="G327" s="41"/>
      <c r="H327" s="41"/>
      <c r="I327" s="41"/>
      <c r="J327" s="53" t="s">
        <v>39</v>
      </c>
      <c r="K327" s="53" t="s">
        <v>17</v>
      </c>
      <c r="L327" s="73">
        <v>2</v>
      </c>
      <c r="M327" s="74">
        <v>145000</v>
      </c>
      <c r="N327" s="74">
        <v>290000</v>
      </c>
      <c r="U327" s="41" t="str">
        <f>VLOOKUP(J327,Sheet1!$A$2:$D$200,4,0)</f>
        <v>NL300090</v>
      </c>
      <c r="V327" s="41" t="str">
        <f>VLOOKUP(U327,Sheet1!$D$2:$E$200,2,0)</f>
        <v>Nấm đông cô tươi</v>
      </c>
      <c r="W327" s="94" t="str">
        <f t="shared" si="25"/>
        <v>111NL300090</v>
      </c>
      <c r="X327" s="94" t="str">
        <f>COUNTIF($R$15:W327,W327)&amp;W327</f>
        <v>1111NL300090</v>
      </c>
      <c r="Y327" s="95">
        <f>IFERROR(VLOOKUP(X327,FAST!$B$7:$M$9722,12,0),"0")</f>
        <v>2</v>
      </c>
      <c r="Z327" s="95">
        <f>IFERROR(VLOOKUP(X327,FAST!$B$7:$N$9722,13,0),"0")</f>
        <v>145000</v>
      </c>
      <c r="AA327" s="96">
        <f t="shared" si="21"/>
        <v>290000</v>
      </c>
      <c r="AB327" s="97">
        <f t="shared" si="22"/>
        <v>0</v>
      </c>
      <c r="AC327" s="98">
        <f t="shared" si="23"/>
        <v>0</v>
      </c>
      <c r="AD327" s="99">
        <f t="shared" si="24"/>
        <v>0</v>
      </c>
    </row>
    <row r="328" spans="1:30" x14ac:dyDescent="0.25">
      <c r="A328" s="41"/>
      <c r="B328" s="41"/>
      <c r="C328" s="52" t="s">
        <v>486</v>
      </c>
      <c r="D328" s="52" t="s">
        <v>426</v>
      </c>
      <c r="E328" s="52" t="s">
        <v>427</v>
      </c>
      <c r="F328" s="41"/>
      <c r="G328" s="41"/>
      <c r="H328" s="41"/>
      <c r="I328" s="41"/>
      <c r="J328" s="53" t="s">
        <v>40</v>
      </c>
      <c r="K328" s="53" t="s">
        <v>17</v>
      </c>
      <c r="L328" s="73">
        <v>1</v>
      </c>
      <c r="M328" s="74">
        <v>47000</v>
      </c>
      <c r="N328" s="74">
        <v>47000</v>
      </c>
      <c r="U328" s="41" t="str">
        <f>VLOOKUP(J328,Sheet1!$A$2:$D$200,4,0)</f>
        <v>NL300091</v>
      </c>
      <c r="V328" s="41" t="str">
        <f>VLOOKUP(U328,Sheet1!$D$2:$E$200,2,0)</f>
        <v>Nấm đùi gà</v>
      </c>
      <c r="W328" s="94" t="str">
        <f t="shared" si="25"/>
        <v>111NL300091</v>
      </c>
      <c r="X328" s="94" t="str">
        <f>COUNTIF($R$15:W328,W328)&amp;W328</f>
        <v>1111NL300091</v>
      </c>
      <c r="Y328" s="95">
        <f>IFERROR(VLOOKUP(X328,FAST!$B$7:$M$9722,12,0),"0")</f>
        <v>1</v>
      </c>
      <c r="Z328" s="95">
        <f>IFERROR(VLOOKUP(X328,FAST!$B$7:$N$9722,13,0),"0")</f>
        <v>47000</v>
      </c>
      <c r="AA328" s="96">
        <f t="shared" si="21"/>
        <v>47000</v>
      </c>
      <c r="AB328" s="97">
        <f t="shared" si="22"/>
        <v>0</v>
      </c>
      <c r="AC328" s="98">
        <f t="shared" si="23"/>
        <v>0</v>
      </c>
      <c r="AD328" s="99">
        <f t="shared" si="24"/>
        <v>0</v>
      </c>
    </row>
    <row r="329" spans="1:30" x14ac:dyDescent="0.25">
      <c r="A329" s="41"/>
      <c r="B329" s="41"/>
      <c r="C329" s="52" t="s">
        <v>486</v>
      </c>
      <c r="D329" s="52" t="s">
        <v>426</v>
      </c>
      <c r="E329" s="52" t="s">
        <v>427</v>
      </c>
      <c r="F329" s="41"/>
      <c r="G329" s="41"/>
      <c r="H329" s="41"/>
      <c r="I329" s="41"/>
      <c r="J329" s="53" t="s">
        <v>65</v>
      </c>
      <c r="K329" s="53" t="s">
        <v>17</v>
      </c>
      <c r="L329" s="73">
        <v>0.5</v>
      </c>
      <c r="M329" s="74">
        <v>195000</v>
      </c>
      <c r="N329" s="74">
        <v>97500</v>
      </c>
      <c r="U329" s="41" t="str">
        <f>VLOOKUP(J329,Sheet1!$A$2:$D$200,4,0)</f>
        <v>NL300101</v>
      </c>
      <c r="V329" s="41" t="str">
        <f>VLOOKUP(U329,Sheet1!$D$2:$E$200,2,0)</f>
        <v>Nấm Mối</v>
      </c>
      <c r="W329" s="94" t="str">
        <f t="shared" si="25"/>
        <v>111NL300101</v>
      </c>
      <c r="X329" s="94" t="str">
        <f>COUNTIF($R$15:W329,W329)&amp;W329</f>
        <v>1111NL300101</v>
      </c>
      <c r="Y329" s="95">
        <f>IFERROR(VLOOKUP(X329,FAST!$B$7:$M$9722,12,0),"0")</f>
        <v>0.5</v>
      </c>
      <c r="Z329" s="95">
        <f>IFERROR(VLOOKUP(X329,FAST!$B$7:$N$9722,13,0),"0")</f>
        <v>195000</v>
      </c>
      <c r="AA329" s="96">
        <f t="shared" si="21"/>
        <v>97500</v>
      </c>
      <c r="AB329" s="97">
        <f t="shared" si="22"/>
        <v>0</v>
      </c>
      <c r="AC329" s="98">
        <f t="shared" si="23"/>
        <v>0</v>
      </c>
      <c r="AD329" s="99">
        <f t="shared" si="24"/>
        <v>0</v>
      </c>
    </row>
    <row r="330" spans="1:30" x14ac:dyDescent="0.25">
      <c r="A330" s="41"/>
      <c r="B330" s="41"/>
      <c r="C330" s="52" t="s">
        <v>486</v>
      </c>
      <c r="D330" s="52" t="s">
        <v>426</v>
      </c>
      <c r="E330" s="52" t="s">
        <v>427</v>
      </c>
      <c r="F330" s="41"/>
      <c r="G330" s="41"/>
      <c r="H330" s="41"/>
      <c r="I330" s="41"/>
      <c r="J330" s="53" t="s">
        <v>32</v>
      </c>
      <c r="K330" s="53" t="s">
        <v>17</v>
      </c>
      <c r="L330" s="73">
        <v>2</v>
      </c>
      <c r="M330" s="74">
        <v>45000</v>
      </c>
      <c r="N330" s="74">
        <v>90000</v>
      </c>
      <c r="U330" s="41" t="str">
        <f>VLOOKUP(J330,Sheet1!$A$2:$D$200,4,0)</f>
        <v>NL300085</v>
      </c>
      <c r="V330" s="41" t="str">
        <f>VLOOKUP(U330,Sheet1!$D$2:$E$200,2,0)</f>
        <v>Mùi ta ( Ngò rí )</v>
      </c>
      <c r="W330" s="94" t="str">
        <f t="shared" si="25"/>
        <v>111NL300085</v>
      </c>
      <c r="X330" s="94" t="str">
        <f>COUNTIF($R$15:W330,W330)&amp;W330</f>
        <v>1111NL300085</v>
      </c>
      <c r="Y330" s="95">
        <f>IFERROR(VLOOKUP(X330,FAST!$B$7:$M$9722,12,0),"0")</f>
        <v>2</v>
      </c>
      <c r="Z330" s="95">
        <f>IFERROR(VLOOKUP(X330,FAST!$B$7:$N$9722,13,0),"0")</f>
        <v>45000</v>
      </c>
      <c r="AA330" s="96">
        <f t="shared" si="21"/>
        <v>90000</v>
      </c>
      <c r="AB330" s="97">
        <f t="shared" si="22"/>
        <v>0</v>
      </c>
      <c r="AC330" s="98">
        <f t="shared" si="23"/>
        <v>0</v>
      </c>
      <c r="AD330" s="99">
        <f t="shared" si="24"/>
        <v>0</v>
      </c>
    </row>
    <row r="331" spans="1:30" x14ac:dyDescent="0.25">
      <c r="A331" s="41"/>
      <c r="B331" s="41"/>
      <c r="C331" s="52" t="s">
        <v>486</v>
      </c>
      <c r="D331" s="52" t="s">
        <v>426</v>
      </c>
      <c r="E331" s="52" t="s">
        <v>427</v>
      </c>
      <c r="F331" s="41"/>
      <c r="G331" s="41"/>
      <c r="H331" s="41"/>
      <c r="I331" s="41"/>
      <c r="J331" s="53" t="s">
        <v>66</v>
      </c>
      <c r="K331" s="53" t="s">
        <v>17</v>
      </c>
      <c r="L331" s="73">
        <v>0.2</v>
      </c>
      <c r="M331" s="74">
        <v>70000</v>
      </c>
      <c r="N331" s="74">
        <v>14000</v>
      </c>
      <c r="U331" s="41" t="str">
        <f>VLOOKUP(J331,Sheet1!$A$2:$D$200,4,0)</f>
        <v>NL300126</v>
      </c>
      <c r="V331" s="41" t="str">
        <f>VLOOKUP(U331,Sheet1!$D$2:$E$200,2,0)</f>
        <v>Rau mùi tây</v>
      </c>
      <c r="W331" s="94" t="str">
        <f t="shared" si="25"/>
        <v>111NL300126</v>
      </c>
      <c r="X331" s="94" t="str">
        <f>COUNTIF($R$15:W331,W331)&amp;W331</f>
        <v>1111NL300126</v>
      </c>
      <c r="Y331" s="95">
        <f>IFERROR(VLOOKUP(X331,FAST!$B$7:$M$9722,12,0),"0")</f>
        <v>0.2</v>
      </c>
      <c r="Z331" s="95">
        <f>IFERROR(VLOOKUP(X331,FAST!$B$7:$N$9722,13,0),"0")</f>
        <v>70000</v>
      </c>
      <c r="AA331" s="96">
        <f t="shared" si="21"/>
        <v>14000</v>
      </c>
      <c r="AB331" s="97">
        <f t="shared" si="22"/>
        <v>0</v>
      </c>
      <c r="AC331" s="98">
        <f t="shared" si="23"/>
        <v>0</v>
      </c>
      <c r="AD331" s="99">
        <f t="shared" si="24"/>
        <v>0</v>
      </c>
    </row>
    <row r="332" spans="1:30" x14ac:dyDescent="0.25">
      <c r="A332" s="41"/>
      <c r="B332" s="41"/>
      <c r="C332" s="52" t="s">
        <v>486</v>
      </c>
      <c r="D332" s="52" t="s">
        <v>426</v>
      </c>
      <c r="E332" s="52" t="s">
        <v>427</v>
      </c>
      <c r="F332" s="41"/>
      <c r="G332" s="41"/>
      <c r="H332" s="41"/>
      <c r="I332" s="41"/>
      <c r="J332" s="53" t="s">
        <v>33</v>
      </c>
      <c r="K332" s="53" t="s">
        <v>17</v>
      </c>
      <c r="L332" s="73">
        <v>1</v>
      </c>
      <c r="M332" s="74">
        <v>145000</v>
      </c>
      <c r="N332" s="74">
        <v>145000</v>
      </c>
      <c r="U332" s="41" t="str">
        <f>VLOOKUP(J332,Sheet1!$A$2:$D$200,4,0)</f>
        <v>NL300113</v>
      </c>
      <c r="V332" s="41" t="str">
        <f>VLOOKUP(U332,Sheet1!$D$2:$E$200,2,0)</f>
        <v>Ớt hiểm đỏ</v>
      </c>
      <c r="W332" s="94" t="str">
        <f t="shared" si="25"/>
        <v>111NL300113</v>
      </c>
      <c r="X332" s="94" t="str">
        <f>COUNTIF($R$15:W332,W332)&amp;W332</f>
        <v>1111NL300113</v>
      </c>
      <c r="Y332" s="95">
        <f>IFERROR(VLOOKUP(X332,FAST!$B$7:$M$9722,12,0),"0")</f>
        <v>1</v>
      </c>
      <c r="Z332" s="95">
        <f>IFERROR(VLOOKUP(X332,FAST!$B$7:$N$9722,13,0),"0")</f>
        <v>145000</v>
      </c>
      <c r="AA332" s="96">
        <f t="shared" si="21"/>
        <v>145000</v>
      </c>
      <c r="AB332" s="97">
        <f t="shared" si="22"/>
        <v>0</v>
      </c>
      <c r="AC332" s="98">
        <f t="shared" si="23"/>
        <v>0</v>
      </c>
      <c r="AD332" s="99">
        <f t="shared" si="24"/>
        <v>0</v>
      </c>
    </row>
    <row r="333" spans="1:30" s="137" customFormat="1" x14ac:dyDescent="0.25">
      <c r="A333" s="132"/>
      <c r="B333" s="132"/>
      <c r="C333" s="133" t="s">
        <v>486</v>
      </c>
      <c r="D333" s="133" t="s">
        <v>426</v>
      </c>
      <c r="E333" s="133" t="s">
        <v>427</v>
      </c>
      <c r="F333" s="132"/>
      <c r="G333" s="132"/>
      <c r="H333" s="132"/>
      <c r="I333" s="132"/>
      <c r="J333" s="134" t="s">
        <v>51</v>
      </c>
      <c r="K333" s="134" t="s">
        <v>17</v>
      </c>
      <c r="L333" s="135">
        <v>0.2</v>
      </c>
      <c r="M333" s="136">
        <v>148000</v>
      </c>
      <c r="N333" s="136">
        <v>29600</v>
      </c>
      <c r="U333" s="41" t="str">
        <f>VLOOKUP(J333,Sheet1!$A$2:$D$200,4,0)</f>
        <v>NL300116</v>
      </c>
      <c r="V333" s="41" t="str">
        <f>VLOOKUP(U333,Sheet1!$D$2:$E$200,2,0)</f>
        <v>Ớt sừng</v>
      </c>
      <c r="W333" s="94" t="str">
        <f t="shared" si="25"/>
        <v>111NL300116</v>
      </c>
      <c r="X333" s="94" t="str">
        <f>COUNTIF($R$15:W333,W333)&amp;W333</f>
        <v>1111NL300116</v>
      </c>
      <c r="Y333" s="95">
        <f>IFERROR(VLOOKUP(X333,FAST!$B$7:$M$9722,12,0),"0")</f>
        <v>0.2</v>
      </c>
      <c r="Z333" s="95">
        <f>IFERROR(VLOOKUP(X333,FAST!$B$7:$N$9722,13,0),"0")</f>
        <v>148000</v>
      </c>
      <c r="AA333" s="96">
        <f t="shared" si="21"/>
        <v>29600</v>
      </c>
      <c r="AB333" s="97">
        <f t="shared" si="22"/>
        <v>0</v>
      </c>
      <c r="AC333" s="98">
        <f t="shared" si="23"/>
        <v>0</v>
      </c>
      <c r="AD333" s="99">
        <f t="shared" si="24"/>
        <v>0</v>
      </c>
    </row>
    <row r="334" spans="1:30" x14ac:dyDescent="0.25">
      <c r="A334" s="41"/>
      <c r="B334" s="41"/>
      <c r="C334" s="52" t="s">
        <v>486</v>
      </c>
      <c r="D334" s="52" t="s">
        <v>426</v>
      </c>
      <c r="E334" s="52" t="s">
        <v>427</v>
      </c>
      <c r="F334" s="41"/>
      <c r="G334" s="41"/>
      <c r="H334" s="41"/>
      <c r="I334" s="41"/>
      <c r="J334" s="53" t="s">
        <v>48</v>
      </c>
      <c r="K334" s="53" t="s">
        <v>17</v>
      </c>
      <c r="L334" s="73">
        <v>1</v>
      </c>
      <c r="M334" s="74">
        <v>42000</v>
      </c>
      <c r="N334" s="74">
        <v>42000</v>
      </c>
      <c r="U334" s="41" t="str">
        <f>VLOOKUP(J334,Sheet1!$A$2:$D$200,4,0)</f>
        <v>NL300125</v>
      </c>
      <c r="V334" s="41" t="str">
        <f>VLOOKUP(U334,Sheet1!$D$2:$E$200,2,0)</f>
        <v>Rau má</v>
      </c>
      <c r="W334" s="94" t="str">
        <f t="shared" si="25"/>
        <v>111NL300125</v>
      </c>
      <c r="X334" s="94" t="str">
        <f>COUNTIF($R$15:W334,W334)&amp;W334</f>
        <v>1111NL300125</v>
      </c>
      <c r="Y334" s="95">
        <f>IFERROR(VLOOKUP(X334,FAST!$B$7:$M$9722,12,0),"0")</f>
        <v>1</v>
      </c>
      <c r="Z334" s="95">
        <f>IFERROR(VLOOKUP(X334,FAST!$B$7:$N$9722,13,0),"0")</f>
        <v>42000</v>
      </c>
      <c r="AA334" s="96">
        <f t="shared" si="21"/>
        <v>42000</v>
      </c>
      <c r="AB334" s="97">
        <f t="shared" si="22"/>
        <v>0</v>
      </c>
      <c r="AC334" s="98">
        <f t="shared" si="23"/>
        <v>0</v>
      </c>
      <c r="AD334" s="99">
        <f t="shared" si="24"/>
        <v>0</v>
      </c>
    </row>
    <row r="335" spans="1:30" x14ac:dyDescent="0.25">
      <c r="A335" s="41"/>
      <c r="B335" s="41"/>
      <c r="C335" s="52" t="s">
        <v>486</v>
      </c>
      <c r="D335" s="52" t="s">
        <v>426</v>
      </c>
      <c r="E335" s="52" t="s">
        <v>427</v>
      </c>
      <c r="F335" s="41"/>
      <c r="G335" s="41"/>
      <c r="H335" s="41"/>
      <c r="I335" s="41"/>
      <c r="J335" s="53" t="s">
        <v>35</v>
      </c>
      <c r="K335" s="53" t="s">
        <v>17</v>
      </c>
      <c r="L335" s="73">
        <v>0.2</v>
      </c>
      <c r="M335" s="74">
        <v>22000</v>
      </c>
      <c r="N335" s="74">
        <v>4400</v>
      </c>
      <c r="U335" s="41" t="str">
        <f>VLOOKUP(J335,Sheet1!$A$2:$D$200,4,0)</f>
        <v>NL300121</v>
      </c>
      <c r="V335" s="41" t="str">
        <f>VLOOKUP(U335,Sheet1!$D$2:$E$200,2,0)</f>
        <v>Rau răm</v>
      </c>
      <c r="W335" s="94" t="str">
        <f t="shared" si="25"/>
        <v>111NL300121</v>
      </c>
      <c r="X335" s="94" t="str">
        <f>COUNTIF($R$15:W335,W335)&amp;W335</f>
        <v>1111NL300121</v>
      </c>
      <c r="Y335" s="95">
        <f>IFERROR(VLOOKUP(X335,FAST!$B$7:$M$9722,12,0),"0")</f>
        <v>0.2</v>
      </c>
      <c r="Z335" s="95">
        <f>IFERROR(VLOOKUP(X335,FAST!$B$7:$N$9722,13,0),"0")</f>
        <v>22000</v>
      </c>
      <c r="AA335" s="96">
        <f t="shared" si="21"/>
        <v>4400</v>
      </c>
      <c r="AB335" s="97">
        <f t="shared" si="22"/>
        <v>0</v>
      </c>
      <c r="AC335" s="98">
        <f t="shared" si="23"/>
        <v>0</v>
      </c>
      <c r="AD335" s="99">
        <f t="shared" si="24"/>
        <v>0</v>
      </c>
    </row>
    <row r="336" spans="1:30" x14ac:dyDescent="0.25">
      <c r="A336" s="41"/>
      <c r="B336" s="41"/>
      <c r="C336" s="52" t="s">
        <v>486</v>
      </c>
      <c r="D336" s="52" t="s">
        <v>426</v>
      </c>
      <c r="E336" s="52" t="s">
        <v>427</v>
      </c>
      <c r="F336" s="41"/>
      <c r="G336" s="41"/>
      <c r="H336" s="41"/>
      <c r="I336" s="41"/>
      <c r="J336" s="53" t="s">
        <v>232</v>
      </c>
      <c r="K336" s="53" t="s">
        <v>17</v>
      </c>
      <c r="L336" s="73">
        <v>0.3</v>
      </c>
      <c r="M336" s="74">
        <v>36000</v>
      </c>
      <c r="N336" s="74">
        <v>10800</v>
      </c>
      <c r="U336" s="41" t="str">
        <f>VLOOKUP(J336,Sheet1!$A$2:$D$200,4,0)</f>
        <v>NL300140</v>
      </c>
      <c r="V336" s="41" t="str">
        <f>VLOOKUP(U336,Sheet1!$D$2:$E$200,2,0)</f>
        <v>Tía tô</v>
      </c>
      <c r="W336" s="94" t="str">
        <f t="shared" si="25"/>
        <v>111NL300140</v>
      </c>
      <c r="X336" s="94" t="str">
        <f>COUNTIF($R$15:W336,W336)&amp;W336</f>
        <v>1111NL300140</v>
      </c>
      <c r="Y336" s="95">
        <f>IFERROR(VLOOKUP(X336,FAST!$B$7:$M$9722,12,0),"0")</f>
        <v>0.3</v>
      </c>
      <c r="Z336" s="95">
        <f>IFERROR(VLOOKUP(X336,FAST!$B$7:$N$9722,13,0),"0")</f>
        <v>36000</v>
      </c>
      <c r="AA336" s="96">
        <f t="shared" ref="AA336:AA399" si="26">Y336*Z336</f>
        <v>10800</v>
      </c>
      <c r="AB336" s="97">
        <f t="shared" ref="AB336:AB399" si="27">Y336-L336</f>
        <v>0</v>
      </c>
      <c r="AC336" s="98">
        <f t="shared" ref="AC336:AC399" si="28">Z336-M336</f>
        <v>0</v>
      </c>
      <c r="AD336" s="99">
        <f t="shared" ref="AD336:AD399" si="29">AA336-N336</f>
        <v>0</v>
      </c>
    </row>
    <row r="337" spans="1:30" x14ac:dyDescent="0.25">
      <c r="A337" s="41"/>
      <c r="B337" s="41"/>
      <c r="C337" s="52" t="s">
        <v>486</v>
      </c>
      <c r="D337" s="52" t="s">
        <v>426</v>
      </c>
      <c r="E337" s="52" t="s">
        <v>427</v>
      </c>
      <c r="F337" s="41"/>
      <c r="G337" s="41"/>
      <c r="H337" s="41"/>
      <c r="I337" s="41"/>
      <c r="J337" s="41" t="s">
        <v>60</v>
      </c>
      <c r="K337" s="41" t="s">
        <v>17</v>
      </c>
      <c r="L337" s="73">
        <v>1</v>
      </c>
      <c r="M337" s="74">
        <v>21000</v>
      </c>
      <c r="N337" s="74">
        <v>21000</v>
      </c>
      <c r="U337" s="41" t="str">
        <f>VLOOKUP(J337,Sheet1!$A$2:$D$200,4,0)</f>
        <v>NL300119</v>
      </c>
      <c r="V337" s="41" t="str">
        <f>VLOOKUP(U337,Sheet1!$D$2:$E$200,2,0)</f>
        <v>Quất ( Tắc trái )</v>
      </c>
      <c r="W337" s="94" t="str">
        <f t="shared" si="25"/>
        <v>111NL300119</v>
      </c>
      <c r="X337" s="94" t="str">
        <f>COUNTIF($R$15:W337,W337)&amp;W337</f>
        <v>1111NL300119</v>
      </c>
      <c r="Y337" s="95">
        <f>IFERROR(VLOOKUP(X337,FAST!$B$7:$M$9722,12,0),"0")</f>
        <v>1</v>
      </c>
      <c r="Z337" s="95">
        <f>IFERROR(VLOOKUP(X337,FAST!$B$7:$N$9722,13,0),"0")</f>
        <v>21000</v>
      </c>
      <c r="AA337" s="96">
        <f t="shared" si="26"/>
        <v>21000</v>
      </c>
      <c r="AB337" s="97">
        <f t="shared" si="27"/>
        <v>0</v>
      </c>
      <c r="AC337" s="98">
        <f t="shared" si="28"/>
        <v>0</v>
      </c>
      <c r="AD337" s="99">
        <f t="shared" si="29"/>
        <v>0</v>
      </c>
    </row>
    <row r="338" spans="1:30" x14ac:dyDescent="0.25">
      <c r="A338" s="41"/>
      <c r="B338" s="41"/>
      <c r="C338" s="52" t="s">
        <v>486</v>
      </c>
      <c r="D338" s="52" t="s">
        <v>426</v>
      </c>
      <c r="E338" s="52" t="s">
        <v>427</v>
      </c>
      <c r="F338" s="41"/>
      <c r="G338" s="41"/>
      <c r="H338" s="41"/>
      <c r="I338" s="41"/>
      <c r="J338" s="41" t="s">
        <v>52</v>
      </c>
      <c r="K338" s="41" t="s">
        <v>53</v>
      </c>
      <c r="L338" s="73">
        <v>30</v>
      </c>
      <c r="M338" s="74">
        <v>5000</v>
      </c>
      <c r="N338" s="74">
        <v>150000</v>
      </c>
      <c r="U338" s="41" t="str">
        <f>VLOOKUP(J338,Sheet1!$A$2:$D$200,4,0)</f>
        <v>NL100101</v>
      </c>
      <c r="V338" s="41" t="str">
        <f>VLOOKUP(U338,Sheet1!$D$2:$E$200,2,0)</f>
        <v>Trứng vịt muối</v>
      </c>
      <c r="W338" s="94" t="str">
        <f t="shared" si="25"/>
        <v>111NL100101</v>
      </c>
      <c r="X338" s="94" t="str">
        <f>COUNTIF($R$15:W338,W338)&amp;W338</f>
        <v>1111NL100101</v>
      </c>
      <c r="Y338" s="95">
        <f>IFERROR(VLOOKUP(X338,FAST!$B$7:$M$9722,12,0),"0")</f>
        <v>30</v>
      </c>
      <c r="Z338" s="95">
        <f>IFERROR(VLOOKUP(X338,FAST!$B$7:$N$9722,13,0),"0")</f>
        <v>5000</v>
      </c>
      <c r="AA338" s="96">
        <f t="shared" si="26"/>
        <v>150000</v>
      </c>
      <c r="AB338" s="97">
        <f t="shared" si="27"/>
        <v>0</v>
      </c>
      <c r="AC338" s="98">
        <f t="shared" si="28"/>
        <v>0</v>
      </c>
      <c r="AD338" s="99">
        <f t="shared" si="29"/>
        <v>0</v>
      </c>
    </row>
    <row r="339" spans="1:30" x14ac:dyDescent="0.25">
      <c r="A339" s="41"/>
      <c r="B339" s="41"/>
      <c r="C339" s="52" t="s">
        <v>486</v>
      </c>
      <c r="D339" s="52" t="s">
        <v>426</v>
      </c>
      <c r="E339" s="52" t="s">
        <v>427</v>
      </c>
      <c r="F339" s="41"/>
      <c r="G339" s="41"/>
      <c r="H339" s="41"/>
      <c r="I339" s="41"/>
      <c r="J339" s="41" t="s">
        <v>37</v>
      </c>
      <c r="K339" s="41" t="s">
        <v>17</v>
      </c>
      <c r="L339" s="73">
        <v>4</v>
      </c>
      <c r="M339" s="74">
        <v>62000</v>
      </c>
      <c r="N339" s="74">
        <v>248000</v>
      </c>
      <c r="U339" s="41" t="str">
        <f>VLOOKUP(J339,Sheet1!$A$2:$D$200,4,0)</f>
        <v>NL300147</v>
      </c>
      <c r="V339" s="41" t="str">
        <f>VLOOKUP(U339,Sheet1!$D$2:$E$200,2,0)</f>
        <v>Xà lách Roman</v>
      </c>
      <c r="W339" s="94" t="str">
        <f t="shared" si="25"/>
        <v>111NL300147</v>
      </c>
      <c r="X339" s="94" t="str">
        <f>COUNTIF($R$15:W339,W339)&amp;W339</f>
        <v>1111NL300147</v>
      </c>
      <c r="Y339" s="95">
        <f>IFERROR(VLOOKUP(X339,FAST!$B$7:$M$9722,12,0),"0")</f>
        <v>4</v>
      </c>
      <c r="Z339" s="95">
        <f>IFERROR(VLOOKUP(X339,FAST!$B$7:$N$9722,13,0),"0")</f>
        <v>62000</v>
      </c>
      <c r="AA339" s="96">
        <f t="shared" si="26"/>
        <v>248000</v>
      </c>
      <c r="AB339" s="97">
        <f t="shared" si="27"/>
        <v>0</v>
      </c>
      <c r="AC339" s="98">
        <f t="shared" si="28"/>
        <v>0</v>
      </c>
      <c r="AD339" s="99">
        <f t="shared" si="29"/>
        <v>0</v>
      </c>
    </row>
    <row r="340" spans="1:30" x14ac:dyDescent="0.25">
      <c r="A340" s="41"/>
      <c r="B340" s="41"/>
      <c r="C340" s="52" t="s">
        <v>486</v>
      </c>
      <c r="D340" s="52" t="s">
        <v>426</v>
      </c>
      <c r="E340" s="52" t="s">
        <v>427</v>
      </c>
      <c r="F340" s="41"/>
      <c r="G340" s="41"/>
      <c r="H340" s="41"/>
      <c r="I340" s="41"/>
      <c r="J340" s="41" t="s">
        <v>24</v>
      </c>
      <c r="K340" s="41" t="s">
        <v>17</v>
      </c>
      <c r="L340" s="73">
        <v>2</v>
      </c>
      <c r="M340" s="74">
        <v>30000</v>
      </c>
      <c r="N340" s="74">
        <v>60000</v>
      </c>
      <c r="U340" s="41" t="str">
        <f>VLOOKUP(J340,Sheet1!$A$2:$D$200,4,0)</f>
        <v>NL300020</v>
      </c>
      <c r="V340" s="41" t="str">
        <f>VLOOKUP(U340,Sheet1!$D$2:$E$200,2,0)</f>
        <v>Cải ngồng</v>
      </c>
      <c r="W340" s="94" t="str">
        <f t="shared" si="25"/>
        <v>111NL300020</v>
      </c>
      <c r="X340" s="94" t="str">
        <f>COUNTIF($R$15:W340,W340)&amp;W340</f>
        <v>2111NL300020</v>
      </c>
      <c r="Y340" s="95">
        <f>IFERROR(VLOOKUP(X340,FAST!$B$7:$M$9722,12,0),"0")</f>
        <v>2</v>
      </c>
      <c r="Z340" s="95">
        <f>IFERROR(VLOOKUP(X340,FAST!$B$7:$N$9722,13,0),"0")</f>
        <v>30000</v>
      </c>
      <c r="AA340" s="96">
        <f t="shared" si="26"/>
        <v>60000</v>
      </c>
      <c r="AB340" s="97">
        <f t="shared" si="27"/>
        <v>0</v>
      </c>
      <c r="AC340" s="98">
        <f t="shared" si="28"/>
        <v>0</v>
      </c>
      <c r="AD340" s="99">
        <f t="shared" si="29"/>
        <v>0</v>
      </c>
    </row>
    <row r="341" spans="1:30" x14ac:dyDescent="0.25">
      <c r="A341" s="41"/>
      <c r="B341" s="41"/>
      <c r="C341" s="52" t="s">
        <v>486</v>
      </c>
      <c r="D341" s="52" t="s">
        <v>426</v>
      </c>
      <c r="E341" s="52" t="s">
        <v>427</v>
      </c>
      <c r="F341" s="41"/>
      <c r="G341" s="41"/>
      <c r="H341" s="41"/>
      <c r="I341" s="41"/>
      <c r="J341" s="41" t="s">
        <v>40</v>
      </c>
      <c r="K341" s="41" t="s">
        <v>17</v>
      </c>
      <c r="L341" s="73">
        <v>2</v>
      </c>
      <c r="M341" s="74">
        <v>47000</v>
      </c>
      <c r="N341" s="74">
        <v>94000</v>
      </c>
      <c r="U341" s="41" t="str">
        <f>VLOOKUP(J341,Sheet1!$A$2:$D$200,4,0)</f>
        <v>NL300091</v>
      </c>
      <c r="V341" s="41" t="str">
        <f>VLOOKUP(U341,Sheet1!$D$2:$E$200,2,0)</f>
        <v>Nấm đùi gà</v>
      </c>
      <c r="W341" s="94" t="str">
        <f t="shared" si="25"/>
        <v>111NL300091</v>
      </c>
      <c r="X341" s="94" t="str">
        <f>COUNTIF($R$15:W341,W341)&amp;W341</f>
        <v>2111NL300091</v>
      </c>
      <c r="Y341" s="95">
        <f>IFERROR(VLOOKUP(X341,FAST!$B$7:$M$9722,12,0),"0")</f>
        <v>2</v>
      </c>
      <c r="Z341" s="95">
        <f>IFERROR(VLOOKUP(X341,FAST!$B$7:$N$9722,13,0),"0")</f>
        <v>47000</v>
      </c>
      <c r="AA341" s="96">
        <f t="shared" si="26"/>
        <v>94000</v>
      </c>
      <c r="AB341" s="97">
        <f t="shared" si="27"/>
        <v>0</v>
      </c>
      <c r="AC341" s="98">
        <f t="shared" si="28"/>
        <v>0</v>
      </c>
      <c r="AD341" s="99">
        <f t="shared" si="29"/>
        <v>0</v>
      </c>
    </row>
    <row r="342" spans="1:30" x14ac:dyDescent="0.25">
      <c r="A342" s="41"/>
      <c r="B342" s="41"/>
      <c r="C342" s="52" t="s">
        <v>486</v>
      </c>
      <c r="D342" s="52" t="s">
        <v>426</v>
      </c>
      <c r="E342" s="52" t="s">
        <v>427</v>
      </c>
      <c r="F342" s="41"/>
      <c r="G342" s="41"/>
      <c r="H342" s="41"/>
      <c r="I342" s="41"/>
      <c r="J342" s="41" t="s">
        <v>41</v>
      </c>
      <c r="K342" s="41" t="s">
        <v>17</v>
      </c>
      <c r="L342" s="73">
        <v>1</v>
      </c>
      <c r="M342" s="74">
        <v>45000</v>
      </c>
      <c r="N342" s="74">
        <v>45000</v>
      </c>
      <c r="U342" s="41" t="str">
        <f>VLOOKUP(J342,Sheet1!$A$2:$D$200,4,0)</f>
        <v>NL300096</v>
      </c>
      <c r="V342" s="41" t="str">
        <f>VLOOKUP(U342,Sheet1!$D$2:$E$200,2,0)</f>
        <v>Nấm kim châm tươi</v>
      </c>
      <c r="W342" s="94" t="str">
        <f t="shared" si="25"/>
        <v>111NL300096</v>
      </c>
      <c r="X342" s="94" t="str">
        <f>COUNTIF($R$15:W342,W342)&amp;W342</f>
        <v>1111NL300096</v>
      </c>
      <c r="Y342" s="95">
        <f>IFERROR(VLOOKUP(X342,FAST!$B$7:$M$9722,12,0),"0")</f>
        <v>1</v>
      </c>
      <c r="Z342" s="95">
        <f>IFERROR(VLOOKUP(X342,FAST!$B$7:$N$9722,13,0),"0")</f>
        <v>45000</v>
      </c>
      <c r="AA342" s="96">
        <f t="shared" si="26"/>
        <v>45000</v>
      </c>
      <c r="AB342" s="97">
        <f t="shared" si="27"/>
        <v>0</v>
      </c>
      <c r="AC342" s="98">
        <f t="shared" si="28"/>
        <v>0</v>
      </c>
      <c r="AD342" s="99">
        <f t="shared" si="29"/>
        <v>0</v>
      </c>
    </row>
    <row r="343" spans="1:30" x14ac:dyDescent="0.25">
      <c r="A343" s="41"/>
      <c r="B343" s="41"/>
      <c r="C343" s="52" t="s">
        <v>486</v>
      </c>
      <c r="D343" s="52" t="s">
        <v>426</v>
      </c>
      <c r="E343" s="52" t="s">
        <v>427</v>
      </c>
      <c r="F343" s="41"/>
      <c r="G343" s="41"/>
      <c r="H343" s="41"/>
      <c r="I343" s="41"/>
      <c r="J343" s="41" t="s">
        <v>60</v>
      </c>
      <c r="K343" s="41" t="s">
        <v>17</v>
      </c>
      <c r="L343" s="73">
        <v>1</v>
      </c>
      <c r="M343" s="74">
        <v>21000</v>
      </c>
      <c r="N343" s="74">
        <v>21000</v>
      </c>
      <c r="U343" s="41" t="str">
        <f>VLOOKUP(J343,Sheet1!$A$2:$D$200,4,0)</f>
        <v>NL300119</v>
      </c>
      <c r="V343" s="41" t="str">
        <f>VLOOKUP(U343,Sheet1!$D$2:$E$200,2,0)</f>
        <v>Quất ( Tắc trái )</v>
      </c>
      <c r="W343" s="94" t="str">
        <f t="shared" si="25"/>
        <v>111NL300119</v>
      </c>
      <c r="X343" s="94" t="str">
        <f>COUNTIF($R$15:W343,W343)&amp;W343</f>
        <v>2111NL300119</v>
      </c>
      <c r="Y343" s="95">
        <f>IFERROR(VLOOKUP(X343,FAST!$B$7:$M$9722,12,0),"0")</f>
        <v>1</v>
      </c>
      <c r="Z343" s="95">
        <f>IFERROR(VLOOKUP(X343,FAST!$B$7:$N$9722,13,0),"0")</f>
        <v>21000</v>
      </c>
      <c r="AA343" s="96">
        <f t="shared" si="26"/>
        <v>21000</v>
      </c>
      <c r="AB343" s="97">
        <f t="shared" si="27"/>
        <v>0</v>
      </c>
      <c r="AC343" s="98">
        <f t="shared" si="28"/>
        <v>0</v>
      </c>
      <c r="AD343" s="99">
        <f t="shared" si="29"/>
        <v>0</v>
      </c>
    </row>
    <row r="344" spans="1:30" x14ac:dyDescent="0.25">
      <c r="A344" s="41"/>
      <c r="B344" s="41"/>
      <c r="C344" s="52" t="s">
        <v>487</v>
      </c>
      <c r="D344" s="52" t="s">
        <v>426</v>
      </c>
      <c r="E344" s="52" t="s">
        <v>427</v>
      </c>
      <c r="F344" s="41"/>
      <c r="G344" s="41"/>
      <c r="H344" s="41"/>
      <c r="I344" s="41"/>
      <c r="J344" s="41" t="s">
        <v>54</v>
      </c>
      <c r="K344" s="41" t="s">
        <v>17</v>
      </c>
      <c r="L344" s="73">
        <v>1.5</v>
      </c>
      <c r="M344" s="74">
        <v>15000</v>
      </c>
      <c r="N344" s="74">
        <v>22500</v>
      </c>
      <c r="U344" s="41" t="str">
        <f>VLOOKUP(J344,Sheet1!$A$2:$D$200,4,0)</f>
        <v>NL300189</v>
      </c>
      <c r="V344" s="41" t="str">
        <f>VLOOKUP(U344,Sheet1!$D$2:$E$200,2,0)</f>
        <v>Bánh ướt</v>
      </c>
      <c r="W344" s="94" t="str">
        <f t="shared" ref="W344:W407" si="30">DAY(C344)&amp;MONTH(C344)&amp;U344</f>
        <v>121NL300189</v>
      </c>
      <c r="X344" s="94" t="str">
        <f>COUNTIF($R$15:W344,W344)&amp;W344</f>
        <v>1121NL300189</v>
      </c>
      <c r="Y344" s="95">
        <f>IFERROR(VLOOKUP(X344,FAST!$B$7:$M$9722,12,0),"0")</f>
        <v>1.5</v>
      </c>
      <c r="Z344" s="95">
        <f>IFERROR(VLOOKUP(X344,FAST!$B$7:$N$9722,13,0),"0")</f>
        <v>15000</v>
      </c>
      <c r="AA344" s="96">
        <f t="shared" si="26"/>
        <v>22500</v>
      </c>
      <c r="AB344" s="97">
        <f t="shared" si="27"/>
        <v>0</v>
      </c>
      <c r="AC344" s="98">
        <f t="shared" si="28"/>
        <v>0</v>
      </c>
      <c r="AD344" s="99">
        <f t="shared" si="29"/>
        <v>0</v>
      </c>
    </row>
    <row r="345" spans="1:30" x14ac:dyDescent="0.25">
      <c r="A345" s="41"/>
      <c r="B345" s="41"/>
      <c r="C345" s="52" t="s">
        <v>487</v>
      </c>
      <c r="D345" s="52" t="s">
        <v>426</v>
      </c>
      <c r="E345" s="52" t="s">
        <v>427</v>
      </c>
      <c r="F345" s="41"/>
      <c r="G345" s="41"/>
      <c r="H345" s="41"/>
      <c r="I345" s="41"/>
      <c r="J345" s="41" t="s">
        <v>16</v>
      </c>
      <c r="K345" s="41" t="s">
        <v>17</v>
      </c>
      <c r="L345" s="73">
        <v>1.5</v>
      </c>
      <c r="M345" s="74">
        <v>19000</v>
      </c>
      <c r="N345" s="74">
        <v>28500</v>
      </c>
      <c r="U345" s="41" t="str">
        <f>VLOOKUP(J345,Sheet1!$A$2:$D$200,4,0)</f>
        <v>NL300004</v>
      </c>
      <c r="V345" s="41" t="str">
        <f>VLOOKUP(U345,Sheet1!$D$2:$E$200,2,0)</f>
        <v>Bắp cải trắng</v>
      </c>
      <c r="W345" s="94" t="str">
        <f t="shared" si="30"/>
        <v>121NL300004</v>
      </c>
      <c r="X345" s="94" t="str">
        <f>COUNTIF($R$15:W345,W345)&amp;W345</f>
        <v>1121NL300004</v>
      </c>
      <c r="Y345" s="95">
        <f>IFERROR(VLOOKUP(X345,FAST!$B$7:$M$9722,12,0),"0")</f>
        <v>1.5</v>
      </c>
      <c r="Z345" s="95">
        <f>IFERROR(VLOOKUP(X345,FAST!$B$7:$N$9722,13,0),"0")</f>
        <v>19000</v>
      </c>
      <c r="AA345" s="96">
        <f t="shared" si="26"/>
        <v>28500</v>
      </c>
      <c r="AB345" s="97">
        <f t="shared" si="27"/>
        <v>0</v>
      </c>
      <c r="AC345" s="98">
        <f t="shared" si="28"/>
        <v>0</v>
      </c>
      <c r="AD345" s="99">
        <f t="shared" si="29"/>
        <v>0</v>
      </c>
    </row>
    <row r="346" spans="1:30" x14ac:dyDescent="0.25">
      <c r="A346" s="41"/>
      <c r="B346" s="41"/>
      <c r="C346" s="52" t="s">
        <v>487</v>
      </c>
      <c r="D346" s="52" t="s">
        <v>426</v>
      </c>
      <c r="E346" s="52" t="s">
        <v>427</v>
      </c>
      <c r="F346" s="41"/>
      <c r="G346" s="41"/>
      <c r="H346" s="41"/>
      <c r="I346" s="41"/>
      <c r="J346" s="41" t="s">
        <v>20</v>
      </c>
      <c r="K346" s="41" t="s">
        <v>21</v>
      </c>
      <c r="L346" s="73">
        <v>8</v>
      </c>
      <c r="M346" s="74">
        <v>8500</v>
      </c>
      <c r="N346" s="74">
        <v>68000</v>
      </c>
      <c r="U346" s="41" t="str">
        <f>VLOOKUP(J346,Sheet1!$A$2:$D$200,4,0)</f>
        <v>NL300107</v>
      </c>
      <c r="V346" s="41" t="str">
        <f>VLOOKUP(U346,Sheet1!$D$2:$E$200,2,0)</f>
        <v>Ngô ngọt ( Bắp trái)</v>
      </c>
      <c r="W346" s="94" t="str">
        <f t="shared" si="30"/>
        <v>121NL300107</v>
      </c>
      <c r="X346" s="94" t="str">
        <f>COUNTIF($R$15:W346,W346)&amp;W346</f>
        <v>1121NL300107</v>
      </c>
      <c r="Y346" s="95">
        <f>IFERROR(VLOOKUP(X346,FAST!$B$7:$M$9722,12,0),"0")</f>
        <v>8</v>
      </c>
      <c r="Z346" s="95">
        <f>IFERROR(VLOOKUP(X346,FAST!$B$7:$N$9722,13,0),"0")</f>
        <v>8500</v>
      </c>
      <c r="AA346" s="96">
        <f t="shared" si="26"/>
        <v>68000</v>
      </c>
      <c r="AB346" s="97">
        <f t="shared" si="27"/>
        <v>0</v>
      </c>
      <c r="AC346" s="98">
        <f t="shared" si="28"/>
        <v>0</v>
      </c>
      <c r="AD346" s="99">
        <f t="shared" si="29"/>
        <v>0</v>
      </c>
    </row>
    <row r="347" spans="1:30" x14ac:dyDescent="0.25">
      <c r="A347" s="41"/>
      <c r="B347" s="41"/>
      <c r="C347" s="52" t="s">
        <v>487</v>
      </c>
      <c r="D347" s="52" t="s">
        <v>426</v>
      </c>
      <c r="E347" s="52" t="s">
        <v>427</v>
      </c>
      <c r="F347" s="41"/>
      <c r="G347" s="41"/>
      <c r="H347" s="41"/>
      <c r="I347" s="41"/>
      <c r="J347" s="41" t="s">
        <v>22</v>
      </c>
      <c r="K347" s="41" t="s">
        <v>17</v>
      </c>
      <c r="L347" s="73">
        <v>3</v>
      </c>
      <c r="M347" s="74">
        <v>30000</v>
      </c>
      <c r="N347" s="74">
        <v>90000</v>
      </c>
      <c r="U347" s="41" t="str">
        <f>VLOOKUP(J347,Sheet1!$A$2:$D$200,4,0)</f>
        <v>NL300007</v>
      </c>
      <c r="V347" s="41" t="str">
        <f>VLOOKUP(U347,Sheet1!$D$2:$E$200,2,0)</f>
        <v>Bí đỏ</v>
      </c>
      <c r="W347" s="94" t="str">
        <f t="shared" si="30"/>
        <v>121NL300007</v>
      </c>
      <c r="X347" s="94" t="str">
        <f>COUNTIF($R$15:W347,W347)&amp;W347</f>
        <v>1121NL300007</v>
      </c>
      <c r="Y347" s="95">
        <f>IFERROR(VLOOKUP(X347,FAST!$B$7:$M$9722,12,0),"0")</f>
        <v>3</v>
      </c>
      <c r="Z347" s="95">
        <f>IFERROR(VLOOKUP(X347,FAST!$B$7:$N$9722,13,0),"0")</f>
        <v>30000</v>
      </c>
      <c r="AA347" s="96">
        <f t="shared" si="26"/>
        <v>90000</v>
      </c>
      <c r="AB347" s="97">
        <f t="shared" si="27"/>
        <v>0</v>
      </c>
      <c r="AC347" s="98">
        <f t="shared" si="28"/>
        <v>0</v>
      </c>
      <c r="AD347" s="99">
        <f t="shared" si="29"/>
        <v>0</v>
      </c>
    </row>
    <row r="348" spans="1:30" x14ac:dyDescent="0.25">
      <c r="A348" s="41"/>
      <c r="B348" s="41"/>
      <c r="C348" s="52" t="s">
        <v>487</v>
      </c>
      <c r="D348" s="52" t="s">
        <v>426</v>
      </c>
      <c r="E348" s="52" t="s">
        <v>427</v>
      </c>
      <c r="F348" s="41"/>
      <c r="G348" s="41"/>
      <c r="H348" s="41"/>
      <c r="I348" s="41"/>
      <c r="J348" s="41" t="s">
        <v>23</v>
      </c>
      <c r="K348" s="41" t="s">
        <v>17</v>
      </c>
      <c r="L348" s="73">
        <v>5</v>
      </c>
      <c r="M348" s="74">
        <v>40000</v>
      </c>
      <c r="N348" s="74">
        <v>200000</v>
      </c>
      <c r="U348" s="41" t="str">
        <f>VLOOKUP(J348,Sheet1!$A$2:$D$200,4,0)</f>
        <v>NL300008</v>
      </c>
      <c r="V348" s="41" t="str">
        <f>VLOOKUP(U348,Sheet1!$D$2:$E$200,2,0)</f>
        <v>Bí ngòi</v>
      </c>
      <c r="W348" s="94" t="str">
        <f t="shared" si="30"/>
        <v>121NL300008</v>
      </c>
      <c r="X348" s="94" t="str">
        <f>COUNTIF($R$15:W348,W348)&amp;W348</f>
        <v>1121NL300008</v>
      </c>
      <c r="Y348" s="95">
        <f>IFERROR(VLOOKUP(X348,FAST!$B$7:$M$9722,12,0),"0")</f>
        <v>5</v>
      </c>
      <c r="Z348" s="95">
        <f>IFERROR(VLOOKUP(X348,FAST!$B$7:$N$9722,13,0),"0")</f>
        <v>40000</v>
      </c>
      <c r="AA348" s="96">
        <f t="shared" si="26"/>
        <v>200000</v>
      </c>
      <c r="AB348" s="97">
        <f t="shared" si="27"/>
        <v>0</v>
      </c>
      <c r="AC348" s="98">
        <f t="shared" si="28"/>
        <v>0</v>
      </c>
      <c r="AD348" s="99">
        <f t="shared" si="29"/>
        <v>0</v>
      </c>
    </row>
    <row r="349" spans="1:30" x14ac:dyDescent="0.25">
      <c r="A349" s="41"/>
      <c r="B349" s="41"/>
      <c r="C349" s="52" t="s">
        <v>487</v>
      </c>
      <c r="D349" s="52" t="s">
        <v>426</v>
      </c>
      <c r="E349" s="52" t="s">
        <v>427</v>
      </c>
      <c r="F349" s="41"/>
      <c r="G349" s="41"/>
      <c r="H349" s="41"/>
      <c r="I349" s="41"/>
      <c r="J349" s="41" t="s">
        <v>50</v>
      </c>
      <c r="K349" s="41" t="s">
        <v>17</v>
      </c>
      <c r="L349" s="73">
        <v>2</v>
      </c>
      <c r="M349" s="74">
        <v>52000</v>
      </c>
      <c r="N349" s="74">
        <v>104000</v>
      </c>
      <c r="U349" s="41" t="str">
        <f>VLOOKUP(J349,Sheet1!$A$2:$D$200,4,0)</f>
        <v>NL300137</v>
      </c>
      <c r="V349" s="41" t="str">
        <f>VLOOKUP(U349,Sheet1!$D$2:$E$200,2,0)</f>
        <v>Súp lơ xanh</v>
      </c>
      <c r="W349" s="94" t="str">
        <f t="shared" si="30"/>
        <v>121NL300137</v>
      </c>
      <c r="X349" s="94" t="str">
        <f>COUNTIF($R$15:W349,W349)&amp;W349</f>
        <v>1121NL300137</v>
      </c>
      <c r="Y349" s="95">
        <f>IFERROR(VLOOKUP(X349,FAST!$B$7:$M$9722,12,0),"0")</f>
        <v>2</v>
      </c>
      <c r="Z349" s="95">
        <f>IFERROR(VLOOKUP(X349,FAST!$B$7:$N$9722,13,0),"0")</f>
        <v>52000</v>
      </c>
      <c r="AA349" s="96">
        <f t="shared" si="26"/>
        <v>104000</v>
      </c>
      <c r="AB349" s="97">
        <f t="shared" si="27"/>
        <v>0</v>
      </c>
      <c r="AC349" s="98">
        <f t="shared" si="28"/>
        <v>0</v>
      </c>
      <c r="AD349" s="99">
        <f t="shared" si="29"/>
        <v>0</v>
      </c>
    </row>
    <row r="350" spans="1:30" x14ac:dyDescent="0.25">
      <c r="A350" s="41"/>
      <c r="B350" s="41"/>
      <c r="C350" s="52" t="s">
        <v>487</v>
      </c>
      <c r="D350" s="52" t="s">
        <v>426</v>
      </c>
      <c r="E350" s="52" t="s">
        <v>427</v>
      </c>
      <c r="F350" s="41"/>
      <c r="G350" s="41"/>
      <c r="H350" s="41"/>
      <c r="I350" s="41"/>
      <c r="J350" s="41" t="s">
        <v>70</v>
      </c>
      <c r="K350" s="41" t="s">
        <v>17</v>
      </c>
      <c r="L350" s="73">
        <v>0.5</v>
      </c>
      <c r="M350" s="74">
        <v>75000</v>
      </c>
      <c r="N350" s="74">
        <v>37500</v>
      </c>
      <c r="U350" s="41" t="str">
        <f>VLOOKUP(J350,Sheet1!$A$2:$D$200,4,0)</f>
        <v>NL300028</v>
      </c>
      <c r="V350" s="41" t="str">
        <f>VLOOKUP(U350,Sheet1!$D$2:$E$200,2,0)</f>
        <v>Cà rốt baby</v>
      </c>
      <c r="W350" s="94" t="str">
        <f t="shared" si="30"/>
        <v>121NL300028</v>
      </c>
      <c r="X350" s="94" t="str">
        <f>COUNTIF($R$15:W350,W350)&amp;W350</f>
        <v>1121NL300028</v>
      </c>
      <c r="Y350" s="95">
        <f>IFERROR(VLOOKUP(X350,FAST!$B$7:$M$9722,12,0),"0")</f>
        <v>0.5</v>
      </c>
      <c r="Z350" s="95">
        <f>IFERROR(VLOOKUP(X350,FAST!$B$7:$N$9722,13,0),"0")</f>
        <v>75000</v>
      </c>
      <c r="AA350" s="96">
        <f t="shared" si="26"/>
        <v>37500</v>
      </c>
      <c r="AB350" s="97">
        <f t="shared" si="27"/>
        <v>0</v>
      </c>
      <c r="AC350" s="98">
        <f t="shared" si="28"/>
        <v>0</v>
      </c>
      <c r="AD350" s="99">
        <f t="shared" si="29"/>
        <v>0</v>
      </c>
    </row>
    <row r="351" spans="1:30" x14ac:dyDescent="0.25">
      <c r="A351" s="41"/>
      <c r="B351" s="41"/>
      <c r="C351" s="52" t="s">
        <v>487</v>
      </c>
      <c r="D351" s="52" t="s">
        <v>426</v>
      </c>
      <c r="E351" s="52" t="s">
        <v>427</v>
      </c>
      <c r="F351" s="41"/>
      <c r="G351" s="41"/>
      <c r="H351" s="41"/>
      <c r="I351" s="41"/>
      <c r="J351" s="41" t="s">
        <v>24</v>
      </c>
      <c r="K351" s="41" t="s">
        <v>17</v>
      </c>
      <c r="L351" s="73">
        <v>1</v>
      </c>
      <c r="M351" s="74">
        <v>30000</v>
      </c>
      <c r="N351" s="74">
        <v>30000</v>
      </c>
      <c r="U351" s="41" t="str">
        <f>VLOOKUP(J351,Sheet1!$A$2:$D$200,4,0)</f>
        <v>NL300020</v>
      </c>
      <c r="V351" s="41" t="str">
        <f>VLOOKUP(U351,Sheet1!$D$2:$E$200,2,0)</f>
        <v>Cải ngồng</v>
      </c>
      <c r="W351" s="94" t="str">
        <f t="shared" si="30"/>
        <v>121NL300020</v>
      </c>
      <c r="X351" s="94" t="str">
        <f>COUNTIF($R$15:W351,W351)&amp;W351</f>
        <v>1121NL300020</v>
      </c>
      <c r="Y351" s="95">
        <f>IFERROR(VLOOKUP(X351,FAST!$B$7:$M$9722,12,0),"0")</f>
        <v>1</v>
      </c>
      <c r="Z351" s="95">
        <f>IFERROR(VLOOKUP(X351,FAST!$B$7:$N$9722,13,0),"0")</f>
        <v>30000</v>
      </c>
      <c r="AA351" s="96">
        <f t="shared" si="26"/>
        <v>30000</v>
      </c>
      <c r="AB351" s="97">
        <f t="shared" si="27"/>
        <v>0</v>
      </c>
      <c r="AC351" s="98">
        <f t="shared" si="28"/>
        <v>0</v>
      </c>
      <c r="AD351" s="99">
        <f t="shared" si="29"/>
        <v>0</v>
      </c>
    </row>
    <row r="352" spans="1:30" x14ac:dyDescent="0.25">
      <c r="A352" s="41"/>
      <c r="B352" s="41"/>
      <c r="C352" s="52" t="s">
        <v>487</v>
      </c>
      <c r="D352" s="52" t="s">
        <v>426</v>
      </c>
      <c r="E352" s="52" t="s">
        <v>427</v>
      </c>
      <c r="F352" s="41"/>
      <c r="G352" s="41"/>
      <c r="H352" s="41"/>
      <c r="I352" s="41"/>
      <c r="J352" s="41" t="s">
        <v>25</v>
      </c>
      <c r="K352" s="41" t="s">
        <v>17</v>
      </c>
      <c r="L352" s="73">
        <v>0.9</v>
      </c>
      <c r="M352" s="74">
        <v>44000</v>
      </c>
      <c r="N352" s="74">
        <v>39600</v>
      </c>
      <c r="U352" s="41" t="str">
        <f>VLOOKUP(J352,Sheet1!$A$2:$D$200,4,0)</f>
        <v>NL300025</v>
      </c>
      <c r="V352" s="41" t="str">
        <f>VLOOKUP(U352,Sheet1!$D$2:$E$200,2,0)</f>
        <v>Rau cần tây</v>
      </c>
      <c r="W352" s="94" t="str">
        <f t="shared" si="30"/>
        <v>121NL300025</v>
      </c>
      <c r="X352" s="94" t="str">
        <f>COUNTIF($R$15:W352,W352)&amp;W352</f>
        <v>1121NL300025</v>
      </c>
      <c r="Y352" s="95">
        <f>IFERROR(VLOOKUP(X352,FAST!$B$7:$M$9722,12,0),"0")</f>
        <v>0.9</v>
      </c>
      <c r="Z352" s="95">
        <f>IFERROR(VLOOKUP(X352,FAST!$B$7:$N$9722,13,0),"0")</f>
        <v>44000</v>
      </c>
      <c r="AA352" s="96">
        <f t="shared" si="26"/>
        <v>39600</v>
      </c>
      <c r="AB352" s="97">
        <f t="shared" si="27"/>
        <v>0</v>
      </c>
      <c r="AC352" s="98">
        <f t="shared" si="28"/>
        <v>0</v>
      </c>
      <c r="AD352" s="99">
        <f t="shared" si="29"/>
        <v>0</v>
      </c>
    </row>
    <row r="353" spans="1:30" x14ac:dyDescent="0.25">
      <c r="A353" s="41"/>
      <c r="B353" s="41"/>
      <c r="C353" s="52" t="s">
        <v>487</v>
      </c>
      <c r="D353" s="52" t="s">
        <v>426</v>
      </c>
      <c r="E353" s="52" t="s">
        <v>427</v>
      </c>
      <c r="F353" s="41"/>
      <c r="G353" s="41"/>
      <c r="H353" s="41"/>
      <c r="I353" s="41"/>
      <c r="J353" s="41" t="s">
        <v>56</v>
      </c>
      <c r="K353" s="41" t="s">
        <v>17</v>
      </c>
      <c r="L353" s="73">
        <v>1.1000000000000001</v>
      </c>
      <c r="M353" s="74">
        <v>38000</v>
      </c>
      <c r="N353" s="74">
        <v>41800</v>
      </c>
      <c r="U353" s="41" t="str">
        <f>VLOOKUP(J353,Sheet1!$A$2:$D$200,4,0)</f>
        <v>NL300054</v>
      </c>
      <c r="V353" s="41" t="str">
        <f>VLOOKUP(U353,Sheet1!$D$2:$E$200,2,0)</f>
        <v>Gừng tàu</v>
      </c>
      <c r="W353" s="94" t="str">
        <f t="shared" si="30"/>
        <v>121NL300054</v>
      </c>
      <c r="X353" s="94" t="str">
        <f>COUNTIF($R$15:W353,W353)&amp;W353</f>
        <v>1121NL300054</v>
      </c>
      <c r="Y353" s="95">
        <f>IFERROR(VLOOKUP(X353,FAST!$B$7:$M$9722,12,0),"0")</f>
        <v>1.1000000000000001</v>
      </c>
      <c r="Z353" s="95">
        <f>IFERROR(VLOOKUP(X353,FAST!$B$7:$N$9722,13,0),"0")</f>
        <v>38000</v>
      </c>
      <c r="AA353" s="96">
        <f t="shared" si="26"/>
        <v>41800</v>
      </c>
      <c r="AB353" s="97">
        <f t="shared" si="27"/>
        <v>0</v>
      </c>
      <c r="AC353" s="98">
        <f t="shared" si="28"/>
        <v>0</v>
      </c>
      <c r="AD353" s="99">
        <f t="shared" si="29"/>
        <v>0</v>
      </c>
    </row>
    <row r="354" spans="1:30" x14ac:dyDescent="0.25">
      <c r="A354" s="41"/>
      <c r="B354" s="41"/>
      <c r="C354" s="52" t="s">
        <v>487</v>
      </c>
      <c r="D354" s="52" t="s">
        <v>426</v>
      </c>
      <c r="E354" s="52" t="s">
        <v>427</v>
      </c>
      <c r="F354" s="41"/>
      <c r="G354" s="41"/>
      <c r="H354" s="41"/>
      <c r="I354" s="41"/>
      <c r="J354" s="41" t="s">
        <v>26</v>
      </c>
      <c r="K354" s="41" t="s">
        <v>17</v>
      </c>
      <c r="L354" s="73">
        <v>0.2</v>
      </c>
      <c r="M354" s="74">
        <v>25000</v>
      </c>
      <c r="N354" s="74">
        <v>5000</v>
      </c>
      <c r="U354" s="41" t="str">
        <f>VLOOKUP(J354,Sheet1!$A$2:$D$200,4,0)</f>
        <v>NL300035</v>
      </c>
      <c r="V354" s="41" t="str">
        <f>VLOOKUP(U354,Sheet1!$D$2:$E$200,2,0)</f>
        <v>Củ riềng</v>
      </c>
      <c r="W354" s="94" t="str">
        <f t="shared" si="30"/>
        <v>121NL300035</v>
      </c>
      <c r="X354" s="94" t="str">
        <f>COUNTIF($R$15:W354,W354)&amp;W354</f>
        <v>1121NL300035</v>
      </c>
      <c r="Y354" s="95">
        <f>IFERROR(VLOOKUP(X354,FAST!$B$7:$M$9722,12,0),"0")</f>
        <v>0.2</v>
      </c>
      <c r="Z354" s="95">
        <f>IFERROR(VLOOKUP(X354,FAST!$B$7:$N$9722,13,0),"0")</f>
        <v>25000</v>
      </c>
      <c r="AA354" s="96">
        <f t="shared" si="26"/>
        <v>5000</v>
      </c>
      <c r="AB354" s="97">
        <f t="shared" si="27"/>
        <v>0</v>
      </c>
      <c r="AC354" s="98">
        <f t="shared" si="28"/>
        <v>0</v>
      </c>
      <c r="AD354" s="99">
        <f t="shared" si="29"/>
        <v>0</v>
      </c>
    </row>
    <row r="355" spans="1:30" x14ac:dyDescent="0.25">
      <c r="A355" s="41"/>
      <c r="B355" s="41"/>
      <c r="C355" s="52" t="s">
        <v>487</v>
      </c>
      <c r="D355" s="52" t="s">
        <v>426</v>
      </c>
      <c r="E355" s="52" t="s">
        <v>427</v>
      </c>
      <c r="F355" s="41"/>
      <c r="G355" s="41"/>
      <c r="H355" s="41"/>
      <c r="I355" s="41"/>
      <c r="J355" s="41" t="s">
        <v>27</v>
      </c>
      <c r="K355" s="41" t="s">
        <v>17</v>
      </c>
      <c r="L355" s="73">
        <v>0.5</v>
      </c>
      <c r="M355" s="74">
        <v>47000</v>
      </c>
      <c r="N355" s="74">
        <v>23500</v>
      </c>
      <c r="U355" s="41" t="str">
        <f>VLOOKUP(J355,Sheet1!$A$2:$D$200,4,0)</f>
        <v>NL300036</v>
      </c>
      <c r="V355" s="41" t="str">
        <f>VLOOKUP(U355,Sheet1!$D$2:$E$200,2,0)</f>
        <v>Củ sen</v>
      </c>
      <c r="W355" s="94" t="str">
        <f t="shared" si="30"/>
        <v>121NL300036</v>
      </c>
      <c r="X355" s="94" t="str">
        <f>COUNTIF($R$15:W355,W355)&amp;W355</f>
        <v>1121NL300036</v>
      </c>
      <c r="Y355" s="95">
        <f>IFERROR(VLOOKUP(X355,FAST!$B$7:$M$9722,12,0),"0")</f>
        <v>0.5</v>
      </c>
      <c r="Z355" s="95">
        <f>IFERROR(VLOOKUP(X355,FAST!$B$7:$N$9722,13,0),"0")</f>
        <v>47000</v>
      </c>
      <c r="AA355" s="96">
        <f t="shared" si="26"/>
        <v>23500</v>
      </c>
      <c r="AB355" s="97">
        <f t="shared" si="27"/>
        <v>0</v>
      </c>
      <c r="AC355" s="98">
        <f t="shared" si="28"/>
        <v>0</v>
      </c>
      <c r="AD355" s="99">
        <f t="shared" si="29"/>
        <v>0</v>
      </c>
    </row>
    <row r="356" spans="1:30" x14ac:dyDescent="0.25">
      <c r="A356" s="41"/>
      <c r="B356" s="41"/>
      <c r="C356" s="52" t="s">
        <v>487</v>
      </c>
      <c r="D356" s="52" t="s">
        <v>426</v>
      </c>
      <c r="E356" s="52" t="s">
        <v>427</v>
      </c>
      <c r="F356" s="41"/>
      <c r="G356" s="41"/>
      <c r="H356" s="41"/>
      <c r="I356" s="41"/>
      <c r="J356" s="41" t="s">
        <v>28</v>
      </c>
      <c r="K356" s="41" t="s">
        <v>17</v>
      </c>
      <c r="L356" s="73">
        <v>1.5</v>
      </c>
      <c r="M356" s="74">
        <v>32000</v>
      </c>
      <c r="N356" s="74">
        <v>48000</v>
      </c>
      <c r="U356" s="41" t="str">
        <f>VLOOKUP(J356,Sheet1!$A$2:$D$200,4,0)</f>
        <v>NL300038</v>
      </c>
      <c r="V356" s="41" t="str">
        <f>VLOOKUP(U356,Sheet1!$D$2:$E$200,2,0)</f>
        <v>Đậu bắp</v>
      </c>
      <c r="W356" s="94" t="str">
        <f t="shared" si="30"/>
        <v>121NL300038</v>
      </c>
      <c r="X356" s="94" t="str">
        <f>COUNTIF($R$15:W356,W356)&amp;W356</f>
        <v>1121NL300038</v>
      </c>
      <c r="Y356" s="95">
        <f>IFERROR(VLOOKUP(X356,FAST!$B$7:$M$9722,12,0),"0")</f>
        <v>1.5</v>
      </c>
      <c r="Z356" s="95">
        <f>IFERROR(VLOOKUP(X356,FAST!$B$7:$N$9722,13,0),"0")</f>
        <v>32000</v>
      </c>
      <c r="AA356" s="96">
        <f t="shared" si="26"/>
        <v>48000</v>
      </c>
      <c r="AB356" s="97">
        <f t="shared" si="27"/>
        <v>0</v>
      </c>
      <c r="AC356" s="98">
        <f t="shared" si="28"/>
        <v>0</v>
      </c>
      <c r="AD356" s="99">
        <f t="shared" si="29"/>
        <v>0</v>
      </c>
    </row>
    <row r="357" spans="1:30" x14ac:dyDescent="0.25">
      <c r="A357" s="41"/>
      <c r="B357" s="41"/>
      <c r="C357" s="52" t="s">
        <v>487</v>
      </c>
      <c r="D357" s="52" t="s">
        <v>426</v>
      </c>
      <c r="E357" s="52" t="s">
        <v>427</v>
      </c>
      <c r="F357" s="41"/>
      <c r="G357" s="41"/>
      <c r="H357" s="41"/>
      <c r="I357" s="41"/>
      <c r="J357" s="41" t="s">
        <v>47</v>
      </c>
      <c r="K357" s="41" t="s">
        <v>17</v>
      </c>
      <c r="L357" s="73">
        <v>13</v>
      </c>
      <c r="M357" s="74">
        <v>18000</v>
      </c>
      <c r="N357" s="74">
        <v>234000</v>
      </c>
      <c r="U357" s="41" t="str">
        <f>VLOOKUP(J357,Sheet1!$A$2:$D$200,4,0)</f>
        <v>NL600004</v>
      </c>
      <c r="V357" s="41" t="str">
        <f>VLOOKUP(U357,Sheet1!$D$2:$E$200,2,0)</f>
        <v>Dưa hấu</v>
      </c>
      <c r="W357" s="94" t="str">
        <f t="shared" si="30"/>
        <v>121NL600004</v>
      </c>
      <c r="X357" s="94" t="str">
        <f>COUNTIF($R$15:W357,W357)&amp;W357</f>
        <v>1121NL600004</v>
      </c>
      <c r="Y357" s="95">
        <f>IFERROR(VLOOKUP(X357,FAST!$B$7:$M$9722,12,0),"0")</f>
        <v>13</v>
      </c>
      <c r="Z357" s="95">
        <f>IFERROR(VLOOKUP(X357,FAST!$B$7:$N$9722,13,0),"0")</f>
        <v>18000</v>
      </c>
      <c r="AA357" s="96">
        <f t="shared" si="26"/>
        <v>234000</v>
      </c>
      <c r="AB357" s="97">
        <f t="shared" si="27"/>
        <v>0</v>
      </c>
      <c r="AC357" s="98">
        <f t="shared" si="28"/>
        <v>0</v>
      </c>
      <c r="AD357" s="99">
        <f t="shared" si="29"/>
        <v>0</v>
      </c>
    </row>
    <row r="358" spans="1:30" x14ac:dyDescent="0.25">
      <c r="A358" s="41"/>
      <c r="B358" s="41"/>
      <c r="C358" s="52" t="s">
        <v>487</v>
      </c>
      <c r="D358" s="52" t="s">
        <v>426</v>
      </c>
      <c r="E358" s="52" t="s">
        <v>427</v>
      </c>
      <c r="F358" s="41"/>
      <c r="G358" s="41"/>
      <c r="H358" s="41"/>
      <c r="I358" s="41"/>
      <c r="J358" s="41" t="s">
        <v>29</v>
      </c>
      <c r="K358" s="41" t="s">
        <v>17</v>
      </c>
      <c r="L358" s="73">
        <v>1.5</v>
      </c>
      <c r="M358" s="74">
        <v>55000</v>
      </c>
      <c r="N358" s="74">
        <v>82500</v>
      </c>
      <c r="U358" s="41" t="str">
        <f>VLOOKUP(J358,Sheet1!$A$2:$D$200,4,0)</f>
        <v>NL300058</v>
      </c>
      <c r="V358" s="41" t="str">
        <f>VLOOKUP(U358,Sheet1!$D$2:$E$200,2,0)</f>
        <v>Hành lá</v>
      </c>
      <c r="W358" s="94" t="str">
        <f t="shared" si="30"/>
        <v>121NL300058</v>
      </c>
      <c r="X358" s="94" t="str">
        <f>COUNTIF($R$15:W358,W358)&amp;W358</f>
        <v>1121NL300058</v>
      </c>
      <c r="Y358" s="95">
        <f>IFERROR(VLOOKUP(X358,FAST!$B$7:$M$9722,12,0),"0")</f>
        <v>1.5</v>
      </c>
      <c r="Z358" s="95">
        <f>IFERROR(VLOOKUP(X358,FAST!$B$7:$N$9722,13,0),"0")</f>
        <v>55000</v>
      </c>
      <c r="AA358" s="96">
        <f t="shared" si="26"/>
        <v>82500</v>
      </c>
      <c r="AB358" s="97">
        <f t="shared" si="27"/>
        <v>0</v>
      </c>
      <c r="AC358" s="98">
        <f t="shared" si="28"/>
        <v>0</v>
      </c>
      <c r="AD358" s="99">
        <f t="shared" si="29"/>
        <v>0</v>
      </c>
    </row>
    <row r="359" spans="1:30" x14ac:dyDescent="0.25">
      <c r="A359" s="41"/>
      <c r="B359" s="41"/>
      <c r="C359" s="52" t="s">
        <v>487</v>
      </c>
      <c r="D359" s="52" t="s">
        <v>426</v>
      </c>
      <c r="E359" s="52" t="s">
        <v>427</v>
      </c>
      <c r="F359" s="41"/>
      <c r="G359" s="41"/>
      <c r="H359" s="41"/>
      <c r="I359" s="41"/>
      <c r="J359" s="41" t="s">
        <v>57</v>
      </c>
      <c r="K359" s="41" t="s">
        <v>17</v>
      </c>
      <c r="L359" s="73">
        <v>0.7</v>
      </c>
      <c r="M359" s="74">
        <v>23000</v>
      </c>
      <c r="N359" s="74">
        <v>16099.999999999998</v>
      </c>
      <c r="U359" s="41" t="str">
        <f>VLOOKUP(J359,Sheet1!$A$2:$D$200,4,0)</f>
        <v>NL300070</v>
      </c>
      <c r="V359" s="41" t="str">
        <f>VLOOKUP(U359,Sheet1!$D$2:$E$200,2,0)</f>
        <v>Khoai lang Nhật</v>
      </c>
      <c r="W359" s="94" t="str">
        <f t="shared" si="30"/>
        <v>121NL300070</v>
      </c>
      <c r="X359" s="94" t="str">
        <f>COUNTIF($R$15:W359,W359)&amp;W359</f>
        <v>1121NL300070</v>
      </c>
      <c r="Y359" s="95">
        <f>IFERROR(VLOOKUP(X359,FAST!$B$7:$M$9722,12,0),"0")</f>
        <v>0.7</v>
      </c>
      <c r="Z359" s="95">
        <f>IFERROR(VLOOKUP(X359,FAST!$B$7:$N$9722,13,0),"0")</f>
        <v>23000</v>
      </c>
      <c r="AA359" s="96">
        <f t="shared" si="26"/>
        <v>16099.999999999998</v>
      </c>
      <c r="AB359" s="97">
        <f t="shared" si="27"/>
        <v>0</v>
      </c>
      <c r="AC359" s="98">
        <f t="shared" si="28"/>
        <v>0</v>
      </c>
      <c r="AD359" s="99">
        <f t="shared" si="29"/>
        <v>0</v>
      </c>
    </row>
    <row r="360" spans="1:30" x14ac:dyDescent="0.25">
      <c r="A360" s="41"/>
      <c r="B360" s="41"/>
      <c r="C360" s="52" t="s">
        <v>487</v>
      </c>
      <c r="D360" s="52" t="s">
        <v>426</v>
      </c>
      <c r="E360" s="52" t="s">
        <v>427</v>
      </c>
      <c r="F360" s="41"/>
      <c r="G360" s="41"/>
      <c r="H360" s="41"/>
      <c r="I360" s="41"/>
      <c r="J360" s="41" t="s">
        <v>31</v>
      </c>
      <c r="K360" s="41" t="s">
        <v>17</v>
      </c>
      <c r="L360" s="73">
        <v>3</v>
      </c>
      <c r="M360" s="74">
        <v>27000</v>
      </c>
      <c r="N360" s="74">
        <v>81000</v>
      </c>
      <c r="U360" s="41" t="str">
        <f>VLOOKUP(J360,Sheet1!$A$2:$D$200,4,0)</f>
        <v>NL300088</v>
      </c>
      <c r="V360" s="41" t="str">
        <f>VLOOKUP(U360,Sheet1!$D$2:$E$200,2,0)</f>
        <v>Mướp hương</v>
      </c>
      <c r="W360" s="94" t="str">
        <f t="shared" si="30"/>
        <v>121NL300088</v>
      </c>
      <c r="X360" s="94" t="str">
        <f>COUNTIF($R$15:W360,W360)&amp;W360</f>
        <v>1121NL300088</v>
      </c>
      <c r="Y360" s="95">
        <f>IFERROR(VLOOKUP(X360,FAST!$B$7:$M$9722,12,0),"0")</f>
        <v>3</v>
      </c>
      <c r="Z360" s="95">
        <f>IFERROR(VLOOKUP(X360,FAST!$B$7:$N$9722,13,0),"0")</f>
        <v>27000</v>
      </c>
      <c r="AA360" s="96">
        <f t="shared" si="26"/>
        <v>81000</v>
      </c>
      <c r="AB360" s="97">
        <f t="shared" si="27"/>
        <v>0</v>
      </c>
      <c r="AC360" s="98">
        <f t="shared" si="28"/>
        <v>0</v>
      </c>
      <c r="AD360" s="99">
        <f t="shared" si="29"/>
        <v>0</v>
      </c>
    </row>
    <row r="361" spans="1:30" x14ac:dyDescent="0.25">
      <c r="A361" s="41"/>
      <c r="B361" s="41"/>
      <c r="C361" s="52" t="s">
        <v>487</v>
      </c>
      <c r="D361" s="52" t="s">
        <v>426</v>
      </c>
      <c r="E361" s="52" t="s">
        <v>427</v>
      </c>
      <c r="F361" s="41"/>
      <c r="G361" s="41"/>
      <c r="H361" s="41"/>
      <c r="I361" s="41"/>
      <c r="J361" s="41" t="s">
        <v>40</v>
      </c>
      <c r="K361" s="41" t="s">
        <v>17</v>
      </c>
      <c r="L361" s="73">
        <v>1</v>
      </c>
      <c r="M361" s="74">
        <v>47000</v>
      </c>
      <c r="N361" s="74">
        <v>47000</v>
      </c>
      <c r="U361" s="41" t="str">
        <f>VLOOKUP(J361,Sheet1!$A$2:$D$200,4,0)</f>
        <v>NL300091</v>
      </c>
      <c r="V361" s="41" t="str">
        <f>VLOOKUP(U361,Sheet1!$D$2:$E$200,2,0)</f>
        <v>Nấm đùi gà</v>
      </c>
      <c r="W361" s="94" t="str">
        <f t="shared" si="30"/>
        <v>121NL300091</v>
      </c>
      <c r="X361" s="94" t="str">
        <f>COUNTIF($R$15:W361,W361)&amp;W361</f>
        <v>1121NL300091</v>
      </c>
      <c r="Y361" s="95">
        <f>IFERROR(VLOOKUP(X361,FAST!$B$7:$M$9722,12,0),"0")</f>
        <v>1</v>
      </c>
      <c r="Z361" s="95">
        <f>IFERROR(VLOOKUP(X361,FAST!$B$7:$N$9722,13,0),"0")</f>
        <v>47000</v>
      </c>
      <c r="AA361" s="96">
        <f t="shared" si="26"/>
        <v>47000</v>
      </c>
      <c r="AB361" s="97">
        <f t="shared" si="27"/>
        <v>0</v>
      </c>
      <c r="AC361" s="98">
        <f t="shared" si="28"/>
        <v>0</v>
      </c>
      <c r="AD361" s="99">
        <f t="shared" si="29"/>
        <v>0</v>
      </c>
    </row>
    <row r="362" spans="1:30" x14ac:dyDescent="0.25">
      <c r="A362" s="41"/>
      <c r="B362" s="41"/>
      <c r="C362" s="52" t="s">
        <v>487</v>
      </c>
      <c r="D362" s="52" t="s">
        <v>426</v>
      </c>
      <c r="E362" s="52" t="s">
        <v>427</v>
      </c>
      <c r="F362" s="41"/>
      <c r="G362" s="41"/>
      <c r="H362" s="41"/>
      <c r="I362" s="41"/>
      <c r="J362" s="41" t="s">
        <v>43</v>
      </c>
      <c r="K362" s="41" t="s">
        <v>17</v>
      </c>
      <c r="L362" s="73">
        <v>2</v>
      </c>
      <c r="M362" s="74">
        <v>90000</v>
      </c>
      <c r="N362" s="74">
        <v>180000</v>
      </c>
      <c r="U362" s="41" t="str">
        <f>VLOOKUP(J362,Sheet1!$A$2:$D$200,4,0)</f>
        <v>NL300092</v>
      </c>
      <c r="V362" s="41" t="str">
        <f>VLOOKUP(U362,Sheet1!$D$2:$E$200,2,0)</f>
        <v>Nấm đùi gà baby</v>
      </c>
      <c r="W362" s="94" t="str">
        <f t="shared" si="30"/>
        <v>121NL300092</v>
      </c>
      <c r="X362" s="94" t="str">
        <f>COUNTIF($R$15:W362,W362)&amp;W362</f>
        <v>1121NL300092</v>
      </c>
      <c r="Y362" s="95">
        <f>IFERROR(VLOOKUP(X362,FAST!$B$7:$M$9722,12,0),"0")</f>
        <v>2</v>
      </c>
      <c r="Z362" s="95">
        <f>IFERROR(VLOOKUP(X362,FAST!$B$7:$N$9722,13,0),"0")</f>
        <v>90000</v>
      </c>
      <c r="AA362" s="96">
        <f t="shared" si="26"/>
        <v>180000</v>
      </c>
      <c r="AB362" s="97">
        <f t="shared" si="27"/>
        <v>0</v>
      </c>
      <c r="AC362" s="98">
        <f t="shared" si="28"/>
        <v>0</v>
      </c>
      <c r="AD362" s="99">
        <f t="shared" si="29"/>
        <v>0</v>
      </c>
    </row>
    <row r="363" spans="1:30" x14ac:dyDescent="0.25">
      <c r="A363" s="41"/>
      <c r="B363" s="41"/>
      <c r="C363" s="52" t="s">
        <v>487</v>
      </c>
      <c r="D363" s="52" t="s">
        <v>426</v>
      </c>
      <c r="E363" s="52" t="s">
        <v>427</v>
      </c>
      <c r="F363" s="41"/>
      <c r="G363" s="41"/>
      <c r="H363" s="41"/>
      <c r="I363" s="41"/>
      <c r="J363" s="41" t="s">
        <v>67</v>
      </c>
      <c r="K363" s="41" t="s">
        <v>17</v>
      </c>
      <c r="L363" s="73">
        <v>1</v>
      </c>
      <c r="M363" s="74">
        <v>80000</v>
      </c>
      <c r="N363" s="74">
        <v>80000</v>
      </c>
      <c r="U363" s="41" t="str">
        <f>VLOOKUP(J363,Sheet1!$A$2:$D$200,4,0)</f>
        <v>NL300094</v>
      </c>
      <c r="V363" s="41" t="str">
        <f>VLOOKUP(U363,Sheet1!$D$2:$E$200,2,0)</f>
        <v>Nấm hải sản</v>
      </c>
      <c r="W363" s="94" t="str">
        <f t="shared" si="30"/>
        <v>121NL300094</v>
      </c>
      <c r="X363" s="94" t="str">
        <f>COUNTIF($R$15:W363,W363)&amp;W363</f>
        <v>1121NL300094</v>
      </c>
      <c r="Y363" s="95">
        <f>IFERROR(VLOOKUP(X363,FAST!$B$7:$M$9722,12,0),"0")</f>
        <v>1</v>
      </c>
      <c r="Z363" s="95">
        <f>IFERROR(VLOOKUP(X363,FAST!$B$7:$N$9722,13,0),"0")</f>
        <v>80000</v>
      </c>
      <c r="AA363" s="96">
        <f t="shared" si="26"/>
        <v>80000</v>
      </c>
      <c r="AB363" s="97">
        <f t="shared" si="27"/>
        <v>0</v>
      </c>
      <c r="AC363" s="98">
        <f t="shared" si="28"/>
        <v>0</v>
      </c>
      <c r="AD363" s="99">
        <f t="shared" si="29"/>
        <v>0</v>
      </c>
    </row>
    <row r="364" spans="1:30" x14ac:dyDescent="0.25">
      <c r="A364" s="41"/>
      <c r="B364" s="41"/>
      <c r="C364" s="52" t="s">
        <v>487</v>
      </c>
      <c r="D364" s="52" t="s">
        <v>426</v>
      </c>
      <c r="E364" s="52" t="s">
        <v>427</v>
      </c>
      <c r="F364" s="41"/>
      <c r="G364" s="41"/>
      <c r="H364" s="41"/>
      <c r="I364" s="41"/>
      <c r="J364" s="41" t="s">
        <v>41</v>
      </c>
      <c r="K364" s="41" t="s">
        <v>17</v>
      </c>
      <c r="L364" s="73">
        <v>2.5</v>
      </c>
      <c r="M364" s="74">
        <v>45000</v>
      </c>
      <c r="N364" s="74">
        <v>112500</v>
      </c>
      <c r="U364" s="41" t="str">
        <f>VLOOKUP(J364,Sheet1!$A$2:$D$200,4,0)</f>
        <v>NL300096</v>
      </c>
      <c r="V364" s="41" t="str">
        <f>VLOOKUP(U364,Sheet1!$D$2:$E$200,2,0)</f>
        <v>Nấm kim châm tươi</v>
      </c>
      <c r="W364" s="94" t="str">
        <f t="shared" si="30"/>
        <v>121NL300096</v>
      </c>
      <c r="X364" s="94" t="str">
        <f>COUNTIF($R$15:W364,W364)&amp;W364</f>
        <v>1121NL300096</v>
      </c>
      <c r="Y364" s="95">
        <f>IFERROR(VLOOKUP(X364,FAST!$B$7:$M$9722,12,0),"0")</f>
        <v>2.5</v>
      </c>
      <c r="Z364" s="95">
        <f>IFERROR(VLOOKUP(X364,FAST!$B$7:$N$9722,13,0),"0")</f>
        <v>45000</v>
      </c>
      <c r="AA364" s="96">
        <f t="shared" si="26"/>
        <v>112500</v>
      </c>
      <c r="AB364" s="97">
        <f t="shared" si="27"/>
        <v>0</v>
      </c>
      <c r="AC364" s="98">
        <f t="shared" si="28"/>
        <v>0</v>
      </c>
      <c r="AD364" s="99">
        <f t="shared" si="29"/>
        <v>0</v>
      </c>
    </row>
    <row r="365" spans="1:30" x14ac:dyDescent="0.25">
      <c r="A365" s="41"/>
      <c r="B365" s="41"/>
      <c r="C365" s="52" t="s">
        <v>487</v>
      </c>
      <c r="D365" s="52" t="s">
        <v>426</v>
      </c>
      <c r="E365" s="52" t="s">
        <v>427</v>
      </c>
      <c r="F365" s="41"/>
      <c r="G365" s="41"/>
      <c r="H365" s="41"/>
      <c r="I365" s="41"/>
      <c r="J365" s="41" t="s">
        <v>42</v>
      </c>
      <c r="K365" s="41" t="s">
        <v>17</v>
      </c>
      <c r="L365" s="73">
        <v>1</v>
      </c>
      <c r="M365" s="74">
        <v>90000</v>
      </c>
      <c r="N365" s="74">
        <v>90000</v>
      </c>
      <c r="U365" s="41" t="str">
        <f>VLOOKUP(J365,Sheet1!$A$2:$D$200,4,0)</f>
        <v>NL300097</v>
      </c>
      <c r="V365" s="41" t="str">
        <f>VLOOKUP(U365,Sheet1!$D$2:$E$200,2,0)</f>
        <v>Nấm Linh Chi nâu</v>
      </c>
      <c r="W365" s="94" t="str">
        <f t="shared" si="30"/>
        <v>121NL300097</v>
      </c>
      <c r="X365" s="94" t="str">
        <f>COUNTIF($R$15:W365,W365)&amp;W365</f>
        <v>1121NL300097</v>
      </c>
      <c r="Y365" s="95">
        <f>IFERROR(VLOOKUP(X365,FAST!$B$7:$M$9722,12,0),"0")</f>
        <v>1</v>
      </c>
      <c r="Z365" s="95">
        <f>IFERROR(VLOOKUP(X365,FAST!$B$7:$N$9722,13,0),"0")</f>
        <v>90000</v>
      </c>
      <c r="AA365" s="96">
        <f t="shared" si="26"/>
        <v>90000</v>
      </c>
      <c r="AB365" s="97">
        <f t="shared" si="27"/>
        <v>0</v>
      </c>
      <c r="AC365" s="98">
        <f t="shared" si="28"/>
        <v>0</v>
      </c>
      <c r="AD365" s="99">
        <f t="shared" si="29"/>
        <v>0</v>
      </c>
    </row>
    <row r="366" spans="1:30" x14ac:dyDescent="0.25">
      <c r="A366" s="41"/>
      <c r="B366" s="41"/>
      <c r="C366" s="52" t="s">
        <v>487</v>
      </c>
      <c r="D366" s="52" t="s">
        <v>426</v>
      </c>
      <c r="E366" s="52" t="s">
        <v>427</v>
      </c>
      <c r="F366" s="41"/>
      <c r="G366" s="41"/>
      <c r="H366" s="41"/>
      <c r="I366" s="41"/>
      <c r="J366" s="41" t="s">
        <v>65</v>
      </c>
      <c r="K366" s="41" t="s">
        <v>17</v>
      </c>
      <c r="L366" s="73">
        <v>0.5</v>
      </c>
      <c r="M366" s="74">
        <v>195000</v>
      </c>
      <c r="N366" s="74">
        <v>97500</v>
      </c>
      <c r="U366" s="41" t="str">
        <f>VLOOKUP(J366,Sheet1!$A$2:$D$200,4,0)</f>
        <v>NL300101</v>
      </c>
      <c r="V366" s="41" t="str">
        <f>VLOOKUP(U366,Sheet1!$D$2:$E$200,2,0)</f>
        <v>Nấm Mối</v>
      </c>
      <c r="W366" s="94" t="str">
        <f t="shared" si="30"/>
        <v>121NL300101</v>
      </c>
      <c r="X366" s="94" t="str">
        <f>COUNTIF($R$15:W366,W366)&amp;W366</f>
        <v>1121NL300101</v>
      </c>
      <c r="Y366" s="95">
        <f>IFERROR(VLOOKUP(X366,FAST!$B$7:$M$9722,12,0),"0")</f>
        <v>0.5</v>
      </c>
      <c r="Z366" s="95">
        <f>IFERROR(VLOOKUP(X366,FAST!$B$7:$N$9722,13,0),"0")</f>
        <v>195000</v>
      </c>
      <c r="AA366" s="96">
        <f t="shared" si="26"/>
        <v>97500</v>
      </c>
      <c r="AB366" s="97">
        <f t="shared" si="27"/>
        <v>0</v>
      </c>
      <c r="AC366" s="98">
        <f t="shared" si="28"/>
        <v>0</v>
      </c>
      <c r="AD366" s="99">
        <f t="shared" si="29"/>
        <v>0</v>
      </c>
    </row>
    <row r="367" spans="1:30" x14ac:dyDescent="0.25">
      <c r="A367" s="41"/>
      <c r="B367" s="41"/>
      <c r="C367" s="52" t="s">
        <v>487</v>
      </c>
      <c r="D367" s="52" t="s">
        <v>426</v>
      </c>
      <c r="E367" s="52" t="s">
        <v>427</v>
      </c>
      <c r="F367" s="41"/>
      <c r="G367" s="41"/>
      <c r="H367" s="41"/>
      <c r="I367" s="41"/>
      <c r="J367" s="41" t="s">
        <v>33</v>
      </c>
      <c r="K367" s="41" t="s">
        <v>17</v>
      </c>
      <c r="L367" s="73">
        <v>1</v>
      </c>
      <c r="M367" s="74">
        <v>145000</v>
      </c>
      <c r="N367" s="74">
        <v>145000</v>
      </c>
      <c r="U367" s="41" t="str">
        <f>VLOOKUP(J367,Sheet1!$A$2:$D$200,4,0)</f>
        <v>NL300113</v>
      </c>
      <c r="V367" s="41" t="str">
        <f>VLOOKUP(U367,Sheet1!$D$2:$E$200,2,0)</f>
        <v>Ớt hiểm đỏ</v>
      </c>
      <c r="W367" s="94" t="str">
        <f t="shared" si="30"/>
        <v>121NL300113</v>
      </c>
      <c r="X367" s="94" t="str">
        <f>COUNTIF($R$15:W367,W367)&amp;W367</f>
        <v>1121NL300113</v>
      </c>
      <c r="Y367" s="95">
        <f>IFERROR(VLOOKUP(X367,FAST!$B$7:$M$9722,12,0),"0")</f>
        <v>1</v>
      </c>
      <c r="Z367" s="95">
        <f>IFERROR(VLOOKUP(X367,FAST!$B$7:$N$9722,13,0),"0")</f>
        <v>145000</v>
      </c>
      <c r="AA367" s="96">
        <f t="shared" si="26"/>
        <v>145000</v>
      </c>
      <c r="AB367" s="97">
        <f t="shared" si="27"/>
        <v>0</v>
      </c>
      <c r="AC367" s="98">
        <f t="shared" si="28"/>
        <v>0</v>
      </c>
      <c r="AD367" s="99">
        <f t="shared" si="29"/>
        <v>0</v>
      </c>
    </row>
    <row r="368" spans="1:30" x14ac:dyDescent="0.25">
      <c r="A368" s="41"/>
      <c r="B368" s="41"/>
      <c r="C368" s="52" t="s">
        <v>487</v>
      </c>
      <c r="D368" s="52" t="s">
        <v>426</v>
      </c>
      <c r="E368" s="52" t="s">
        <v>427</v>
      </c>
      <c r="F368" s="41"/>
      <c r="G368" s="41"/>
      <c r="H368" s="41"/>
      <c r="I368" s="41"/>
      <c r="J368" s="41" t="s">
        <v>35</v>
      </c>
      <c r="K368" s="41" t="s">
        <v>17</v>
      </c>
      <c r="L368" s="73">
        <v>0.1</v>
      </c>
      <c r="M368" s="74">
        <v>22000</v>
      </c>
      <c r="N368" s="74">
        <v>2200</v>
      </c>
      <c r="U368" s="41" t="str">
        <f>VLOOKUP(J368,Sheet1!$A$2:$D$200,4,0)</f>
        <v>NL300121</v>
      </c>
      <c r="V368" s="41" t="str">
        <f>VLOOKUP(U368,Sheet1!$D$2:$E$200,2,0)</f>
        <v>Rau răm</v>
      </c>
      <c r="W368" s="94" t="str">
        <f t="shared" si="30"/>
        <v>121NL300121</v>
      </c>
      <c r="X368" s="94" t="str">
        <f>COUNTIF($R$15:W368,W368)&amp;W368</f>
        <v>1121NL300121</v>
      </c>
      <c r="Y368" s="95">
        <f>IFERROR(VLOOKUP(X368,FAST!$B$7:$M$9722,12,0),"0")</f>
        <v>0.1</v>
      </c>
      <c r="Z368" s="95">
        <f>IFERROR(VLOOKUP(X368,FAST!$B$7:$N$9722,13,0),"0")</f>
        <v>22000</v>
      </c>
      <c r="AA368" s="96">
        <f t="shared" si="26"/>
        <v>2200</v>
      </c>
      <c r="AB368" s="97">
        <f t="shared" si="27"/>
        <v>0</v>
      </c>
      <c r="AC368" s="98">
        <f t="shared" si="28"/>
        <v>0</v>
      </c>
      <c r="AD368" s="99">
        <f t="shared" si="29"/>
        <v>0</v>
      </c>
    </row>
    <row r="369" spans="1:30" x14ac:dyDescent="0.25">
      <c r="A369" s="41"/>
      <c r="B369" s="41"/>
      <c r="C369" s="52" t="s">
        <v>487</v>
      </c>
      <c r="D369" s="52" t="s">
        <v>426</v>
      </c>
      <c r="E369" s="52" t="s">
        <v>427</v>
      </c>
      <c r="F369" s="41"/>
      <c r="G369" s="41"/>
      <c r="H369" s="41"/>
      <c r="I369" s="41"/>
      <c r="J369" s="41" t="s">
        <v>232</v>
      </c>
      <c r="K369" s="41" t="s">
        <v>17</v>
      </c>
      <c r="L369" s="73">
        <v>0.2</v>
      </c>
      <c r="M369" s="74">
        <v>36000</v>
      </c>
      <c r="N369" s="74">
        <v>7200</v>
      </c>
      <c r="U369" s="41" t="str">
        <f>VLOOKUP(J369,Sheet1!$A$2:$D$200,4,0)</f>
        <v>NL300140</v>
      </c>
      <c r="V369" s="41" t="str">
        <f>VLOOKUP(U369,Sheet1!$D$2:$E$200,2,0)</f>
        <v>Tía tô</v>
      </c>
      <c r="W369" s="94" t="str">
        <f t="shared" si="30"/>
        <v>121NL300140</v>
      </c>
      <c r="X369" s="94" t="str">
        <f>COUNTIF($R$15:W369,W369)&amp;W369</f>
        <v>1121NL300140</v>
      </c>
      <c r="Y369" s="95">
        <f>IFERROR(VLOOKUP(X369,FAST!$B$7:$M$9722,12,0),"0")</f>
        <v>0.2</v>
      </c>
      <c r="Z369" s="95">
        <f>IFERROR(VLOOKUP(X369,FAST!$B$7:$N$9722,13,0),"0")</f>
        <v>36000</v>
      </c>
      <c r="AA369" s="96">
        <f t="shared" si="26"/>
        <v>7200</v>
      </c>
      <c r="AB369" s="97">
        <f t="shared" si="27"/>
        <v>0</v>
      </c>
      <c r="AC369" s="98">
        <f t="shared" si="28"/>
        <v>0</v>
      </c>
      <c r="AD369" s="99">
        <f t="shared" si="29"/>
        <v>0</v>
      </c>
    </row>
    <row r="370" spans="1:30" x14ac:dyDescent="0.25">
      <c r="A370" s="41"/>
      <c r="B370" s="41"/>
      <c r="C370" s="52" t="s">
        <v>487</v>
      </c>
      <c r="D370" s="52" t="s">
        <v>426</v>
      </c>
      <c r="E370" s="52" t="s">
        <v>427</v>
      </c>
      <c r="F370" s="41"/>
      <c r="G370" s="41"/>
      <c r="H370" s="41"/>
      <c r="I370" s="41"/>
      <c r="J370" s="41" t="s">
        <v>36</v>
      </c>
      <c r="K370" s="41" t="s">
        <v>17</v>
      </c>
      <c r="L370" s="73">
        <v>1</v>
      </c>
      <c r="M370" s="74">
        <v>12000</v>
      </c>
      <c r="N370" s="74">
        <v>12000</v>
      </c>
      <c r="U370" s="41" t="str">
        <f>VLOOKUP(J370,Sheet1!$A$2:$D$200,4,0)</f>
        <v>NL300132</v>
      </c>
      <c r="V370" s="41" t="str">
        <f>VLOOKUP(U370,Sheet1!$D$2:$E$200,2,0)</f>
        <v>Sả cây</v>
      </c>
      <c r="W370" s="94" t="str">
        <f t="shared" si="30"/>
        <v>121NL300132</v>
      </c>
      <c r="X370" s="94" t="str">
        <f>COUNTIF($R$15:W370,W370)&amp;W370</f>
        <v>1121NL300132</v>
      </c>
      <c r="Y370" s="95">
        <f>IFERROR(VLOOKUP(X370,FAST!$B$7:$M$9722,12,0),"0")</f>
        <v>1</v>
      </c>
      <c r="Z370" s="95">
        <f>IFERROR(VLOOKUP(X370,FAST!$B$7:$N$9722,13,0),"0")</f>
        <v>12000</v>
      </c>
      <c r="AA370" s="96">
        <f t="shared" si="26"/>
        <v>12000</v>
      </c>
      <c r="AB370" s="97">
        <f t="shared" si="27"/>
        <v>0</v>
      </c>
      <c r="AC370" s="98">
        <f t="shared" si="28"/>
        <v>0</v>
      </c>
      <c r="AD370" s="99">
        <f t="shared" si="29"/>
        <v>0</v>
      </c>
    </row>
    <row r="371" spans="1:30" x14ac:dyDescent="0.25">
      <c r="A371" s="41"/>
      <c r="B371" s="41"/>
      <c r="C371" s="52" t="s">
        <v>487</v>
      </c>
      <c r="D371" s="52" t="s">
        <v>426</v>
      </c>
      <c r="E371" s="52" t="s">
        <v>427</v>
      </c>
      <c r="F371" s="41"/>
      <c r="G371" s="41"/>
      <c r="H371" s="41"/>
      <c r="I371" s="41"/>
      <c r="J371" s="41" t="s">
        <v>60</v>
      </c>
      <c r="K371" s="41" t="s">
        <v>17</v>
      </c>
      <c r="L371" s="73">
        <v>1</v>
      </c>
      <c r="M371" s="74">
        <v>21000</v>
      </c>
      <c r="N371" s="74">
        <v>21000</v>
      </c>
      <c r="U371" s="41" t="str">
        <f>VLOOKUP(J371,Sheet1!$A$2:$D$200,4,0)</f>
        <v>NL300119</v>
      </c>
      <c r="V371" s="41" t="str">
        <f>VLOOKUP(U371,Sheet1!$D$2:$E$200,2,0)</f>
        <v>Quất ( Tắc trái )</v>
      </c>
      <c r="W371" s="94" t="str">
        <f t="shared" si="30"/>
        <v>121NL300119</v>
      </c>
      <c r="X371" s="94" t="str">
        <f>COUNTIF($R$15:W371,W371)&amp;W371</f>
        <v>1121NL300119</v>
      </c>
      <c r="Y371" s="95">
        <f>IFERROR(VLOOKUP(X371,FAST!$B$7:$M$9722,12,0),"0")</f>
        <v>1</v>
      </c>
      <c r="Z371" s="95">
        <f>IFERROR(VLOOKUP(X371,FAST!$B$7:$N$9722,13,0),"0")</f>
        <v>21000</v>
      </c>
      <c r="AA371" s="96">
        <f t="shared" si="26"/>
        <v>21000</v>
      </c>
      <c r="AB371" s="97">
        <f t="shared" si="27"/>
        <v>0</v>
      </c>
      <c r="AC371" s="98">
        <f t="shared" si="28"/>
        <v>0</v>
      </c>
      <c r="AD371" s="99">
        <f t="shared" si="29"/>
        <v>0</v>
      </c>
    </row>
    <row r="372" spans="1:30" x14ac:dyDescent="0.25">
      <c r="A372" s="41"/>
      <c r="B372" s="41"/>
      <c r="C372" s="52" t="s">
        <v>487</v>
      </c>
      <c r="D372" s="52" t="s">
        <v>426</v>
      </c>
      <c r="E372" s="52" t="s">
        <v>427</v>
      </c>
      <c r="F372" s="41"/>
      <c r="G372" s="41"/>
      <c r="H372" s="41"/>
      <c r="I372" s="41"/>
      <c r="J372" s="41" t="s">
        <v>58</v>
      </c>
      <c r="K372" s="41" t="s">
        <v>17</v>
      </c>
      <c r="L372" s="73">
        <v>0.1</v>
      </c>
      <c r="M372" s="74">
        <v>42000</v>
      </c>
      <c r="N372" s="74">
        <v>4200</v>
      </c>
      <c r="U372" s="41" t="str">
        <f>VLOOKUP(J372,Sheet1!$A$2:$D$200,4,0)</f>
        <v>NL300139</v>
      </c>
      <c r="V372" s="41" t="str">
        <f>VLOOKUP(U372,Sheet1!$D$2:$E$200,2,0)</f>
        <v>Thì là</v>
      </c>
      <c r="W372" s="94" t="str">
        <f t="shared" si="30"/>
        <v>121NL300139</v>
      </c>
      <c r="X372" s="94" t="str">
        <f>COUNTIF($R$15:W372,W372)&amp;W372</f>
        <v>1121NL300139</v>
      </c>
      <c r="Y372" s="95">
        <f>IFERROR(VLOOKUP(X372,FAST!$B$7:$M$9722,12,0),"0")</f>
        <v>0.1</v>
      </c>
      <c r="Z372" s="95">
        <f>IFERROR(VLOOKUP(X372,FAST!$B$7:$N$9722,13,0),"0")</f>
        <v>42000</v>
      </c>
      <c r="AA372" s="96">
        <f t="shared" si="26"/>
        <v>4200</v>
      </c>
      <c r="AB372" s="97">
        <f t="shared" si="27"/>
        <v>0</v>
      </c>
      <c r="AC372" s="98">
        <f t="shared" si="28"/>
        <v>0</v>
      </c>
      <c r="AD372" s="99">
        <f t="shared" si="29"/>
        <v>0</v>
      </c>
    </row>
    <row r="373" spans="1:30" x14ac:dyDescent="0.25">
      <c r="A373" s="41"/>
      <c r="B373" s="41"/>
      <c r="C373" s="52" t="s">
        <v>487</v>
      </c>
      <c r="D373" s="52" t="s">
        <v>426</v>
      </c>
      <c r="E373" s="52" t="s">
        <v>427</v>
      </c>
      <c r="F373" s="41"/>
      <c r="G373" s="41"/>
      <c r="H373" s="41"/>
      <c r="I373" s="41"/>
      <c r="J373" s="41" t="s">
        <v>38</v>
      </c>
      <c r="K373" s="41" t="s">
        <v>17</v>
      </c>
      <c r="L373" s="73">
        <v>2</v>
      </c>
      <c r="M373" s="74">
        <v>50000</v>
      </c>
      <c r="N373" s="74">
        <v>100000</v>
      </c>
      <c r="U373" s="41" t="str">
        <f>VLOOKUP(J373,Sheet1!$A$2:$D$200,4,0)</f>
        <v>NL300142</v>
      </c>
      <c r="V373" s="41" t="str">
        <f>VLOOKUP(U373,Sheet1!$D$2:$E$200,2,0)</f>
        <v>Tỏi bóc</v>
      </c>
      <c r="W373" s="94" t="str">
        <f t="shared" si="30"/>
        <v>121NL300142</v>
      </c>
      <c r="X373" s="94" t="str">
        <f>COUNTIF($R$15:W373,W373)&amp;W373</f>
        <v>1121NL300142</v>
      </c>
      <c r="Y373" s="95">
        <f>IFERROR(VLOOKUP(X373,FAST!$B$7:$M$9722,12,0),"0")</f>
        <v>2</v>
      </c>
      <c r="Z373" s="95">
        <f>IFERROR(VLOOKUP(X373,FAST!$B$7:$N$9722,13,0),"0")</f>
        <v>50000</v>
      </c>
      <c r="AA373" s="96">
        <f t="shared" si="26"/>
        <v>100000</v>
      </c>
      <c r="AB373" s="97">
        <f t="shared" si="27"/>
        <v>0</v>
      </c>
      <c r="AC373" s="98">
        <f t="shared" si="28"/>
        <v>0</v>
      </c>
      <c r="AD373" s="99">
        <f t="shared" si="29"/>
        <v>0</v>
      </c>
    </row>
    <row r="374" spans="1:30" x14ac:dyDescent="0.25">
      <c r="A374" s="41"/>
      <c r="B374" s="41"/>
      <c r="C374" s="52" t="s">
        <v>487</v>
      </c>
      <c r="D374" s="52" t="s">
        <v>426</v>
      </c>
      <c r="E374" s="52" t="s">
        <v>427</v>
      </c>
      <c r="F374" s="41"/>
      <c r="G374" s="41"/>
      <c r="H374" s="41"/>
      <c r="I374" s="41"/>
      <c r="J374" s="41" t="s">
        <v>52</v>
      </c>
      <c r="K374" s="41" t="s">
        <v>53</v>
      </c>
      <c r="L374" s="73">
        <v>28</v>
      </c>
      <c r="M374" s="74">
        <v>5000</v>
      </c>
      <c r="N374" s="74">
        <v>140000</v>
      </c>
      <c r="U374" s="41" t="str">
        <f>VLOOKUP(J374,Sheet1!$A$2:$D$200,4,0)</f>
        <v>NL100101</v>
      </c>
      <c r="V374" s="41" t="str">
        <f>VLOOKUP(U374,Sheet1!$D$2:$E$200,2,0)</f>
        <v>Trứng vịt muối</v>
      </c>
      <c r="W374" s="94" t="str">
        <f t="shared" si="30"/>
        <v>121NL100101</v>
      </c>
      <c r="X374" s="94" t="str">
        <f>COUNTIF($R$15:W374,W374)&amp;W374</f>
        <v>1121NL100101</v>
      </c>
      <c r="Y374" s="95">
        <f>IFERROR(VLOOKUP(X374,FAST!$B$7:$M$9722,12,0),"0")</f>
        <v>28</v>
      </c>
      <c r="Z374" s="95">
        <f>IFERROR(VLOOKUP(X374,FAST!$B$7:$N$9722,13,0),"0")</f>
        <v>5000</v>
      </c>
      <c r="AA374" s="96">
        <f t="shared" si="26"/>
        <v>140000</v>
      </c>
      <c r="AB374" s="97">
        <f t="shared" si="27"/>
        <v>0</v>
      </c>
      <c r="AC374" s="98">
        <f t="shared" si="28"/>
        <v>0</v>
      </c>
      <c r="AD374" s="99">
        <f t="shared" si="29"/>
        <v>0</v>
      </c>
    </row>
    <row r="375" spans="1:30" x14ac:dyDescent="0.25">
      <c r="A375" s="41"/>
      <c r="B375" s="41"/>
      <c r="C375" s="52" t="s">
        <v>487</v>
      </c>
      <c r="D375" s="52" t="s">
        <v>426</v>
      </c>
      <c r="E375" s="52" t="s">
        <v>427</v>
      </c>
      <c r="F375" s="41"/>
      <c r="G375" s="41"/>
      <c r="H375" s="41"/>
      <c r="I375" s="41"/>
      <c r="J375" s="41" t="s">
        <v>62</v>
      </c>
      <c r="K375" s="41" t="s">
        <v>17</v>
      </c>
      <c r="L375" s="73">
        <v>0.3</v>
      </c>
      <c r="M375" s="74">
        <v>220000</v>
      </c>
      <c r="N375" s="74">
        <v>66000</v>
      </c>
      <c r="U375" s="41" t="str">
        <f>VLOOKUP(J375,Sheet1!$A$2:$D$200,4,0)</f>
        <v>NL300131</v>
      </c>
      <c r="V375" s="41" t="str">
        <f>VLOOKUP(U375,Sheet1!$D$2:$E$200,2,0)</f>
        <v>Xà lách Rocket</v>
      </c>
      <c r="W375" s="94" t="str">
        <f t="shared" si="30"/>
        <v>121NL300131</v>
      </c>
      <c r="X375" s="94" t="str">
        <f>COUNTIF($R$15:W375,W375)&amp;W375</f>
        <v>1121NL300131</v>
      </c>
      <c r="Y375" s="95">
        <f>IFERROR(VLOOKUP(X375,FAST!$B$7:$M$9722,12,0),"0")</f>
        <v>0.3</v>
      </c>
      <c r="Z375" s="95">
        <f>IFERROR(VLOOKUP(X375,FAST!$B$7:$N$9722,13,0),"0")</f>
        <v>220000</v>
      </c>
      <c r="AA375" s="96">
        <f t="shared" si="26"/>
        <v>66000</v>
      </c>
      <c r="AB375" s="97">
        <f t="shared" si="27"/>
        <v>0</v>
      </c>
      <c r="AC375" s="98">
        <f t="shared" si="28"/>
        <v>0</v>
      </c>
      <c r="AD375" s="99">
        <f t="shared" si="29"/>
        <v>0</v>
      </c>
    </row>
    <row r="376" spans="1:30" x14ac:dyDescent="0.25">
      <c r="A376" s="41"/>
      <c r="B376" s="41"/>
      <c r="C376" s="52" t="s">
        <v>487</v>
      </c>
      <c r="D376" s="52" t="s">
        <v>426</v>
      </c>
      <c r="E376" s="52" t="s">
        <v>427</v>
      </c>
      <c r="F376" s="41"/>
      <c r="G376" s="41"/>
      <c r="H376" s="41"/>
      <c r="I376" s="41"/>
      <c r="J376" s="41" t="s">
        <v>37</v>
      </c>
      <c r="K376" s="41" t="s">
        <v>17</v>
      </c>
      <c r="L376" s="73">
        <v>2</v>
      </c>
      <c r="M376" s="74">
        <v>62000</v>
      </c>
      <c r="N376" s="74">
        <v>124000</v>
      </c>
      <c r="U376" s="41" t="str">
        <f>VLOOKUP(J376,Sheet1!$A$2:$D$200,4,0)</f>
        <v>NL300147</v>
      </c>
      <c r="V376" s="41" t="str">
        <f>VLOOKUP(U376,Sheet1!$D$2:$E$200,2,0)</f>
        <v>Xà lách Roman</v>
      </c>
      <c r="W376" s="94" t="str">
        <f t="shared" si="30"/>
        <v>121NL300147</v>
      </c>
      <c r="X376" s="94" t="str">
        <f>COUNTIF($R$15:W376,W376)&amp;W376</f>
        <v>1121NL300147</v>
      </c>
      <c r="Y376" s="95">
        <f>IFERROR(VLOOKUP(X376,FAST!$B$7:$M$9722,12,0),"0")</f>
        <v>2</v>
      </c>
      <c r="Z376" s="95">
        <f>IFERROR(VLOOKUP(X376,FAST!$B$7:$N$9722,13,0),"0")</f>
        <v>62000</v>
      </c>
      <c r="AA376" s="96">
        <f t="shared" si="26"/>
        <v>124000</v>
      </c>
      <c r="AB376" s="97">
        <f t="shared" si="27"/>
        <v>0</v>
      </c>
      <c r="AC376" s="98">
        <f t="shared" si="28"/>
        <v>0</v>
      </c>
      <c r="AD376" s="99">
        <f t="shared" si="29"/>
        <v>0</v>
      </c>
    </row>
    <row r="377" spans="1:30" x14ac:dyDescent="0.25">
      <c r="A377" s="41"/>
      <c r="B377" s="41"/>
      <c r="C377" s="52" t="s">
        <v>487</v>
      </c>
      <c r="D377" s="52" t="s">
        <v>426</v>
      </c>
      <c r="E377" s="52" t="s">
        <v>427</v>
      </c>
      <c r="F377" s="41"/>
      <c r="G377" s="41"/>
      <c r="H377" s="41"/>
      <c r="I377" s="41"/>
      <c r="J377" s="41" t="s">
        <v>22</v>
      </c>
      <c r="K377" s="41" t="s">
        <v>17</v>
      </c>
      <c r="L377" s="73">
        <v>1</v>
      </c>
      <c r="M377" s="74">
        <v>30000</v>
      </c>
      <c r="N377" s="74">
        <v>30000</v>
      </c>
      <c r="U377" s="41" t="str">
        <f>VLOOKUP(J377,Sheet1!$A$2:$D$200,4,0)</f>
        <v>NL300007</v>
      </c>
      <c r="V377" s="41" t="str">
        <f>VLOOKUP(U377,Sheet1!$D$2:$E$200,2,0)</f>
        <v>Bí đỏ</v>
      </c>
      <c r="W377" s="94" t="str">
        <f t="shared" si="30"/>
        <v>121NL300007</v>
      </c>
      <c r="X377" s="94" t="str">
        <f>COUNTIF($R$15:W377,W377)&amp;W377</f>
        <v>2121NL300007</v>
      </c>
      <c r="Y377" s="95">
        <f>IFERROR(VLOOKUP(X377,FAST!$B$7:$M$9722,12,0),"0")</f>
        <v>1</v>
      </c>
      <c r="Z377" s="95">
        <f>IFERROR(VLOOKUP(X377,FAST!$B$7:$N$9722,13,0),"0")</f>
        <v>30000</v>
      </c>
      <c r="AA377" s="96">
        <f t="shared" si="26"/>
        <v>30000</v>
      </c>
      <c r="AB377" s="97">
        <f t="shared" si="27"/>
        <v>0</v>
      </c>
      <c r="AC377" s="98">
        <f t="shared" si="28"/>
        <v>0</v>
      </c>
      <c r="AD377" s="99">
        <f t="shared" si="29"/>
        <v>0</v>
      </c>
    </row>
    <row r="378" spans="1:30" x14ac:dyDescent="0.25">
      <c r="A378" s="41"/>
      <c r="B378" s="41"/>
      <c r="C378" s="52" t="s">
        <v>487</v>
      </c>
      <c r="D378" s="52" t="s">
        <v>426</v>
      </c>
      <c r="E378" s="52" t="s">
        <v>427</v>
      </c>
      <c r="F378" s="41"/>
      <c r="G378" s="41"/>
      <c r="H378" s="41"/>
      <c r="I378" s="41"/>
      <c r="J378" s="41" t="s">
        <v>39</v>
      </c>
      <c r="K378" s="41" t="s">
        <v>17</v>
      </c>
      <c r="L378" s="73">
        <v>2.5</v>
      </c>
      <c r="M378" s="74">
        <v>145000</v>
      </c>
      <c r="N378" s="74">
        <v>362500</v>
      </c>
      <c r="U378" s="41" t="str">
        <f>VLOOKUP(J378,Sheet1!$A$2:$D$200,4,0)</f>
        <v>NL300090</v>
      </c>
      <c r="V378" s="41" t="str">
        <f>VLOOKUP(U378,Sheet1!$D$2:$E$200,2,0)</f>
        <v>Nấm đông cô tươi</v>
      </c>
      <c r="W378" s="94" t="str">
        <f t="shared" si="30"/>
        <v>121NL300090</v>
      </c>
      <c r="X378" s="94" t="str">
        <f>COUNTIF($R$15:W378,W378)&amp;W378</f>
        <v>1121NL300090</v>
      </c>
      <c r="Y378" s="95">
        <f>IFERROR(VLOOKUP(X378,FAST!$B$7:$M$9722,12,0),"0")</f>
        <v>2.5</v>
      </c>
      <c r="Z378" s="95">
        <f>IFERROR(VLOOKUP(X378,FAST!$B$7:$N$9722,13,0),"0")</f>
        <v>145000</v>
      </c>
      <c r="AA378" s="96">
        <f t="shared" si="26"/>
        <v>362500</v>
      </c>
      <c r="AB378" s="97">
        <f t="shared" si="27"/>
        <v>0</v>
      </c>
      <c r="AC378" s="98">
        <f t="shared" si="28"/>
        <v>0</v>
      </c>
      <c r="AD378" s="99">
        <f t="shared" si="29"/>
        <v>0</v>
      </c>
    </row>
    <row r="379" spans="1:30" x14ac:dyDescent="0.25">
      <c r="A379" s="41"/>
      <c r="B379" s="41"/>
      <c r="C379" s="52" t="s">
        <v>487</v>
      </c>
      <c r="D379" s="52" t="s">
        <v>426</v>
      </c>
      <c r="E379" s="52" t="s">
        <v>427</v>
      </c>
      <c r="F379" s="41"/>
      <c r="G379" s="41"/>
      <c r="H379" s="41"/>
      <c r="I379" s="41"/>
      <c r="J379" s="41" t="s">
        <v>41</v>
      </c>
      <c r="K379" s="41" t="s">
        <v>17</v>
      </c>
      <c r="L379" s="73">
        <v>1</v>
      </c>
      <c r="M379" s="74">
        <v>45000</v>
      </c>
      <c r="N379" s="74">
        <v>45000</v>
      </c>
      <c r="U379" s="41" t="str">
        <f>VLOOKUP(J379,Sheet1!$A$2:$D$200,4,0)</f>
        <v>NL300096</v>
      </c>
      <c r="V379" s="41" t="str">
        <f>VLOOKUP(U379,Sheet1!$D$2:$E$200,2,0)</f>
        <v>Nấm kim châm tươi</v>
      </c>
      <c r="W379" s="94" t="str">
        <f t="shared" si="30"/>
        <v>121NL300096</v>
      </c>
      <c r="X379" s="94" t="str">
        <f>COUNTIF($R$15:W379,W379)&amp;W379</f>
        <v>2121NL300096</v>
      </c>
      <c r="Y379" s="95">
        <f>IFERROR(VLOOKUP(X379,FAST!$B$7:$M$9722,12,0),"0")</f>
        <v>1</v>
      </c>
      <c r="Z379" s="95">
        <f>IFERROR(VLOOKUP(X379,FAST!$B$7:$N$9722,13,0),"0")</f>
        <v>45000</v>
      </c>
      <c r="AA379" s="96">
        <f t="shared" si="26"/>
        <v>45000</v>
      </c>
      <c r="AB379" s="97">
        <f t="shared" si="27"/>
        <v>0</v>
      </c>
      <c r="AC379" s="98">
        <f t="shared" si="28"/>
        <v>0</v>
      </c>
      <c r="AD379" s="99">
        <f t="shared" si="29"/>
        <v>0</v>
      </c>
    </row>
    <row r="380" spans="1:30" x14ac:dyDescent="0.25">
      <c r="A380" s="41"/>
      <c r="B380" s="41"/>
      <c r="C380" s="52" t="s">
        <v>488</v>
      </c>
      <c r="D380" s="52" t="s">
        <v>426</v>
      </c>
      <c r="E380" s="52" t="s">
        <v>427</v>
      </c>
      <c r="F380" s="41"/>
      <c r="G380" s="41"/>
      <c r="H380" s="41"/>
      <c r="I380" s="41"/>
      <c r="J380" s="41" t="s">
        <v>54</v>
      </c>
      <c r="K380" s="41" t="s">
        <v>17</v>
      </c>
      <c r="L380" s="73">
        <v>2</v>
      </c>
      <c r="M380" s="74">
        <v>15000</v>
      </c>
      <c r="N380" s="74">
        <v>30000</v>
      </c>
      <c r="U380" s="41" t="str">
        <f>VLOOKUP(J380,Sheet1!$A$2:$D$200,4,0)</f>
        <v>NL300189</v>
      </c>
      <c r="V380" s="41" t="str">
        <f>VLOOKUP(U380,Sheet1!$D$2:$E$200,2,0)</f>
        <v>Bánh ướt</v>
      </c>
      <c r="W380" s="94" t="str">
        <f t="shared" si="30"/>
        <v>131NL300189</v>
      </c>
      <c r="X380" s="94" t="str">
        <f>COUNTIF($R$15:W380,W380)&amp;W380</f>
        <v>1131NL300189</v>
      </c>
      <c r="Y380" s="95">
        <f>IFERROR(VLOOKUP(X380,FAST!$B$7:$M$9722,12,0),"0")</f>
        <v>1.5</v>
      </c>
      <c r="Z380" s="95">
        <f>IFERROR(VLOOKUP(X380,FAST!$B$7:$N$9722,13,0),"0")</f>
        <v>15000</v>
      </c>
      <c r="AA380" s="96">
        <f t="shared" si="26"/>
        <v>22500</v>
      </c>
      <c r="AB380" s="97">
        <f t="shared" si="27"/>
        <v>-0.5</v>
      </c>
      <c r="AC380" s="98">
        <f t="shared" si="28"/>
        <v>0</v>
      </c>
      <c r="AD380" s="99">
        <f t="shared" si="29"/>
        <v>-7500</v>
      </c>
    </row>
    <row r="381" spans="1:30" x14ac:dyDescent="0.25">
      <c r="A381" s="41"/>
      <c r="B381" s="41"/>
      <c r="C381" s="52" t="s">
        <v>488</v>
      </c>
      <c r="D381" s="52" t="s">
        <v>426</v>
      </c>
      <c r="E381" s="52" t="s">
        <v>427</v>
      </c>
      <c r="F381" s="41"/>
      <c r="G381" s="41"/>
      <c r="H381" s="41"/>
      <c r="I381" s="41"/>
      <c r="J381" s="41" t="s">
        <v>16</v>
      </c>
      <c r="K381" s="41" t="s">
        <v>17</v>
      </c>
      <c r="L381" s="73">
        <v>2.8</v>
      </c>
      <c r="M381" s="74">
        <v>19000</v>
      </c>
      <c r="N381" s="74">
        <v>53200</v>
      </c>
      <c r="U381" s="41" t="str">
        <f>VLOOKUP(J381,Sheet1!$A$2:$D$200,4,0)</f>
        <v>NL300004</v>
      </c>
      <c r="V381" s="41" t="str">
        <f>VLOOKUP(U381,Sheet1!$D$2:$E$200,2,0)</f>
        <v>Bắp cải trắng</v>
      </c>
      <c r="W381" s="94" t="str">
        <f t="shared" si="30"/>
        <v>131NL300004</v>
      </c>
      <c r="X381" s="94" t="str">
        <f>COUNTIF($R$15:W381,W381)&amp;W381</f>
        <v>1131NL300004</v>
      </c>
      <c r="Y381" s="95">
        <f>IFERROR(VLOOKUP(X381,FAST!$B$7:$M$9722,12,0),"0")</f>
        <v>2</v>
      </c>
      <c r="Z381" s="95">
        <f>IFERROR(VLOOKUP(X381,FAST!$B$7:$N$9722,13,0),"0")</f>
        <v>19000</v>
      </c>
      <c r="AA381" s="96">
        <f t="shared" si="26"/>
        <v>38000</v>
      </c>
      <c r="AB381" s="97">
        <f t="shared" si="27"/>
        <v>-0.79999999999999982</v>
      </c>
      <c r="AC381" s="98">
        <f t="shared" si="28"/>
        <v>0</v>
      </c>
      <c r="AD381" s="99">
        <f t="shared" si="29"/>
        <v>-15200</v>
      </c>
    </row>
    <row r="382" spans="1:30" x14ac:dyDescent="0.25">
      <c r="A382" s="41"/>
      <c r="B382" s="41"/>
      <c r="C382" s="52" t="s">
        <v>488</v>
      </c>
      <c r="D382" s="52" t="s">
        <v>426</v>
      </c>
      <c r="E382" s="52" t="s">
        <v>427</v>
      </c>
      <c r="F382" s="41"/>
      <c r="G382" s="41"/>
      <c r="H382" s="41"/>
      <c r="I382" s="41"/>
      <c r="J382" s="41" t="s">
        <v>20</v>
      </c>
      <c r="K382" s="41" t="s">
        <v>21</v>
      </c>
      <c r="L382" s="73">
        <v>8</v>
      </c>
      <c r="M382" s="74">
        <v>8500</v>
      </c>
      <c r="N382" s="74">
        <v>68000</v>
      </c>
      <c r="U382" s="41" t="str">
        <f>VLOOKUP(J382,Sheet1!$A$2:$D$200,4,0)</f>
        <v>NL300107</v>
      </c>
      <c r="V382" s="41" t="str">
        <f>VLOOKUP(U382,Sheet1!$D$2:$E$200,2,0)</f>
        <v>Ngô ngọt ( Bắp trái)</v>
      </c>
      <c r="W382" s="94" t="str">
        <f t="shared" si="30"/>
        <v>131NL300107</v>
      </c>
      <c r="X382" s="94" t="str">
        <f>COUNTIF($R$15:W382,W382)&amp;W382</f>
        <v>1131NL300107</v>
      </c>
      <c r="Y382" s="95">
        <f>IFERROR(VLOOKUP(X382,FAST!$B$7:$M$9722,12,0),"0")</f>
        <v>6</v>
      </c>
      <c r="Z382" s="95">
        <f>IFERROR(VLOOKUP(X382,FAST!$B$7:$N$9722,13,0),"0")</f>
        <v>8500</v>
      </c>
      <c r="AA382" s="96">
        <f t="shared" si="26"/>
        <v>51000</v>
      </c>
      <c r="AB382" s="97">
        <f t="shared" si="27"/>
        <v>-2</v>
      </c>
      <c r="AC382" s="98">
        <f t="shared" si="28"/>
        <v>0</v>
      </c>
      <c r="AD382" s="99">
        <f t="shared" si="29"/>
        <v>-17000</v>
      </c>
    </row>
    <row r="383" spans="1:30" x14ac:dyDescent="0.25">
      <c r="A383" s="41"/>
      <c r="B383" s="41"/>
      <c r="C383" s="52" t="s">
        <v>488</v>
      </c>
      <c r="D383" s="52" t="s">
        <v>426</v>
      </c>
      <c r="E383" s="52" t="s">
        <v>427</v>
      </c>
      <c r="F383" s="41"/>
      <c r="G383" s="41"/>
      <c r="H383" s="41"/>
      <c r="I383" s="41"/>
      <c r="J383" s="41" t="s">
        <v>22</v>
      </c>
      <c r="K383" s="41" t="s">
        <v>17</v>
      </c>
      <c r="L383" s="73">
        <v>2.6</v>
      </c>
      <c r="M383" s="74">
        <v>30000</v>
      </c>
      <c r="N383" s="74">
        <v>78000</v>
      </c>
      <c r="U383" s="41" t="str">
        <f>VLOOKUP(J383,Sheet1!$A$2:$D$200,4,0)</f>
        <v>NL300007</v>
      </c>
      <c r="V383" s="41" t="str">
        <f>VLOOKUP(U383,Sheet1!$D$2:$E$200,2,0)</f>
        <v>Bí đỏ</v>
      </c>
      <c r="W383" s="94" t="str">
        <f t="shared" si="30"/>
        <v>131NL300007</v>
      </c>
      <c r="X383" s="94" t="str">
        <f>COUNTIF($R$15:W383,W383)&amp;W383</f>
        <v>1131NL300007</v>
      </c>
      <c r="Y383" s="95">
        <f>IFERROR(VLOOKUP(X383,FAST!$B$7:$M$9722,12,0),"0")</f>
        <v>2.2999999999999998</v>
      </c>
      <c r="Z383" s="95">
        <f>IFERROR(VLOOKUP(X383,FAST!$B$7:$N$9722,13,0),"0")</f>
        <v>30000</v>
      </c>
      <c r="AA383" s="96">
        <f t="shared" si="26"/>
        <v>69000</v>
      </c>
      <c r="AB383" s="97">
        <f t="shared" si="27"/>
        <v>-0.30000000000000027</v>
      </c>
      <c r="AC383" s="98">
        <f t="shared" si="28"/>
        <v>0</v>
      </c>
      <c r="AD383" s="99">
        <f t="shared" si="29"/>
        <v>-9000</v>
      </c>
    </row>
    <row r="384" spans="1:30" x14ac:dyDescent="0.25">
      <c r="A384" s="41"/>
      <c r="B384" s="41"/>
      <c r="C384" s="52" t="s">
        <v>488</v>
      </c>
      <c r="D384" s="52" t="s">
        <v>426</v>
      </c>
      <c r="E384" s="52" t="s">
        <v>427</v>
      </c>
      <c r="F384" s="41"/>
      <c r="G384" s="41"/>
      <c r="H384" s="41"/>
      <c r="I384" s="41"/>
      <c r="J384" s="41" t="s">
        <v>23</v>
      </c>
      <c r="K384" s="41" t="s">
        <v>17</v>
      </c>
      <c r="L384" s="73">
        <v>6.1</v>
      </c>
      <c r="M384" s="74">
        <v>40000</v>
      </c>
      <c r="N384" s="74">
        <v>244000</v>
      </c>
      <c r="U384" s="41" t="str">
        <f>VLOOKUP(J384,Sheet1!$A$2:$D$200,4,0)</f>
        <v>NL300008</v>
      </c>
      <c r="V384" s="41" t="str">
        <f>VLOOKUP(U384,Sheet1!$D$2:$E$200,2,0)</f>
        <v>Bí ngòi</v>
      </c>
      <c r="W384" s="94" t="str">
        <f t="shared" si="30"/>
        <v>131NL300008</v>
      </c>
      <c r="X384" s="94" t="str">
        <f>COUNTIF($R$15:W384,W384)&amp;W384</f>
        <v>1131NL300008</v>
      </c>
      <c r="Y384" s="95">
        <f>IFERROR(VLOOKUP(X384,FAST!$B$7:$M$9722,12,0),"0")</f>
        <v>5</v>
      </c>
      <c r="Z384" s="95">
        <f>IFERROR(VLOOKUP(X384,FAST!$B$7:$N$9722,13,0),"0")</f>
        <v>40000</v>
      </c>
      <c r="AA384" s="96">
        <f t="shared" si="26"/>
        <v>200000</v>
      </c>
      <c r="AB384" s="97">
        <f t="shared" si="27"/>
        <v>-1.0999999999999996</v>
      </c>
      <c r="AC384" s="98">
        <f t="shared" si="28"/>
        <v>0</v>
      </c>
      <c r="AD384" s="99">
        <f t="shared" si="29"/>
        <v>-44000</v>
      </c>
    </row>
    <row r="385" spans="1:30" x14ac:dyDescent="0.25">
      <c r="A385" s="41"/>
      <c r="B385" s="41"/>
      <c r="C385" s="52" t="s">
        <v>488</v>
      </c>
      <c r="D385" s="52" t="s">
        <v>426</v>
      </c>
      <c r="E385" s="52" t="s">
        <v>427</v>
      </c>
      <c r="F385" s="41"/>
      <c r="G385" s="41"/>
      <c r="H385" s="41"/>
      <c r="I385" s="41"/>
      <c r="J385" s="41" t="s">
        <v>50</v>
      </c>
      <c r="K385" s="41" t="s">
        <v>17</v>
      </c>
      <c r="L385" s="73">
        <v>1.9</v>
      </c>
      <c r="M385" s="74">
        <v>52000</v>
      </c>
      <c r="N385" s="74">
        <v>98800</v>
      </c>
      <c r="U385" s="41" t="str">
        <f>VLOOKUP(J385,Sheet1!$A$2:$D$200,4,0)</f>
        <v>NL300137</v>
      </c>
      <c r="V385" s="41" t="str">
        <f>VLOOKUP(U385,Sheet1!$D$2:$E$200,2,0)</f>
        <v>Súp lơ xanh</v>
      </c>
      <c r="W385" s="94" t="str">
        <f t="shared" si="30"/>
        <v>131NL300137</v>
      </c>
      <c r="X385" s="94" t="str">
        <f>COUNTIF($R$15:W385,W385)&amp;W385</f>
        <v>1131NL300137</v>
      </c>
      <c r="Y385" s="95">
        <f>IFERROR(VLOOKUP(X385,FAST!$B$7:$M$9722,12,0),"0")</f>
        <v>1.9</v>
      </c>
      <c r="Z385" s="95">
        <f>IFERROR(VLOOKUP(X385,FAST!$B$7:$N$9722,13,0),"0")</f>
        <v>52000</v>
      </c>
      <c r="AA385" s="96">
        <f t="shared" si="26"/>
        <v>98800</v>
      </c>
      <c r="AB385" s="97">
        <f t="shared" si="27"/>
        <v>0</v>
      </c>
      <c r="AC385" s="98">
        <f t="shared" si="28"/>
        <v>0</v>
      </c>
      <c r="AD385" s="99">
        <f t="shared" si="29"/>
        <v>0</v>
      </c>
    </row>
    <row r="386" spans="1:30" x14ac:dyDescent="0.25">
      <c r="A386" s="41"/>
      <c r="B386" s="41"/>
      <c r="C386" s="52" t="s">
        <v>488</v>
      </c>
      <c r="D386" s="52" t="s">
        <v>426</v>
      </c>
      <c r="E386" s="52" t="s">
        <v>427</v>
      </c>
      <c r="F386" s="41"/>
      <c r="G386" s="41"/>
      <c r="H386" s="41"/>
      <c r="I386" s="41"/>
      <c r="J386" s="41" t="s">
        <v>72</v>
      </c>
      <c r="K386" s="41" t="s">
        <v>17</v>
      </c>
      <c r="L386" s="73">
        <v>0.3</v>
      </c>
      <c r="M386" s="74">
        <v>75000</v>
      </c>
      <c r="N386" s="74">
        <v>22500</v>
      </c>
      <c r="U386" s="41" t="str">
        <f>VLOOKUP(J386,Sheet1!$A$2:$D$200,4,0)</f>
        <v>NL600067</v>
      </c>
      <c r="V386" s="41" t="str">
        <f>VLOOKUP(U386,Sheet1!$D$2:$E$200,2,0)</f>
        <v>Cam vàng</v>
      </c>
      <c r="W386" s="94" t="str">
        <f t="shared" si="30"/>
        <v>131NL600067</v>
      </c>
      <c r="X386" s="94" t="str">
        <f>COUNTIF($R$15:W386,W386)&amp;W386</f>
        <v>1131NL600067</v>
      </c>
      <c r="Y386" s="95">
        <f>IFERROR(VLOOKUP(X386,FAST!$B$7:$M$9722,12,0),"0")</f>
        <v>0.3</v>
      </c>
      <c r="Z386" s="95">
        <f>IFERROR(VLOOKUP(X386,FAST!$B$7:$N$9722,13,0),"0")</f>
        <v>75000</v>
      </c>
      <c r="AA386" s="96">
        <f t="shared" si="26"/>
        <v>22500</v>
      </c>
      <c r="AB386" s="97">
        <f t="shared" si="27"/>
        <v>0</v>
      </c>
      <c r="AC386" s="98">
        <f t="shared" si="28"/>
        <v>0</v>
      </c>
      <c r="AD386" s="99">
        <f t="shared" si="29"/>
        <v>0</v>
      </c>
    </row>
    <row r="387" spans="1:30" x14ac:dyDescent="0.25">
      <c r="A387" s="41"/>
      <c r="B387" s="41"/>
      <c r="C387" s="52" t="s">
        <v>488</v>
      </c>
      <c r="D387" s="52" t="s">
        <v>426</v>
      </c>
      <c r="E387" s="52" t="s">
        <v>427</v>
      </c>
      <c r="F387" s="41"/>
      <c r="G387" s="41"/>
      <c r="H387" s="41"/>
      <c r="I387" s="41"/>
      <c r="J387" s="41" t="s">
        <v>25</v>
      </c>
      <c r="K387" s="41" t="s">
        <v>17</v>
      </c>
      <c r="L387" s="73">
        <v>0.9</v>
      </c>
      <c r="M387" s="74">
        <v>44000</v>
      </c>
      <c r="N387" s="74">
        <v>39600</v>
      </c>
      <c r="U387" s="41" t="str">
        <f>VLOOKUP(J387,Sheet1!$A$2:$D$200,4,0)</f>
        <v>NL300025</v>
      </c>
      <c r="V387" s="41" t="str">
        <f>VLOOKUP(U387,Sheet1!$D$2:$E$200,2,0)</f>
        <v>Rau cần tây</v>
      </c>
      <c r="W387" s="94" t="str">
        <f t="shared" si="30"/>
        <v>131NL300025</v>
      </c>
      <c r="X387" s="94" t="str">
        <f>COUNTIF($R$15:W387,W387)&amp;W387</f>
        <v>1131NL300025</v>
      </c>
      <c r="Y387" s="95">
        <f>IFERROR(VLOOKUP(X387,FAST!$B$7:$M$9722,12,0),"0")</f>
        <v>0.9</v>
      </c>
      <c r="Z387" s="95">
        <f>IFERROR(VLOOKUP(X387,FAST!$B$7:$N$9722,13,0),"0")</f>
        <v>44000</v>
      </c>
      <c r="AA387" s="96">
        <f t="shared" si="26"/>
        <v>39600</v>
      </c>
      <c r="AB387" s="97">
        <f t="shared" si="27"/>
        <v>0</v>
      </c>
      <c r="AC387" s="98">
        <f t="shared" si="28"/>
        <v>0</v>
      </c>
      <c r="AD387" s="99">
        <f t="shared" si="29"/>
        <v>0</v>
      </c>
    </row>
    <row r="388" spans="1:30" x14ac:dyDescent="0.25">
      <c r="A388" s="41"/>
      <c r="B388" s="41"/>
      <c r="C388" s="52" t="s">
        <v>488</v>
      </c>
      <c r="D388" s="52" t="s">
        <v>426</v>
      </c>
      <c r="E388" s="52" t="s">
        <v>427</v>
      </c>
      <c r="F388" s="41"/>
      <c r="G388" s="41"/>
      <c r="H388" s="41"/>
      <c r="I388" s="41"/>
      <c r="J388" s="41" t="s">
        <v>73</v>
      </c>
      <c r="K388" s="41" t="s">
        <v>17</v>
      </c>
      <c r="L388" s="73">
        <v>0.7</v>
      </c>
      <c r="M388" s="74">
        <v>34000</v>
      </c>
      <c r="N388" s="74">
        <v>23800</v>
      </c>
      <c r="U388" s="41" t="str">
        <f>VLOOKUP(J388,Sheet1!$A$2:$D$200,4,0)</f>
        <v>NL300030</v>
      </c>
      <c r="V388" s="41" t="str">
        <f>VLOOKUP(U388,Sheet1!$D$2:$E$200,2,0)</f>
        <v>Chanh dây (chanh leo)</v>
      </c>
      <c r="W388" s="94" t="str">
        <f t="shared" si="30"/>
        <v>131NL300030</v>
      </c>
      <c r="X388" s="94" t="str">
        <f>COUNTIF($R$15:W388,W388)&amp;W388</f>
        <v>1131NL300030</v>
      </c>
      <c r="Y388" s="95">
        <f>IFERROR(VLOOKUP(X388,FAST!$B$7:$M$9722,12,0),"0")</f>
        <v>0.7</v>
      </c>
      <c r="Z388" s="95">
        <f>IFERROR(VLOOKUP(X388,FAST!$B$7:$N$9722,13,0),"0")</f>
        <v>34000</v>
      </c>
      <c r="AA388" s="96">
        <f t="shared" si="26"/>
        <v>23800</v>
      </c>
      <c r="AB388" s="97">
        <f t="shared" si="27"/>
        <v>0</v>
      </c>
      <c r="AC388" s="98">
        <f t="shared" si="28"/>
        <v>0</v>
      </c>
      <c r="AD388" s="99">
        <f t="shared" si="29"/>
        <v>0</v>
      </c>
    </row>
    <row r="389" spans="1:30" x14ac:dyDescent="0.25">
      <c r="A389" s="41"/>
      <c r="B389" s="41"/>
      <c r="C389" s="52" t="s">
        <v>488</v>
      </c>
      <c r="D389" s="52" t="s">
        <v>426</v>
      </c>
      <c r="E389" s="52" t="s">
        <v>427</v>
      </c>
      <c r="F389" s="41"/>
      <c r="G389" s="41"/>
      <c r="H389" s="41"/>
      <c r="I389" s="41"/>
      <c r="J389" s="41" t="s">
        <v>46</v>
      </c>
      <c r="K389" s="41" t="s">
        <v>17</v>
      </c>
      <c r="L389" s="73">
        <v>1</v>
      </c>
      <c r="M389" s="74">
        <v>22000</v>
      </c>
      <c r="N389" s="74">
        <v>22000</v>
      </c>
      <c r="U389" s="41" t="str">
        <f>VLOOKUP(J389,Sheet1!$A$2:$D$200,4,0)</f>
        <v>NL300029</v>
      </c>
      <c r="V389" s="41" t="str">
        <f>VLOOKUP(U389,Sheet1!$D$2:$E$200,2,0)</f>
        <v>Chanh</v>
      </c>
      <c r="W389" s="94" t="str">
        <f t="shared" si="30"/>
        <v>131NL300029</v>
      </c>
      <c r="X389" s="94" t="str">
        <f>COUNTIF($R$15:W389,W389)&amp;W389</f>
        <v>1131NL300029</v>
      </c>
      <c r="Y389" s="95">
        <f>IFERROR(VLOOKUP(X389,FAST!$B$7:$M$9722,12,0),"0")</f>
        <v>1</v>
      </c>
      <c r="Z389" s="95">
        <f>IFERROR(VLOOKUP(X389,FAST!$B$7:$N$9722,13,0),"0")</f>
        <v>22000</v>
      </c>
      <c r="AA389" s="96">
        <f t="shared" si="26"/>
        <v>22000</v>
      </c>
      <c r="AB389" s="97">
        <f t="shared" si="27"/>
        <v>0</v>
      </c>
      <c r="AC389" s="98">
        <f t="shared" si="28"/>
        <v>0</v>
      </c>
      <c r="AD389" s="99">
        <f t="shared" si="29"/>
        <v>0</v>
      </c>
    </row>
    <row r="390" spans="1:30" x14ac:dyDescent="0.25">
      <c r="A390" s="41"/>
      <c r="B390" s="41"/>
      <c r="C390" s="52" t="s">
        <v>488</v>
      </c>
      <c r="D390" s="52" t="s">
        <v>426</v>
      </c>
      <c r="E390" s="52" t="s">
        <v>427</v>
      </c>
      <c r="F390" s="41"/>
      <c r="G390" s="41"/>
      <c r="H390" s="41"/>
      <c r="I390" s="41"/>
      <c r="J390" s="41" t="s">
        <v>74</v>
      </c>
      <c r="K390" s="41" t="s">
        <v>17</v>
      </c>
      <c r="L390" s="73">
        <v>0.3</v>
      </c>
      <c r="M390" s="74">
        <v>95000</v>
      </c>
      <c r="N390" s="74">
        <v>28500</v>
      </c>
      <c r="U390" s="41" t="str">
        <f>VLOOKUP(J390,Sheet1!$A$2:$D$200,4,0)</f>
        <v>NL600068</v>
      </c>
      <c r="V390" s="41" t="str">
        <f>VLOOKUP(U390,Sheet1!$D$2:$E$200,2,0)</f>
        <v>Chanh vàng</v>
      </c>
      <c r="W390" s="94" t="str">
        <f t="shared" si="30"/>
        <v>131NL600068</v>
      </c>
      <c r="X390" s="94" t="str">
        <f>COUNTIF($R$15:W390,W390)&amp;W390</f>
        <v>1131NL600068</v>
      </c>
      <c r="Y390" s="95">
        <f>IFERROR(VLOOKUP(X390,FAST!$B$7:$M$9722,12,0),"0")</f>
        <v>0.3</v>
      </c>
      <c r="Z390" s="95">
        <f>IFERROR(VLOOKUP(X390,FAST!$B$7:$N$9722,13,0),"0")</f>
        <v>95000</v>
      </c>
      <c r="AA390" s="96">
        <f t="shared" si="26"/>
        <v>28500</v>
      </c>
      <c r="AB390" s="97">
        <f t="shared" si="27"/>
        <v>0</v>
      </c>
      <c r="AC390" s="98">
        <f t="shared" si="28"/>
        <v>0</v>
      </c>
      <c r="AD390" s="99">
        <f t="shared" si="29"/>
        <v>0</v>
      </c>
    </row>
    <row r="391" spans="1:30" x14ac:dyDescent="0.25">
      <c r="A391" s="41"/>
      <c r="B391" s="41"/>
      <c r="C391" s="52" t="s">
        <v>488</v>
      </c>
      <c r="D391" s="52" t="s">
        <v>426</v>
      </c>
      <c r="E391" s="52" t="s">
        <v>427</v>
      </c>
      <c r="F391" s="41"/>
      <c r="G391" s="41"/>
      <c r="H391" s="41"/>
      <c r="I391" s="41"/>
      <c r="J391" s="41" t="s">
        <v>56</v>
      </c>
      <c r="K391" s="41" t="s">
        <v>17</v>
      </c>
      <c r="L391" s="73">
        <v>1.1000000000000001</v>
      </c>
      <c r="M391" s="74">
        <v>38000</v>
      </c>
      <c r="N391" s="74">
        <v>41800</v>
      </c>
      <c r="U391" s="41" t="str">
        <f>VLOOKUP(J391,Sheet1!$A$2:$D$200,4,0)</f>
        <v>NL300054</v>
      </c>
      <c r="V391" s="41" t="str">
        <f>VLOOKUP(U391,Sheet1!$D$2:$E$200,2,0)</f>
        <v>Gừng tàu</v>
      </c>
      <c r="W391" s="94" t="str">
        <f t="shared" si="30"/>
        <v>131NL300054</v>
      </c>
      <c r="X391" s="94" t="str">
        <f>COUNTIF($R$15:W391,W391)&amp;W391</f>
        <v>1131NL300054</v>
      </c>
      <c r="Y391" s="95">
        <f>IFERROR(VLOOKUP(X391,FAST!$B$7:$M$9722,12,0),"0")</f>
        <v>1.1000000000000001</v>
      </c>
      <c r="Z391" s="95">
        <f>IFERROR(VLOOKUP(X391,FAST!$B$7:$N$9722,13,0),"0")</f>
        <v>38000</v>
      </c>
      <c r="AA391" s="96">
        <f t="shared" si="26"/>
        <v>41800</v>
      </c>
      <c r="AB391" s="97">
        <f t="shared" si="27"/>
        <v>0</v>
      </c>
      <c r="AC391" s="98">
        <f t="shared" si="28"/>
        <v>0</v>
      </c>
      <c r="AD391" s="99">
        <f t="shared" si="29"/>
        <v>0</v>
      </c>
    </row>
    <row r="392" spans="1:30" x14ac:dyDescent="0.25">
      <c r="A392" s="41"/>
      <c r="B392" s="41"/>
      <c r="C392" s="52" t="s">
        <v>488</v>
      </c>
      <c r="D392" s="52" t="s">
        <v>426</v>
      </c>
      <c r="E392" s="52" t="s">
        <v>427</v>
      </c>
      <c r="F392" s="41"/>
      <c r="G392" s="41"/>
      <c r="H392" s="41"/>
      <c r="I392" s="41"/>
      <c r="J392" s="41" t="s">
        <v>26</v>
      </c>
      <c r="K392" s="41" t="s">
        <v>17</v>
      </c>
      <c r="L392" s="73">
        <v>0.13</v>
      </c>
      <c r="M392" s="74">
        <v>25000</v>
      </c>
      <c r="N392" s="74">
        <v>3250</v>
      </c>
      <c r="U392" s="41" t="str">
        <f>VLOOKUP(J392,Sheet1!$A$2:$D$200,4,0)</f>
        <v>NL300035</v>
      </c>
      <c r="V392" s="41" t="str">
        <f>VLOOKUP(U392,Sheet1!$D$2:$E$200,2,0)</f>
        <v>Củ riềng</v>
      </c>
      <c r="W392" s="94" t="str">
        <f t="shared" si="30"/>
        <v>131NL300035</v>
      </c>
      <c r="X392" s="94" t="str">
        <f>COUNTIF($R$15:W392,W392)&amp;W392</f>
        <v>1131NL300035</v>
      </c>
      <c r="Y392" s="95">
        <f>IFERROR(VLOOKUP(X392,FAST!$B$7:$M$9722,12,0),"0")</f>
        <v>0.13</v>
      </c>
      <c r="Z392" s="95">
        <f>IFERROR(VLOOKUP(X392,FAST!$B$7:$N$9722,13,0),"0")</f>
        <v>25000</v>
      </c>
      <c r="AA392" s="96">
        <f t="shared" si="26"/>
        <v>3250</v>
      </c>
      <c r="AB392" s="97">
        <f t="shared" si="27"/>
        <v>0</v>
      </c>
      <c r="AC392" s="98">
        <f t="shared" si="28"/>
        <v>0</v>
      </c>
      <c r="AD392" s="99">
        <f t="shared" si="29"/>
        <v>0</v>
      </c>
    </row>
    <row r="393" spans="1:30" x14ac:dyDescent="0.25">
      <c r="A393" s="41"/>
      <c r="B393" s="41"/>
      <c r="C393" s="52" t="s">
        <v>488</v>
      </c>
      <c r="D393" s="52" t="s">
        <v>426</v>
      </c>
      <c r="E393" s="52" t="s">
        <v>427</v>
      </c>
      <c r="F393" s="41"/>
      <c r="G393" s="41"/>
      <c r="H393" s="41"/>
      <c r="I393" s="41"/>
      <c r="J393" s="41" t="s">
        <v>27</v>
      </c>
      <c r="K393" s="41" t="s">
        <v>17</v>
      </c>
      <c r="L393" s="73">
        <v>0.7</v>
      </c>
      <c r="M393" s="74">
        <v>47000</v>
      </c>
      <c r="N393" s="74">
        <v>32900</v>
      </c>
      <c r="U393" s="41" t="str">
        <f>VLOOKUP(J393,Sheet1!$A$2:$D$200,4,0)</f>
        <v>NL300036</v>
      </c>
      <c r="V393" s="41" t="str">
        <f>VLOOKUP(U393,Sheet1!$D$2:$E$200,2,0)</f>
        <v>Củ sen</v>
      </c>
      <c r="W393" s="94" t="str">
        <f t="shared" si="30"/>
        <v>131NL300036</v>
      </c>
      <c r="X393" s="94" t="str">
        <f>COUNTIF($R$15:W393,W393)&amp;W393</f>
        <v>1131NL300036</v>
      </c>
      <c r="Y393" s="95">
        <f>IFERROR(VLOOKUP(X393,FAST!$B$7:$M$9722,12,0),"0")</f>
        <v>0.7</v>
      </c>
      <c r="Z393" s="95">
        <f>IFERROR(VLOOKUP(X393,FAST!$B$7:$N$9722,13,0),"0")</f>
        <v>47000</v>
      </c>
      <c r="AA393" s="96">
        <f t="shared" si="26"/>
        <v>32900</v>
      </c>
      <c r="AB393" s="97">
        <f t="shared" si="27"/>
        <v>0</v>
      </c>
      <c r="AC393" s="98">
        <f t="shared" si="28"/>
        <v>0</v>
      </c>
      <c r="AD393" s="99">
        <f t="shared" si="29"/>
        <v>0</v>
      </c>
    </row>
    <row r="394" spans="1:30" x14ac:dyDescent="0.25">
      <c r="A394" s="41"/>
      <c r="B394" s="41"/>
      <c r="C394" s="52" t="s">
        <v>488</v>
      </c>
      <c r="D394" s="52" t="s">
        <v>426</v>
      </c>
      <c r="E394" s="52" t="s">
        <v>427</v>
      </c>
      <c r="F394" s="41"/>
      <c r="G394" s="41"/>
      <c r="H394" s="41"/>
      <c r="I394" s="41"/>
      <c r="J394" s="41" t="s">
        <v>28</v>
      </c>
      <c r="K394" s="41" t="s">
        <v>17</v>
      </c>
      <c r="L394" s="73">
        <v>3</v>
      </c>
      <c r="M394" s="74">
        <v>32000</v>
      </c>
      <c r="N394" s="74">
        <v>96000</v>
      </c>
      <c r="U394" s="41" t="str">
        <f>VLOOKUP(J394,Sheet1!$A$2:$D$200,4,0)</f>
        <v>NL300038</v>
      </c>
      <c r="V394" s="41" t="str">
        <f>VLOOKUP(U394,Sheet1!$D$2:$E$200,2,0)</f>
        <v>Đậu bắp</v>
      </c>
      <c r="W394" s="94" t="str">
        <f t="shared" si="30"/>
        <v>131NL300038</v>
      </c>
      <c r="X394" s="94" t="str">
        <f>COUNTIF($R$15:W394,W394)&amp;W394</f>
        <v>1131NL300038</v>
      </c>
      <c r="Y394" s="95">
        <f>IFERROR(VLOOKUP(X394,FAST!$B$7:$M$9722,12,0),"0")</f>
        <v>2</v>
      </c>
      <c r="Z394" s="95">
        <f>IFERROR(VLOOKUP(X394,FAST!$B$7:$N$9722,13,0),"0")</f>
        <v>32000</v>
      </c>
      <c r="AA394" s="96">
        <f t="shared" si="26"/>
        <v>64000</v>
      </c>
      <c r="AB394" s="97">
        <f t="shared" si="27"/>
        <v>-1</v>
      </c>
      <c r="AC394" s="98">
        <f t="shared" si="28"/>
        <v>0</v>
      </c>
      <c r="AD394" s="99">
        <f t="shared" si="29"/>
        <v>-32000</v>
      </c>
    </row>
    <row r="395" spans="1:30" x14ac:dyDescent="0.25">
      <c r="A395" s="41"/>
      <c r="B395" s="41"/>
      <c r="C395" s="52" t="s">
        <v>488</v>
      </c>
      <c r="D395" s="52" t="s">
        <v>426</v>
      </c>
      <c r="E395" s="52" t="s">
        <v>427</v>
      </c>
      <c r="F395" s="41"/>
      <c r="G395" s="41"/>
      <c r="H395" s="41"/>
      <c r="I395" s="41"/>
      <c r="J395" s="41" t="s">
        <v>47</v>
      </c>
      <c r="K395" s="41" t="s">
        <v>17</v>
      </c>
      <c r="L395" s="73">
        <v>22</v>
      </c>
      <c r="M395" s="74">
        <v>18000</v>
      </c>
      <c r="N395" s="74">
        <v>396000</v>
      </c>
      <c r="U395" s="41" t="str">
        <f>VLOOKUP(J395,Sheet1!$A$2:$D$200,4,0)</f>
        <v>NL600004</v>
      </c>
      <c r="V395" s="41" t="str">
        <f>VLOOKUP(U395,Sheet1!$D$2:$E$200,2,0)</f>
        <v>Dưa hấu</v>
      </c>
      <c r="W395" s="94" t="str">
        <f t="shared" si="30"/>
        <v>131NL600004</v>
      </c>
      <c r="X395" s="94" t="str">
        <f>COUNTIF($R$15:W395,W395)&amp;W395</f>
        <v>1131NL600004</v>
      </c>
      <c r="Y395" s="95">
        <f>IFERROR(VLOOKUP(X395,FAST!$B$7:$M$9722,12,0),"0")</f>
        <v>22</v>
      </c>
      <c r="Z395" s="95">
        <f>IFERROR(VLOOKUP(X395,FAST!$B$7:$N$9722,13,0),"0")</f>
        <v>18000</v>
      </c>
      <c r="AA395" s="96">
        <f t="shared" si="26"/>
        <v>396000</v>
      </c>
      <c r="AB395" s="97">
        <f t="shared" si="27"/>
        <v>0</v>
      </c>
      <c r="AC395" s="98">
        <f t="shared" si="28"/>
        <v>0</v>
      </c>
      <c r="AD395" s="99">
        <f t="shared" si="29"/>
        <v>0</v>
      </c>
    </row>
    <row r="396" spans="1:30" x14ac:dyDescent="0.25">
      <c r="A396" s="41"/>
      <c r="B396" s="41"/>
      <c r="C396" s="52" t="s">
        <v>488</v>
      </c>
      <c r="D396" s="52" t="s">
        <v>426</v>
      </c>
      <c r="E396" s="52" t="s">
        <v>427</v>
      </c>
      <c r="F396" s="41"/>
      <c r="G396" s="41"/>
      <c r="H396" s="41"/>
      <c r="I396" s="41"/>
      <c r="J396" s="41" t="s">
        <v>30</v>
      </c>
      <c r="K396" s="41" t="s">
        <v>17</v>
      </c>
      <c r="L396" s="73">
        <v>0.6</v>
      </c>
      <c r="M396" s="74">
        <v>38000</v>
      </c>
      <c r="N396" s="74">
        <v>22800</v>
      </c>
      <c r="U396" s="41" t="str">
        <f>VLOOKUP(J396,Sheet1!$A$2:$D$200,4,0)</f>
        <v>NL300061</v>
      </c>
      <c r="V396" s="41" t="str">
        <f>VLOOKUP(U396,Sheet1!$D$2:$E$200,2,0)</f>
        <v>Hành Paro (Hành Baro)</v>
      </c>
      <c r="W396" s="94" t="str">
        <f t="shared" si="30"/>
        <v>131NL300061</v>
      </c>
      <c r="X396" s="94" t="str">
        <f>COUNTIF($R$15:W396,W396)&amp;W396</f>
        <v>1131NL300061</v>
      </c>
      <c r="Y396" s="95">
        <f>IFERROR(VLOOKUP(X396,FAST!$B$7:$M$9722,12,0),"0")</f>
        <v>0.6</v>
      </c>
      <c r="Z396" s="95">
        <f>IFERROR(VLOOKUP(X396,FAST!$B$7:$N$9722,13,0),"0")</f>
        <v>38000</v>
      </c>
      <c r="AA396" s="96">
        <f t="shared" si="26"/>
        <v>22800</v>
      </c>
      <c r="AB396" s="97">
        <f t="shared" si="27"/>
        <v>0</v>
      </c>
      <c r="AC396" s="98">
        <f t="shared" si="28"/>
        <v>0</v>
      </c>
      <c r="AD396" s="99">
        <f t="shared" si="29"/>
        <v>0</v>
      </c>
    </row>
    <row r="397" spans="1:30" x14ac:dyDescent="0.25">
      <c r="A397" s="41"/>
      <c r="B397" s="41"/>
      <c r="C397" s="52" t="s">
        <v>488</v>
      </c>
      <c r="D397" s="52" t="s">
        <v>426</v>
      </c>
      <c r="E397" s="52" t="s">
        <v>427</v>
      </c>
      <c r="F397" s="41"/>
      <c r="G397" s="41"/>
      <c r="H397" s="41"/>
      <c r="I397" s="41"/>
      <c r="J397" s="41" t="s">
        <v>31</v>
      </c>
      <c r="K397" s="41" t="s">
        <v>17</v>
      </c>
      <c r="L397" s="73">
        <v>2.5</v>
      </c>
      <c r="M397" s="74">
        <v>27000</v>
      </c>
      <c r="N397" s="74">
        <v>67500</v>
      </c>
      <c r="U397" s="41" t="str">
        <f>VLOOKUP(J397,Sheet1!$A$2:$D$200,4,0)</f>
        <v>NL300088</v>
      </c>
      <c r="V397" s="41" t="str">
        <f>VLOOKUP(U397,Sheet1!$D$2:$E$200,2,0)</f>
        <v>Mướp hương</v>
      </c>
      <c r="W397" s="94" t="str">
        <f t="shared" si="30"/>
        <v>131NL300088</v>
      </c>
      <c r="X397" s="94" t="str">
        <f>COUNTIF($R$15:W397,W397)&amp;W397</f>
        <v>1131NL300088</v>
      </c>
      <c r="Y397" s="95">
        <f>IFERROR(VLOOKUP(X397,FAST!$B$7:$M$9722,12,0),"0")</f>
        <v>2.5</v>
      </c>
      <c r="Z397" s="95">
        <f>IFERROR(VLOOKUP(X397,FAST!$B$7:$N$9722,13,0),"0")</f>
        <v>27000</v>
      </c>
      <c r="AA397" s="96">
        <f t="shared" si="26"/>
        <v>67500</v>
      </c>
      <c r="AB397" s="97">
        <f t="shared" si="27"/>
        <v>0</v>
      </c>
      <c r="AC397" s="98">
        <f t="shared" si="28"/>
        <v>0</v>
      </c>
      <c r="AD397" s="99">
        <f t="shared" si="29"/>
        <v>0</v>
      </c>
    </row>
    <row r="398" spans="1:30" x14ac:dyDescent="0.25">
      <c r="A398" s="41"/>
      <c r="B398" s="41"/>
      <c r="C398" s="52" t="s">
        <v>488</v>
      </c>
      <c r="D398" s="52" t="s">
        <v>426</v>
      </c>
      <c r="E398" s="52" t="s">
        <v>427</v>
      </c>
      <c r="F398" s="41"/>
      <c r="G398" s="41"/>
      <c r="H398" s="41"/>
      <c r="I398" s="41"/>
      <c r="J398" s="41" t="s">
        <v>41</v>
      </c>
      <c r="K398" s="41" t="s">
        <v>17</v>
      </c>
      <c r="L398" s="73">
        <v>2</v>
      </c>
      <c r="M398" s="74">
        <v>45000</v>
      </c>
      <c r="N398" s="74">
        <v>90000</v>
      </c>
      <c r="U398" s="41" t="str">
        <f>VLOOKUP(J398,Sheet1!$A$2:$D$200,4,0)</f>
        <v>NL300096</v>
      </c>
      <c r="V398" s="41" t="str">
        <f>VLOOKUP(U398,Sheet1!$D$2:$E$200,2,0)</f>
        <v>Nấm kim châm tươi</v>
      </c>
      <c r="W398" s="94" t="str">
        <f t="shared" si="30"/>
        <v>131NL300096</v>
      </c>
      <c r="X398" s="94" t="str">
        <f>COUNTIF($R$15:W398,W398)&amp;W398</f>
        <v>1131NL300096</v>
      </c>
      <c r="Y398" s="95">
        <f>IFERROR(VLOOKUP(X398,FAST!$B$7:$M$9722,12,0),"0")</f>
        <v>2</v>
      </c>
      <c r="Z398" s="95">
        <f>IFERROR(VLOOKUP(X398,FAST!$B$7:$N$9722,13,0),"0")</f>
        <v>45000</v>
      </c>
      <c r="AA398" s="96">
        <f t="shared" si="26"/>
        <v>90000</v>
      </c>
      <c r="AB398" s="97">
        <f t="shared" si="27"/>
        <v>0</v>
      </c>
      <c r="AC398" s="98">
        <f t="shared" si="28"/>
        <v>0</v>
      </c>
      <c r="AD398" s="99">
        <f t="shared" si="29"/>
        <v>0</v>
      </c>
    </row>
    <row r="399" spans="1:30" x14ac:dyDescent="0.25">
      <c r="A399" s="41"/>
      <c r="B399" s="41"/>
      <c r="C399" s="52" t="s">
        <v>488</v>
      </c>
      <c r="D399" s="52" t="s">
        <v>426</v>
      </c>
      <c r="E399" s="52" t="s">
        <v>427</v>
      </c>
      <c r="F399" s="41"/>
      <c r="G399" s="41"/>
      <c r="H399" s="41"/>
      <c r="I399" s="41"/>
      <c r="J399" s="41" t="s">
        <v>42</v>
      </c>
      <c r="K399" s="41" t="s">
        <v>17</v>
      </c>
      <c r="L399" s="73">
        <v>1</v>
      </c>
      <c r="M399" s="74">
        <v>90000</v>
      </c>
      <c r="N399" s="74">
        <v>90000</v>
      </c>
      <c r="U399" s="41" t="str">
        <f>VLOOKUP(J399,Sheet1!$A$2:$D$200,4,0)</f>
        <v>NL300097</v>
      </c>
      <c r="V399" s="41" t="str">
        <f>VLOOKUP(U399,Sheet1!$D$2:$E$200,2,0)</f>
        <v>Nấm Linh Chi nâu</v>
      </c>
      <c r="W399" s="94" t="str">
        <f t="shared" si="30"/>
        <v>131NL300097</v>
      </c>
      <c r="X399" s="94" t="str">
        <f>COUNTIF($R$15:W399,W399)&amp;W399</f>
        <v>1131NL300097</v>
      </c>
      <c r="Y399" s="95">
        <f>IFERROR(VLOOKUP(X399,FAST!$B$7:$M$9722,12,0),"0")</f>
        <v>1</v>
      </c>
      <c r="Z399" s="95">
        <f>IFERROR(VLOOKUP(X399,FAST!$B$7:$N$9722,13,0),"0")</f>
        <v>90000</v>
      </c>
      <c r="AA399" s="96">
        <f t="shared" si="26"/>
        <v>90000</v>
      </c>
      <c r="AB399" s="97">
        <f t="shared" si="27"/>
        <v>0</v>
      </c>
      <c r="AC399" s="98">
        <f t="shared" si="28"/>
        <v>0</v>
      </c>
      <c r="AD399" s="99">
        <f t="shared" si="29"/>
        <v>0</v>
      </c>
    </row>
    <row r="400" spans="1:30" x14ac:dyDescent="0.25">
      <c r="A400" s="41"/>
      <c r="B400" s="41"/>
      <c r="C400" s="52" t="s">
        <v>488</v>
      </c>
      <c r="D400" s="52" t="s">
        <v>426</v>
      </c>
      <c r="E400" s="52" t="s">
        <v>427</v>
      </c>
      <c r="F400" s="41"/>
      <c r="G400" s="41"/>
      <c r="H400" s="41"/>
      <c r="I400" s="41"/>
      <c r="J400" s="41" t="s">
        <v>51</v>
      </c>
      <c r="K400" s="41" t="s">
        <v>17</v>
      </c>
      <c r="L400" s="73">
        <v>0.5</v>
      </c>
      <c r="M400" s="74">
        <v>148000</v>
      </c>
      <c r="N400" s="74">
        <v>74000</v>
      </c>
      <c r="U400" s="41" t="str">
        <f>VLOOKUP(J400,Sheet1!$A$2:$D$200,4,0)</f>
        <v>NL300116</v>
      </c>
      <c r="V400" s="41" t="str">
        <f>VLOOKUP(U400,Sheet1!$D$2:$E$200,2,0)</f>
        <v>Ớt sừng</v>
      </c>
      <c r="W400" s="94" t="str">
        <f t="shared" si="30"/>
        <v>131NL300116</v>
      </c>
      <c r="X400" s="94" t="str">
        <f>COUNTIF($R$15:W400,W400)&amp;W400</f>
        <v>1131NL300116</v>
      </c>
      <c r="Y400" s="95">
        <f>IFERROR(VLOOKUP(X400,FAST!$B$7:$M$9722,12,0),"0")</f>
        <v>0.5</v>
      </c>
      <c r="Z400" s="95">
        <f>IFERROR(VLOOKUP(X400,FAST!$B$7:$N$9722,13,0),"0")</f>
        <v>148000</v>
      </c>
      <c r="AA400" s="96">
        <f t="shared" ref="AA400:AA460" si="31">Y400*Z400</f>
        <v>74000</v>
      </c>
      <c r="AB400" s="97">
        <f t="shared" ref="AB400:AB460" si="32">Y400-L400</f>
        <v>0</v>
      </c>
      <c r="AC400" s="98">
        <f t="shared" ref="AC400:AC460" si="33">Z400-M400</f>
        <v>0</v>
      </c>
      <c r="AD400" s="99">
        <f t="shared" ref="AD400:AD460" si="34">AA400-N400</f>
        <v>0</v>
      </c>
    </row>
    <row r="401" spans="1:30" x14ac:dyDescent="0.25">
      <c r="A401" s="41"/>
      <c r="B401" s="41"/>
      <c r="C401" s="52" t="s">
        <v>488</v>
      </c>
      <c r="D401" s="52" t="s">
        <v>426</v>
      </c>
      <c r="E401" s="52" t="s">
        <v>427</v>
      </c>
      <c r="F401" s="41"/>
      <c r="G401" s="41"/>
      <c r="H401" s="41"/>
      <c r="I401" s="41"/>
      <c r="J401" s="41" t="s">
        <v>60</v>
      </c>
      <c r="K401" s="41" t="s">
        <v>17</v>
      </c>
      <c r="L401" s="73">
        <v>0.7</v>
      </c>
      <c r="M401" s="74">
        <v>21000</v>
      </c>
      <c r="N401" s="74">
        <v>14699.999999999998</v>
      </c>
      <c r="U401" s="41" t="str">
        <f>VLOOKUP(J401,Sheet1!$A$2:$D$200,4,0)</f>
        <v>NL300119</v>
      </c>
      <c r="V401" s="41" t="str">
        <f>VLOOKUP(U401,Sheet1!$D$2:$E$200,2,0)</f>
        <v>Quất ( Tắc trái )</v>
      </c>
      <c r="W401" s="94" t="str">
        <f t="shared" si="30"/>
        <v>131NL300119</v>
      </c>
      <c r="X401" s="94" t="str">
        <f>COUNTIF($R$15:W401,W401)&amp;W401</f>
        <v>1131NL300119</v>
      </c>
      <c r="Y401" s="95">
        <f>IFERROR(VLOOKUP(X401,FAST!$B$7:$M$9722,12,0),"0")</f>
        <v>0.7</v>
      </c>
      <c r="Z401" s="95">
        <f>IFERROR(VLOOKUP(X401,FAST!$B$7:$N$9722,13,0),"0")</f>
        <v>21000</v>
      </c>
      <c r="AA401" s="96">
        <f t="shared" si="31"/>
        <v>14699.999999999998</v>
      </c>
      <c r="AB401" s="97">
        <f t="shared" si="32"/>
        <v>0</v>
      </c>
      <c r="AC401" s="98">
        <f t="shared" si="33"/>
        <v>0</v>
      </c>
      <c r="AD401" s="99">
        <f t="shared" si="34"/>
        <v>0</v>
      </c>
    </row>
    <row r="402" spans="1:30" x14ac:dyDescent="0.25">
      <c r="A402" s="41"/>
      <c r="B402" s="41"/>
      <c r="C402" s="52" t="s">
        <v>488</v>
      </c>
      <c r="D402" s="52" t="s">
        <v>426</v>
      </c>
      <c r="E402" s="52" t="s">
        <v>427</v>
      </c>
      <c r="F402" s="41"/>
      <c r="G402" s="41"/>
      <c r="H402" s="41"/>
      <c r="I402" s="41"/>
      <c r="J402" s="41" t="s">
        <v>52</v>
      </c>
      <c r="K402" s="41" t="s">
        <v>53</v>
      </c>
      <c r="L402" s="73">
        <v>30</v>
      </c>
      <c r="M402" s="74">
        <v>5000</v>
      </c>
      <c r="N402" s="74">
        <v>150000</v>
      </c>
      <c r="U402" s="41" t="str">
        <f>VLOOKUP(J402,Sheet1!$A$2:$D$200,4,0)</f>
        <v>NL100101</v>
      </c>
      <c r="V402" s="41" t="str">
        <f>VLOOKUP(U402,Sheet1!$D$2:$E$200,2,0)</f>
        <v>Trứng vịt muối</v>
      </c>
      <c r="W402" s="94" t="str">
        <f t="shared" si="30"/>
        <v>131NL100101</v>
      </c>
      <c r="X402" s="94" t="str">
        <f>COUNTIF($R$15:W402,W402)&amp;W402</f>
        <v>1131NL100101</v>
      </c>
      <c r="Y402" s="95">
        <f>IFERROR(VLOOKUP(X402,FAST!$B$7:$M$9722,12,0),"0")</f>
        <v>28</v>
      </c>
      <c r="Z402" s="95">
        <f>IFERROR(VLOOKUP(X402,FAST!$B$7:$N$9722,13,0),"0")</f>
        <v>5000</v>
      </c>
      <c r="AA402" s="96">
        <f t="shared" si="31"/>
        <v>140000</v>
      </c>
      <c r="AB402" s="97">
        <f t="shared" si="32"/>
        <v>-2</v>
      </c>
      <c r="AC402" s="98">
        <f t="shared" si="33"/>
        <v>0</v>
      </c>
      <c r="AD402" s="99">
        <f t="shared" si="34"/>
        <v>-10000</v>
      </c>
    </row>
    <row r="403" spans="1:30" x14ac:dyDescent="0.25">
      <c r="A403" s="41"/>
      <c r="B403" s="41"/>
      <c r="C403" s="52" t="s">
        <v>488</v>
      </c>
      <c r="D403" s="52" t="s">
        <v>426</v>
      </c>
      <c r="E403" s="52" t="s">
        <v>427</v>
      </c>
      <c r="F403" s="41"/>
      <c r="G403" s="41"/>
      <c r="H403" s="41"/>
      <c r="I403" s="41"/>
      <c r="J403" s="41" t="s">
        <v>37</v>
      </c>
      <c r="K403" s="41" t="s">
        <v>17</v>
      </c>
      <c r="L403" s="73">
        <v>2.5</v>
      </c>
      <c r="M403" s="74">
        <v>62000</v>
      </c>
      <c r="N403" s="74">
        <v>155000</v>
      </c>
      <c r="U403" s="41" t="str">
        <f>VLOOKUP(J403,Sheet1!$A$2:$D$200,4,0)</f>
        <v>NL300147</v>
      </c>
      <c r="V403" s="41" t="str">
        <f>VLOOKUP(U403,Sheet1!$D$2:$E$200,2,0)</f>
        <v>Xà lách Roman</v>
      </c>
      <c r="W403" s="94" t="str">
        <f t="shared" si="30"/>
        <v>131NL300147</v>
      </c>
      <c r="X403" s="94" t="str">
        <f>COUNTIF($R$15:W403,W403)&amp;W403</f>
        <v>1131NL300147</v>
      </c>
      <c r="Y403" s="95">
        <f>IFERROR(VLOOKUP(X403,FAST!$B$7:$M$9722,12,0),"0")</f>
        <v>2</v>
      </c>
      <c r="Z403" s="95">
        <f>IFERROR(VLOOKUP(X403,FAST!$B$7:$N$9722,13,0),"0")</f>
        <v>62000</v>
      </c>
      <c r="AA403" s="96">
        <f t="shared" si="31"/>
        <v>124000</v>
      </c>
      <c r="AB403" s="97">
        <f t="shared" si="32"/>
        <v>-0.5</v>
      </c>
      <c r="AC403" s="98">
        <f t="shared" si="33"/>
        <v>0</v>
      </c>
      <c r="AD403" s="99">
        <f t="shared" si="34"/>
        <v>-31000</v>
      </c>
    </row>
    <row r="404" spans="1:30" x14ac:dyDescent="0.25">
      <c r="A404" s="41"/>
      <c r="B404" s="41"/>
      <c r="C404" s="52" t="s">
        <v>488</v>
      </c>
      <c r="D404" s="52" t="s">
        <v>426</v>
      </c>
      <c r="E404" s="52" t="s">
        <v>427</v>
      </c>
      <c r="F404" s="41"/>
      <c r="G404" s="41"/>
      <c r="H404" s="41"/>
      <c r="I404" s="41"/>
      <c r="J404" s="41" t="s">
        <v>24</v>
      </c>
      <c r="K404" s="41" t="s">
        <v>17</v>
      </c>
      <c r="L404" s="73">
        <v>2</v>
      </c>
      <c r="M404" s="74">
        <v>30000</v>
      </c>
      <c r="N404" s="74">
        <v>60000</v>
      </c>
      <c r="U404" s="41" t="str">
        <f>VLOOKUP(J404,Sheet1!$A$2:$D$200,4,0)</f>
        <v>NL300020</v>
      </c>
      <c r="V404" s="41" t="str">
        <f>VLOOKUP(U404,Sheet1!$D$2:$E$200,2,0)</f>
        <v>Cải ngồng</v>
      </c>
      <c r="W404" s="94" t="str">
        <f t="shared" si="30"/>
        <v>131NL300020</v>
      </c>
      <c r="X404" s="94" t="str">
        <f>COUNTIF($R$15:W404,W404)&amp;W404</f>
        <v>1131NL300020</v>
      </c>
      <c r="Y404" s="95">
        <f>IFERROR(VLOOKUP(X404,FAST!$B$7:$M$9722,12,0),"0")</f>
        <v>1</v>
      </c>
      <c r="Z404" s="95">
        <f>IFERROR(VLOOKUP(X404,FAST!$B$7:$N$9722,13,0),"0")</f>
        <v>30000</v>
      </c>
      <c r="AA404" s="96">
        <f t="shared" si="31"/>
        <v>30000</v>
      </c>
      <c r="AB404" s="97">
        <f t="shared" si="32"/>
        <v>-1</v>
      </c>
      <c r="AC404" s="98">
        <f t="shared" si="33"/>
        <v>0</v>
      </c>
      <c r="AD404" s="99">
        <f t="shared" si="34"/>
        <v>-30000</v>
      </c>
    </row>
    <row r="405" spans="1:30" x14ac:dyDescent="0.25">
      <c r="A405" s="41"/>
      <c r="B405" s="41"/>
      <c r="C405" s="52" t="s">
        <v>488</v>
      </c>
      <c r="D405" s="52" t="s">
        <v>426</v>
      </c>
      <c r="E405" s="52" t="s">
        <v>427</v>
      </c>
      <c r="F405" s="41"/>
      <c r="G405" s="41"/>
      <c r="H405" s="41"/>
      <c r="I405" s="41"/>
      <c r="J405" s="41" t="s">
        <v>76</v>
      </c>
      <c r="K405" s="41" t="s">
        <v>17</v>
      </c>
      <c r="L405" s="73">
        <v>0.2</v>
      </c>
      <c r="M405" s="74">
        <v>80000</v>
      </c>
      <c r="N405" s="74">
        <v>16000</v>
      </c>
      <c r="U405" s="41" t="str">
        <f>VLOOKUP(J405,Sheet1!$A$2:$D$200,4,0)</f>
        <v>NL300055</v>
      </c>
      <c r="V405" s="41" t="str">
        <f>VLOOKUP(U405,Sheet1!$D$2:$E$200,2,0)</f>
        <v>Hành bóc</v>
      </c>
      <c r="W405" s="94" t="str">
        <f t="shared" si="30"/>
        <v>131NL300055</v>
      </c>
      <c r="X405" s="94" t="str">
        <f>COUNTIF($R$15:W405,W405)&amp;W405</f>
        <v>1131NL300055</v>
      </c>
      <c r="Y405" s="95">
        <f>IFERROR(VLOOKUP(X405,FAST!$B$7:$M$9722,12,0),"0")</f>
        <v>0.2</v>
      </c>
      <c r="Z405" s="95">
        <f>IFERROR(VLOOKUP(X405,FAST!$B$7:$N$9722,13,0),"0")</f>
        <v>80000</v>
      </c>
      <c r="AA405" s="96">
        <f t="shared" si="31"/>
        <v>16000</v>
      </c>
      <c r="AB405" s="97">
        <f t="shared" si="32"/>
        <v>0</v>
      </c>
      <c r="AC405" s="98">
        <f t="shared" si="33"/>
        <v>0</v>
      </c>
      <c r="AD405" s="99">
        <f t="shared" si="34"/>
        <v>0</v>
      </c>
    </row>
    <row r="406" spans="1:30" x14ac:dyDescent="0.25">
      <c r="A406" s="41"/>
      <c r="B406" s="41"/>
      <c r="C406" s="52" t="s">
        <v>488</v>
      </c>
      <c r="D406" s="52" t="s">
        <v>426</v>
      </c>
      <c r="E406" s="52" t="s">
        <v>427</v>
      </c>
      <c r="F406" s="41"/>
      <c r="G406" s="41"/>
      <c r="H406" s="41"/>
      <c r="I406" s="41"/>
      <c r="J406" s="41" t="s">
        <v>39</v>
      </c>
      <c r="K406" s="41" t="s">
        <v>17</v>
      </c>
      <c r="L406" s="73">
        <v>2.9</v>
      </c>
      <c r="M406" s="74">
        <v>145000</v>
      </c>
      <c r="N406" s="74">
        <v>420500</v>
      </c>
      <c r="U406" s="41" t="str">
        <f>VLOOKUP(J406,Sheet1!$A$2:$D$200,4,0)</f>
        <v>NL300090</v>
      </c>
      <c r="V406" s="41" t="str">
        <f>VLOOKUP(U406,Sheet1!$D$2:$E$200,2,0)</f>
        <v>Nấm đông cô tươi</v>
      </c>
      <c r="W406" s="94" t="str">
        <f t="shared" si="30"/>
        <v>131NL300090</v>
      </c>
      <c r="X406" s="94" t="str">
        <f>COUNTIF($R$15:W406,W406)&amp;W406</f>
        <v>1131NL300090</v>
      </c>
      <c r="Y406" s="95">
        <f>IFERROR(VLOOKUP(X406,FAST!$B$7:$M$9722,12,0),"0")</f>
        <v>2.9</v>
      </c>
      <c r="Z406" s="95">
        <f>IFERROR(VLOOKUP(X406,FAST!$B$7:$N$9722,13,0),"0")</f>
        <v>145000</v>
      </c>
      <c r="AA406" s="96">
        <f t="shared" si="31"/>
        <v>420500</v>
      </c>
      <c r="AB406" s="97">
        <f t="shared" si="32"/>
        <v>0</v>
      </c>
      <c r="AC406" s="98">
        <f t="shared" si="33"/>
        <v>0</v>
      </c>
      <c r="AD406" s="99">
        <f t="shared" si="34"/>
        <v>0</v>
      </c>
    </row>
    <row r="407" spans="1:30" x14ac:dyDescent="0.25">
      <c r="A407" s="41"/>
      <c r="B407" s="41"/>
      <c r="C407" s="52" t="s">
        <v>488</v>
      </c>
      <c r="D407" s="52" t="s">
        <v>426</v>
      </c>
      <c r="E407" s="52" t="s">
        <v>427</v>
      </c>
      <c r="F407" s="41"/>
      <c r="G407" s="41"/>
      <c r="H407" s="41"/>
      <c r="I407" s="41"/>
      <c r="J407" s="41" t="s">
        <v>43</v>
      </c>
      <c r="K407" s="41" t="s">
        <v>17</v>
      </c>
      <c r="L407" s="73">
        <v>0.8</v>
      </c>
      <c r="M407" s="74">
        <v>90000</v>
      </c>
      <c r="N407" s="74">
        <v>72000</v>
      </c>
      <c r="U407" s="41" t="str">
        <f>VLOOKUP(J407,Sheet1!$A$2:$D$200,4,0)</f>
        <v>NL300092</v>
      </c>
      <c r="V407" s="41" t="str">
        <f>VLOOKUP(U407,Sheet1!$D$2:$E$200,2,0)</f>
        <v>Nấm đùi gà baby</v>
      </c>
      <c r="W407" s="94" t="str">
        <f t="shared" si="30"/>
        <v>131NL300092</v>
      </c>
      <c r="X407" s="94" t="str">
        <f>COUNTIF($R$15:W407,W407)&amp;W407</f>
        <v>1131NL300092</v>
      </c>
      <c r="Y407" s="95">
        <f>IFERROR(VLOOKUP(X407,FAST!$B$7:$M$9722,12,0),"0")</f>
        <v>0.8</v>
      </c>
      <c r="Z407" s="95">
        <f>IFERROR(VLOOKUP(X407,FAST!$B$7:$N$9722,13,0),"0")</f>
        <v>90000</v>
      </c>
      <c r="AA407" s="96">
        <f t="shared" si="31"/>
        <v>72000</v>
      </c>
      <c r="AB407" s="97">
        <f t="shared" si="32"/>
        <v>0</v>
      </c>
      <c r="AC407" s="98">
        <f t="shared" si="33"/>
        <v>0</v>
      </c>
      <c r="AD407" s="99">
        <f t="shared" si="34"/>
        <v>0</v>
      </c>
    </row>
    <row r="408" spans="1:30" x14ac:dyDescent="0.25">
      <c r="A408" s="41"/>
      <c r="B408" s="41"/>
      <c r="C408" s="52" t="s">
        <v>489</v>
      </c>
      <c r="D408" s="52" t="s">
        <v>426</v>
      </c>
      <c r="E408" s="52" t="s">
        <v>427</v>
      </c>
      <c r="F408" s="41"/>
      <c r="G408" s="41"/>
      <c r="H408" s="41"/>
      <c r="I408" s="41"/>
      <c r="J408" s="41" t="s">
        <v>54</v>
      </c>
      <c r="K408" s="41" t="s">
        <v>17</v>
      </c>
      <c r="L408" s="73">
        <v>2</v>
      </c>
      <c r="M408" s="74">
        <v>15000</v>
      </c>
      <c r="N408" s="74">
        <v>30000</v>
      </c>
      <c r="U408" s="41" t="str">
        <f>VLOOKUP(J408,Sheet1!$A$2:$D$200,4,0)</f>
        <v>NL300189</v>
      </c>
      <c r="V408" s="41" t="str">
        <f>VLOOKUP(U408,Sheet1!$D$2:$E$200,2,0)</f>
        <v>Bánh ướt</v>
      </c>
      <c r="W408" s="94" t="str">
        <f t="shared" ref="W408:W460" si="35">DAY(C408)&amp;MONTH(C408)&amp;U408</f>
        <v>141NL300189</v>
      </c>
      <c r="X408" s="94" t="str">
        <f>COUNTIF($R$15:W408,W408)&amp;W408</f>
        <v>1141NL300189</v>
      </c>
      <c r="Y408" s="95">
        <f>IFERROR(VLOOKUP(X408,FAST!$B$7:$M$9722,12,0),"0")</f>
        <v>1.5</v>
      </c>
      <c r="Z408" s="95">
        <f>IFERROR(VLOOKUP(X408,FAST!$B$7:$N$9722,13,0),"0")</f>
        <v>15000</v>
      </c>
      <c r="AA408" s="96">
        <f t="shared" si="31"/>
        <v>22500</v>
      </c>
      <c r="AB408" s="97">
        <f t="shared" si="32"/>
        <v>-0.5</v>
      </c>
      <c r="AC408" s="98">
        <f t="shared" si="33"/>
        <v>0</v>
      </c>
      <c r="AD408" s="99">
        <f t="shared" si="34"/>
        <v>-7500</v>
      </c>
    </row>
    <row r="409" spans="1:30" x14ac:dyDescent="0.25">
      <c r="A409" s="41"/>
      <c r="B409" s="41"/>
      <c r="C409" s="52" t="s">
        <v>489</v>
      </c>
      <c r="D409" s="52" t="s">
        <v>426</v>
      </c>
      <c r="E409" s="52" t="s">
        <v>427</v>
      </c>
      <c r="F409" s="41"/>
      <c r="G409" s="41"/>
      <c r="H409" s="41"/>
      <c r="I409" s="41"/>
      <c r="J409" s="41" t="s">
        <v>16</v>
      </c>
      <c r="K409" s="41" t="s">
        <v>17</v>
      </c>
      <c r="L409" s="73">
        <v>1.6</v>
      </c>
      <c r="M409" s="74">
        <v>19000</v>
      </c>
      <c r="N409" s="74">
        <v>30400</v>
      </c>
      <c r="U409" s="41" t="str">
        <f>VLOOKUP(J409,Sheet1!$A$2:$D$200,4,0)</f>
        <v>NL300004</v>
      </c>
      <c r="V409" s="41" t="str">
        <f>VLOOKUP(U409,Sheet1!$D$2:$E$200,2,0)</f>
        <v>Bắp cải trắng</v>
      </c>
      <c r="W409" s="94" t="str">
        <f t="shared" si="35"/>
        <v>141NL300004</v>
      </c>
      <c r="X409" s="94" t="str">
        <f>COUNTIF($R$15:W409,W409)&amp;W409</f>
        <v>1141NL300004</v>
      </c>
      <c r="Y409" s="95">
        <f>IFERROR(VLOOKUP(X409,FAST!$B$7:$M$9722,12,0),"0")</f>
        <v>1.3</v>
      </c>
      <c r="Z409" s="95">
        <f>IFERROR(VLOOKUP(X409,FAST!$B$7:$N$9722,13,0),"0")</f>
        <v>19000</v>
      </c>
      <c r="AA409" s="96">
        <f t="shared" si="31"/>
        <v>24700</v>
      </c>
      <c r="AB409" s="97">
        <f t="shared" si="32"/>
        <v>-0.30000000000000004</v>
      </c>
      <c r="AC409" s="98">
        <f t="shared" si="33"/>
        <v>0</v>
      </c>
      <c r="AD409" s="99">
        <f t="shared" si="34"/>
        <v>-5700</v>
      </c>
    </row>
    <row r="410" spans="1:30" x14ac:dyDescent="0.25">
      <c r="A410" s="41"/>
      <c r="B410" s="41"/>
      <c r="C410" s="52" t="s">
        <v>489</v>
      </c>
      <c r="D410" s="52" t="s">
        <v>426</v>
      </c>
      <c r="E410" s="52" t="s">
        <v>427</v>
      </c>
      <c r="F410" s="41"/>
      <c r="G410" s="41"/>
      <c r="H410" s="41"/>
      <c r="I410" s="41"/>
      <c r="J410" s="41" t="s">
        <v>20</v>
      </c>
      <c r="K410" s="41" t="s">
        <v>21</v>
      </c>
      <c r="L410" s="73">
        <v>8</v>
      </c>
      <c r="M410" s="74">
        <v>8500</v>
      </c>
      <c r="N410" s="74">
        <v>68000</v>
      </c>
      <c r="U410" s="41" t="str">
        <f>VLOOKUP(J410,Sheet1!$A$2:$D$200,4,0)</f>
        <v>NL300107</v>
      </c>
      <c r="V410" s="41" t="str">
        <f>VLOOKUP(U410,Sheet1!$D$2:$E$200,2,0)</f>
        <v>Ngô ngọt ( Bắp trái)</v>
      </c>
      <c r="W410" s="94" t="str">
        <f t="shared" si="35"/>
        <v>141NL300107</v>
      </c>
      <c r="X410" s="94" t="str">
        <f>COUNTIF($R$15:W410,W410)&amp;W410</f>
        <v>1141NL300107</v>
      </c>
      <c r="Y410" s="95">
        <f>IFERROR(VLOOKUP(X410,FAST!$B$7:$M$9722,12,0),"0")</f>
        <v>8</v>
      </c>
      <c r="Z410" s="95">
        <f>IFERROR(VLOOKUP(X410,FAST!$B$7:$N$9722,13,0),"0")</f>
        <v>8500</v>
      </c>
      <c r="AA410" s="96">
        <f t="shared" si="31"/>
        <v>68000</v>
      </c>
      <c r="AB410" s="97">
        <f t="shared" si="32"/>
        <v>0</v>
      </c>
      <c r="AC410" s="98">
        <f t="shared" si="33"/>
        <v>0</v>
      </c>
      <c r="AD410" s="99">
        <f t="shared" si="34"/>
        <v>0</v>
      </c>
    </row>
    <row r="411" spans="1:30" x14ac:dyDescent="0.25">
      <c r="A411" s="41"/>
      <c r="B411" s="41"/>
      <c r="C411" s="52" t="s">
        <v>489</v>
      </c>
      <c r="D411" s="52" t="s">
        <v>426</v>
      </c>
      <c r="E411" s="52" t="s">
        <v>427</v>
      </c>
      <c r="F411" s="41"/>
      <c r="G411" s="41"/>
      <c r="H411" s="41"/>
      <c r="I411" s="41"/>
      <c r="J411" s="41" t="s">
        <v>23</v>
      </c>
      <c r="K411" s="41" t="s">
        <v>17</v>
      </c>
      <c r="L411" s="73">
        <v>2</v>
      </c>
      <c r="M411" s="74">
        <v>40000</v>
      </c>
      <c r="N411" s="74">
        <v>80000</v>
      </c>
      <c r="U411" s="41" t="str">
        <f>VLOOKUP(J411,Sheet1!$A$2:$D$200,4,0)</f>
        <v>NL300008</v>
      </c>
      <c r="V411" s="41" t="str">
        <f>VLOOKUP(U411,Sheet1!$D$2:$E$200,2,0)</f>
        <v>Bí ngòi</v>
      </c>
      <c r="W411" s="94" t="str">
        <f t="shared" si="35"/>
        <v>141NL300008</v>
      </c>
      <c r="X411" s="94" t="str">
        <f>COUNTIF($R$15:W411,W411)&amp;W411</f>
        <v>1141NL300008</v>
      </c>
      <c r="Y411" s="95">
        <f>IFERROR(VLOOKUP(X411,FAST!$B$7:$M$9722,12,0),"0")</f>
        <v>1.5</v>
      </c>
      <c r="Z411" s="95">
        <f>IFERROR(VLOOKUP(X411,FAST!$B$7:$N$9722,13,0),"0")</f>
        <v>40000</v>
      </c>
      <c r="AA411" s="96">
        <f t="shared" si="31"/>
        <v>60000</v>
      </c>
      <c r="AB411" s="97">
        <f t="shared" si="32"/>
        <v>-0.5</v>
      </c>
      <c r="AC411" s="98">
        <f t="shared" si="33"/>
        <v>0</v>
      </c>
      <c r="AD411" s="99">
        <f t="shared" si="34"/>
        <v>-20000</v>
      </c>
    </row>
    <row r="412" spans="1:30" x14ac:dyDescent="0.25">
      <c r="A412" s="41"/>
      <c r="B412" s="41"/>
      <c r="C412" s="52" t="s">
        <v>489</v>
      </c>
      <c r="D412" s="52" t="s">
        <v>426</v>
      </c>
      <c r="E412" s="52" t="s">
        <v>427</v>
      </c>
      <c r="F412" s="41"/>
      <c r="G412" s="41"/>
      <c r="H412" s="41"/>
      <c r="I412" s="41"/>
      <c r="J412" s="41" t="s">
        <v>50</v>
      </c>
      <c r="K412" s="41" t="s">
        <v>17</v>
      </c>
      <c r="L412" s="73">
        <v>3</v>
      </c>
      <c r="M412" s="74">
        <v>52000</v>
      </c>
      <c r="N412" s="74">
        <v>156000</v>
      </c>
      <c r="U412" s="41" t="str">
        <f>VLOOKUP(J412,Sheet1!$A$2:$D$200,4,0)</f>
        <v>NL300137</v>
      </c>
      <c r="V412" s="41" t="str">
        <f>VLOOKUP(U412,Sheet1!$D$2:$E$200,2,0)</f>
        <v>Súp lơ xanh</v>
      </c>
      <c r="W412" s="94" t="str">
        <f t="shared" si="35"/>
        <v>141NL300137</v>
      </c>
      <c r="X412" s="94" t="str">
        <f>COUNTIF($R$15:W412,W412)&amp;W412</f>
        <v>1141NL300137</v>
      </c>
      <c r="Y412" s="95">
        <f>IFERROR(VLOOKUP(X412,FAST!$B$7:$M$9722,12,0),"0")</f>
        <v>2</v>
      </c>
      <c r="Z412" s="95">
        <f>IFERROR(VLOOKUP(X412,FAST!$B$7:$N$9722,13,0),"0")</f>
        <v>52000</v>
      </c>
      <c r="AA412" s="96">
        <f t="shared" si="31"/>
        <v>104000</v>
      </c>
      <c r="AB412" s="97">
        <f t="shared" si="32"/>
        <v>-1</v>
      </c>
      <c r="AC412" s="98">
        <f t="shared" si="33"/>
        <v>0</v>
      </c>
      <c r="AD412" s="99">
        <f t="shared" si="34"/>
        <v>-52000</v>
      </c>
    </row>
    <row r="413" spans="1:30" x14ac:dyDescent="0.25">
      <c r="A413" s="41"/>
      <c r="B413" s="41"/>
      <c r="C413" s="52" t="s">
        <v>489</v>
      </c>
      <c r="D413" s="52" t="s">
        <v>426</v>
      </c>
      <c r="E413" s="52" t="s">
        <v>427</v>
      </c>
      <c r="F413" s="41"/>
      <c r="G413" s="41"/>
      <c r="H413" s="41"/>
      <c r="I413" s="41"/>
      <c r="J413" s="41" t="s">
        <v>70</v>
      </c>
      <c r="K413" s="41" t="s">
        <v>17</v>
      </c>
      <c r="L413" s="73">
        <v>0.5</v>
      </c>
      <c r="M413" s="74">
        <v>75000</v>
      </c>
      <c r="N413" s="74">
        <v>37500</v>
      </c>
      <c r="U413" s="41" t="str">
        <f>VLOOKUP(J413,Sheet1!$A$2:$D$200,4,0)</f>
        <v>NL300028</v>
      </c>
      <c r="V413" s="41" t="str">
        <f>VLOOKUP(U413,Sheet1!$D$2:$E$200,2,0)</f>
        <v>Cà rốt baby</v>
      </c>
      <c r="W413" s="94" t="str">
        <f t="shared" si="35"/>
        <v>141NL300028</v>
      </c>
      <c r="X413" s="94" t="str">
        <f>COUNTIF($R$15:W413,W413)&amp;W413</f>
        <v>1141NL300028</v>
      </c>
      <c r="Y413" s="95">
        <f>IFERROR(VLOOKUP(X413,FAST!$B$7:$M$9722,12,0),"0")</f>
        <v>0.5</v>
      </c>
      <c r="Z413" s="95">
        <f>IFERROR(VLOOKUP(X413,FAST!$B$7:$N$9722,13,0),"0")</f>
        <v>75000</v>
      </c>
      <c r="AA413" s="96">
        <f t="shared" si="31"/>
        <v>37500</v>
      </c>
      <c r="AB413" s="97">
        <f t="shared" si="32"/>
        <v>0</v>
      </c>
      <c r="AC413" s="98">
        <f t="shared" si="33"/>
        <v>0</v>
      </c>
      <c r="AD413" s="99">
        <f t="shared" si="34"/>
        <v>0</v>
      </c>
    </row>
    <row r="414" spans="1:30" x14ac:dyDescent="0.25">
      <c r="A414" s="41"/>
      <c r="B414" s="41"/>
      <c r="C414" s="52" t="s">
        <v>489</v>
      </c>
      <c r="D414" s="52" t="s">
        <v>426</v>
      </c>
      <c r="E414" s="52" t="s">
        <v>427</v>
      </c>
      <c r="F414" s="41"/>
      <c r="G414" s="41"/>
      <c r="H414" s="41"/>
      <c r="I414" s="41"/>
      <c r="J414" s="41" t="s">
        <v>24</v>
      </c>
      <c r="K414" s="41" t="s">
        <v>17</v>
      </c>
      <c r="L414" s="73">
        <v>2</v>
      </c>
      <c r="M414" s="74">
        <v>30000</v>
      </c>
      <c r="N414" s="74">
        <v>60000</v>
      </c>
      <c r="U414" s="41" t="str">
        <f>VLOOKUP(J414,Sheet1!$A$2:$D$200,4,0)</f>
        <v>NL300020</v>
      </c>
      <c r="V414" s="41" t="str">
        <f>VLOOKUP(U414,Sheet1!$D$2:$E$200,2,0)</f>
        <v>Cải ngồng</v>
      </c>
      <c r="W414" s="94" t="str">
        <f t="shared" si="35"/>
        <v>141NL300020</v>
      </c>
      <c r="X414" s="94" t="str">
        <f>COUNTIF($R$15:W414,W414)&amp;W414</f>
        <v>1141NL300020</v>
      </c>
      <c r="Y414" s="95">
        <f>IFERROR(VLOOKUP(X414,FAST!$B$7:$M$9722,12,0),"0")</f>
        <v>1</v>
      </c>
      <c r="Z414" s="95">
        <f>IFERROR(VLOOKUP(X414,FAST!$B$7:$N$9722,13,0),"0")</f>
        <v>30000</v>
      </c>
      <c r="AA414" s="96">
        <f t="shared" si="31"/>
        <v>30000</v>
      </c>
      <c r="AB414" s="97">
        <f t="shared" si="32"/>
        <v>-1</v>
      </c>
      <c r="AC414" s="98">
        <f t="shared" si="33"/>
        <v>0</v>
      </c>
      <c r="AD414" s="99">
        <f t="shared" si="34"/>
        <v>-30000</v>
      </c>
    </row>
    <row r="415" spans="1:30" x14ac:dyDescent="0.25">
      <c r="A415" s="41"/>
      <c r="B415" s="41"/>
      <c r="C415" s="52" t="s">
        <v>489</v>
      </c>
      <c r="D415" s="52" t="s">
        <v>426</v>
      </c>
      <c r="E415" s="52" t="s">
        <v>427</v>
      </c>
      <c r="F415" s="41"/>
      <c r="G415" s="41"/>
      <c r="H415" s="41"/>
      <c r="I415" s="41"/>
      <c r="J415" s="41" t="s">
        <v>56</v>
      </c>
      <c r="K415" s="41" t="s">
        <v>17</v>
      </c>
      <c r="L415" s="73">
        <v>0.9</v>
      </c>
      <c r="M415" s="74">
        <v>38000</v>
      </c>
      <c r="N415" s="74">
        <v>34200</v>
      </c>
      <c r="U415" s="41" t="str">
        <f>VLOOKUP(J415,Sheet1!$A$2:$D$200,4,0)</f>
        <v>NL300054</v>
      </c>
      <c r="V415" s="41" t="str">
        <f>VLOOKUP(U415,Sheet1!$D$2:$E$200,2,0)</f>
        <v>Gừng tàu</v>
      </c>
      <c r="W415" s="94" t="str">
        <f t="shared" si="35"/>
        <v>141NL300054</v>
      </c>
      <c r="X415" s="94" t="str">
        <f>COUNTIF($R$15:W415,W415)&amp;W415</f>
        <v>1141NL300054</v>
      </c>
      <c r="Y415" s="95">
        <f>IFERROR(VLOOKUP(X415,FAST!$B$7:$M$9722,12,0),"0")</f>
        <v>0.9</v>
      </c>
      <c r="Z415" s="95">
        <f>IFERROR(VLOOKUP(X415,FAST!$B$7:$N$9722,13,0),"0")</f>
        <v>38000</v>
      </c>
      <c r="AA415" s="96">
        <f t="shared" si="31"/>
        <v>34200</v>
      </c>
      <c r="AB415" s="97">
        <f t="shared" si="32"/>
        <v>0</v>
      </c>
      <c r="AC415" s="98">
        <f t="shared" si="33"/>
        <v>0</v>
      </c>
      <c r="AD415" s="99">
        <f t="shared" si="34"/>
        <v>0</v>
      </c>
    </row>
    <row r="416" spans="1:30" x14ac:dyDescent="0.25">
      <c r="A416" s="41"/>
      <c r="B416" s="41"/>
      <c r="C416" s="52" t="s">
        <v>489</v>
      </c>
      <c r="D416" s="52" t="s">
        <v>426</v>
      </c>
      <c r="E416" s="52" t="s">
        <v>427</v>
      </c>
      <c r="F416" s="41"/>
      <c r="G416" s="41"/>
      <c r="H416" s="41"/>
      <c r="I416" s="41"/>
      <c r="J416" s="41" t="s">
        <v>26</v>
      </c>
      <c r="K416" s="41" t="s">
        <v>17</v>
      </c>
      <c r="L416" s="73">
        <v>0.1</v>
      </c>
      <c r="M416" s="74">
        <v>25000</v>
      </c>
      <c r="N416" s="74">
        <v>2500</v>
      </c>
      <c r="U416" s="41" t="str">
        <f>VLOOKUP(J416,Sheet1!$A$2:$D$200,4,0)</f>
        <v>NL300035</v>
      </c>
      <c r="V416" s="41" t="str">
        <f>VLOOKUP(U416,Sheet1!$D$2:$E$200,2,0)</f>
        <v>Củ riềng</v>
      </c>
      <c r="W416" s="94" t="str">
        <f t="shared" si="35"/>
        <v>141NL300035</v>
      </c>
      <c r="X416" s="94" t="str">
        <f>COUNTIF($R$15:W416,W416)&amp;W416</f>
        <v>1141NL300035</v>
      </c>
      <c r="Y416" s="95">
        <f>IFERROR(VLOOKUP(X416,FAST!$B$7:$M$9722,12,0),"0")</f>
        <v>0.1</v>
      </c>
      <c r="Z416" s="95">
        <f>IFERROR(VLOOKUP(X416,FAST!$B$7:$N$9722,13,0),"0")</f>
        <v>25000</v>
      </c>
      <c r="AA416" s="96">
        <f t="shared" si="31"/>
        <v>2500</v>
      </c>
      <c r="AB416" s="97">
        <f t="shared" si="32"/>
        <v>0</v>
      </c>
      <c r="AC416" s="98">
        <f t="shared" si="33"/>
        <v>0</v>
      </c>
      <c r="AD416" s="99">
        <f t="shared" si="34"/>
        <v>0</v>
      </c>
    </row>
    <row r="417" spans="1:30" x14ac:dyDescent="0.25">
      <c r="A417" s="41"/>
      <c r="B417" s="41"/>
      <c r="C417" s="52" t="s">
        <v>489</v>
      </c>
      <c r="D417" s="52" t="s">
        <v>426</v>
      </c>
      <c r="E417" s="52" t="s">
        <v>427</v>
      </c>
      <c r="F417" s="41"/>
      <c r="G417" s="41"/>
      <c r="H417" s="41"/>
      <c r="I417" s="41"/>
      <c r="J417" s="41" t="s">
        <v>28</v>
      </c>
      <c r="K417" s="41" t="s">
        <v>17</v>
      </c>
      <c r="L417" s="73">
        <v>2</v>
      </c>
      <c r="M417" s="74">
        <v>32000</v>
      </c>
      <c r="N417" s="74">
        <v>64000</v>
      </c>
      <c r="U417" s="41" t="str">
        <f>VLOOKUP(J417,Sheet1!$A$2:$D$200,4,0)</f>
        <v>NL300038</v>
      </c>
      <c r="V417" s="41" t="str">
        <f>VLOOKUP(U417,Sheet1!$D$2:$E$200,2,0)</f>
        <v>Đậu bắp</v>
      </c>
      <c r="W417" s="94" t="str">
        <f t="shared" si="35"/>
        <v>141NL300038</v>
      </c>
      <c r="X417" s="94" t="str">
        <f>COUNTIF($R$15:W417,W417)&amp;W417</f>
        <v>1141NL300038</v>
      </c>
      <c r="Y417" s="95">
        <f>IFERROR(VLOOKUP(X417,FAST!$B$7:$M$9722,12,0),"0")</f>
        <v>1.5</v>
      </c>
      <c r="Z417" s="95">
        <f>IFERROR(VLOOKUP(X417,FAST!$B$7:$N$9722,13,0),"0")</f>
        <v>32000</v>
      </c>
      <c r="AA417" s="96">
        <f t="shared" si="31"/>
        <v>48000</v>
      </c>
      <c r="AB417" s="97">
        <f t="shared" si="32"/>
        <v>-0.5</v>
      </c>
      <c r="AC417" s="98">
        <f t="shared" si="33"/>
        <v>0</v>
      </c>
      <c r="AD417" s="99">
        <f t="shared" si="34"/>
        <v>-16000</v>
      </c>
    </row>
    <row r="418" spans="1:30" x14ac:dyDescent="0.25">
      <c r="A418" s="41"/>
      <c r="B418" s="41"/>
      <c r="C418" s="52" t="s">
        <v>489</v>
      </c>
      <c r="D418" s="52" t="s">
        <v>426</v>
      </c>
      <c r="E418" s="52" t="s">
        <v>427</v>
      </c>
      <c r="F418" s="41"/>
      <c r="G418" s="41"/>
      <c r="H418" s="41"/>
      <c r="I418" s="41"/>
      <c r="J418" s="41" t="s">
        <v>29</v>
      </c>
      <c r="K418" s="41" t="s">
        <v>17</v>
      </c>
      <c r="L418" s="73">
        <v>2</v>
      </c>
      <c r="M418" s="74">
        <v>55000</v>
      </c>
      <c r="N418" s="74">
        <v>110000</v>
      </c>
      <c r="U418" s="41" t="str">
        <f>VLOOKUP(J418,Sheet1!$A$2:$D$200,4,0)</f>
        <v>NL300058</v>
      </c>
      <c r="V418" s="41" t="str">
        <f>VLOOKUP(U418,Sheet1!$D$2:$E$200,2,0)</f>
        <v>Hành lá</v>
      </c>
      <c r="W418" s="94" t="str">
        <f t="shared" si="35"/>
        <v>141NL300058</v>
      </c>
      <c r="X418" s="94" t="str">
        <f>COUNTIF($R$15:W418,W418)&amp;W418</f>
        <v>1141NL300058</v>
      </c>
      <c r="Y418" s="95">
        <f>IFERROR(VLOOKUP(X418,FAST!$B$7:$M$9722,12,0),"0")</f>
        <v>1.2</v>
      </c>
      <c r="Z418" s="95">
        <f>IFERROR(VLOOKUP(X418,FAST!$B$7:$N$9722,13,0),"0")</f>
        <v>55000</v>
      </c>
      <c r="AA418" s="96">
        <f t="shared" si="31"/>
        <v>66000</v>
      </c>
      <c r="AB418" s="97">
        <f t="shared" si="32"/>
        <v>-0.8</v>
      </c>
      <c r="AC418" s="98">
        <f t="shared" si="33"/>
        <v>0</v>
      </c>
      <c r="AD418" s="99">
        <f t="shared" si="34"/>
        <v>-44000</v>
      </c>
    </row>
    <row r="419" spans="1:30" x14ac:dyDescent="0.25">
      <c r="A419" s="41"/>
      <c r="B419" s="41"/>
      <c r="C419" s="52" t="s">
        <v>489</v>
      </c>
      <c r="D419" s="52" t="s">
        <v>426</v>
      </c>
      <c r="E419" s="52" t="s">
        <v>427</v>
      </c>
      <c r="F419" s="41"/>
      <c r="G419" s="41"/>
      <c r="H419" s="41"/>
      <c r="I419" s="41"/>
      <c r="J419" s="41" t="s">
        <v>69</v>
      </c>
      <c r="K419" s="41" t="s">
        <v>17</v>
      </c>
      <c r="L419" s="73">
        <v>0.3</v>
      </c>
      <c r="M419" s="74">
        <v>65000</v>
      </c>
      <c r="N419" s="74">
        <v>19500</v>
      </c>
      <c r="U419" s="41" t="str">
        <f>VLOOKUP(J419,Sheet1!$A$2:$D$200,4,0)</f>
        <v>NL300062</v>
      </c>
      <c r="V419" s="41" t="str">
        <f>VLOOKUP(U419,Sheet1!$D$2:$E$200,2,0)</f>
        <v>Húng Bạc Hà</v>
      </c>
      <c r="W419" s="94" t="str">
        <f t="shared" si="35"/>
        <v>141NL300062</v>
      </c>
      <c r="X419" s="94" t="str">
        <f>COUNTIF($R$15:W419,W419)&amp;W419</f>
        <v>1141NL300062</v>
      </c>
      <c r="Y419" s="95">
        <f>IFERROR(VLOOKUP(X419,FAST!$B$7:$M$9722,12,0),"0")</f>
        <v>0.3</v>
      </c>
      <c r="Z419" s="95">
        <f>IFERROR(VLOOKUP(X419,FAST!$B$7:$N$9722,13,0),"0")</f>
        <v>65000</v>
      </c>
      <c r="AA419" s="96">
        <f t="shared" si="31"/>
        <v>19500</v>
      </c>
      <c r="AB419" s="97">
        <f t="shared" si="32"/>
        <v>0</v>
      </c>
      <c r="AC419" s="98">
        <f t="shared" si="33"/>
        <v>0</v>
      </c>
      <c r="AD419" s="99">
        <f t="shared" si="34"/>
        <v>0</v>
      </c>
    </row>
    <row r="420" spans="1:30" x14ac:dyDescent="0.25">
      <c r="A420" s="41"/>
      <c r="B420" s="41"/>
      <c r="C420" s="52" t="s">
        <v>489</v>
      </c>
      <c r="D420" s="52" t="s">
        <v>426</v>
      </c>
      <c r="E420" s="52" t="s">
        <v>427</v>
      </c>
      <c r="F420" s="41"/>
      <c r="G420" s="41"/>
      <c r="H420" s="41"/>
      <c r="I420" s="41"/>
      <c r="J420" s="41" t="s">
        <v>31</v>
      </c>
      <c r="K420" s="41" t="s">
        <v>17</v>
      </c>
      <c r="L420" s="73">
        <v>1.9</v>
      </c>
      <c r="M420" s="74">
        <v>27000</v>
      </c>
      <c r="N420" s="74">
        <v>51300</v>
      </c>
      <c r="U420" s="41" t="str">
        <f>VLOOKUP(J420,Sheet1!$A$2:$D$200,4,0)</f>
        <v>NL300088</v>
      </c>
      <c r="V420" s="41" t="str">
        <f>VLOOKUP(U420,Sheet1!$D$2:$E$200,2,0)</f>
        <v>Mướp hương</v>
      </c>
      <c r="W420" s="94" t="str">
        <f t="shared" si="35"/>
        <v>141NL300088</v>
      </c>
      <c r="X420" s="94" t="str">
        <f>COUNTIF($R$15:W420,W420)&amp;W420</f>
        <v>1141NL300088</v>
      </c>
      <c r="Y420" s="95">
        <f>IFERROR(VLOOKUP(X420,FAST!$B$7:$M$9722,12,0),"0")</f>
        <v>1.9</v>
      </c>
      <c r="Z420" s="95">
        <f>IFERROR(VLOOKUP(X420,FAST!$B$7:$N$9722,13,0),"0")</f>
        <v>27000</v>
      </c>
      <c r="AA420" s="96">
        <f t="shared" si="31"/>
        <v>51300</v>
      </c>
      <c r="AB420" s="97">
        <f t="shared" si="32"/>
        <v>0</v>
      </c>
      <c r="AC420" s="98">
        <f t="shared" si="33"/>
        <v>0</v>
      </c>
      <c r="AD420" s="99">
        <f t="shared" si="34"/>
        <v>0</v>
      </c>
    </row>
    <row r="421" spans="1:30" x14ac:dyDescent="0.25">
      <c r="A421" s="41"/>
      <c r="B421" s="41"/>
      <c r="C421" s="52" t="s">
        <v>489</v>
      </c>
      <c r="D421" s="52" t="s">
        <v>426</v>
      </c>
      <c r="E421" s="52" t="s">
        <v>427</v>
      </c>
      <c r="F421" s="41"/>
      <c r="G421" s="41"/>
      <c r="H421" s="41"/>
      <c r="I421" s="41"/>
      <c r="J421" s="41" t="s">
        <v>39</v>
      </c>
      <c r="K421" s="41" t="s">
        <v>17</v>
      </c>
      <c r="L421" s="73">
        <v>2</v>
      </c>
      <c r="M421" s="74">
        <v>145000</v>
      </c>
      <c r="N421" s="74">
        <v>290000</v>
      </c>
      <c r="U421" s="41" t="str">
        <f>VLOOKUP(J421,Sheet1!$A$2:$D$200,4,0)</f>
        <v>NL300090</v>
      </c>
      <c r="V421" s="41" t="str">
        <f>VLOOKUP(U421,Sheet1!$D$2:$E$200,2,0)</f>
        <v>Nấm đông cô tươi</v>
      </c>
      <c r="W421" s="94" t="str">
        <f t="shared" si="35"/>
        <v>141NL300090</v>
      </c>
      <c r="X421" s="94" t="str">
        <f>COUNTIF($R$15:W421,W421)&amp;W421</f>
        <v>1141NL300090</v>
      </c>
      <c r="Y421" s="95">
        <f>IFERROR(VLOOKUP(X421,FAST!$B$7:$M$9722,12,0),"0")</f>
        <v>2</v>
      </c>
      <c r="Z421" s="95">
        <f>IFERROR(VLOOKUP(X421,FAST!$B$7:$N$9722,13,0),"0")</f>
        <v>145000</v>
      </c>
      <c r="AA421" s="96">
        <f t="shared" si="31"/>
        <v>290000</v>
      </c>
      <c r="AB421" s="97">
        <f t="shared" si="32"/>
        <v>0</v>
      </c>
      <c r="AC421" s="98">
        <f t="shared" si="33"/>
        <v>0</v>
      </c>
      <c r="AD421" s="99">
        <f t="shared" si="34"/>
        <v>0</v>
      </c>
    </row>
    <row r="422" spans="1:30" x14ac:dyDescent="0.25">
      <c r="A422" s="41"/>
      <c r="B422" s="41"/>
      <c r="C422" s="52" t="s">
        <v>489</v>
      </c>
      <c r="D422" s="52" t="s">
        <v>426</v>
      </c>
      <c r="E422" s="52" t="s">
        <v>427</v>
      </c>
      <c r="F422" s="41"/>
      <c r="G422" s="41"/>
      <c r="H422" s="41"/>
      <c r="I422" s="41"/>
      <c r="J422" s="41" t="s">
        <v>40</v>
      </c>
      <c r="K422" s="41" t="s">
        <v>17</v>
      </c>
      <c r="L422" s="73">
        <v>1</v>
      </c>
      <c r="M422" s="74">
        <v>47000</v>
      </c>
      <c r="N422" s="74">
        <v>47000</v>
      </c>
      <c r="U422" s="41" t="str">
        <f>VLOOKUP(J422,Sheet1!$A$2:$D$200,4,0)</f>
        <v>NL300091</v>
      </c>
      <c r="V422" s="41" t="str">
        <f>VLOOKUP(U422,Sheet1!$D$2:$E$200,2,0)</f>
        <v>Nấm đùi gà</v>
      </c>
      <c r="W422" s="94" t="str">
        <f t="shared" si="35"/>
        <v>141NL300091</v>
      </c>
      <c r="X422" s="94" t="str">
        <f>COUNTIF($R$15:W422,W422)&amp;W422</f>
        <v>1141NL300091</v>
      </c>
      <c r="Y422" s="95">
        <f>IFERROR(VLOOKUP(X422,FAST!$B$7:$M$9722,12,0),"0")</f>
        <v>1</v>
      </c>
      <c r="Z422" s="95">
        <f>IFERROR(VLOOKUP(X422,FAST!$B$7:$N$9722,13,0),"0")</f>
        <v>47000</v>
      </c>
      <c r="AA422" s="96">
        <f t="shared" si="31"/>
        <v>47000</v>
      </c>
      <c r="AB422" s="97">
        <f t="shared" si="32"/>
        <v>0</v>
      </c>
      <c r="AC422" s="98">
        <f t="shared" si="33"/>
        <v>0</v>
      </c>
      <c r="AD422" s="99">
        <f t="shared" si="34"/>
        <v>0</v>
      </c>
    </row>
    <row r="423" spans="1:30" x14ac:dyDescent="0.25">
      <c r="A423" s="41"/>
      <c r="B423" s="41"/>
      <c r="C423" s="52" t="s">
        <v>489</v>
      </c>
      <c r="D423" s="52" t="s">
        <v>426</v>
      </c>
      <c r="E423" s="52" t="s">
        <v>427</v>
      </c>
      <c r="F423" s="41"/>
      <c r="G423" s="41"/>
      <c r="H423" s="41"/>
      <c r="I423" s="41"/>
      <c r="J423" s="41" t="s">
        <v>41</v>
      </c>
      <c r="K423" s="41" t="s">
        <v>17</v>
      </c>
      <c r="L423" s="73">
        <v>2.9</v>
      </c>
      <c r="M423" s="74">
        <v>45000</v>
      </c>
      <c r="N423" s="74">
        <v>130500</v>
      </c>
      <c r="U423" s="41" t="str">
        <f>VLOOKUP(J423,Sheet1!$A$2:$D$200,4,0)</f>
        <v>NL300096</v>
      </c>
      <c r="V423" s="41" t="str">
        <f>VLOOKUP(U423,Sheet1!$D$2:$E$200,2,0)</f>
        <v>Nấm kim châm tươi</v>
      </c>
      <c r="W423" s="94" t="str">
        <f t="shared" si="35"/>
        <v>141NL300096</v>
      </c>
      <c r="X423" s="94" t="str">
        <f>COUNTIF($R$15:W423,W423)&amp;W423</f>
        <v>1141NL300096</v>
      </c>
      <c r="Y423" s="95">
        <f>IFERROR(VLOOKUP(X423,FAST!$B$7:$M$9722,12,0),"0")</f>
        <v>2.9</v>
      </c>
      <c r="Z423" s="95">
        <f>IFERROR(VLOOKUP(X423,FAST!$B$7:$N$9722,13,0),"0")</f>
        <v>45000</v>
      </c>
      <c r="AA423" s="96">
        <f t="shared" si="31"/>
        <v>130500</v>
      </c>
      <c r="AB423" s="97">
        <f t="shared" si="32"/>
        <v>0</v>
      </c>
      <c r="AC423" s="98">
        <f t="shared" si="33"/>
        <v>0</v>
      </c>
      <c r="AD423" s="99">
        <f t="shared" si="34"/>
        <v>0</v>
      </c>
    </row>
    <row r="424" spans="1:30" x14ac:dyDescent="0.25">
      <c r="A424" s="41"/>
      <c r="B424" s="41"/>
      <c r="C424" s="52" t="s">
        <v>489</v>
      </c>
      <c r="D424" s="52" t="s">
        <v>426</v>
      </c>
      <c r="E424" s="52" t="s">
        <v>427</v>
      </c>
      <c r="F424" s="41"/>
      <c r="G424" s="41"/>
      <c r="H424" s="41"/>
      <c r="I424" s="41"/>
      <c r="J424" s="41" t="s">
        <v>68</v>
      </c>
      <c r="K424" s="41" t="s">
        <v>17</v>
      </c>
      <c r="L424" s="73">
        <v>0.25</v>
      </c>
      <c r="M424" s="74">
        <v>95000</v>
      </c>
      <c r="N424" s="74">
        <v>23750</v>
      </c>
      <c r="U424" s="41" t="str">
        <f>VLOOKUP(J424,Sheet1!$A$2:$D$200,4,0)</f>
        <v>NL300098</v>
      </c>
      <c r="V424" s="41" t="str">
        <f>VLOOKUP(U424,Sheet1!$D$2:$E$200,2,0)</f>
        <v>Nấm Linh Chi trắng</v>
      </c>
      <c r="W424" s="94" t="str">
        <f t="shared" si="35"/>
        <v>141NL300098</v>
      </c>
      <c r="X424" s="94" t="str">
        <f>COUNTIF($R$15:W424,W424)&amp;W424</f>
        <v>1141NL300098</v>
      </c>
      <c r="Y424" s="95">
        <f>IFERROR(VLOOKUP(X424,FAST!$B$7:$M$9722,12,0),"0")</f>
        <v>0.25</v>
      </c>
      <c r="Z424" s="95">
        <f>IFERROR(VLOOKUP(X424,FAST!$B$7:$N$9722,13,0),"0")</f>
        <v>95000</v>
      </c>
      <c r="AA424" s="96">
        <f t="shared" si="31"/>
        <v>23750</v>
      </c>
      <c r="AB424" s="97">
        <f t="shared" si="32"/>
        <v>0</v>
      </c>
      <c r="AC424" s="98">
        <f t="shared" si="33"/>
        <v>0</v>
      </c>
      <c r="AD424" s="99">
        <f t="shared" si="34"/>
        <v>0</v>
      </c>
    </row>
    <row r="425" spans="1:30" x14ac:dyDescent="0.25">
      <c r="A425" s="41"/>
      <c r="B425" s="41"/>
      <c r="C425" s="52" t="s">
        <v>489</v>
      </c>
      <c r="D425" s="52" t="s">
        <v>426</v>
      </c>
      <c r="E425" s="52" t="s">
        <v>427</v>
      </c>
      <c r="F425" s="41"/>
      <c r="G425" s="41"/>
      <c r="H425" s="41"/>
      <c r="I425" s="41"/>
      <c r="J425" s="41" t="s">
        <v>32</v>
      </c>
      <c r="K425" s="41" t="s">
        <v>17</v>
      </c>
      <c r="L425" s="73">
        <v>2</v>
      </c>
      <c r="M425" s="74">
        <v>45000</v>
      </c>
      <c r="N425" s="74">
        <v>90000</v>
      </c>
      <c r="U425" s="41" t="str">
        <f>VLOOKUP(J425,Sheet1!$A$2:$D$200,4,0)</f>
        <v>NL300085</v>
      </c>
      <c r="V425" s="41" t="str">
        <f>VLOOKUP(U425,Sheet1!$D$2:$E$200,2,0)</f>
        <v>Mùi ta ( Ngò rí )</v>
      </c>
      <c r="W425" s="94" t="str">
        <f t="shared" si="35"/>
        <v>141NL300085</v>
      </c>
      <c r="X425" s="94" t="str">
        <f>COUNTIF($R$15:W425,W425)&amp;W425</f>
        <v>1141NL300085</v>
      </c>
      <c r="Y425" s="95">
        <f>IFERROR(VLOOKUP(X425,FAST!$B$7:$M$9722,12,0),"0")</f>
        <v>2</v>
      </c>
      <c r="Z425" s="95">
        <f>IFERROR(VLOOKUP(X425,FAST!$B$7:$N$9722,13,0),"0")</f>
        <v>45000</v>
      </c>
      <c r="AA425" s="96">
        <f t="shared" si="31"/>
        <v>90000</v>
      </c>
      <c r="AB425" s="97">
        <f t="shared" si="32"/>
        <v>0</v>
      </c>
      <c r="AC425" s="98">
        <f t="shared" si="33"/>
        <v>0</v>
      </c>
      <c r="AD425" s="99">
        <f t="shared" si="34"/>
        <v>0</v>
      </c>
    </row>
    <row r="426" spans="1:30" x14ac:dyDescent="0.25">
      <c r="A426" s="41"/>
      <c r="B426" s="41"/>
      <c r="C426" s="52" t="s">
        <v>489</v>
      </c>
      <c r="D426" s="52" t="s">
        <v>426</v>
      </c>
      <c r="E426" s="52" t="s">
        <v>427</v>
      </c>
      <c r="F426" s="41"/>
      <c r="G426" s="41"/>
      <c r="H426" s="41"/>
      <c r="I426" s="41"/>
      <c r="J426" s="41" t="s">
        <v>33</v>
      </c>
      <c r="K426" s="41" t="s">
        <v>17</v>
      </c>
      <c r="L426" s="73">
        <v>1</v>
      </c>
      <c r="M426" s="74">
        <v>145000</v>
      </c>
      <c r="N426" s="74">
        <v>145000</v>
      </c>
      <c r="U426" s="41" t="str">
        <f>VLOOKUP(J426,Sheet1!$A$2:$D$200,4,0)</f>
        <v>NL300113</v>
      </c>
      <c r="V426" s="41" t="str">
        <f>VLOOKUP(U426,Sheet1!$D$2:$E$200,2,0)</f>
        <v>Ớt hiểm đỏ</v>
      </c>
      <c r="W426" s="94" t="str">
        <f t="shared" si="35"/>
        <v>141NL300113</v>
      </c>
      <c r="X426" s="94" t="str">
        <f>COUNTIF($R$15:W426,W426)&amp;W426</f>
        <v>1141NL300113</v>
      </c>
      <c r="Y426" s="95">
        <f>IFERROR(VLOOKUP(X426,FAST!$B$7:$M$9722,12,0),"0")</f>
        <v>1</v>
      </c>
      <c r="Z426" s="95">
        <f>IFERROR(VLOOKUP(X426,FAST!$B$7:$N$9722,13,0),"0")</f>
        <v>145000</v>
      </c>
      <c r="AA426" s="96">
        <f t="shared" si="31"/>
        <v>145000</v>
      </c>
      <c r="AB426" s="97">
        <f t="shared" si="32"/>
        <v>0</v>
      </c>
      <c r="AC426" s="98">
        <f t="shared" si="33"/>
        <v>0</v>
      </c>
      <c r="AD426" s="99">
        <f t="shared" si="34"/>
        <v>0</v>
      </c>
    </row>
    <row r="427" spans="1:30" x14ac:dyDescent="0.25">
      <c r="A427" s="41"/>
      <c r="B427" s="41"/>
      <c r="C427" s="52" t="s">
        <v>489</v>
      </c>
      <c r="D427" s="52" t="s">
        <v>426</v>
      </c>
      <c r="E427" s="52" t="s">
        <v>427</v>
      </c>
      <c r="F427" s="41"/>
      <c r="G427" s="41"/>
      <c r="H427" s="41"/>
      <c r="I427" s="41"/>
      <c r="J427" s="41" t="s">
        <v>36</v>
      </c>
      <c r="K427" s="41" t="s">
        <v>17</v>
      </c>
      <c r="L427" s="73">
        <v>1</v>
      </c>
      <c r="M427" s="74">
        <v>12000</v>
      </c>
      <c r="N427" s="74">
        <v>12000</v>
      </c>
      <c r="U427" s="41" t="str">
        <f>VLOOKUP(J427,Sheet1!$A$2:$D$200,4,0)</f>
        <v>NL300132</v>
      </c>
      <c r="V427" s="41" t="str">
        <f>VLOOKUP(U427,Sheet1!$D$2:$E$200,2,0)</f>
        <v>Sả cây</v>
      </c>
      <c r="W427" s="94" t="str">
        <f t="shared" si="35"/>
        <v>141NL300132</v>
      </c>
      <c r="X427" s="94" t="str">
        <f>COUNTIF($R$15:W427,W427)&amp;W427</f>
        <v>1141NL300132</v>
      </c>
      <c r="Y427" s="95">
        <f>IFERROR(VLOOKUP(X427,FAST!$B$7:$M$9722,12,0),"0")</f>
        <v>1</v>
      </c>
      <c r="Z427" s="95">
        <f>IFERROR(VLOOKUP(X427,FAST!$B$7:$N$9722,13,0),"0")</f>
        <v>12000</v>
      </c>
      <c r="AA427" s="96">
        <f t="shared" si="31"/>
        <v>12000</v>
      </c>
      <c r="AB427" s="97">
        <f t="shared" si="32"/>
        <v>0</v>
      </c>
      <c r="AC427" s="98">
        <f t="shared" si="33"/>
        <v>0</v>
      </c>
      <c r="AD427" s="99">
        <f t="shared" si="34"/>
        <v>0</v>
      </c>
    </row>
    <row r="428" spans="1:30" x14ac:dyDescent="0.25">
      <c r="A428" s="41"/>
      <c r="B428" s="41"/>
      <c r="C428" s="52" t="s">
        <v>489</v>
      </c>
      <c r="D428" s="52" t="s">
        <v>426</v>
      </c>
      <c r="E428" s="52" t="s">
        <v>427</v>
      </c>
      <c r="F428" s="41"/>
      <c r="G428" s="41"/>
      <c r="H428" s="41"/>
      <c r="I428" s="41"/>
      <c r="J428" s="41" t="s">
        <v>60</v>
      </c>
      <c r="K428" s="41" t="s">
        <v>17</v>
      </c>
      <c r="L428" s="73">
        <v>0.5</v>
      </c>
      <c r="M428" s="74">
        <v>21000</v>
      </c>
      <c r="N428" s="74">
        <v>10500</v>
      </c>
      <c r="U428" s="41" t="str">
        <f>VLOOKUP(J428,Sheet1!$A$2:$D$200,4,0)</f>
        <v>NL300119</v>
      </c>
      <c r="V428" s="41" t="str">
        <f>VLOOKUP(U428,Sheet1!$D$2:$E$200,2,0)</f>
        <v>Quất ( Tắc trái )</v>
      </c>
      <c r="W428" s="94" t="str">
        <f t="shared" si="35"/>
        <v>141NL300119</v>
      </c>
      <c r="X428" s="94" t="str">
        <f>COUNTIF($R$15:W428,W428)&amp;W428</f>
        <v>1141NL300119</v>
      </c>
      <c r="Y428" s="95">
        <f>IFERROR(VLOOKUP(X428,FAST!$B$7:$M$9722,12,0),"0")</f>
        <v>0.5</v>
      </c>
      <c r="Z428" s="95">
        <f>IFERROR(VLOOKUP(X428,FAST!$B$7:$N$9722,13,0),"0")</f>
        <v>21000</v>
      </c>
      <c r="AA428" s="96">
        <f t="shared" si="31"/>
        <v>10500</v>
      </c>
      <c r="AB428" s="97">
        <f t="shared" si="32"/>
        <v>0</v>
      </c>
      <c r="AC428" s="98">
        <f t="shared" si="33"/>
        <v>0</v>
      </c>
      <c r="AD428" s="99">
        <f t="shared" si="34"/>
        <v>0</v>
      </c>
    </row>
    <row r="429" spans="1:30" x14ac:dyDescent="0.25">
      <c r="A429" s="41"/>
      <c r="B429" s="41"/>
      <c r="C429" s="52" t="s">
        <v>489</v>
      </c>
      <c r="D429" s="52" t="s">
        <v>426</v>
      </c>
      <c r="E429" s="52" t="s">
        <v>427</v>
      </c>
      <c r="F429" s="41"/>
      <c r="G429" s="41"/>
      <c r="H429" s="41"/>
      <c r="I429" s="41"/>
      <c r="J429" s="41" t="s">
        <v>38</v>
      </c>
      <c r="K429" s="41" t="s">
        <v>17</v>
      </c>
      <c r="L429" s="73">
        <v>2.7</v>
      </c>
      <c r="M429" s="74">
        <v>50000</v>
      </c>
      <c r="N429" s="74">
        <v>135000</v>
      </c>
      <c r="U429" s="41" t="str">
        <f>VLOOKUP(J429,Sheet1!$A$2:$D$200,4,0)</f>
        <v>NL300142</v>
      </c>
      <c r="V429" s="41" t="str">
        <f>VLOOKUP(U429,Sheet1!$D$2:$E$200,2,0)</f>
        <v>Tỏi bóc</v>
      </c>
      <c r="W429" s="94" t="str">
        <f t="shared" si="35"/>
        <v>141NL300142</v>
      </c>
      <c r="X429" s="94" t="str">
        <f>COUNTIF($R$15:W429,W429)&amp;W429</f>
        <v>1141NL300142</v>
      </c>
      <c r="Y429" s="95">
        <f>IFERROR(VLOOKUP(X429,FAST!$B$7:$M$9722,12,0),"0")</f>
        <v>2.7</v>
      </c>
      <c r="Z429" s="95">
        <f>IFERROR(VLOOKUP(X429,FAST!$B$7:$N$9722,13,0),"0")</f>
        <v>50000</v>
      </c>
      <c r="AA429" s="96">
        <f t="shared" si="31"/>
        <v>135000</v>
      </c>
      <c r="AB429" s="97">
        <f t="shared" si="32"/>
        <v>0</v>
      </c>
      <c r="AC429" s="98">
        <f t="shared" si="33"/>
        <v>0</v>
      </c>
      <c r="AD429" s="99">
        <f t="shared" si="34"/>
        <v>0</v>
      </c>
    </row>
    <row r="430" spans="1:30" x14ac:dyDescent="0.25">
      <c r="A430" s="41"/>
      <c r="B430" s="41"/>
      <c r="C430" s="52" t="s">
        <v>489</v>
      </c>
      <c r="D430" s="52" t="s">
        <v>426</v>
      </c>
      <c r="E430" s="52" t="s">
        <v>427</v>
      </c>
      <c r="F430" s="41"/>
      <c r="G430" s="41"/>
      <c r="H430" s="41"/>
      <c r="I430" s="41"/>
      <c r="J430" s="41" t="s">
        <v>52</v>
      </c>
      <c r="K430" s="41" t="s">
        <v>53</v>
      </c>
      <c r="L430" s="73">
        <v>40</v>
      </c>
      <c r="M430" s="74">
        <v>5000</v>
      </c>
      <c r="N430" s="74">
        <v>200000</v>
      </c>
      <c r="U430" s="41" t="str">
        <f>VLOOKUP(J430,Sheet1!$A$2:$D$200,4,0)</f>
        <v>NL100101</v>
      </c>
      <c r="V430" s="41" t="str">
        <f>VLOOKUP(U430,Sheet1!$D$2:$E$200,2,0)</f>
        <v>Trứng vịt muối</v>
      </c>
      <c r="W430" s="94" t="str">
        <f t="shared" si="35"/>
        <v>141NL100101</v>
      </c>
      <c r="X430" s="94" t="str">
        <f>COUNTIF($R$15:W430,W430)&amp;W430</f>
        <v>1141NL100101</v>
      </c>
      <c r="Y430" s="95">
        <f>IFERROR(VLOOKUP(X430,FAST!$B$7:$M$9722,12,0),"0")</f>
        <v>38</v>
      </c>
      <c r="Z430" s="95">
        <f>IFERROR(VLOOKUP(X430,FAST!$B$7:$N$9722,13,0),"0")</f>
        <v>5000</v>
      </c>
      <c r="AA430" s="96">
        <f t="shared" si="31"/>
        <v>190000</v>
      </c>
      <c r="AB430" s="97">
        <f t="shared" si="32"/>
        <v>-2</v>
      </c>
      <c r="AC430" s="98">
        <f t="shared" si="33"/>
        <v>0</v>
      </c>
      <c r="AD430" s="99">
        <f t="shared" si="34"/>
        <v>-10000</v>
      </c>
    </row>
    <row r="431" spans="1:30" x14ac:dyDescent="0.25">
      <c r="A431" s="41"/>
      <c r="B431" s="41"/>
      <c r="C431" s="52" t="s">
        <v>489</v>
      </c>
      <c r="D431" s="52" t="s">
        <v>426</v>
      </c>
      <c r="E431" s="52" t="s">
        <v>427</v>
      </c>
      <c r="F431" s="41"/>
      <c r="G431" s="41"/>
      <c r="H431" s="41"/>
      <c r="I431" s="41"/>
      <c r="J431" s="41" t="s">
        <v>37</v>
      </c>
      <c r="K431" s="41" t="s">
        <v>17</v>
      </c>
      <c r="L431" s="73">
        <v>3.1</v>
      </c>
      <c r="M431" s="74">
        <v>62000</v>
      </c>
      <c r="N431" s="74">
        <v>192200</v>
      </c>
      <c r="U431" s="41" t="str">
        <f>VLOOKUP(J431,Sheet1!$A$2:$D$200,4,0)</f>
        <v>NL300147</v>
      </c>
      <c r="V431" s="41" t="str">
        <f>VLOOKUP(U431,Sheet1!$D$2:$E$200,2,0)</f>
        <v>Xà lách Roman</v>
      </c>
      <c r="W431" s="94" t="str">
        <f t="shared" si="35"/>
        <v>141NL300147</v>
      </c>
      <c r="X431" s="94" t="str">
        <f>COUNTIF($R$15:W431,W431)&amp;W431</f>
        <v>1141NL300147</v>
      </c>
      <c r="Y431" s="95">
        <f>IFERROR(VLOOKUP(X431,FAST!$B$7:$M$9722,12,0),"0")</f>
        <v>2.7</v>
      </c>
      <c r="Z431" s="95">
        <f>IFERROR(VLOOKUP(X431,FAST!$B$7:$N$9722,13,0),"0")</f>
        <v>62000</v>
      </c>
      <c r="AA431" s="96">
        <f t="shared" si="31"/>
        <v>167400</v>
      </c>
      <c r="AB431" s="97">
        <f t="shared" si="32"/>
        <v>-0.39999999999999991</v>
      </c>
      <c r="AC431" s="98">
        <f t="shared" si="33"/>
        <v>0</v>
      </c>
      <c r="AD431" s="99">
        <f t="shared" si="34"/>
        <v>-24800</v>
      </c>
    </row>
    <row r="432" spans="1:30" x14ac:dyDescent="0.25">
      <c r="A432" s="41"/>
      <c r="B432" s="41"/>
      <c r="C432" s="52" t="s">
        <v>490</v>
      </c>
      <c r="D432" s="52" t="s">
        <v>426</v>
      </c>
      <c r="E432" s="52" t="s">
        <v>427</v>
      </c>
      <c r="F432" s="41"/>
      <c r="G432" s="41"/>
      <c r="H432" s="41"/>
      <c r="I432" s="41"/>
      <c r="J432" s="41" t="s">
        <v>16</v>
      </c>
      <c r="K432" s="41" t="s">
        <v>17</v>
      </c>
      <c r="L432" s="73">
        <v>1.2</v>
      </c>
      <c r="M432" s="74">
        <v>19000</v>
      </c>
      <c r="N432" s="74">
        <v>22800</v>
      </c>
      <c r="U432" s="41" t="str">
        <f>VLOOKUP(J432,Sheet1!$A$2:$D$200,4,0)</f>
        <v>NL300004</v>
      </c>
      <c r="V432" s="41" t="str">
        <f>VLOOKUP(U432,Sheet1!$D$2:$E$200,2,0)</f>
        <v>Bắp cải trắng</v>
      </c>
      <c r="W432" s="94" t="str">
        <f t="shared" si="35"/>
        <v>151NL300004</v>
      </c>
      <c r="X432" s="94" t="str">
        <f>COUNTIF($R$15:W432,W432)&amp;W432</f>
        <v>1151NL300004</v>
      </c>
      <c r="Y432" s="95">
        <f>IFERROR(VLOOKUP(X432,FAST!$B$7:$M$9722,12,0),"0")</f>
        <v>1.2</v>
      </c>
      <c r="Z432" s="95">
        <f>IFERROR(VLOOKUP(X432,FAST!$B$7:$N$9722,13,0),"0")</f>
        <v>19000</v>
      </c>
      <c r="AA432" s="96">
        <f t="shared" si="31"/>
        <v>22800</v>
      </c>
      <c r="AB432" s="97">
        <f t="shared" si="32"/>
        <v>0</v>
      </c>
      <c r="AC432" s="98">
        <f t="shared" si="33"/>
        <v>0</v>
      </c>
      <c r="AD432" s="99">
        <f t="shared" si="34"/>
        <v>0</v>
      </c>
    </row>
    <row r="433" spans="1:30" x14ac:dyDescent="0.25">
      <c r="A433" s="41"/>
      <c r="B433" s="41"/>
      <c r="C433" s="52" t="s">
        <v>490</v>
      </c>
      <c r="D433" s="52" t="s">
        <v>426</v>
      </c>
      <c r="E433" s="52" t="s">
        <v>427</v>
      </c>
      <c r="F433" s="41"/>
      <c r="G433" s="41"/>
      <c r="H433" s="41"/>
      <c r="I433" s="41"/>
      <c r="J433" s="41" t="s">
        <v>23</v>
      </c>
      <c r="K433" s="41" t="s">
        <v>17</v>
      </c>
      <c r="L433" s="73">
        <v>4</v>
      </c>
      <c r="M433" s="74">
        <v>40000</v>
      </c>
      <c r="N433" s="74">
        <v>160000</v>
      </c>
      <c r="U433" s="41" t="str">
        <f>VLOOKUP(J433,Sheet1!$A$2:$D$200,4,0)</f>
        <v>NL300008</v>
      </c>
      <c r="V433" s="41" t="str">
        <f>VLOOKUP(U433,Sheet1!$D$2:$E$200,2,0)</f>
        <v>Bí ngòi</v>
      </c>
      <c r="W433" s="94" t="str">
        <f t="shared" si="35"/>
        <v>151NL300008</v>
      </c>
      <c r="X433" s="94" t="str">
        <f>COUNTIF($R$15:W433,W433)&amp;W433</f>
        <v>1151NL300008</v>
      </c>
      <c r="Y433" s="95">
        <f>IFERROR(VLOOKUP(X433,FAST!$B$7:$M$9722,12,0),"0")</f>
        <v>4.5999999999999996</v>
      </c>
      <c r="Z433" s="95">
        <f>IFERROR(VLOOKUP(X433,FAST!$B$7:$N$9722,13,0),"0")</f>
        <v>40000</v>
      </c>
      <c r="AA433" s="96">
        <f t="shared" si="31"/>
        <v>184000</v>
      </c>
      <c r="AB433" s="97">
        <f t="shared" si="32"/>
        <v>0.59999999999999964</v>
      </c>
      <c r="AC433" s="98">
        <f t="shared" si="33"/>
        <v>0</v>
      </c>
      <c r="AD433" s="99">
        <f t="shared" si="34"/>
        <v>24000</v>
      </c>
    </row>
    <row r="434" spans="1:30" x14ac:dyDescent="0.25">
      <c r="A434" s="41"/>
      <c r="B434" s="41"/>
      <c r="C434" s="52" t="s">
        <v>490</v>
      </c>
      <c r="D434" s="52" t="s">
        <v>426</v>
      </c>
      <c r="E434" s="52" t="s">
        <v>427</v>
      </c>
      <c r="F434" s="41"/>
      <c r="G434" s="41"/>
      <c r="H434" s="41"/>
      <c r="I434" s="41"/>
      <c r="J434" s="41" t="s">
        <v>28</v>
      </c>
      <c r="K434" s="41" t="s">
        <v>17</v>
      </c>
      <c r="L434" s="73">
        <v>1</v>
      </c>
      <c r="M434" s="74">
        <v>32000</v>
      </c>
      <c r="N434" s="74">
        <v>32000</v>
      </c>
      <c r="U434" s="41" t="str">
        <f>VLOOKUP(J434,Sheet1!$A$2:$D$200,4,0)</f>
        <v>NL300038</v>
      </c>
      <c r="V434" s="41" t="str">
        <f>VLOOKUP(U434,Sheet1!$D$2:$E$200,2,0)</f>
        <v>Đậu bắp</v>
      </c>
      <c r="W434" s="94" t="str">
        <f t="shared" si="35"/>
        <v>151NL300038</v>
      </c>
      <c r="X434" s="94" t="str">
        <f>COUNTIF($R$15:W434,W434)&amp;W434</f>
        <v>1151NL300038</v>
      </c>
      <c r="Y434" s="95">
        <f>IFERROR(VLOOKUP(X434,FAST!$B$7:$M$9722,12,0),"0")</f>
        <v>1</v>
      </c>
      <c r="Z434" s="95">
        <f>IFERROR(VLOOKUP(X434,FAST!$B$7:$N$9722,13,0),"0")</f>
        <v>32000</v>
      </c>
      <c r="AA434" s="96">
        <f t="shared" si="31"/>
        <v>32000</v>
      </c>
      <c r="AB434" s="97">
        <f t="shared" si="32"/>
        <v>0</v>
      </c>
      <c r="AC434" s="98">
        <f t="shared" si="33"/>
        <v>0</v>
      </c>
      <c r="AD434" s="99">
        <f t="shared" si="34"/>
        <v>0</v>
      </c>
    </row>
    <row r="435" spans="1:30" x14ac:dyDescent="0.25">
      <c r="A435" s="41"/>
      <c r="B435" s="41"/>
      <c r="C435" s="52" t="s">
        <v>490</v>
      </c>
      <c r="D435" s="52" t="s">
        <v>426</v>
      </c>
      <c r="E435" s="52" t="s">
        <v>427</v>
      </c>
      <c r="F435" s="41"/>
      <c r="G435" s="41"/>
      <c r="H435" s="41"/>
      <c r="I435" s="41"/>
      <c r="J435" s="41" t="s">
        <v>16</v>
      </c>
      <c r="K435" s="41" t="s">
        <v>17</v>
      </c>
      <c r="L435" s="73">
        <v>1.9</v>
      </c>
      <c r="M435" s="74">
        <v>19000</v>
      </c>
      <c r="N435" s="74">
        <v>36100</v>
      </c>
      <c r="U435" s="41" t="str">
        <f>VLOOKUP(J435,Sheet1!$A$2:$D$200,4,0)</f>
        <v>NL300004</v>
      </c>
      <c r="V435" s="41" t="str">
        <f>VLOOKUP(U435,Sheet1!$D$2:$E$200,2,0)</f>
        <v>Bắp cải trắng</v>
      </c>
      <c r="W435" s="94" t="str">
        <f t="shared" si="35"/>
        <v>151NL300004</v>
      </c>
      <c r="X435" s="94" t="str">
        <f>COUNTIF($R$15:W435,W435)&amp;W435</f>
        <v>2151NL300004</v>
      </c>
      <c r="Y435" s="95" t="str">
        <f>IFERROR(VLOOKUP(X435,FAST!$B$7:$M$9722,12,0),"0")</f>
        <v>0</v>
      </c>
      <c r="Z435" s="95" t="str">
        <f>IFERROR(VLOOKUP(X435,FAST!$B$7:$N$9722,13,0),"0")</f>
        <v>0</v>
      </c>
      <c r="AA435" s="96">
        <f t="shared" si="31"/>
        <v>0</v>
      </c>
      <c r="AB435" s="97">
        <f t="shared" si="32"/>
        <v>-1.9</v>
      </c>
      <c r="AC435" s="98">
        <f t="shared" si="33"/>
        <v>-19000</v>
      </c>
      <c r="AD435" s="99">
        <f t="shared" si="34"/>
        <v>-36100</v>
      </c>
    </row>
    <row r="436" spans="1:30" x14ac:dyDescent="0.25">
      <c r="A436" s="41"/>
      <c r="B436" s="41"/>
      <c r="C436" s="52" t="s">
        <v>490</v>
      </c>
      <c r="D436" s="52" t="s">
        <v>426</v>
      </c>
      <c r="E436" s="52" t="s">
        <v>427</v>
      </c>
      <c r="F436" s="41"/>
      <c r="G436" s="41"/>
      <c r="H436" s="41"/>
      <c r="I436" s="41"/>
      <c r="J436" s="41" t="s">
        <v>20</v>
      </c>
      <c r="K436" s="41" t="s">
        <v>21</v>
      </c>
      <c r="L436" s="73">
        <v>8</v>
      </c>
      <c r="M436" s="74">
        <v>8500</v>
      </c>
      <c r="N436" s="74">
        <v>68000</v>
      </c>
      <c r="U436" s="41" t="str">
        <f>VLOOKUP(J436,Sheet1!$A$2:$D$200,4,0)</f>
        <v>NL300107</v>
      </c>
      <c r="V436" s="41" t="str">
        <f>VLOOKUP(U436,Sheet1!$D$2:$E$200,2,0)</f>
        <v>Ngô ngọt ( Bắp trái)</v>
      </c>
      <c r="W436" s="94" t="str">
        <f t="shared" si="35"/>
        <v>151NL300107</v>
      </c>
      <c r="X436" s="94" t="str">
        <f>COUNTIF($R$15:W436,W436)&amp;W436</f>
        <v>1151NL300107</v>
      </c>
      <c r="Y436" s="95">
        <f>IFERROR(VLOOKUP(X436,FAST!$B$7:$M$9722,12,0),"0")</f>
        <v>8</v>
      </c>
      <c r="Z436" s="95">
        <f>IFERROR(VLOOKUP(X436,FAST!$B$7:$N$9722,13,0),"0")</f>
        <v>8500</v>
      </c>
      <c r="AA436" s="96">
        <f t="shared" si="31"/>
        <v>68000</v>
      </c>
      <c r="AB436" s="97">
        <f t="shared" si="32"/>
        <v>0</v>
      </c>
      <c r="AC436" s="98">
        <f t="shared" si="33"/>
        <v>0</v>
      </c>
      <c r="AD436" s="99">
        <f t="shared" si="34"/>
        <v>0</v>
      </c>
    </row>
    <row r="437" spans="1:30" x14ac:dyDescent="0.25">
      <c r="A437" s="41"/>
      <c r="B437" s="41"/>
      <c r="C437" s="52" t="s">
        <v>490</v>
      </c>
      <c r="D437" s="52" t="s">
        <v>426</v>
      </c>
      <c r="E437" s="52" t="s">
        <v>427</v>
      </c>
      <c r="F437" s="41"/>
      <c r="G437" s="41"/>
      <c r="H437" s="41"/>
      <c r="I437" s="41"/>
      <c r="J437" s="41" t="s">
        <v>22</v>
      </c>
      <c r="K437" s="41" t="s">
        <v>17</v>
      </c>
      <c r="L437" s="73">
        <v>3.6</v>
      </c>
      <c r="M437" s="74">
        <v>30000</v>
      </c>
      <c r="N437" s="74">
        <v>108000</v>
      </c>
      <c r="U437" s="41" t="str">
        <f>VLOOKUP(J437,Sheet1!$A$2:$D$200,4,0)</f>
        <v>NL300007</v>
      </c>
      <c r="V437" s="41" t="str">
        <f>VLOOKUP(U437,Sheet1!$D$2:$E$200,2,0)</f>
        <v>Bí đỏ</v>
      </c>
      <c r="W437" s="94" t="str">
        <f t="shared" si="35"/>
        <v>151NL300007</v>
      </c>
      <c r="X437" s="94" t="str">
        <f>COUNTIF($R$15:W437,W437)&amp;W437</f>
        <v>1151NL300007</v>
      </c>
      <c r="Y437" s="95">
        <f>IFERROR(VLOOKUP(X437,FAST!$B$7:$M$9722,12,0),"0")</f>
        <v>3</v>
      </c>
      <c r="Z437" s="95">
        <f>IFERROR(VLOOKUP(X437,FAST!$B$7:$N$9722,13,0),"0")</f>
        <v>30000</v>
      </c>
      <c r="AA437" s="96">
        <f t="shared" si="31"/>
        <v>90000</v>
      </c>
      <c r="AB437" s="97">
        <f t="shared" si="32"/>
        <v>-0.60000000000000009</v>
      </c>
      <c r="AC437" s="98">
        <f t="shared" si="33"/>
        <v>0</v>
      </c>
      <c r="AD437" s="99">
        <f t="shared" si="34"/>
        <v>-18000</v>
      </c>
    </row>
    <row r="438" spans="1:30" x14ac:dyDescent="0.25">
      <c r="A438" s="41"/>
      <c r="B438" s="41"/>
      <c r="C438" s="52" t="s">
        <v>490</v>
      </c>
      <c r="D438" s="52" t="s">
        <v>426</v>
      </c>
      <c r="E438" s="52" t="s">
        <v>427</v>
      </c>
      <c r="F438" s="41"/>
      <c r="G438" s="41"/>
      <c r="H438" s="41"/>
      <c r="I438" s="41"/>
      <c r="J438" s="41" t="s">
        <v>23</v>
      </c>
      <c r="K438" s="41" t="s">
        <v>17</v>
      </c>
      <c r="L438" s="73">
        <v>2.1</v>
      </c>
      <c r="M438" s="74">
        <v>40000</v>
      </c>
      <c r="N438" s="74">
        <v>84000</v>
      </c>
      <c r="U438" s="41" t="str">
        <f>VLOOKUP(J438,Sheet1!$A$2:$D$200,4,0)</f>
        <v>NL300008</v>
      </c>
      <c r="V438" s="41" t="str">
        <f>VLOOKUP(U438,Sheet1!$D$2:$E$200,2,0)</f>
        <v>Bí ngòi</v>
      </c>
      <c r="W438" s="94" t="str">
        <f t="shared" si="35"/>
        <v>151NL300008</v>
      </c>
      <c r="X438" s="94" t="str">
        <f>COUNTIF($R$15:W438,W438)&amp;W438</f>
        <v>2151NL300008</v>
      </c>
      <c r="Y438" s="95" t="str">
        <f>IFERROR(VLOOKUP(X438,FAST!$B$7:$M$9722,12,0),"0")</f>
        <v>0</v>
      </c>
      <c r="Z438" s="95" t="str">
        <f>IFERROR(VLOOKUP(X438,FAST!$B$7:$N$9722,13,0),"0")</f>
        <v>0</v>
      </c>
      <c r="AA438" s="96">
        <f t="shared" si="31"/>
        <v>0</v>
      </c>
      <c r="AB438" s="97">
        <f t="shared" si="32"/>
        <v>-2.1</v>
      </c>
      <c r="AC438" s="98">
        <f t="shared" si="33"/>
        <v>-40000</v>
      </c>
      <c r="AD438" s="99">
        <f t="shared" si="34"/>
        <v>-84000</v>
      </c>
    </row>
    <row r="439" spans="1:30" x14ac:dyDescent="0.25">
      <c r="A439" s="41"/>
      <c r="B439" s="41"/>
      <c r="C439" s="52" t="s">
        <v>490</v>
      </c>
      <c r="D439" s="52" t="s">
        <v>426</v>
      </c>
      <c r="E439" s="52" t="s">
        <v>427</v>
      </c>
      <c r="F439" s="41"/>
      <c r="G439" s="41"/>
      <c r="H439" s="41"/>
      <c r="I439" s="41"/>
      <c r="J439" s="41" t="s">
        <v>50</v>
      </c>
      <c r="K439" s="41" t="s">
        <v>17</v>
      </c>
      <c r="L439" s="73">
        <v>2.5</v>
      </c>
      <c r="M439" s="74">
        <v>52000</v>
      </c>
      <c r="N439" s="74">
        <v>130000</v>
      </c>
      <c r="U439" s="41" t="str">
        <f>VLOOKUP(J439,Sheet1!$A$2:$D$200,4,0)</f>
        <v>NL300137</v>
      </c>
      <c r="V439" s="41" t="str">
        <f>VLOOKUP(U439,Sheet1!$D$2:$E$200,2,0)</f>
        <v>Súp lơ xanh</v>
      </c>
      <c r="W439" s="94" t="str">
        <f t="shared" si="35"/>
        <v>151NL300137</v>
      </c>
      <c r="X439" s="94" t="str">
        <f>COUNTIF($R$15:W439,W439)&amp;W439</f>
        <v>1151NL300137</v>
      </c>
      <c r="Y439" s="95">
        <f>IFERROR(VLOOKUP(X439,FAST!$B$7:$M$9722,12,0),"0")</f>
        <v>0.5</v>
      </c>
      <c r="Z439" s="95">
        <f>IFERROR(VLOOKUP(X439,FAST!$B$7:$N$9722,13,0),"0")</f>
        <v>52000</v>
      </c>
      <c r="AA439" s="96">
        <f t="shared" si="31"/>
        <v>26000</v>
      </c>
      <c r="AB439" s="97">
        <f t="shared" si="32"/>
        <v>-2</v>
      </c>
      <c r="AC439" s="98">
        <f t="shared" si="33"/>
        <v>0</v>
      </c>
      <c r="AD439" s="99">
        <f t="shared" si="34"/>
        <v>-104000</v>
      </c>
    </row>
    <row r="440" spans="1:30" x14ac:dyDescent="0.25">
      <c r="A440" s="41"/>
      <c r="B440" s="41"/>
      <c r="C440" s="52" t="s">
        <v>490</v>
      </c>
      <c r="D440" s="52" t="s">
        <v>426</v>
      </c>
      <c r="E440" s="52" t="s">
        <v>427</v>
      </c>
      <c r="F440" s="41"/>
      <c r="G440" s="41"/>
      <c r="H440" s="41"/>
      <c r="I440" s="41"/>
      <c r="J440" s="41" t="s">
        <v>25</v>
      </c>
      <c r="K440" s="41" t="s">
        <v>17</v>
      </c>
      <c r="L440" s="73">
        <v>0.7</v>
      </c>
      <c r="M440" s="74">
        <v>44000</v>
      </c>
      <c r="N440" s="74">
        <v>30799.999999999996</v>
      </c>
      <c r="U440" s="41" t="str">
        <f>VLOOKUP(J440,Sheet1!$A$2:$D$200,4,0)</f>
        <v>NL300025</v>
      </c>
      <c r="V440" s="41" t="str">
        <f>VLOOKUP(U440,Sheet1!$D$2:$E$200,2,0)</f>
        <v>Rau cần tây</v>
      </c>
      <c r="W440" s="94" t="str">
        <f t="shared" si="35"/>
        <v>151NL300025</v>
      </c>
      <c r="X440" s="94" t="str">
        <f>COUNTIF($R$15:W440,W440)&amp;W440</f>
        <v>1151NL300025</v>
      </c>
      <c r="Y440" s="95">
        <f>IFERROR(VLOOKUP(X440,FAST!$B$7:$M$9722,12,0),"0")</f>
        <v>0.7</v>
      </c>
      <c r="Z440" s="95">
        <f>IFERROR(VLOOKUP(X440,FAST!$B$7:$N$9722,13,0),"0")</f>
        <v>44000</v>
      </c>
      <c r="AA440" s="96">
        <f t="shared" si="31"/>
        <v>30799.999999999996</v>
      </c>
      <c r="AB440" s="97">
        <f t="shared" si="32"/>
        <v>0</v>
      </c>
      <c r="AC440" s="98">
        <f t="shared" si="33"/>
        <v>0</v>
      </c>
      <c r="AD440" s="99">
        <f t="shared" si="34"/>
        <v>0</v>
      </c>
    </row>
    <row r="441" spans="1:30" x14ac:dyDescent="0.25">
      <c r="A441" s="41"/>
      <c r="B441" s="41"/>
      <c r="C441" s="52" t="s">
        <v>490</v>
      </c>
      <c r="D441" s="52" t="s">
        <v>426</v>
      </c>
      <c r="E441" s="52" t="s">
        <v>427</v>
      </c>
      <c r="F441" s="41"/>
      <c r="G441" s="41"/>
      <c r="H441" s="41"/>
      <c r="I441" s="41"/>
      <c r="J441" s="41" t="s">
        <v>56</v>
      </c>
      <c r="K441" s="41" t="s">
        <v>17</v>
      </c>
      <c r="L441" s="73">
        <v>1</v>
      </c>
      <c r="M441" s="74">
        <v>38000</v>
      </c>
      <c r="N441" s="74">
        <v>38000</v>
      </c>
      <c r="U441" s="41" t="str">
        <f>VLOOKUP(J441,Sheet1!$A$2:$D$200,4,0)</f>
        <v>NL300054</v>
      </c>
      <c r="V441" s="41" t="str">
        <f>VLOOKUP(U441,Sheet1!$D$2:$E$200,2,0)</f>
        <v>Gừng tàu</v>
      </c>
      <c r="W441" s="94" t="str">
        <f t="shared" si="35"/>
        <v>151NL300054</v>
      </c>
      <c r="X441" s="94" t="str">
        <f>COUNTIF($R$15:W441,W441)&amp;W441</f>
        <v>1151NL300054</v>
      </c>
      <c r="Y441" s="95">
        <f>IFERROR(VLOOKUP(X441,FAST!$B$7:$M$9722,12,0),"0")</f>
        <v>0.7</v>
      </c>
      <c r="Z441" s="95">
        <f>IFERROR(VLOOKUP(X441,FAST!$B$7:$N$9722,13,0),"0")</f>
        <v>38000</v>
      </c>
      <c r="AA441" s="96">
        <f t="shared" si="31"/>
        <v>26600</v>
      </c>
      <c r="AB441" s="97">
        <f t="shared" si="32"/>
        <v>-0.30000000000000004</v>
      </c>
      <c r="AC441" s="98">
        <f t="shared" si="33"/>
        <v>0</v>
      </c>
      <c r="AD441" s="99">
        <f t="shared" si="34"/>
        <v>-11400</v>
      </c>
    </row>
    <row r="442" spans="1:30" x14ac:dyDescent="0.25">
      <c r="A442" s="41"/>
      <c r="B442" s="41"/>
      <c r="C442" s="52" t="s">
        <v>490</v>
      </c>
      <c r="D442" s="52" t="s">
        <v>426</v>
      </c>
      <c r="E442" s="52" t="s">
        <v>427</v>
      </c>
      <c r="F442" s="41"/>
      <c r="G442" s="41"/>
      <c r="H442" s="41"/>
      <c r="I442" s="41"/>
      <c r="J442" s="41" t="s">
        <v>27</v>
      </c>
      <c r="K442" s="41" t="s">
        <v>17</v>
      </c>
      <c r="L442" s="73">
        <v>0.7</v>
      </c>
      <c r="M442" s="74">
        <v>47000</v>
      </c>
      <c r="N442" s="74">
        <v>32900</v>
      </c>
      <c r="U442" s="41" t="str">
        <f>VLOOKUP(J442,Sheet1!$A$2:$D$200,4,0)</f>
        <v>NL300036</v>
      </c>
      <c r="V442" s="41" t="str">
        <f>VLOOKUP(U442,Sheet1!$D$2:$E$200,2,0)</f>
        <v>Củ sen</v>
      </c>
      <c r="W442" s="94" t="str">
        <f t="shared" si="35"/>
        <v>151NL300036</v>
      </c>
      <c r="X442" s="94" t="str">
        <f>COUNTIF($R$15:W442,W442)&amp;W442</f>
        <v>1151NL300036</v>
      </c>
      <c r="Y442" s="95">
        <f>IFERROR(VLOOKUP(X442,FAST!$B$7:$M$9722,12,0),"0")</f>
        <v>0.7</v>
      </c>
      <c r="Z442" s="95">
        <f>IFERROR(VLOOKUP(X442,FAST!$B$7:$N$9722,13,0),"0")</f>
        <v>47000</v>
      </c>
      <c r="AA442" s="96">
        <f t="shared" si="31"/>
        <v>32900</v>
      </c>
      <c r="AB442" s="97">
        <f t="shared" si="32"/>
        <v>0</v>
      </c>
      <c r="AC442" s="98">
        <f t="shared" si="33"/>
        <v>0</v>
      </c>
      <c r="AD442" s="99">
        <f t="shared" si="34"/>
        <v>0</v>
      </c>
    </row>
    <row r="443" spans="1:30" x14ac:dyDescent="0.25">
      <c r="A443" s="41"/>
      <c r="B443" s="41"/>
      <c r="C443" s="52" t="s">
        <v>490</v>
      </c>
      <c r="D443" s="52" t="s">
        <v>426</v>
      </c>
      <c r="E443" s="52" t="s">
        <v>427</v>
      </c>
      <c r="F443" s="41"/>
      <c r="G443" s="41"/>
      <c r="H443" s="41"/>
      <c r="I443" s="41"/>
      <c r="J443" s="41" t="s">
        <v>28</v>
      </c>
      <c r="K443" s="41" t="s">
        <v>17</v>
      </c>
      <c r="L443" s="73">
        <v>1.5</v>
      </c>
      <c r="M443" s="74">
        <v>32000</v>
      </c>
      <c r="N443" s="74">
        <v>48000</v>
      </c>
      <c r="U443" s="41" t="str">
        <f>VLOOKUP(J443,Sheet1!$A$2:$D$200,4,0)</f>
        <v>NL300038</v>
      </c>
      <c r="V443" s="41" t="str">
        <f>VLOOKUP(U443,Sheet1!$D$2:$E$200,2,0)</f>
        <v>Đậu bắp</v>
      </c>
      <c r="W443" s="94" t="str">
        <f t="shared" si="35"/>
        <v>151NL300038</v>
      </c>
      <c r="X443" s="94" t="str">
        <f>COUNTIF($R$15:W443,W443)&amp;W443</f>
        <v>2151NL300038</v>
      </c>
      <c r="Y443" s="95" t="str">
        <f>IFERROR(VLOOKUP(X443,FAST!$B$7:$M$9722,12,0),"0")</f>
        <v>0</v>
      </c>
      <c r="Z443" s="95" t="str">
        <f>IFERROR(VLOOKUP(X443,FAST!$B$7:$N$9722,13,0),"0")</f>
        <v>0</v>
      </c>
      <c r="AA443" s="96">
        <f t="shared" si="31"/>
        <v>0</v>
      </c>
      <c r="AB443" s="97">
        <f t="shared" si="32"/>
        <v>-1.5</v>
      </c>
      <c r="AC443" s="98">
        <f t="shared" si="33"/>
        <v>-32000</v>
      </c>
      <c r="AD443" s="99">
        <f t="shared" si="34"/>
        <v>-48000</v>
      </c>
    </row>
    <row r="444" spans="1:30" x14ac:dyDescent="0.25">
      <c r="A444" s="41"/>
      <c r="B444" s="41"/>
      <c r="C444" s="52" t="s">
        <v>490</v>
      </c>
      <c r="D444" s="52" t="s">
        <v>426</v>
      </c>
      <c r="E444" s="52" t="s">
        <v>427</v>
      </c>
      <c r="F444" s="41"/>
      <c r="G444" s="41"/>
      <c r="H444" s="41"/>
      <c r="I444" s="41"/>
      <c r="J444" s="41" t="s">
        <v>47</v>
      </c>
      <c r="K444" s="41" t="s">
        <v>17</v>
      </c>
      <c r="L444" s="73">
        <v>19.5</v>
      </c>
      <c r="M444" s="74">
        <v>18000</v>
      </c>
      <c r="N444" s="74">
        <v>351000</v>
      </c>
      <c r="U444" s="41" t="str">
        <f>VLOOKUP(J444,Sheet1!$A$2:$D$200,4,0)</f>
        <v>NL600004</v>
      </c>
      <c r="V444" s="41" t="str">
        <f>VLOOKUP(U444,Sheet1!$D$2:$E$200,2,0)</f>
        <v>Dưa hấu</v>
      </c>
      <c r="W444" s="94" t="str">
        <f t="shared" si="35"/>
        <v>151NL600004</v>
      </c>
      <c r="X444" s="94" t="str">
        <f>COUNTIF($R$15:W444,W444)&amp;W444</f>
        <v>1151NL600004</v>
      </c>
      <c r="Y444" s="95">
        <f>IFERROR(VLOOKUP(X444,FAST!$B$7:$M$9722,12,0),"0")</f>
        <v>19.5</v>
      </c>
      <c r="Z444" s="95">
        <f>IFERROR(VLOOKUP(X444,FAST!$B$7:$N$9722,13,0),"0")</f>
        <v>18000</v>
      </c>
      <c r="AA444" s="96">
        <f t="shared" si="31"/>
        <v>351000</v>
      </c>
      <c r="AB444" s="97">
        <f t="shared" si="32"/>
        <v>0</v>
      </c>
      <c r="AC444" s="98">
        <f t="shared" si="33"/>
        <v>0</v>
      </c>
      <c r="AD444" s="99">
        <f t="shared" si="34"/>
        <v>0</v>
      </c>
    </row>
    <row r="445" spans="1:30" x14ac:dyDescent="0.25">
      <c r="A445" s="41"/>
      <c r="B445" s="41"/>
      <c r="C445" s="52" t="s">
        <v>490</v>
      </c>
      <c r="D445" s="52" t="s">
        <v>426</v>
      </c>
      <c r="E445" s="52" t="s">
        <v>427</v>
      </c>
      <c r="F445" s="41"/>
      <c r="G445" s="41"/>
      <c r="H445" s="41"/>
      <c r="I445" s="41"/>
      <c r="J445" s="41" t="s">
        <v>29</v>
      </c>
      <c r="K445" s="41" t="s">
        <v>17</v>
      </c>
      <c r="L445" s="73">
        <v>1.5</v>
      </c>
      <c r="M445" s="74">
        <v>55000</v>
      </c>
      <c r="N445" s="74">
        <v>82500</v>
      </c>
      <c r="U445" s="41" t="str">
        <f>VLOOKUP(J445,Sheet1!$A$2:$D$200,4,0)</f>
        <v>NL300058</v>
      </c>
      <c r="V445" s="41" t="str">
        <f>VLOOKUP(U445,Sheet1!$D$2:$E$200,2,0)</f>
        <v>Hành lá</v>
      </c>
      <c r="W445" s="94" t="str">
        <f t="shared" si="35"/>
        <v>151NL300058</v>
      </c>
      <c r="X445" s="94" t="str">
        <f>COUNTIF($R$15:W445,W445)&amp;W445</f>
        <v>1151NL300058</v>
      </c>
      <c r="Y445" s="95">
        <f>IFERROR(VLOOKUP(X445,FAST!$B$7:$M$9722,12,0),"0")</f>
        <v>1</v>
      </c>
      <c r="Z445" s="95">
        <f>IFERROR(VLOOKUP(X445,FAST!$B$7:$N$9722,13,0),"0")</f>
        <v>55000</v>
      </c>
      <c r="AA445" s="96">
        <f t="shared" si="31"/>
        <v>55000</v>
      </c>
      <c r="AB445" s="97">
        <f t="shared" si="32"/>
        <v>-0.5</v>
      </c>
      <c r="AC445" s="98">
        <f t="shared" si="33"/>
        <v>0</v>
      </c>
      <c r="AD445" s="99">
        <f t="shared" si="34"/>
        <v>-27500</v>
      </c>
    </row>
    <row r="446" spans="1:30" x14ac:dyDescent="0.25">
      <c r="A446" s="41"/>
      <c r="B446" s="41"/>
      <c r="C446" s="52" t="s">
        <v>490</v>
      </c>
      <c r="D446" s="52" t="s">
        <v>426</v>
      </c>
      <c r="E446" s="52" t="s">
        <v>427</v>
      </c>
      <c r="F446" s="41"/>
      <c r="G446" s="41"/>
      <c r="H446" s="41"/>
      <c r="I446" s="41"/>
      <c r="J446" s="41" t="s">
        <v>76</v>
      </c>
      <c r="K446" s="41" t="s">
        <v>17</v>
      </c>
      <c r="L446" s="73">
        <v>0.2</v>
      </c>
      <c r="M446" s="74">
        <v>80000</v>
      </c>
      <c r="N446" s="74">
        <v>16000</v>
      </c>
      <c r="U446" s="41" t="str">
        <f>VLOOKUP(J446,Sheet1!$A$2:$D$200,4,0)</f>
        <v>NL300055</v>
      </c>
      <c r="V446" s="41" t="str">
        <f>VLOOKUP(U446,Sheet1!$D$2:$E$200,2,0)</f>
        <v>Hành bóc</v>
      </c>
      <c r="W446" s="94" t="str">
        <f t="shared" si="35"/>
        <v>151NL300055</v>
      </c>
      <c r="X446" s="94" t="str">
        <f>COUNTIF($R$15:W446,W446)&amp;W446</f>
        <v>1151NL300055</v>
      </c>
      <c r="Y446" s="95">
        <f>IFERROR(VLOOKUP(X446,FAST!$B$7:$M$9722,12,0),"0")</f>
        <v>0.2</v>
      </c>
      <c r="Z446" s="95">
        <f>IFERROR(VLOOKUP(X446,FAST!$B$7:$N$9722,13,0),"0")</f>
        <v>80000</v>
      </c>
      <c r="AA446" s="96">
        <f t="shared" si="31"/>
        <v>16000</v>
      </c>
      <c r="AB446" s="97">
        <f t="shared" si="32"/>
        <v>0</v>
      </c>
      <c r="AC446" s="98">
        <f t="shared" si="33"/>
        <v>0</v>
      </c>
      <c r="AD446" s="99">
        <f t="shared" si="34"/>
        <v>0</v>
      </c>
    </row>
    <row r="447" spans="1:30" x14ac:dyDescent="0.25">
      <c r="A447" s="41"/>
      <c r="B447" s="41"/>
      <c r="C447" s="52" t="s">
        <v>490</v>
      </c>
      <c r="D447" s="52" t="s">
        <v>426</v>
      </c>
      <c r="E447" s="52" t="s">
        <v>427</v>
      </c>
      <c r="F447" s="41"/>
      <c r="G447" s="41"/>
      <c r="H447" s="41"/>
      <c r="I447" s="41"/>
      <c r="J447" s="41" t="s">
        <v>31</v>
      </c>
      <c r="K447" s="41" t="s">
        <v>17</v>
      </c>
      <c r="L447" s="73">
        <v>2</v>
      </c>
      <c r="M447" s="74">
        <v>27000</v>
      </c>
      <c r="N447" s="74">
        <v>54000</v>
      </c>
      <c r="U447" s="41" t="str">
        <f>VLOOKUP(J447,Sheet1!$A$2:$D$200,4,0)</f>
        <v>NL300088</v>
      </c>
      <c r="V447" s="41" t="str">
        <f>VLOOKUP(U447,Sheet1!$D$2:$E$200,2,0)</f>
        <v>Mướp hương</v>
      </c>
      <c r="W447" s="94" t="str">
        <f t="shared" si="35"/>
        <v>151NL300088</v>
      </c>
      <c r="X447" s="94" t="str">
        <f>COUNTIF($R$15:W447,W447)&amp;W447</f>
        <v>1151NL300088</v>
      </c>
      <c r="Y447" s="95">
        <f>IFERROR(VLOOKUP(X447,FAST!$B$7:$M$9722,12,0),"0")</f>
        <v>2</v>
      </c>
      <c r="Z447" s="95">
        <f>IFERROR(VLOOKUP(X447,FAST!$B$7:$N$9722,13,0),"0")</f>
        <v>27000</v>
      </c>
      <c r="AA447" s="96">
        <f t="shared" si="31"/>
        <v>54000</v>
      </c>
      <c r="AB447" s="97">
        <f t="shared" si="32"/>
        <v>0</v>
      </c>
      <c r="AC447" s="98">
        <f t="shared" si="33"/>
        <v>0</v>
      </c>
      <c r="AD447" s="99">
        <f t="shared" si="34"/>
        <v>0</v>
      </c>
    </row>
    <row r="448" spans="1:30" x14ac:dyDescent="0.25">
      <c r="A448" s="41"/>
      <c r="B448" s="41"/>
      <c r="C448" s="52" t="s">
        <v>490</v>
      </c>
      <c r="D448" s="52" t="s">
        <v>426</v>
      </c>
      <c r="E448" s="52" t="s">
        <v>427</v>
      </c>
      <c r="F448" s="41"/>
      <c r="G448" s="41"/>
      <c r="H448" s="41"/>
      <c r="I448" s="41"/>
      <c r="J448" s="41" t="s">
        <v>39</v>
      </c>
      <c r="K448" s="41" t="s">
        <v>17</v>
      </c>
      <c r="L448" s="73">
        <v>2</v>
      </c>
      <c r="M448" s="74">
        <v>145000</v>
      </c>
      <c r="N448" s="74">
        <v>290000</v>
      </c>
      <c r="U448" s="41" t="str">
        <f>VLOOKUP(J448,Sheet1!$A$2:$D$200,4,0)</f>
        <v>NL300090</v>
      </c>
      <c r="V448" s="41" t="str">
        <f>VLOOKUP(U448,Sheet1!$D$2:$E$200,2,0)</f>
        <v>Nấm đông cô tươi</v>
      </c>
      <c r="W448" s="94" t="str">
        <f t="shared" si="35"/>
        <v>151NL300090</v>
      </c>
      <c r="X448" s="94" t="str">
        <f>COUNTIF($R$15:W448,W448)&amp;W448</f>
        <v>1151NL300090</v>
      </c>
      <c r="Y448" s="95">
        <f>IFERROR(VLOOKUP(X448,FAST!$B$7:$M$9722,12,0),"0")</f>
        <v>1.5</v>
      </c>
      <c r="Z448" s="95">
        <f>IFERROR(VLOOKUP(X448,FAST!$B$7:$N$9722,13,0),"0")</f>
        <v>145000</v>
      </c>
      <c r="AA448" s="96">
        <f t="shared" si="31"/>
        <v>217500</v>
      </c>
      <c r="AB448" s="97">
        <f t="shared" si="32"/>
        <v>-0.5</v>
      </c>
      <c r="AC448" s="98">
        <f t="shared" si="33"/>
        <v>0</v>
      </c>
      <c r="AD448" s="99">
        <f t="shared" si="34"/>
        <v>-72500</v>
      </c>
    </row>
    <row r="449" spans="1:30" x14ac:dyDescent="0.25">
      <c r="A449" s="41"/>
      <c r="B449" s="41"/>
      <c r="C449" s="52" t="s">
        <v>490</v>
      </c>
      <c r="D449" s="52" t="s">
        <v>426</v>
      </c>
      <c r="E449" s="52" t="s">
        <v>427</v>
      </c>
      <c r="F449" s="41"/>
      <c r="G449" s="41"/>
      <c r="H449" s="41"/>
      <c r="I449" s="41"/>
      <c r="J449" s="41" t="s">
        <v>40</v>
      </c>
      <c r="K449" s="41" t="s">
        <v>17</v>
      </c>
      <c r="L449" s="73">
        <v>1</v>
      </c>
      <c r="M449" s="74">
        <v>47000</v>
      </c>
      <c r="N449" s="74">
        <v>47000</v>
      </c>
      <c r="U449" s="41" t="str">
        <f>VLOOKUP(J449,Sheet1!$A$2:$D$200,4,0)</f>
        <v>NL300091</v>
      </c>
      <c r="V449" s="41" t="str">
        <f>VLOOKUP(U449,Sheet1!$D$2:$E$200,2,0)</f>
        <v>Nấm đùi gà</v>
      </c>
      <c r="W449" s="94" t="str">
        <f t="shared" si="35"/>
        <v>151NL300091</v>
      </c>
      <c r="X449" s="94" t="str">
        <f>COUNTIF($R$15:W449,W449)&amp;W449</f>
        <v>1151NL300091</v>
      </c>
      <c r="Y449" s="95">
        <f>IFERROR(VLOOKUP(X449,FAST!$B$7:$M$9722,12,0),"0")</f>
        <v>1</v>
      </c>
      <c r="Z449" s="95">
        <f>IFERROR(VLOOKUP(X449,FAST!$B$7:$N$9722,13,0),"0")</f>
        <v>47000</v>
      </c>
      <c r="AA449" s="96">
        <f t="shared" si="31"/>
        <v>47000</v>
      </c>
      <c r="AB449" s="97">
        <f t="shared" si="32"/>
        <v>0</v>
      </c>
      <c r="AC449" s="98">
        <f t="shared" si="33"/>
        <v>0</v>
      </c>
      <c r="AD449" s="99">
        <f t="shared" si="34"/>
        <v>0</v>
      </c>
    </row>
    <row r="450" spans="1:30" x14ac:dyDescent="0.25">
      <c r="A450" s="41"/>
      <c r="B450" s="41"/>
      <c r="C450" s="52" t="s">
        <v>490</v>
      </c>
      <c r="D450" s="52" t="s">
        <v>426</v>
      </c>
      <c r="E450" s="52" t="s">
        <v>427</v>
      </c>
      <c r="F450" s="41"/>
      <c r="G450" s="41"/>
      <c r="H450" s="41"/>
      <c r="I450" s="41"/>
      <c r="J450" s="41" t="s">
        <v>43</v>
      </c>
      <c r="K450" s="41" t="s">
        <v>17</v>
      </c>
      <c r="L450" s="73">
        <v>1</v>
      </c>
      <c r="M450" s="74">
        <v>90000</v>
      </c>
      <c r="N450" s="74">
        <v>90000</v>
      </c>
      <c r="U450" s="41" t="str">
        <f>VLOOKUP(J450,Sheet1!$A$2:$D$200,4,0)</f>
        <v>NL300092</v>
      </c>
      <c r="V450" s="41" t="str">
        <f>VLOOKUP(U450,Sheet1!$D$2:$E$200,2,0)</f>
        <v>Nấm đùi gà baby</v>
      </c>
      <c r="W450" s="94" t="str">
        <f t="shared" si="35"/>
        <v>151NL300092</v>
      </c>
      <c r="X450" s="94" t="str">
        <f>COUNTIF($R$15:W450,W450)&amp;W450</f>
        <v>1151NL300092</v>
      </c>
      <c r="Y450" s="95">
        <f>IFERROR(VLOOKUP(X450,FAST!$B$7:$M$9722,12,0),"0")</f>
        <v>1</v>
      </c>
      <c r="Z450" s="95">
        <f>IFERROR(VLOOKUP(X450,FAST!$B$7:$N$9722,13,0),"0")</f>
        <v>90000</v>
      </c>
      <c r="AA450" s="96">
        <f t="shared" si="31"/>
        <v>90000</v>
      </c>
      <c r="AB450" s="97">
        <f t="shared" si="32"/>
        <v>0</v>
      </c>
      <c r="AC450" s="98">
        <f t="shared" si="33"/>
        <v>0</v>
      </c>
      <c r="AD450" s="99">
        <f t="shared" si="34"/>
        <v>0</v>
      </c>
    </row>
    <row r="451" spans="1:30" x14ac:dyDescent="0.25">
      <c r="A451" s="41"/>
      <c r="B451" s="41"/>
      <c r="C451" s="52" t="s">
        <v>490</v>
      </c>
      <c r="D451" s="52" t="s">
        <v>426</v>
      </c>
      <c r="E451" s="52" t="s">
        <v>427</v>
      </c>
      <c r="F451" s="41"/>
      <c r="G451" s="41"/>
      <c r="H451" s="41"/>
      <c r="I451" s="41"/>
      <c r="J451" s="41" t="s">
        <v>41</v>
      </c>
      <c r="K451" s="41" t="s">
        <v>17</v>
      </c>
      <c r="L451" s="73">
        <v>3</v>
      </c>
      <c r="M451" s="74">
        <v>45000</v>
      </c>
      <c r="N451" s="74">
        <v>135000</v>
      </c>
      <c r="U451" s="41" t="str">
        <f>VLOOKUP(J451,Sheet1!$A$2:$D$200,4,0)</f>
        <v>NL300096</v>
      </c>
      <c r="V451" s="41" t="str">
        <f>VLOOKUP(U451,Sheet1!$D$2:$E$200,2,0)</f>
        <v>Nấm kim châm tươi</v>
      </c>
      <c r="W451" s="94" t="str">
        <f t="shared" si="35"/>
        <v>151NL300096</v>
      </c>
      <c r="X451" s="94" t="str">
        <f>COUNTIF($R$15:W451,W451)&amp;W451</f>
        <v>1151NL300096</v>
      </c>
      <c r="Y451" s="95">
        <f>IFERROR(VLOOKUP(X451,FAST!$B$7:$M$9722,12,0),"0")</f>
        <v>2.5</v>
      </c>
      <c r="Z451" s="95">
        <f>IFERROR(VLOOKUP(X451,FAST!$B$7:$N$9722,13,0),"0")</f>
        <v>45000</v>
      </c>
      <c r="AA451" s="96">
        <f t="shared" si="31"/>
        <v>112500</v>
      </c>
      <c r="AB451" s="97">
        <f t="shared" si="32"/>
        <v>-0.5</v>
      </c>
      <c r="AC451" s="98">
        <f t="shared" si="33"/>
        <v>0</v>
      </c>
      <c r="AD451" s="99">
        <f t="shared" si="34"/>
        <v>-22500</v>
      </c>
    </row>
    <row r="452" spans="1:30" x14ac:dyDescent="0.25">
      <c r="A452" s="41"/>
      <c r="B452" s="41"/>
      <c r="C452" s="52" t="s">
        <v>490</v>
      </c>
      <c r="D452" s="52" t="s">
        <v>426</v>
      </c>
      <c r="E452" s="52" t="s">
        <v>427</v>
      </c>
      <c r="F452" s="41"/>
      <c r="G452" s="41"/>
      <c r="H452" s="41"/>
      <c r="I452" s="41"/>
      <c r="J452" s="41" t="s">
        <v>42</v>
      </c>
      <c r="K452" s="41" t="s">
        <v>17</v>
      </c>
      <c r="L452" s="73">
        <v>1</v>
      </c>
      <c r="M452" s="74">
        <v>90000</v>
      </c>
      <c r="N452" s="74">
        <v>90000</v>
      </c>
      <c r="U452" s="41" t="str">
        <f>VLOOKUP(J452,Sheet1!$A$2:$D$200,4,0)</f>
        <v>NL300097</v>
      </c>
      <c r="V452" s="41" t="str">
        <f>VLOOKUP(U452,Sheet1!$D$2:$E$200,2,0)</f>
        <v>Nấm Linh Chi nâu</v>
      </c>
      <c r="W452" s="94" t="str">
        <f t="shared" si="35"/>
        <v>151NL300097</v>
      </c>
      <c r="X452" s="94" t="str">
        <f>COUNTIF($R$15:W452,W452)&amp;W452</f>
        <v>1151NL300097</v>
      </c>
      <c r="Y452" s="95">
        <f>IFERROR(VLOOKUP(X452,FAST!$B$7:$M$9722,12,0),"0")</f>
        <v>1</v>
      </c>
      <c r="Z452" s="95">
        <f>IFERROR(VLOOKUP(X452,FAST!$B$7:$N$9722,13,0),"0")</f>
        <v>90000</v>
      </c>
      <c r="AA452" s="96">
        <f t="shared" si="31"/>
        <v>90000</v>
      </c>
      <c r="AB452" s="97">
        <f t="shared" si="32"/>
        <v>0</v>
      </c>
      <c r="AC452" s="98">
        <f t="shared" si="33"/>
        <v>0</v>
      </c>
      <c r="AD452" s="99">
        <f t="shared" si="34"/>
        <v>0</v>
      </c>
    </row>
    <row r="453" spans="1:30" x14ac:dyDescent="0.25">
      <c r="A453" s="41"/>
      <c r="B453" s="41"/>
      <c r="C453" s="52" t="s">
        <v>490</v>
      </c>
      <c r="D453" s="52" t="s">
        <v>426</v>
      </c>
      <c r="E453" s="52" t="s">
        <v>427</v>
      </c>
      <c r="F453" s="41"/>
      <c r="G453" s="41"/>
      <c r="H453" s="41"/>
      <c r="I453" s="41"/>
      <c r="J453" s="41" t="s">
        <v>32</v>
      </c>
      <c r="K453" s="41" t="s">
        <v>17</v>
      </c>
      <c r="L453" s="73">
        <v>1.5</v>
      </c>
      <c r="M453" s="74">
        <v>45000</v>
      </c>
      <c r="N453" s="74">
        <v>67500</v>
      </c>
      <c r="U453" s="41" t="str">
        <f>VLOOKUP(J453,Sheet1!$A$2:$D$200,4,0)</f>
        <v>NL300085</v>
      </c>
      <c r="V453" s="41" t="str">
        <f>VLOOKUP(U453,Sheet1!$D$2:$E$200,2,0)</f>
        <v>Mùi ta ( Ngò rí )</v>
      </c>
      <c r="W453" s="94" t="str">
        <f t="shared" si="35"/>
        <v>151NL300085</v>
      </c>
      <c r="X453" s="94" t="str">
        <f>COUNTIF($R$15:W453,W453)&amp;W453</f>
        <v>1151NL300085</v>
      </c>
      <c r="Y453" s="95">
        <f>IFERROR(VLOOKUP(X453,FAST!$B$7:$M$9722,12,0),"0")</f>
        <v>1</v>
      </c>
      <c r="Z453" s="95">
        <f>IFERROR(VLOOKUP(X453,FAST!$B$7:$N$9722,13,0),"0")</f>
        <v>45000</v>
      </c>
      <c r="AA453" s="96">
        <f t="shared" si="31"/>
        <v>45000</v>
      </c>
      <c r="AB453" s="97">
        <f t="shared" si="32"/>
        <v>-0.5</v>
      </c>
      <c r="AC453" s="98">
        <f t="shared" si="33"/>
        <v>0</v>
      </c>
      <c r="AD453" s="99">
        <f t="shared" si="34"/>
        <v>-22500</v>
      </c>
    </row>
    <row r="454" spans="1:30" x14ac:dyDescent="0.25">
      <c r="A454" s="41"/>
      <c r="B454" s="41"/>
      <c r="C454" s="52" t="s">
        <v>490</v>
      </c>
      <c r="D454" s="52" t="s">
        <v>426</v>
      </c>
      <c r="E454" s="52" t="s">
        <v>427</v>
      </c>
      <c r="F454" s="41"/>
      <c r="G454" s="41"/>
      <c r="H454" s="41"/>
      <c r="I454" s="41"/>
      <c r="J454" s="41" t="s">
        <v>48</v>
      </c>
      <c r="K454" s="41" t="s">
        <v>17</v>
      </c>
      <c r="L454" s="73">
        <v>1</v>
      </c>
      <c r="M454" s="74">
        <v>42000</v>
      </c>
      <c r="N454" s="74">
        <v>42000</v>
      </c>
      <c r="U454" s="41" t="str">
        <f>VLOOKUP(J454,Sheet1!$A$2:$D$200,4,0)</f>
        <v>NL300125</v>
      </c>
      <c r="V454" s="41" t="str">
        <f>VLOOKUP(U454,Sheet1!$D$2:$E$200,2,0)</f>
        <v>Rau má</v>
      </c>
      <c r="W454" s="94" t="str">
        <f t="shared" si="35"/>
        <v>151NL300125</v>
      </c>
      <c r="X454" s="94" t="str">
        <f>COUNTIF($R$15:W454,W454)&amp;W454</f>
        <v>1151NL300125</v>
      </c>
      <c r="Y454" s="95">
        <f>IFERROR(VLOOKUP(X454,FAST!$B$7:$M$9722,12,0),"0")</f>
        <v>1</v>
      </c>
      <c r="Z454" s="95">
        <f>IFERROR(VLOOKUP(X454,FAST!$B$7:$N$9722,13,0),"0")</f>
        <v>42000</v>
      </c>
      <c r="AA454" s="96">
        <f t="shared" si="31"/>
        <v>42000</v>
      </c>
      <c r="AB454" s="97">
        <f t="shared" si="32"/>
        <v>0</v>
      </c>
      <c r="AC454" s="98">
        <f t="shared" si="33"/>
        <v>0</v>
      </c>
      <c r="AD454" s="99">
        <f t="shared" si="34"/>
        <v>0</v>
      </c>
    </row>
    <row r="455" spans="1:30" x14ac:dyDescent="0.25">
      <c r="A455" s="41"/>
      <c r="B455" s="41"/>
      <c r="C455" s="52" t="s">
        <v>490</v>
      </c>
      <c r="D455" s="52" t="s">
        <v>426</v>
      </c>
      <c r="E455" s="52" t="s">
        <v>427</v>
      </c>
      <c r="F455" s="41"/>
      <c r="G455" s="41"/>
      <c r="H455" s="41"/>
      <c r="I455" s="41"/>
      <c r="J455" s="41" t="s">
        <v>35</v>
      </c>
      <c r="K455" s="41" t="s">
        <v>17</v>
      </c>
      <c r="L455" s="73">
        <v>0.1</v>
      </c>
      <c r="M455" s="74">
        <v>22000</v>
      </c>
      <c r="N455" s="74">
        <v>2200</v>
      </c>
      <c r="U455" s="41" t="str">
        <f>VLOOKUP(J455,Sheet1!$A$2:$D$200,4,0)</f>
        <v>NL300121</v>
      </c>
      <c r="V455" s="41" t="str">
        <f>VLOOKUP(U455,Sheet1!$D$2:$E$200,2,0)</f>
        <v>Rau răm</v>
      </c>
      <c r="W455" s="94" t="str">
        <f t="shared" si="35"/>
        <v>151NL300121</v>
      </c>
      <c r="X455" s="94" t="str">
        <f>COUNTIF($R$15:W455,W455)&amp;W455</f>
        <v>1151NL300121</v>
      </c>
      <c r="Y455" s="95">
        <f>IFERROR(VLOOKUP(X455,FAST!$B$7:$M$9722,12,0),"0")</f>
        <v>0.1</v>
      </c>
      <c r="Z455" s="95">
        <f>IFERROR(VLOOKUP(X455,FAST!$B$7:$N$9722,13,0),"0")</f>
        <v>22000</v>
      </c>
      <c r="AA455" s="96">
        <f t="shared" si="31"/>
        <v>2200</v>
      </c>
      <c r="AB455" s="97">
        <f t="shared" si="32"/>
        <v>0</v>
      </c>
      <c r="AC455" s="98">
        <f t="shared" si="33"/>
        <v>0</v>
      </c>
      <c r="AD455" s="99">
        <f t="shared" si="34"/>
        <v>0</v>
      </c>
    </row>
    <row r="456" spans="1:30" x14ac:dyDescent="0.25">
      <c r="A456" s="41"/>
      <c r="B456" s="41"/>
      <c r="C456" s="52" t="s">
        <v>490</v>
      </c>
      <c r="D456" s="52" t="s">
        <v>426</v>
      </c>
      <c r="E456" s="52" t="s">
        <v>427</v>
      </c>
      <c r="F456" s="41"/>
      <c r="G456" s="41"/>
      <c r="H456" s="41"/>
      <c r="I456" s="41"/>
      <c r="J456" s="41" t="s">
        <v>232</v>
      </c>
      <c r="K456" s="41" t="s">
        <v>17</v>
      </c>
      <c r="L456" s="73">
        <v>0.1</v>
      </c>
      <c r="M456" s="74">
        <v>36000</v>
      </c>
      <c r="N456" s="74">
        <v>3600</v>
      </c>
      <c r="U456" s="41" t="str">
        <f>VLOOKUP(J456,Sheet1!$A$2:$D$200,4,0)</f>
        <v>NL300140</v>
      </c>
      <c r="V456" s="41" t="str">
        <f>VLOOKUP(U456,Sheet1!$D$2:$E$200,2,0)</f>
        <v>Tía tô</v>
      </c>
      <c r="W456" s="94" t="str">
        <f t="shared" si="35"/>
        <v>151NL300140</v>
      </c>
      <c r="X456" s="94" t="str">
        <f>COUNTIF($R$15:W456,W456)&amp;W456</f>
        <v>1151NL300140</v>
      </c>
      <c r="Y456" s="95">
        <f>IFERROR(VLOOKUP(X456,FAST!$B$7:$M$9722,12,0),"0")</f>
        <v>0.1</v>
      </c>
      <c r="Z456" s="95">
        <f>IFERROR(VLOOKUP(X456,FAST!$B$7:$N$9722,13,0),"0")</f>
        <v>36000</v>
      </c>
      <c r="AA456" s="96">
        <f t="shared" si="31"/>
        <v>3600</v>
      </c>
      <c r="AB456" s="97">
        <f t="shared" si="32"/>
        <v>0</v>
      </c>
      <c r="AC456" s="98">
        <f t="shared" si="33"/>
        <v>0</v>
      </c>
      <c r="AD456" s="99">
        <f t="shared" si="34"/>
        <v>0</v>
      </c>
    </row>
    <row r="457" spans="1:30" x14ac:dyDescent="0.25">
      <c r="A457" s="41"/>
      <c r="B457" s="41"/>
      <c r="C457" s="52" t="s">
        <v>490</v>
      </c>
      <c r="D457" s="52" t="s">
        <v>426</v>
      </c>
      <c r="E457" s="52" t="s">
        <v>427</v>
      </c>
      <c r="F457" s="41"/>
      <c r="G457" s="41"/>
      <c r="H457" s="41"/>
      <c r="I457" s="41"/>
      <c r="J457" s="41" t="s">
        <v>36</v>
      </c>
      <c r="K457" s="41" t="s">
        <v>17</v>
      </c>
      <c r="L457" s="73">
        <v>1</v>
      </c>
      <c r="M457" s="74">
        <v>12000</v>
      </c>
      <c r="N457" s="74">
        <v>12000</v>
      </c>
      <c r="U457" s="41" t="str">
        <f>VLOOKUP(J457,Sheet1!$A$2:$D$200,4,0)</f>
        <v>NL300132</v>
      </c>
      <c r="V457" s="41" t="str">
        <f>VLOOKUP(U457,Sheet1!$D$2:$E$200,2,0)</f>
        <v>Sả cây</v>
      </c>
      <c r="W457" s="94" t="str">
        <f t="shared" si="35"/>
        <v>151NL300132</v>
      </c>
      <c r="X457" s="94" t="str">
        <f>COUNTIF($R$15:W457,W457)&amp;W457</f>
        <v>1151NL300132</v>
      </c>
      <c r="Y457" s="95">
        <f>IFERROR(VLOOKUP(X457,FAST!$B$7:$M$9722,12,0),"0")</f>
        <v>1</v>
      </c>
      <c r="Z457" s="95">
        <f>IFERROR(VLOOKUP(X457,FAST!$B$7:$N$9722,13,0),"0")</f>
        <v>12000</v>
      </c>
      <c r="AA457" s="96">
        <f t="shared" si="31"/>
        <v>12000</v>
      </c>
      <c r="AB457" s="97">
        <f t="shared" si="32"/>
        <v>0</v>
      </c>
      <c r="AC457" s="98">
        <f t="shared" si="33"/>
        <v>0</v>
      </c>
      <c r="AD457" s="99">
        <f t="shared" si="34"/>
        <v>0</v>
      </c>
    </row>
    <row r="458" spans="1:30" x14ac:dyDescent="0.25">
      <c r="A458" s="41"/>
      <c r="B458" s="41"/>
      <c r="C458" s="52" t="s">
        <v>490</v>
      </c>
      <c r="D458" s="52" t="s">
        <v>426</v>
      </c>
      <c r="E458" s="52" t="s">
        <v>427</v>
      </c>
      <c r="F458" s="41"/>
      <c r="G458" s="41"/>
      <c r="H458" s="41"/>
      <c r="I458" s="41"/>
      <c r="J458" s="41" t="s">
        <v>38</v>
      </c>
      <c r="K458" s="41" t="s">
        <v>17</v>
      </c>
      <c r="L458" s="73">
        <v>1</v>
      </c>
      <c r="M458" s="74">
        <v>50000</v>
      </c>
      <c r="N458" s="74">
        <v>50000</v>
      </c>
      <c r="U458" s="41" t="str">
        <f>VLOOKUP(J458,Sheet1!$A$2:$D$200,4,0)</f>
        <v>NL300142</v>
      </c>
      <c r="V458" s="41" t="str">
        <f>VLOOKUP(U458,Sheet1!$D$2:$E$200,2,0)</f>
        <v>Tỏi bóc</v>
      </c>
      <c r="W458" s="94" t="str">
        <f t="shared" si="35"/>
        <v>151NL300142</v>
      </c>
      <c r="X458" s="94" t="str">
        <f>COUNTIF($R$15:W458,W458)&amp;W458</f>
        <v>1151NL300142</v>
      </c>
      <c r="Y458" s="95">
        <f>IFERROR(VLOOKUP(X458,FAST!$B$7:$M$9722,12,0),"0")</f>
        <v>1</v>
      </c>
      <c r="Z458" s="95">
        <f>IFERROR(VLOOKUP(X458,FAST!$B$7:$N$9722,13,0),"0")</f>
        <v>50000</v>
      </c>
      <c r="AA458" s="96">
        <f t="shared" si="31"/>
        <v>50000</v>
      </c>
      <c r="AB458" s="97">
        <f t="shared" si="32"/>
        <v>0</v>
      </c>
      <c r="AC458" s="98">
        <f t="shared" si="33"/>
        <v>0</v>
      </c>
      <c r="AD458" s="99">
        <f t="shared" si="34"/>
        <v>0</v>
      </c>
    </row>
    <row r="459" spans="1:30" x14ac:dyDescent="0.25">
      <c r="A459" s="41"/>
      <c r="B459" s="41"/>
      <c r="C459" s="52" t="s">
        <v>490</v>
      </c>
      <c r="D459" s="52" t="s">
        <v>426</v>
      </c>
      <c r="E459" s="52" t="s">
        <v>427</v>
      </c>
      <c r="F459" s="41"/>
      <c r="G459" s="41"/>
      <c r="H459" s="41"/>
      <c r="I459" s="41"/>
      <c r="J459" s="41" t="s">
        <v>52</v>
      </c>
      <c r="K459" s="41" t="s">
        <v>53</v>
      </c>
      <c r="L459" s="73">
        <v>40</v>
      </c>
      <c r="M459" s="74">
        <v>5000</v>
      </c>
      <c r="N459" s="74">
        <v>200000</v>
      </c>
      <c r="U459" s="41" t="str">
        <f>VLOOKUP(J459,Sheet1!$A$2:$D$200,4,0)</f>
        <v>NL100101</v>
      </c>
      <c r="V459" s="41" t="str">
        <f>VLOOKUP(U459,Sheet1!$D$2:$E$200,2,0)</f>
        <v>Trứng vịt muối</v>
      </c>
      <c r="W459" s="94" t="str">
        <f t="shared" si="35"/>
        <v>151NL100101</v>
      </c>
      <c r="X459" s="94" t="str">
        <f>COUNTIF($R$15:W459,W459)&amp;W459</f>
        <v>1151NL100101</v>
      </c>
      <c r="Y459" s="95">
        <f>IFERROR(VLOOKUP(X459,FAST!$B$7:$M$9722,12,0),"0")</f>
        <v>37</v>
      </c>
      <c r="Z459" s="95">
        <f>IFERROR(VLOOKUP(X459,FAST!$B$7:$N$9722,13,0),"0")</f>
        <v>5000</v>
      </c>
      <c r="AA459" s="96">
        <f t="shared" si="31"/>
        <v>185000</v>
      </c>
      <c r="AB459" s="97">
        <f t="shared" si="32"/>
        <v>-3</v>
      </c>
      <c r="AC459" s="98">
        <f t="shared" si="33"/>
        <v>0</v>
      </c>
      <c r="AD459" s="99">
        <f t="shared" si="34"/>
        <v>-15000</v>
      </c>
    </row>
    <row r="460" spans="1:30" x14ac:dyDescent="0.25">
      <c r="A460" s="41"/>
      <c r="B460" s="41"/>
      <c r="C460" s="52" t="s">
        <v>490</v>
      </c>
      <c r="D460" s="52" t="s">
        <v>426</v>
      </c>
      <c r="E460" s="52" t="s">
        <v>427</v>
      </c>
      <c r="F460" s="41"/>
      <c r="G460" s="41"/>
      <c r="H460" s="41"/>
      <c r="I460" s="41"/>
      <c r="J460" s="41" t="s">
        <v>37</v>
      </c>
      <c r="K460" s="41" t="s">
        <v>17</v>
      </c>
      <c r="L460" s="73">
        <v>2.5</v>
      </c>
      <c r="M460" s="74">
        <v>62000</v>
      </c>
      <c r="N460" s="74">
        <v>155000</v>
      </c>
      <c r="U460" s="41" t="str">
        <f>VLOOKUP(J460,Sheet1!$A$2:$D$200,4,0)</f>
        <v>NL300147</v>
      </c>
      <c r="V460" s="41" t="str">
        <f>VLOOKUP(U460,Sheet1!$D$2:$E$200,2,0)</f>
        <v>Xà lách Roman</v>
      </c>
      <c r="W460" s="94" t="str">
        <f t="shared" si="35"/>
        <v>151NL300147</v>
      </c>
      <c r="X460" s="94" t="str">
        <f>COUNTIF($R$15:W460,W460)&amp;W460</f>
        <v>1151NL300147</v>
      </c>
      <c r="Y460" s="95">
        <f>IFERROR(VLOOKUP(X460,FAST!$B$7:$M$9722,12,0),"0")</f>
        <v>2</v>
      </c>
      <c r="Z460" s="95">
        <f>IFERROR(VLOOKUP(X460,FAST!$B$7:$N$9722,13,0),"0")</f>
        <v>62000</v>
      </c>
      <c r="AA460" s="96">
        <f t="shared" si="31"/>
        <v>124000</v>
      </c>
      <c r="AB460" s="97">
        <f t="shared" si="32"/>
        <v>-0.5</v>
      </c>
      <c r="AC460" s="98">
        <f t="shared" si="33"/>
        <v>0</v>
      </c>
      <c r="AD460" s="99">
        <f t="shared" si="34"/>
        <v>-31000</v>
      </c>
    </row>
    <row r="461" spans="1:30" x14ac:dyDescent="0.25">
      <c r="A461" s="41"/>
      <c r="B461" s="41"/>
      <c r="C461" s="52"/>
      <c r="D461" s="52"/>
      <c r="E461" s="52"/>
      <c r="F461" s="41"/>
      <c r="G461" s="41"/>
      <c r="H461" s="41"/>
      <c r="I461" s="41"/>
      <c r="J461" s="41"/>
      <c r="K461" s="41"/>
      <c r="L461" s="73"/>
      <c r="M461" s="74"/>
      <c r="N461" s="74"/>
      <c r="U461" s="41"/>
      <c r="V461" s="41"/>
      <c r="W461" s="94"/>
      <c r="X461" s="94"/>
      <c r="Y461" s="95"/>
      <c r="Z461" s="95"/>
      <c r="AA461" s="96"/>
      <c r="AB461" s="97"/>
      <c r="AC461" s="98"/>
      <c r="AD461" s="99"/>
    </row>
    <row r="462" spans="1:30" x14ac:dyDescent="0.25">
      <c r="A462" s="41"/>
      <c r="B462" s="41"/>
      <c r="C462" s="52"/>
      <c r="D462" s="52"/>
      <c r="E462" s="52"/>
      <c r="F462" s="41"/>
      <c r="G462" s="41"/>
      <c r="H462" s="41"/>
      <c r="I462" s="41"/>
      <c r="J462" s="41"/>
      <c r="K462" s="41"/>
      <c r="L462" s="73"/>
      <c r="M462" s="74"/>
      <c r="N462" s="74"/>
      <c r="U462" s="41"/>
      <c r="V462" s="41"/>
      <c r="W462" s="94"/>
      <c r="X462" s="94"/>
      <c r="Y462" s="95"/>
      <c r="Z462" s="95"/>
      <c r="AA462" s="96"/>
      <c r="AB462" s="97"/>
      <c r="AC462" s="98"/>
      <c r="AD462" s="99"/>
    </row>
    <row r="463" spans="1:30" x14ac:dyDescent="0.25">
      <c r="A463" s="41"/>
      <c r="B463" s="41"/>
      <c r="C463" s="52"/>
      <c r="D463" s="52"/>
      <c r="E463" s="52"/>
      <c r="F463" s="41"/>
      <c r="G463" s="41"/>
      <c r="H463" s="41"/>
      <c r="I463" s="41"/>
      <c r="J463" s="41"/>
      <c r="K463" s="41"/>
      <c r="L463" s="73"/>
      <c r="M463" s="74"/>
      <c r="N463" s="74"/>
      <c r="U463" s="41"/>
      <c r="V463" s="41"/>
      <c r="W463" s="94"/>
      <c r="X463" s="94"/>
      <c r="Y463" s="95"/>
      <c r="Z463" s="95"/>
      <c r="AA463" s="96"/>
      <c r="AB463" s="97"/>
      <c r="AC463" s="98"/>
      <c r="AD463" s="99"/>
    </row>
    <row r="464" spans="1:30" x14ac:dyDescent="0.25">
      <c r="A464" s="41"/>
      <c r="B464" s="41"/>
      <c r="C464" s="52"/>
      <c r="D464" s="52"/>
      <c r="E464" s="52"/>
      <c r="F464" s="41"/>
      <c r="G464" s="41"/>
      <c r="H464" s="41"/>
      <c r="I464" s="41"/>
      <c r="J464" s="41"/>
      <c r="K464" s="41"/>
      <c r="L464" s="73"/>
      <c r="M464" s="74"/>
      <c r="N464" s="74"/>
      <c r="U464" s="41"/>
      <c r="V464" s="41"/>
      <c r="W464" s="94"/>
      <c r="X464" s="94"/>
      <c r="Y464" s="95"/>
      <c r="Z464" s="95"/>
      <c r="AA464" s="96"/>
      <c r="AB464" s="97"/>
      <c r="AC464" s="98"/>
      <c r="AD464" s="99"/>
    </row>
    <row r="465" spans="1:30" x14ac:dyDescent="0.25">
      <c r="A465" s="41"/>
      <c r="B465" s="41"/>
      <c r="C465" s="52"/>
      <c r="D465" s="52"/>
      <c r="E465" s="52"/>
      <c r="F465" s="41"/>
      <c r="G465" s="41"/>
      <c r="H465" s="41"/>
      <c r="I465" s="41"/>
      <c r="J465" s="41"/>
      <c r="K465" s="41"/>
      <c r="L465" s="73"/>
      <c r="M465" s="74"/>
      <c r="N465" s="74"/>
      <c r="U465" s="41"/>
      <c r="V465" s="41"/>
      <c r="W465" s="94"/>
      <c r="X465" s="94"/>
      <c r="Y465" s="95"/>
      <c r="Z465" s="95"/>
      <c r="AA465" s="96"/>
      <c r="AB465" s="97"/>
      <c r="AC465" s="98"/>
      <c r="AD465" s="99"/>
    </row>
    <row r="466" spans="1:30" x14ac:dyDescent="0.25">
      <c r="A466" s="41"/>
      <c r="B466" s="41"/>
      <c r="C466" s="52"/>
      <c r="D466" s="52"/>
      <c r="E466" s="52"/>
      <c r="F466" s="41"/>
      <c r="G466" s="41"/>
      <c r="H466" s="41"/>
      <c r="I466" s="41"/>
      <c r="J466" s="41"/>
      <c r="K466" s="41"/>
      <c r="L466" s="73"/>
      <c r="M466" s="74"/>
      <c r="N466" s="74"/>
      <c r="U466" s="41"/>
      <c r="V466" s="41"/>
      <c r="W466" s="94"/>
      <c r="X466" s="94"/>
      <c r="Y466" s="95"/>
      <c r="Z466" s="95"/>
      <c r="AA466" s="96"/>
      <c r="AB466" s="97"/>
      <c r="AC466" s="98"/>
      <c r="AD466" s="99"/>
    </row>
    <row r="467" spans="1:30" x14ac:dyDescent="0.25">
      <c r="A467" s="41"/>
      <c r="B467" s="41"/>
      <c r="C467" s="52"/>
      <c r="D467" s="52"/>
      <c r="E467" s="52"/>
      <c r="F467" s="41"/>
      <c r="G467" s="41"/>
      <c r="H467" s="41"/>
      <c r="I467" s="41"/>
      <c r="J467" s="41"/>
      <c r="K467" s="41"/>
      <c r="L467" s="73"/>
      <c r="M467" s="74"/>
      <c r="N467" s="74"/>
      <c r="U467" s="41"/>
      <c r="V467" s="41"/>
      <c r="W467" s="94"/>
      <c r="X467" s="94"/>
      <c r="Y467" s="95"/>
      <c r="Z467" s="95"/>
      <c r="AA467" s="96"/>
      <c r="AB467" s="97"/>
      <c r="AC467" s="98"/>
      <c r="AD467" s="99"/>
    </row>
    <row r="468" spans="1:30" x14ac:dyDescent="0.25">
      <c r="A468" s="41"/>
      <c r="B468" s="41"/>
      <c r="C468" s="52"/>
      <c r="D468" s="52"/>
      <c r="E468" s="52"/>
      <c r="F468" s="41"/>
      <c r="G468" s="41"/>
      <c r="H468" s="41"/>
      <c r="I468" s="41"/>
      <c r="J468" s="41"/>
      <c r="K468" s="41"/>
      <c r="L468" s="73"/>
      <c r="M468" s="74"/>
      <c r="N468" s="74"/>
      <c r="U468" s="41"/>
      <c r="V468" s="41"/>
      <c r="W468" s="94"/>
      <c r="X468" s="94"/>
      <c r="Y468" s="95"/>
      <c r="Z468" s="95"/>
      <c r="AA468" s="96"/>
      <c r="AB468" s="97"/>
      <c r="AC468" s="98"/>
      <c r="AD468" s="99"/>
    </row>
    <row r="469" spans="1:30" x14ac:dyDescent="0.25">
      <c r="A469" s="41"/>
      <c r="B469" s="41"/>
      <c r="C469" s="52"/>
      <c r="D469" s="52"/>
      <c r="E469" s="52"/>
      <c r="F469" s="41"/>
      <c r="G469" s="41"/>
      <c r="H469" s="41"/>
      <c r="I469" s="41"/>
      <c r="J469" s="41"/>
      <c r="K469" s="41"/>
      <c r="L469" s="73"/>
      <c r="M469" s="74"/>
      <c r="N469" s="74"/>
      <c r="U469" s="41"/>
      <c r="V469" s="41"/>
      <c r="W469" s="94"/>
      <c r="X469" s="94"/>
      <c r="Y469" s="95"/>
      <c r="Z469" s="95"/>
      <c r="AA469" s="96"/>
      <c r="AB469" s="97"/>
      <c r="AC469" s="98"/>
      <c r="AD469" s="99"/>
    </row>
    <row r="470" spans="1:30" x14ac:dyDescent="0.25">
      <c r="A470" s="41"/>
      <c r="B470" s="41"/>
      <c r="C470" s="52"/>
      <c r="D470" s="52"/>
      <c r="E470" s="52"/>
      <c r="F470" s="41"/>
      <c r="G470" s="41"/>
      <c r="H470" s="41"/>
      <c r="I470" s="41"/>
      <c r="J470" s="41"/>
      <c r="K470" s="41"/>
      <c r="L470" s="73"/>
      <c r="M470" s="74"/>
      <c r="N470" s="74"/>
      <c r="U470" s="41"/>
      <c r="V470" s="41"/>
      <c r="W470" s="94"/>
      <c r="X470" s="94"/>
      <c r="Y470" s="95"/>
      <c r="Z470" s="95"/>
      <c r="AA470" s="96"/>
      <c r="AB470" s="97"/>
      <c r="AC470" s="98"/>
      <c r="AD470" s="99"/>
    </row>
    <row r="471" spans="1:30" x14ac:dyDescent="0.25">
      <c r="A471" s="41"/>
      <c r="B471" s="41"/>
      <c r="C471" s="52"/>
      <c r="D471" s="52"/>
      <c r="E471" s="52"/>
      <c r="F471" s="41"/>
      <c r="G471" s="41"/>
      <c r="H471" s="41"/>
      <c r="I471" s="41"/>
      <c r="J471" s="41"/>
      <c r="K471" s="41"/>
      <c r="L471" s="73"/>
      <c r="M471" s="74"/>
      <c r="N471" s="74"/>
      <c r="U471" s="41"/>
      <c r="V471" s="41"/>
      <c r="W471" s="94"/>
      <c r="X471" s="94"/>
      <c r="Y471" s="95"/>
      <c r="Z471" s="95"/>
      <c r="AA471" s="96"/>
      <c r="AB471" s="97"/>
      <c r="AC471" s="98"/>
      <c r="AD471" s="99"/>
    </row>
    <row r="472" spans="1:30" x14ac:dyDescent="0.25">
      <c r="A472" s="41"/>
      <c r="B472" s="41"/>
      <c r="C472" s="52"/>
      <c r="D472" s="52"/>
      <c r="E472" s="52"/>
      <c r="F472" s="41"/>
      <c r="G472" s="41"/>
      <c r="H472" s="41"/>
      <c r="I472" s="41"/>
      <c r="J472" s="41"/>
      <c r="K472" s="41"/>
      <c r="L472" s="73"/>
      <c r="M472" s="74"/>
      <c r="N472" s="74"/>
      <c r="U472" s="41"/>
      <c r="V472" s="41"/>
      <c r="W472" s="94"/>
      <c r="X472" s="94"/>
      <c r="Y472" s="95"/>
      <c r="Z472" s="95"/>
      <c r="AA472" s="96"/>
      <c r="AB472" s="97"/>
      <c r="AC472" s="98"/>
      <c r="AD472" s="99"/>
    </row>
    <row r="473" spans="1:30" x14ac:dyDescent="0.25">
      <c r="A473" s="41"/>
      <c r="B473" s="41"/>
      <c r="C473" s="52"/>
      <c r="D473" s="52"/>
      <c r="E473" s="52"/>
      <c r="F473" s="41"/>
      <c r="G473" s="41"/>
      <c r="H473" s="41"/>
      <c r="I473" s="41"/>
      <c r="J473" s="41"/>
      <c r="K473" s="41"/>
      <c r="L473" s="73"/>
      <c r="M473" s="74"/>
      <c r="N473" s="74"/>
      <c r="U473" s="41"/>
      <c r="V473" s="41"/>
      <c r="W473" s="94"/>
      <c r="X473" s="94"/>
      <c r="Y473" s="95"/>
      <c r="Z473" s="95"/>
      <c r="AA473" s="96"/>
      <c r="AB473" s="97"/>
      <c r="AC473" s="98"/>
      <c r="AD473" s="99"/>
    </row>
    <row r="474" spans="1:30" x14ac:dyDescent="0.25">
      <c r="A474" s="41"/>
      <c r="B474" s="41"/>
      <c r="C474" s="52"/>
      <c r="D474" s="52"/>
      <c r="E474" s="52"/>
      <c r="F474" s="41"/>
      <c r="G474" s="41"/>
      <c r="H474" s="41"/>
      <c r="I474" s="41"/>
      <c r="J474" s="41"/>
      <c r="K474" s="41"/>
      <c r="L474" s="73"/>
      <c r="M474" s="74"/>
      <c r="N474" s="74"/>
      <c r="U474" s="41"/>
      <c r="V474" s="41"/>
      <c r="W474" s="94"/>
      <c r="X474" s="94"/>
      <c r="Y474" s="95"/>
      <c r="Z474" s="95"/>
      <c r="AA474" s="96"/>
      <c r="AB474" s="97"/>
      <c r="AC474" s="98"/>
      <c r="AD474" s="99"/>
    </row>
    <row r="475" spans="1:30" x14ac:dyDescent="0.25">
      <c r="A475" s="41"/>
      <c r="B475" s="41"/>
      <c r="C475" s="52"/>
      <c r="D475" s="52"/>
      <c r="E475" s="52"/>
      <c r="F475" s="41"/>
      <c r="G475" s="41"/>
      <c r="H475" s="41"/>
      <c r="I475" s="41"/>
      <c r="J475" s="41"/>
      <c r="K475" s="41"/>
      <c r="L475" s="73"/>
      <c r="M475" s="74"/>
      <c r="N475" s="74"/>
      <c r="U475" s="41"/>
      <c r="V475" s="41"/>
      <c r="W475" s="94"/>
      <c r="X475" s="94"/>
      <c r="Y475" s="95"/>
      <c r="Z475" s="95"/>
      <c r="AA475" s="96"/>
      <c r="AB475" s="97"/>
      <c r="AC475" s="98"/>
      <c r="AD475" s="99"/>
    </row>
    <row r="476" spans="1:30" x14ac:dyDescent="0.25">
      <c r="A476" s="41"/>
      <c r="B476" s="41"/>
      <c r="C476" s="52"/>
      <c r="D476" s="52"/>
      <c r="E476" s="52"/>
      <c r="F476" s="41"/>
      <c r="G476" s="41"/>
      <c r="H476" s="41"/>
      <c r="I476" s="41"/>
      <c r="J476" s="41"/>
      <c r="K476" s="41"/>
      <c r="L476" s="73"/>
      <c r="M476" s="74"/>
      <c r="N476" s="74"/>
      <c r="U476" s="41"/>
      <c r="V476" s="41"/>
      <c r="W476" s="94"/>
      <c r="X476" s="94"/>
      <c r="Y476" s="95"/>
      <c r="Z476" s="95"/>
      <c r="AA476" s="96"/>
      <c r="AB476" s="97"/>
      <c r="AC476" s="98"/>
      <c r="AD476" s="99"/>
    </row>
    <row r="477" spans="1:30" x14ac:dyDescent="0.25">
      <c r="A477" s="41"/>
      <c r="B477" s="41"/>
      <c r="C477" s="52"/>
      <c r="D477" s="52"/>
      <c r="E477" s="52"/>
      <c r="F477" s="41"/>
      <c r="G477" s="41"/>
      <c r="H477" s="41"/>
      <c r="I477" s="41"/>
      <c r="J477" s="41"/>
      <c r="K477" s="41"/>
      <c r="L477" s="73"/>
      <c r="M477" s="74"/>
      <c r="N477" s="74"/>
      <c r="U477" s="41"/>
      <c r="V477" s="41"/>
      <c r="W477" s="94"/>
      <c r="X477" s="94"/>
      <c r="Y477" s="95"/>
      <c r="Z477" s="95"/>
      <c r="AA477" s="96"/>
      <c r="AB477" s="97"/>
      <c r="AC477" s="98"/>
      <c r="AD477" s="99"/>
    </row>
    <row r="478" spans="1:30" x14ac:dyDescent="0.25">
      <c r="A478" s="41"/>
      <c r="B478" s="41"/>
      <c r="C478" s="52"/>
      <c r="D478" s="52"/>
      <c r="E478" s="52"/>
      <c r="F478" s="41"/>
      <c r="G478" s="41"/>
      <c r="H478" s="41"/>
      <c r="I478" s="41"/>
      <c r="J478" s="41"/>
      <c r="K478" s="41"/>
      <c r="L478" s="73"/>
      <c r="M478" s="74"/>
      <c r="N478" s="74"/>
      <c r="U478" s="41"/>
      <c r="V478" s="41"/>
      <c r="W478" s="94"/>
      <c r="X478" s="94"/>
      <c r="Y478" s="95"/>
      <c r="Z478" s="95"/>
      <c r="AA478" s="96"/>
      <c r="AB478" s="97"/>
      <c r="AC478" s="98"/>
      <c r="AD478" s="99"/>
    </row>
    <row r="479" spans="1:30" x14ac:dyDescent="0.25">
      <c r="A479" s="41"/>
      <c r="B479" s="41"/>
      <c r="C479" s="52"/>
      <c r="D479" s="52"/>
      <c r="E479" s="52"/>
      <c r="F479" s="41"/>
      <c r="G479" s="41"/>
      <c r="H479" s="41"/>
      <c r="I479" s="41"/>
      <c r="J479" s="41"/>
      <c r="K479" s="41"/>
      <c r="L479" s="73"/>
      <c r="M479" s="74"/>
      <c r="N479" s="74"/>
      <c r="U479" s="41"/>
      <c r="V479" s="41"/>
      <c r="W479" s="94"/>
      <c r="X479" s="94"/>
      <c r="Y479" s="95"/>
      <c r="Z479" s="95"/>
      <c r="AA479" s="96"/>
      <c r="AB479" s="97"/>
      <c r="AC479" s="98"/>
      <c r="AD479" s="99"/>
    </row>
    <row r="480" spans="1:30" x14ac:dyDescent="0.25">
      <c r="A480" s="41"/>
      <c r="B480" s="41"/>
      <c r="C480" s="52"/>
      <c r="D480" s="52"/>
      <c r="E480" s="52"/>
      <c r="F480" s="41"/>
      <c r="G480" s="41"/>
      <c r="H480" s="41"/>
      <c r="I480" s="41"/>
      <c r="J480" s="41"/>
      <c r="K480" s="41"/>
      <c r="L480" s="73"/>
      <c r="M480" s="74"/>
      <c r="N480" s="74"/>
      <c r="U480" s="41"/>
      <c r="V480" s="41"/>
      <c r="W480" s="94"/>
      <c r="X480" s="94"/>
      <c r="Y480" s="95"/>
      <c r="Z480" s="95"/>
      <c r="AA480" s="96"/>
      <c r="AB480" s="97"/>
      <c r="AC480" s="98"/>
      <c r="AD480" s="99"/>
    </row>
    <row r="481" spans="1:30" x14ac:dyDescent="0.25">
      <c r="A481" s="41"/>
      <c r="B481" s="41"/>
      <c r="C481" s="52"/>
      <c r="D481" s="52"/>
      <c r="E481" s="52"/>
      <c r="F481" s="41"/>
      <c r="G481" s="41"/>
      <c r="H481" s="41"/>
      <c r="I481" s="41"/>
      <c r="J481" s="41"/>
      <c r="K481" s="41"/>
      <c r="L481" s="73"/>
      <c r="M481" s="74"/>
      <c r="N481" s="74"/>
      <c r="U481" s="41"/>
      <c r="V481" s="41"/>
      <c r="W481" s="94"/>
      <c r="X481" s="94"/>
      <c r="Y481" s="95"/>
      <c r="Z481" s="95"/>
      <c r="AA481" s="96"/>
      <c r="AB481" s="97"/>
      <c r="AC481" s="98"/>
      <c r="AD481" s="99"/>
    </row>
    <row r="482" spans="1:30" x14ac:dyDescent="0.25">
      <c r="A482" s="41"/>
      <c r="B482" s="41"/>
      <c r="C482" s="52"/>
      <c r="D482" s="52"/>
      <c r="E482" s="52"/>
      <c r="F482" s="41"/>
      <c r="G482" s="41"/>
      <c r="H482" s="41"/>
      <c r="I482" s="41"/>
      <c r="J482" s="41"/>
      <c r="K482" s="41"/>
      <c r="L482" s="73"/>
      <c r="M482" s="74"/>
      <c r="N482" s="74"/>
      <c r="U482" s="41"/>
      <c r="V482" s="41"/>
      <c r="W482" s="94"/>
      <c r="X482" s="94"/>
      <c r="Y482" s="95"/>
      <c r="Z482" s="95"/>
      <c r="AA482" s="96"/>
      <c r="AB482" s="97"/>
      <c r="AC482" s="98"/>
      <c r="AD482" s="99"/>
    </row>
  </sheetData>
  <autoFilter ref="A14:AD482"/>
  <mergeCells count="7">
    <mergeCell ref="B10:L10"/>
    <mergeCell ref="B12:L12"/>
    <mergeCell ref="B2:D2"/>
    <mergeCell ref="E2:L2"/>
    <mergeCell ref="B4:L4"/>
    <mergeCell ref="B6:L6"/>
    <mergeCell ref="B8:L8"/>
  </mergeCells>
  <conditionalFormatting sqref="AD15:AD482">
    <cfRule type="cellIs" dxfId="12" priority="1" operator="greaterThan">
      <formula>0</formula>
    </cfRule>
    <cfRule type="cellIs" dxfId="11" priority="2" operator="lessThan">
      <formula>0</formula>
    </cfRule>
  </conditionalFormatting>
  <pageMargins left="1" right="1" top="1" bottom="1.3145799212598399" header="1" footer="1"/>
  <pageSetup orientation="portrait" horizontalDpi="300" verticalDpi="300" r:id="rId1"/>
  <headerFooter alignWithMargins="0">
    <oddFooter>&amp;L&amp;"Segoe UI"&amp;11&amp;P/&amp;N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W546"/>
  <sheetViews>
    <sheetView workbookViewId="0">
      <pane xSplit="4" ySplit="6" topLeftCell="F406" activePane="bottomRight" state="frozen"/>
      <selection pane="topRight" activeCell="E1" sqref="E1"/>
      <selection pane="bottomLeft" activeCell="A7" sqref="A7"/>
      <selection pane="bottomRight" activeCell="X6" sqref="W6:X6"/>
    </sheetView>
  </sheetViews>
  <sheetFormatPr defaultColWidth="9" defaultRowHeight="14.25" x14ac:dyDescent="0.2"/>
  <cols>
    <col min="1" max="1" width="12.140625" style="6" bestFit="1" customWidth="1"/>
    <col min="2" max="2" width="18.140625" style="6" customWidth="1"/>
    <col min="3" max="3" width="13.85546875" style="6" customWidth="1"/>
    <col min="4" max="4" width="5.140625" style="6" bestFit="1" customWidth="1"/>
    <col min="5" max="5" width="14.140625" style="6" bestFit="1" customWidth="1"/>
    <col min="6" max="6" width="6" style="6" bestFit="1" customWidth="1"/>
    <col min="7" max="7" width="8.42578125" style="6" bestFit="1" customWidth="1"/>
    <col min="8" max="8" width="30.7109375" style="6" bestFit="1" customWidth="1"/>
    <col min="9" max="9" width="21.5703125" style="6" customWidth="1"/>
    <col min="10" max="10" width="10.42578125" style="6" customWidth="1"/>
    <col min="11" max="11" width="17.7109375" style="6" bestFit="1" customWidth="1"/>
    <col min="12" max="12" width="3.5703125" style="6" bestFit="1" customWidth="1"/>
    <col min="13" max="13" width="9" style="6" bestFit="1" customWidth="1"/>
    <col min="14" max="14" width="10.140625" style="6" bestFit="1" customWidth="1"/>
    <col min="15" max="15" width="7" style="6" bestFit="1" customWidth="1"/>
    <col min="16" max="16" width="14.28515625" style="6" bestFit="1" customWidth="1"/>
    <col min="17" max="17" width="12.7109375" style="6" bestFit="1" customWidth="1"/>
    <col min="18" max="18" width="8.42578125" style="6" bestFit="1" customWidth="1"/>
    <col min="19" max="19" width="6.140625" style="6" bestFit="1" customWidth="1"/>
    <col min="20" max="20" width="6.7109375" style="6" bestFit="1" customWidth="1"/>
    <col min="21" max="21" width="7.42578125" style="6" bestFit="1" customWidth="1"/>
    <col min="22" max="22" width="13.28515625" style="6" bestFit="1" customWidth="1"/>
    <col min="23" max="23" width="9.85546875" style="6" bestFit="1" customWidth="1"/>
    <col min="24" max="16384" width="9" style="6"/>
  </cols>
  <sheetData>
    <row r="2" spans="1:23" x14ac:dyDescent="0.2">
      <c r="C2" s="7"/>
    </row>
    <row r="3" spans="1:23" x14ac:dyDescent="0.2">
      <c r="C3" s="119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</row>
    <row r="4" spans="1:23" x14ac:dyDescent="0.2">
      <c r="C4" s="121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spans="1:23" x14ac:dyDescent="0.2">
      <c r="M5" s="25">
        <f>SUBTOTAL(9,M7:M1000)</f>
        <v>2023.1599999999999</v>
      </c>
      <c r="N5" s="25"/>
      <c r="O5" s="25">
        <f t="shared" ref="O5:P5" si="0">SUBTOTAL(9,O7:O1000)</f>
        <v>0</v>
      </c>
      <c r="P5" s="25">
        <f t="shared" si="0"/>
        <v>49683590</v>
      </c>
    </row>
    <row r="6" spans="1:23" ht="21" x14ac:dyDescent="0.2">
      <c r="C6" s="8" t="s">
        <v>274</v>
      </c>
      <c r="D6" s="8" t="s">
        <v>275</v>
      </c>
      <c r="E6" s="8" t="s">
        <v>276</v>
      </c>
      <c r="F6" s="8" t="s">
        <v>277</v>
      </c>
      <c r="G6" s="8" t="s">
        <v>278</v>
      </c>
      <c r="H6" s="8" t="s">
        <v>279</v>
      </c>
      <c r="I6" s="8" t="s">
        <v>280</v>
      </c>
      <c r="J6" s="8" t="s">
        <v>281</v>
      </c>
      <c r="K6" s="8" t="s">
        <v>282</v>
      </c>
      <c r="L6" s="8" t="s">
        <v>283</v>
      </c>
      <c r="M6" s="8" t="s">
        <v>284</v>
      </c>
      <c r="N6" s="8" t="s">
        <v>285</v>
      </c>
      <c r="O6" s="8" t="s">
        <v>286</v>
      </c>
      <c r="P6" s="8" t="s">
        <v>287</v>
      </c>
      <c r="Q6" s="8" t="s">
        <v>288</v>
      </c>
      <c r="R6" s="8" t="s">
        <v>289</v>
      </c>
      <c r="S6" s="8" t="s">
        <v>290</v>
      </c>
      <c r="T6" s="8" t="s">
        <v>291</v>
      </c>
      <c r="U6" s="8" t="s">
        <v>292</v>
      </c>
      <c r="V6" s="11" t="s">
        <v>293</v>
      </c>
    </row>
    <row r="7" spans="1:23" x14ac:dyDescent="0.2">
      <c r="A7" s="9" t="str">
        <f t="shared" ref="A7:A68" si="1">DAY(C7)&amp;MONTH(C7)&amp;J7</f>
        <v>11NL300189</v>
      </c>
      <c r="B7" s="9" t="str">
        <f>COUNTIF($A$7:A7,A7)&amp;A7</f>
        <v>111NL300189</v>
      </c>
      <c r="C7" s="54">
        <v>46023</v>
      </c>
      <c r="D7" s="55" t="s">
        <v>294</v>
      </c>
      <c r="E7" s="56" t="s">
        <v>491</v>
      </c>
      <c r="F7" s="56" t="s">
        <v>295</v>
      </c>
      <c r="G7" s="55" t="s">
        <v>492</v>
      </c>
      <c r="H7" s="55" t="s">
        <v>493</v>
      </c>
      <c r="I7" s="55" t="s">
        <v>494</v>
      </c>
      <c r="J7" s="55" t="s">
        <v>85</v>
      </c>
      <c r="K7" s="55" t="s">
        <v>54</v>
      </c>
      <c r="L7" s="55" t="s">
        <v>92</v>
      </c>
      <c r="M7" s="57">
        <v>1.5</v>
      </c>
      <c r="N7" s="58">
        <v>15000</v>
      </c>
      <c r="O7" s="58">
        <v>0</v>
      </c>
      <c r="P7" s="59">
        <v>22500</v>
      </c>
      <c r="Q7" s="58">
        <v>0</v>
      </c>
      <c r="R7" s="55">
        <v>15000</v>
      </c>
      <c r="S7" s="55" t="s">
        <v>469</v>
      </c>
      <c r="T7" s="55" t="s">
        <v>495</v>
      </c>
      <c r="U7" s="55" t="s">
        <v>18</v>
      </c>
      <c r="V7" s="55" t="s">
        <v>470</v>
      </c>
      <c r="W7" s="42">
        <f>VLOOKUP(B7,'LW13'!$X$15:$Y$501,2,0)-M7</f>
        <v>0</v>
      </c>
    </row>
    <row r="8" spans="1:23" x14ac:dyDescent="0.2">
      <c r="A8" s="9" t="str">
        <f t="shared" si="1"/>
        <v>11NL300004</v>
      </c>
      <c r="B8" s="9" t="str">
        <f>COUNTIF($A$7:A8,A8)&amp;A8</f>
        <v>111NL300004</v>
      </c>
      <c r="C8" s="54">
        <v>46023</v>
      </c>
      <c r="D8" s="55" t="s">
        <v>294</v>
      </c>
      <c r="E8" s="56" t="s">
        <v>491</v>
      </c>
      <c r="F8" s="56" t="s">
        <v>295</v>
      </c>
      <c r="G8" s="55" t="s">
        <v>492</v>
      </c>
      <c r="H8" s="55" t="s">
        <v>493</v>
      </c>
      <c r="I8" s="55" t="s">
        <v>494</v>
      </c>
      <c r="J8" s="55" t="s">
        <v>86</v>
      </c>
      <c r="K8" s="55" t="s">
        <v>16</v>
      </c>
      <c r="L8" s="55" t="s">
        <v>92</v>
      </c>
      <c r="M8" s="57">
        <v>1.5</v>
      </c>
      <c r="N8" s="58">
        <v>19000</v>
      </c>
      <c r="O8" s="58">
        <v>0</v>
      </c>
      <c r="P8" s="59">
        <v>28500</v>
      </c>
      <c r="Q8" s="58">
        <v>0</v>
      </c>
      <c r="R8" s="55">
        <v>19000</v>
      </c>
      <c r="S8" s="55" t="s">
        <v>469</v>
      </c>
      <c r="T8" s="55" t="s">
        <v>495</v>
      </c>
      <c r="U8" s="55" t="s">
        <v>18</v>
      </c>
      <c r="V8" s="55" t="s">
        <v>470</v>
      </c>
      <c r="W8" s="42">
        <f>VLOOKUP(B8,'LW13'!$X$15:$Y$501,2,0)-M8</f>
        <v>0</v>
      </c>
    </row>
    <row r="9" spans="1:23" x14ac:dyDescent="0.2">
      <c r="A9" s="9" t="str">
        <f t="shared" si="1"/>
        <v>11NL300007</v>
      </c>
      <c r="B9" s="9" t="str">
        <f>COUNTIF($A$7:A9,A9)&amp;A9</f>
        <v>111NL300007</v>
      </c>
      <c r="C9" s="54">
        <v>46023</v>
      </c>
      <c r="D9" s="55" t="s">
        <v>294</v>
      </c>
      <c r="E9" s="56" t="s">
        <v>491</v>
      </c>
      <c r="F9" s="56" t="s">
        <v>295</v>
      </c>
      <c r="G9" s="55" t="s">
        <v>492</v>
      </c>
      <c r="H9" s="55" t="s">
        <v>493</v>
      </c>
      <c r="I9" s="55" t="s">
        <v>494</v>
      </c>
      <c r="J9" s="55" t="s">
        <v>90</v>
      </c>
      <c r="K9" s="55" t="s">
        <v>91</v>
      </c>
      <c r="L9" s="55" t="s">
        <v>92</v>
      </c>
      <c r="M9" s="57">
        <v>4</v>
      </c>
      <c r="N9" s="58">
        <v>30000</v>
      </c>
      <c r="O9" s="58">
        <v>0</v>
      </c>
      <c r="P9" s="59">
        <v>120000</v>
      </c>
      <c r="Q9" s="58">
        <v>0</v>
      </c>
      <c r="R9" s="55">
        <v>30000</v>
      </c>
      <c r="S9" s="55" t="s">
        <v>469</v>
      </c>
      <c r="T9" s="55" t="s">
        <v>495</v>
      </c>
      <c r="U9" s="55" t="s">
        <v>18</v>
      </c>
      <c r="V9" s="55" t="s">
        <v>470</v>
      </c>
      <c r="W9" s="42">
        <f>VLOOKUP(B9,'LW13'!$X$15:$Y$501,2,0)-M9</f>
        <v>0</v>
      </c>
    </row>
    <row r="10" spans="1:23" x14ac:dyDescent="0.2">
      <c r="A10" s="9" t="str">
        <f t="shared" si="1"/>
        <v>11NL300008</v>
      </c>
      <c r="B10" s="9" t="str">
        <f>COUNTIF($A$7:A10,A10)&amp;A10</f>
        <v>111NL300008</v>
      </c>
      <c r="C10" s="54">
        <v>46023</v>
      </c>
      <c r="D10" s="55" t="s">
        <v>294</v>
      </c>
      <c r="E10" s="56" t="s">
        <v>491</v>
      </c>
      <c r="F10" s="56" t="s">
        <v>295</v>
      </c>
      <c r="G10" s="55" t="s">
        <v>492</v>
      </c>
      <c r="H10" s="55" t="s">
        <v>493</v>
      </c>
      <c r="I10" s="55" t="s">
        <v>494</v>
      </c>
      <c r="J10" s="55" t="s">
        <v>93</v>
      </c>
      <c r="K10" s="55" t="s">
        <v>301</v>
      </c>
      <c r="L10" s="55" t="s">
        <v>92</v>
      </c>
      <c r="M10" s="57">
        <v>15</v>
      </c>
      <c r="N10" s="58">
        <v>40000</v>
      </c>
      <c r="O10" s="58">
        <v>0</v>
      </c>
      <c r="P10" s="59">
        <v>600000</v>
      </c>
      <c r="Q10" s="58">
        <v>0</v>
      </c>
      <c r="R10" s="55">
        <v>40000</v>
      </c>
      <c r="S10" s="55" t="s">
        <v>469</v>
      </c>
      <c r="T10" s="55" t="s">
        <v>495</v>
      </c>
      <c r="U10" s="55" t="s">
        <v>18</v>
      </c>
      <c r="V10" s="55" t="s">
        <v>470</v>
      </c>
      <c r="W10" s="42">
        <f>VLOOKUP(B10,'LW13'!$X$15:$Y$501,2,0)-M10</f>
        <v>0</v>
      </c>
    </row>
    <row r="11" spans="1:23" x14ac:dyDescent="0.2">
      <c r="A11" s="9" t="str">
        <f t="shared" si="1"/>
        <v>11NL300028</v>
      </c>
      <c r="B11" s="9" t="str">
        <f>COUNTIF($A$7:A11,A11)&amp;A11</f>
        <v>111NL300028</v>
      </c>
      <c r="C11" s="54">
        <v>46023</v>
      </c>
      <c r="D11" s="55" t="s">
        <v>294</v>
      </c>
      <c r="E11" s="56" t="s">
        <v>491</v>
      </c>
      <c r="F11" s="56" t="s">
        <v>295</v>
      </c>
      <c r="G11" s="55" t="s">
        <v>492</v>
      </c>
      <c r="H11" s="55" t="s">
        <v>493</v>
      </c>
      <c r="I11" s="55" t="s">
        <v>494</v>
      </c>
      <c r="J11" s="55" t="s">
        <v>107</v>
      </c>
      <c r="K11" s="55" t="s">
        <v>70</v>
      </c>
      <c r="L11" s="55" t="s">
        <v>92</v>
      </c>
      <c r="M11" s="57">
        <v>0.3</v>
      </c>
      <c r="N11" s="58">
        <v>75000</v>
      </c>
      <c r="O11" s="58">
        <v>0</v>
      </c>
      <c r="P11" s="59">
        <v>22500</v>
      </c>
      <c r="Q11" s="58">
        <v>0</v>
      </c>
      <c r="R11" s="55">
        <v>75000</v>
      </c>
      <c r="S11" s="55" t="s">
        <v>469</v>
      </c>
      <c r="T11" s="55" t="s">
        <v>495</v>
      </c>
      <c r="U11" s="55" t="s">
        <v>18</v>
      </c>
      <c r="V11" s="55" t="s">
        <v>470</v>
      </c>
      <c r="W11" s="42">
        <f>VLOOKUP(B11,'LW13'!$X$15:$Y$501,2,0)-M11</f>
        <v>0</v>
      </c>
    </row>
    <row r="12" spans="1:23" x14ac:dyDescent="0.2">
      <c r="A12" s="9" t="str">
        <f t="shared" si="1"/>
        <v>11NL300020</v>
      </c>
      <c r="B12" s="9" t="str">
        <f>COUNTIF($A$7:A12,A12)&amp;A12</f>
        <v>111NL300020</v>
      </c>
      <c r="C12" s="54">
        <v>46023</v>
      </c>
      <c r="D12" s="55" t="s">
        <v>294</v>
      </c>
      <c r="E12" s="56" t="s">
        <v>491</v>
      </c>
      <c r="F12" s="56" t="s">
        <v>295</v>
      </c>
      <c r="G12" s="55" t="s">
        <v>492</v>
      </c>
      <c r="H12" s="55" t="s">
        <v>493</v>
      </c>
      <c r="I12" s="55" t="s">
        <v>494</v>
      </c>
      <c r="J12" s="55" t="s">
        <v>110</v>
      </c>
      <c r="K12" s="55" t="s">
        <v>302</v>
      </c>
      <c r="L12" s="55" t="s">
        <v>92</v>
      </c>
      <c r="M12" s="57">
        <v>1.5</v>
      </c>
      <c r="N12" s="58">
        <v>30000</v>
      </c>
      <c r="O12" s="58">
        <v>0</v>
      </c>
      <c r="P12" s="59">
        <v>45000</v>
      </c>
      <c r="Q12" s="58">
        <v>0</v>
      </c>
      <c r="R12" s="55">
        <v>30000</v>
      </c>
      <c r="S12" s="55" t="s">
        <v>469</v>
      </c>
      <c r="T12" s="55" t="s">
        <v>495</v>
      </c>
      <c r="U12" s="55" t="s">
        <v>18</v>
      </c>
      <c r="V12" s="55" t="s">
        <v>470</v>
      </c>
      <c r="W12" s="42">
        <f>VLOOKUP(B12,'LW13'!$X$15:$Y$501,2,0)-M12</f>
        <v>0</v>
      </c>
    </row>
    <row r="13" spans="1:23" x14ac:dyDescent="0.2">
      <c r="A13" s="9" t="str">
        <f t="shared" si="1"/>
        <v>11NL300036</v>
      </c>
      <c r="B13" s="9" t="str">
        <f>COUNTIF($A$7:A13,A13)&amp;A13</f>
        <v>111NL300036</v>
      </c>
      <c r="C13" s="54">
        <v>46023</v>
      </c>
      <c r="D13" s="55" t="s">
        <v>294</v>
      </c>
      <c r="E13" s="56" t="s">
        <v>491</v>
      </c>
      <c r="F13" s="56" t="s">
        <v>295</v>
      </c>
      <c r="G13" s="55" t="s">
        <v>492</v>
      </c>
      <c r="H13" s="55" t="s">
        <v>493</v>
      </c>
      <c r="I13" s="55" t="s">
        <v>494</v>
      </c>
      <c r="J13" s="55" t="s">
        <v>131</v>
      </c>
      <c r="K13" s="55" t="s">
        <v>27</v>
      </c>
      <c r="L13" s="55" t="s">
        <v>92</v>
      </c>
      <c r="M13" s="57">
        <v>0.7</v>
      </c>
      <c r="N13" s="58">
        <v>47000</v>
      </c>
      <c r="O13" s="58">
        <v>0</v>
      </c>
      <c r="P13" s="59">
        <v>32900</v>
      </c>
      <c r="Q13" s="58">
        <v>0</v>
      </c>
      <c r="R13" s="55">
        <v>47000</v>
      </c>
      <c r="S13" s="55" t="s">
        <v>469</v>
      </c>
      <c r="T13" s="55" t="s">
        <v>495</v>
      </c>
      <c r="U13" s="55" t="s">
        <v>18</v>
      </c>
      <c r="V13" s="55" t="s">
        <v>470</v>
      </c>
      <c r="W13" s="42">
        <f>VLOOKUP(B13,'LW13'!$X$15:$Y$501,2,0)-M13</f>
        <v>0</v>
      </c>
    </row>
    <row r="14" spans="1:23" x14ac:dyDescent="0.2">
      <c r="A14" s="9" t="str">
        <f t="shared" si="1"/>
        <v>11NL300038</v>
      </c>
      <c r="B14" s="9" t="str">
        <f>COUNTIF($A$7:A14,A14)&amp;A14</f>
        <v>111NL300038</v>
      </c>
      <c r="C14" s="54">
        <v>46023</v>
      </c>
      <c r="D14" s="55" t="s">
        <v>294</v>
      </c>
      <c r="E14" s="56" t="s">
        <v>491</v>
      </c>
      <c r="F14" s="56" t="s">
        <v>295</v>
      </c>
      <c r="G14" s="55" t="s">
        <v>492</v>
      </c>
      <c r="H14" s="55" t="s">
        <v>493</v>
      </c>
      <c r="I14" s="55" t="s">
        <v>494</v>
      </c>
      <c r="J14" s="55" t="s">
        <v>132</v>
      </c>
      <c r="K14" s="55" t="s">
        <v>28</v>
      </c>
      <c r="L14" s="55" t="s">
        <v>92</v>
      </c>
      <c r="M14" s="57">
        <v>1.5</v>
      </c>
      <c r="N14" s="58">
        <v>32000</v>
      </c>
      <c r="O14" s="58">
        <v>0</v>
      </c>
      <c r="P14" s="59">
        <v>48000</v>
      </c>
      <c r="Q14" s="58">
        <v>0</v>
      </c>
      <c r="R14" s="55">
        <v>32000</v>
      </c>
      <c r="S14" s="55" t="s">
        <v>469</v>
      </c>
      <c r="T14" s="55" t="s">
        <v>495</v>
      </c>
      <c r="U14" s="55" t="s">
        <v>18</v>
      </c>
      <c r="V14" s="55" t="s">
        <v>470</v>
      </c>
      <c r="W14" s="42">
        <f>VLOOKUP(B14,'LW13'!$X$15:$Y$501,2,0)-M14</f>
        <v>0</v>
      </c>
    </row>
    <row r="15" spans="1:23" x14ac:dyDescent="0.2">
      <c r="A15" s="9" t="str">
        <f t="shared" si="1"/>
        <v>11NL300041</v>
      </c>
      <c r="B15" s="9" t="str">
        <f>COUNTIF($A$7:A15,A15)&amp;A15</f>
        <v>111NL300041</v>
      </c>
      <c r="C15" s="54">
        <v>46023</v>
      </c>
      <c r="D15" s="55" t="s">
        <v>294</v>
      </c>
      <c r="E15" s="56" t="s">
        <v>491</v>
      </c>
      <c r="F15" s="56" t="s">
        <v>295</v>
      </c>
      <c r="G15" s="55" t="s">
        <v>492</v>
      </c>
      <c r="H15" s="55" t="s">
        <v>493</v>
      </c>
      <c r="I15" s="55" t="s">
        <v>494</v>
      </c>
      <c r="J15" s="55" t="s">
        <v>140</v>
      </c>
      <c r="K15" s="55" t="s">
        <v>319</v>
      </c>
      <c r="L15" s="55" t="s">
        <v>300</v>
      </c>
      <c r="M15" s="57">
        <v>7</v>
      </c>
      <c r="N15" s="58">
        <v>15000</v>
      </c>
      <c r="O15" s="58">
        <v>0</v>
      </c>
      <c r="P15" s="59">
        <v>105000</v>
      </c>
      <c r="Q15" s="58">
        <v>0</v>
      </c>
      <c r="R15" s="55">
        <v>15000</v>
      </c>
      <c r="S15" s="55" t="s">
        <v>469</v>
      </c>
      <c r="T15" s="55" t="s">
        <v>495</v>
      </c>
      <c r="U15" s="55" t="s">
        <v>18</v>
      </c>
      <c r="V15" s="55" t="s">
        <v>470</v>
      </c>
      <c r="W15" s="42">
        <f>VLOOKUP(B15,'LW13'!$X$15:$Y$501,2,0)-M15</f>
        <v>0</v>
      </c>
    </row>
    <row r="16" spans="1:23" x14ac:dyDescent="0.2">
      <c r="A16" s="9" t="str">
        <f t="shared" si="1"/>
        <v>11NL300054</v>
      </c>
      <c r="B16" s="9" t="str">
        <f>COUNTIF($A$7:A16,A16)&amp;A16</f>
        <v>111NL300054</v>
      </c>
      <c r="C16" s="54">
        <v>46023</v>
      </c>
      <c r="D16" s="55" t="s">
        <v>294</v>
      </c>
      <c r="E16" s="56" t="s">
        <v>491</v>
      </c>
      <c r="F16" s="56" t="s">
        <v>295</v>
      </c>
      <c r="G16" s="55" t="s">
        <v>492</v>
      </c>
      <c r="H16" s="55" t="s">
        <v>493</v>
      </c>
      <c r="I16" s="55" t="s">
        <v>494</v>
      </c>
      <c r="J16" s="55" t="s">
        <v>128</v>
      </c>
      <c r="K16" s="55" t="s">
        <v>314</v>
      </c>
      <c r="L16" s="55" t="s">
        <v>92</v>
      </c>
      <c r="M16" s="57">
        <v>2</v>
      </c>
      <c r="N16" s="58">
        <v>38000</v>
      </c>
      <c r="O16" s="58">
        <v>0</v>
      </c>
      <c r="P16" s="59">
        <v>76000</v>
      </c>
      <c r="Q16" s="58">
        <v>0</v>
      </c>
      <c r="R16" s="55">
        <v>38000</v>
      </c>
      <c r="S16" s="55" t="s">
        <v>469</v>
      </c>
      <c r="T16" s="55" t="s">
        <v>495</v>
      </c>
      <c r="U16" s="55" t="s">
        <v>18</v>
      </c>
      <c r="V16" s="55" t="s">
        <v>470</v>
      </c>
      <c r="W16" s="42">
        <f>VLOOKUP(B16,'LW13'!$X$15:$Y$501,2,0)-M16</f>
        <v>0</v>
      </c>
    </row>
    <row r="17" spans="1:23" x14ac:dyDescent="0.2">
      <c r="A17" s="9" t="str">
        <f t="shared" si="1"/>
        <v>11NL300058</v>
      </c>
      <c r="B17" s="9" t="str">
        <f>COUNTIF($A$7:A17,A17)&amp;A17</f>
        <v>111NL300058</v>
      </c>
      <c r="C17" s="54">
        <v>46023</v>
      </c>
      <c r="D17" s="55" t="s">
        <v>294</v>
      </c>
      <c r="E17" s="56" t="s">
        <v>491</v>
      </c>
      <c r="F17" s="56" t="s">
        <v>295</v>
      </c>
      <c r="G17" s="55" t="s">
        <v>492</v>
      </c>
      <c r="H17" s="55" t="s">
        <v>493</v>
      </c>
      <c r="I17" s="55" t="s">
        <v>494</v>
      </c>
      <c r="J17" s="55" t="s">
        <v>147</v>
      </c>
      <c r="K17" s="55" t="s">
        <v>29</v>
      </c>
      <c r="L17" s="55" t="s">
        <v>92</v>
      </c>
      <c r="M17" s="57">
        <v>4.25</v>
      </c>
      <c r="N17" s="58">
        <v>55000</v>
      </c>
      <c r="O17" s="58">
        <v>0</v>
      </c>
      <c r="P17" s="59">
        <v>233750</v>
      </c>
      <c r="Q17" s="58">
        <v>0</v>
      </c>
      <c r="R17" s="55">
        <v>55000</v>
      </c>
      <c r="S17" s="55" t="s">
        <v>469</v>
      </c>
      <c r="T17" s="55" t="s">
        <v>495</v>
      </c>
      <c r="U17" s="55" t="s">
        <v>18</v>
      </c>
      <c r="V17" s="55" t="s">
        <v>470</v>
      </c>
      <c r="W17" s="42">
        <f>VLOOKUP(B17,'LW13'!$X$15:$Y$501,2,0)-M17</f>
        <v>0</v>
      </c>
    </row>
    <row r="18" spans="1:23" x14ac:dyDescent="0.2">
      <c r="A18" s="9" t="str">
        <f t="shared" si="1"/>
        <v>11NL300061</v>
      </c>
      <c r="B18" s="9" t="str">
        <f>COUNTIF($A$7:A18,A18)&amp;A18</f>
        <v>111NL300061</v>
      </c>
      <c r="C18" s="54">
        <v>46023</v>
      </c>
      <c r="D18" s="55" t="s">
        <v>294</v>
      </c>
      <c r="E18" s="56" t="s">
        <v>491</v>
      </c>
      <c r="F18" s="56" t="s">
        <v>295</v>
      </c>
      <c r="G18" s="55" t="s">
        <v>492</v>
      </c>
      <c r="H18" s="55" t="s">
        <v>493</v>
      </c>
      <c r="I18" s="55" t="s">
        <v>494</v>
      </c>
      <c r="J18" s="55" t="s">
        <v>148</v>
      </c>
      <c r="K18" s="55" t="s">
        <v>403</v>
      </c>
      <c r="L18" s="55" t="s">
        <v>92</v>
      </c>
      <c r="M18" s="57">
        <v>0.5</v>
      </c>
      <c r="N18" s="58">
        <v>38000</v>
      </c>
      <c r="O18" s="58">
        <v>0</v>
      </c>
      <c r="P18" s="59">
        <v>19000</v>
      </c>
      <c r="Q18" s="58">
        <v>0</v>
      </c>
      <c r="R18" s="55">
        <v>38000</v>
      </c>
      <c r="S18" s="55" t="s">
        <v>469</v>
      </c>
      <c r="T18" s="55" t="s">
        <v>495</v>
      </c>
      <c r="U18" s="55" t="s">
        <v>18</v>
      </c>
      <c r="V18" s="55" t="s">
        <v>470</v>
      </c>
      <c r="W18" s="42">
        <f>VLOOKUP(B18,'LW13'!$X$15:$Y$501,2,0)-M18</f>
        <v>0</v>
      </c>
    </row>
    <row r="19" spans="1:23" x14ac:dyDescent="0.2">
      <c r="A19" s="9" t="str">
        <f t="shared" si="1"/>
        <v>11NL300070</v>
      </c>
      <c r="B19" s="9" t="str">
        <f>COUNTIF($A$7:A19,A19)&amp;A19</f>
        <v>111NL300070</v>
      </c>
      <c r="C19" s="54">
        <v>46023</v>
      </c>
      <c r="D19" s="55" t="s">
        <v>294</v>
      </c>
      <c r="E19" s="56" t="s">
        <v>491</v>
      </c>
      <c r="F19" s="56" t="s">
        <v>295</v>
      </c>
      <c r="G19" s="55" t="s">
        <v>492</v>
      </c>
      <c r="H19" s="55" t="s">
        <v>493</v>
      </c>
      <c r="I19" s="55" t="s">
        <v>494</v>
      </c>
      <c r="J19" s="55" t="s">
        <v>162</v>
      </c>
      <c r="K19" s="55" t="s">
        <v>304</v>
      </c>
      <c r="L19" s="55" t="s">
        <v>92</v>
      </c>
      <c r="M19" s="57">
        <v>0.5</v>
      </c>
      <c r="N19" s="58">
        <v>23000</v>
      </c>
      <c r="O19" s="58">
        <v>0</v>
      </c>
      <c r="P19" s="59">
        <v>11500</v>
      </c>
      <c r="Q19" s="58">
        <v>0</v>
      </c>
      <c r="R19" s="55">
        <v>23000</v>
      </c>
      <c r="S19" s="55" t="s">
        <v>469</v>
      </c>
      <c r="T19" s="55" t="s">
        <v>495</v>
      </c>
      <c r="U19" s="55" t="s">
        <v>18</v>
      </c>
      <c r="V19" s="55" t="s">
        <v>470</v>
      </c>
      <c r="W19" s="42">
        <f>VLOOKUP(B19,'LW13'!$X$15:$Y$501,2,0)-M19</f>
        <v>0</v>
      </c>
    </row>
    <row r="20" spans="1:23" x14ac:dyDescent="0.2">
      <c r="A20" s="9" t="str">
        <f t="shared" si="1"/>
        <v>11NL300085</v>
      </c>
      <c r="B20" s="9" t="str">
        <f>COUNTIF($A$7:A20,A20)&amp;A20</f>
        <v>111NL300085</v>
      </c>
      <c r="C20" s="54">
        <v>46023</v>
      </c>
      <c r="D20" s="55" t="s">
        <v>294</v>
      </c>
      <c r="E20" s="56" t="s">
        <v>491</v>
      </c>
      <c r="F20" s="56" t="s">
        <v>295</v>
      </c>
      <c r="G20" s="55" t="s">
        <v>492</v>
      </c>
      <c r="H20" s="55" t="s">
        <v>493</v>
      </c>
      <c r="I20" s="55" t="s">
        <v>494</v>
      </c>
      <c r="J20" s="55" t="s">
        <v>205</v>
      </c>
      <c r="K20" s="55" t="s">
        <v>306</v>
      </c>
      <c r="L20" s="55" t="s">
        <v>92</v>
      </c>
      <c r="M20" s="57">
        <v>4</v>
      </c>
      <c r="N20" s="58">
        <v>45000</v>
      </c>
      <c r="O20" s="58">
        <v>0</v>
      </c>
      <c r="P20" s="59">
        <v>180000</v>
      </c>
      <c r="Q20" s="58">
        <v>0</v>
      </c>
      <c r="R20" s="55">
        <v>45000</v>
      </c>
      <c r="S20" s="55" t="s">
        <v>469</v>
      </c>
      <c r="T20" s="55" t="s">
        <v>495</v>
      </c>
      <c r="U20" s="55" t="s">
        <v>18</v>
      </c>
      <c r="V20" s="55" t="s">
        <v>470</v>
      </c>
      <c r="W20" s="42">
        <f>VLOOKUP(B20,'LW13'!$X$15:$Y$501,2,0)-M20</f>
        <v>0</v>
      </c>
    </row>
    <row r="21" spans="1:23" x14ac:dyDescent="0.2">
      <c r="A21" s="9" t="str">
        <f t="shared" si="1"/>
        <v>11NL300088</v>
      </c>
      <c r="B21" s="9" t="str">
        <f>COUNTIF($A$7:A21,A21)&amp;A21</f>
        <v>111NL300088</v>
      </c>
      <c r="C21" s="54">
        <v>46023</v>
      </c>
      <c r="D21" s="55" t="s">
        <v>294</v>
      </c>
      <c r="E21" s="56" t="s">
        <v>491</v>
      </c>
      <c r="F21" s="56" t="s">
        <v>295</v>
      </c>
      <c r="G21" s="55" t="s">
        <v>492</v>
      </c>
      <c r="H21" s="55" t="s">
        <v>493</v>
      </c>
      <c r="I21" s="55" t="s">
        <v>494</v>
      </c>
      <c r="J21" s="55" t="s">
        <v>185</v>
      </c>
      <c r="K21" s="55" t="s">
        <v>31</v>
      </c>
      <c r="L21" s="55" t="s">
        <v>92</v>
      </c>
      <c r="M21" s="57">
        <v>3</v>
      </c>
      <c r="N21" s="58">
        <v>27000</v>
      </c>
      <c r="O21" s="58">
        <v>0</v>
      </c>
      <c r="P21" s="59">
        <v>81000</v>
      </c>
      <c r="Q21" s="58">
        <v>0</v>
      </c>
      <c r="R21" s="55">
        <v>27000</v>
      </c>
      <c r="S21" s="55" t="s">
        <v>469</v>
      </c>
      <c r="T21" s="55" t="s">
        <v>495</v>
      </c>
      <c r="U21" s="55" t="s">
        <v>18</v>
      </c>
      <c r="V21" s="55" t="s">
        <v>470</v>
      </c>
      <c r="W21" s="42">
        <f>VLOOKUP(B21,'LW13'!$X$15:$Y$501,2,0)-M21</f>
        <v>0</v>
      </c>
    </row>
    <row r="22" spans="1:23" x14ac:dyDescent="0.2">
      <c r="A22" s="9" t="str">
        <f t="shared" si="1"/>
        <v>11NL300107</v>
      </c>
      <c r="B22" s="9" t="str">
        <f>COUNTIF($A$7:A22,A22)&amp;A22</f>
        <v>111NL300107</v>
      </c>
      <c r="C22" s="54">
        <v>46023</v>
      </c>
      <c r="D22" s="55" t="s">
        <v>294</v>
      </c>
      <c r="E22" s="56" t="s">
        <v>491</v>
      </c>
      <c r="F22" s="56" t="s">
        <v>295</v>
      </c>
      <c r="G22" s="55" t="s">
        <v>492</v>
      </c>
      <c r="H22" s="55" t="s">
        <v>493</v>
      </c>
      <c r="I22" s="55" t="s">
        <v>494</v>
      </c>
      <c r="J22" s="55" t="s">
        <v>87</v>
      </c>
      <c r="K22" s="55" t="s">
        <v>299</v>
      </c>
      <c r="L22" s="55" t="s">
        <v>300</v>
      </c>
      <c r="M22" s="57">
        <v>20</v>
      </c>
      <c r="N22" s="58">
        <v>8500</v>
      </c>
      <c r="O22" s="58">
        <v>0</v>
      </c>
      <c r="P22" s="59">
        <v>170000</v>
      </c>
      <c r="Q22" s="58">
        <v>0</v>
      </c>
      <c r="R22" s="55">
        <v>8500</v>
      </c>
      <c r="S22" s="55" t="s">
        <v>469</v>
      </c>
      <c r="T22" s="55" t="s">
        <v>495</v>
      </c>
      <c r="U22" s="55" t="s">
        <v>18</v>
      </c>
      <c r="V22" s="55" t="s">
        <v>470</v>
      </c>
      <c r="W22" s="42">
        <f>VLOOKUP(B22,'LW13'!$X$15:$Y$501,2,0)-M22</f>
        <v>0</v>
      </c>
    </row>
    <row r="23" spans="1:23" x14ac:dyDescent="0.2">
      <c r="A23" s="9" t="str">
        <f t="shared" si="1"/>
        <v>11NL300113</v>
      </c>
      <c r="B23" s="9" t="str">
        <f>COUNTIF($A$7:A23,A23)&amp;A23</f>
        <v>111NL300113</v>
      </c>
      <c r="C23" s="54">
        <v>46023</v>
      </c>
      <c r="D23" s="55" t="s">
        <v>294</v>
      </c>
      <c r="E23" s="56" t="s">
        <v>491</v>
      </c>
      <c r="F23" s="56" t="s">
        <v>295</v>
      </c>
      <c r="G23" s="55" t="s">
        <v>492</v>
      </c>
      <c r="H23" s="55" t="s">
        <v>493</v>
      </c>
      <c r="I23" s="55" t="s">
        <v>494</v>
      </c>
      <c r="J23" s="55" t="s">
        <v>216</v>
      </c>
      <c r="K23" s="55" t="s">
        <v>33</v>
      </c>
      <c r="L23" s="55" t="s">
        <v>92</v>
      </c>
      <c r="M23" s="57">
        <v>1</v>
      </c>
      <c r="N23" s="58">
        <v>145000</v>
      </c>
      <c r="O23" s="58">
        <v>0</v>
      </c>
      <c r="P23" s="59">
        <v>145000</v>
      </c>
      <c r="Q23" s="58">
        <v>0</v>
      </c>
      <c r="R23" s="55">
        <v>145000</v>
      </c>
      <c r="S23" s="55" t="s">
        <v>469</v>
      </c>
      <c r="T23" s="55" t="s">
        <v>495</v>
      </c>
      <c r="U23" s="55" t="s">
        <v>18</v>
      </c>
      <c r="V23" s="55" t="s">
        <v>470</v>
      </c>
      <c r="W23" s="42">
        <f>VLOOKUP(B23,'LW13'!$X$15:$Y$501,2,0)-M23</f>
        <v>0</v>
      </c>
    </row>
    <row r="24" spans="1:23" x14ac:dyDescent="0.2">
      <c r="A24" s="9" t="str">
        <f t="shared" si="1"/>
        <v>11NL300137</v>
      </c>
      <c r="B24" s="9" t="str">
        <f>COUNTIF($A$7:A24,A24)&amp;A24</f>
        <v>111NL300137</v>
      </c>
      <c r="C24" s="54">
        <v>46023</v>
      </c>
      <c r="D24" s="55" t="s">
        <v>294</v>
      </c>
      <c r="E24" s="56" t="s">
        <v>491</v>
      </c>
      <c r="F24" s="56" t="s">
        <v>295</v>
      </c>
      <c r="G24" s="55" t="s">
        <v>492</v>
      </c>
      <c r="H24" s="55" t="s">
        <v>493</v>
      </c>
      <c r="I24" s="55" t="s">
        <v>494</v>
      </c>
      <c r="J24" s="55" t="s">
        <v>96</v>
      </c>
      <c r="K24" s="55" t="s">
        <v>397</v>
      </c>
      <c r="L24" s="55" t="s">
        <v>92</v>
      </c>
      <c r="M24" s="57">
        <v>6.5</v>
      </c>
      <c r="N24" s="58">
        <v>52000</v>
      </c>
      <c r="O24" s="58">
        <v>0</v>
      </c>
      <c r="P24" s="59">
        <v>338000</v>
      </c>
      <c r="Q24" s="58">
        <v>0</v>
      </c>
      <c r="R24" s="55">
        <v>52000</v>
      </c>
      <c r="S24" s="55" t="s">
        <v>469</v>
      </c>
      <c r="T24" s="55" t="s">
        <v>495</v>
      </c>
      <c r="U24" s="55" t="s">
        <v>18</v>
      </c>
      <c r="V24" s="55" t="s">
        <v>470</v>
      </c>
      <c r="W24" s="42">
        <f>VLOOKUP(B24,'LW13'!$X$15:$Y$501,2,0)-M24</f>
        <v>0</v>
      </c>
    </row>
    <row r="25" spans="1:23" x14ac:dyDescent="0.2">
      <c r="A25" s="9" t="str">
        <f t="shared" si="1"/>
        <v>11NL300116</v>
      </c>
      <c r="B25" s="9" t="str">
        <f>COUNTIF($A$7:A25,A25)&amp;A25</f>
        <v>111NL300116</v>
      </c>
      <c r="C25" s="54">
        <v>46023</v>
      </c>
      <c r="D25" s="55" t="s">
        <v>294</v>
      </c>
      <c r="E25" s="56" t="s">
        <v>491</v>
      </c>
      <c r="F25" s="56" t="s">
        <v>295</v>
      </c>
      <c r="G25" s="55" t="s">
        <v>492</v>
      </c>
      <c r="H25" s="55" t="s">
        <v>493</v>
      </c>
      <c r="I25" s="55" t="s">
        <v>494</v>
      </c>
      <c r="J25" s="55" t="s">
        <v>217</v>
      </c>
      <c r="K25" s="55" t="s">
        <v>313</v>
      </c>
      <c r="L25" s="55" t="s">
        <v>92</v>
      </c>
      <c r="M25" s="57">
        <v>0.4</v>
      </c>
      <c r="N25" s="58">
        <v>148000</v>
      </c>
      <c r="O25" s="58">
        <v>0</v>
      </c>
      <c r="P25" s="59">
        <v>59200</v>
      </c>
      <c r="Q25" s="58">
        <v>0</v>
      </c>
      <c r="R25" s="55">
        <v>148000</v>
      </c>
      <c r="S25" s="55" t="s">
        <v>469</v>
      </c>
      <c r="T25" s="55" t="s">
        <v>495</v>
      </c>
      <c r="U25" s="55" t="s">
        <v>18</v>
      </c>
      <c r="V25" s="55" t="s">
        <v>470</v>
      </c>
      <c r="W25" s="42">
        <f>VLOOKUP(B25,'LW13'!$X$15:$Y$501,2,0)-M25</f>
        <v>0</v>
      </c>
    </row>
    <row r="26" spans="1:23" x14ac:dyDescent="0.2">
      <c r="A26" s="9" t="str">
        <f t="shared" si="1"/>
        <v>11NL300119</v>
      </c>
      <c r="B26" s="9" t="str">
        <f>COUNTIF($A$7:A26,A26)&amp;A26</f>
        <v>111NL300119</v>
      </c>
      <c r="C26" s="54">
        <v>46023</v>
      </c>
      <c r="D26" s="55" t="s">
        <v>294</v>
      </c>
      <c r="E26" s="56" t="s">
        <v>491</v>
      </c>
      <c r="F26" s="56" t="s">
        <v>295</v>
      </c>
      <c r="G26" s="55" t="s">
        <v>492</v>
      </c>
      <c r="H26" s="55" t="s">
        <v>493</v>
      </c>
      <c r="I26" s="55" t="s">
        <v>494</v>
      </c>
      <c r="J26" s="55" t="s">
        <v>242</v>
      </c>
      <c r="K26" s="55" t="s">
        <v>307</v>
      </c>
      <c r="L26" s="55" t="s">
        <v>92</v>
      </c>
      <c r="M26" s="57">
        <v>2</v>
      </c>
      <c r="N26" s="58">
        <v>21000</v>
      </c>
      <c r="O26" s="58">
        <v>0</v>
      </c>
      <c r="P26" s="59">
        <v>42000</v>
      </c>
      <c r="Q26" s="58">
        <v>0</v>
      </c>
      <c r="R26" s="55">
        <v>21000</v>
      </c>
      <c r="S26" s="55" t="s">
        <v>469</v>
      </c>
      <c r="T26" s="55" t="s">
        <v>495</v>
      </c>
      <c r="U26" s="55" t="s">
        <v>18</v>
      </c>
      <c r="V26" s="55" t="s">
        <v>470</v>
      </c>
      <c r="W26" s="42">
        <f>VLOOKUP(B26,'LW13'!$X$15:$Y$501,2,0)-M26</f>
        <v>0</v>
      </c>
    </row>
    <row r="27" spans="1:23" x14ac:dyDescent="0.2">
      <c r="A27" s="9" t="str">
        <f t="shared" si="1"/>
        <v>11NL300025</v>
      </c>
      <c r="B27" s="9" t="str">
        <f>COUNTIF($A$7:A27,A27)&amp;A27</f>
        <v>111NL300025</v>
      </c>
      <c r="C27" s="54">
        <v>46023</v>
      </c>
      <c r="D27" s="55" t="s">
        <v>294</v>
      </c>
      <c r="E27" s="56" t="s">
        <v>491</v>
      </c>
      <c r="F27" s="56" t="s">
        <v>295</v>
      </c>
      <c r="G27" s="55" t="s">
        <v>492</v>
      </c>
      <c r="H27" s="55" t="s">
        <v>493</v>
      </c>
      <c r="I27" s="55" t="s">
        <v>494</v>
      </c>
      <c r="J27" s="55" t="s">
        <v>117</v>
      </c>
      <c r="K27" s="55" t="s">
        <v>303</v>
      </c>
      <c r="L27" s="55" t="s">
        <v>92</v>
      </c>
      <c r="M27" s="57">
        <v>1</v>
      </c>
      <c r="N27" s="58">
        <v>44000</v>
      </c>
      <c r="O27" s="58">
        <v>0</v>
      </c>
      <c r="P27" s="59">
        <v>44000</v>
      </c>
      <c r="Q27" s="58">
        <v>0</v>
      </c>
      <c r="R27" s="55">
        <v>44000</v>
      </c>
      <c r="S27" s="55" t="s">
        <v>469</v>
      </c>
      <c r="T27" s="55" t="s">
        <v>495</v>
      </c>
      <c r="U27" s="55" t="s">
        <v>18</v>
      </c>
      <c r="V27" s="55" t="s">
        <v>470</v>
      </c>
      <c r="W27" s="42">
        <f>VLOOKUP(B27,'LW13'!$X$15:$Y$501,2,0)-M27</f>
        <v>0</v>
      </c>
    </row>
    <row r="28" spans="1:23" x14ac:dyDescent="0.2">
      <c r="A28" s="9" t="str">
        <f t="shared" si="1"/>
        <v>11NL300126</v>
      </c>
      <c r="B28" s="9" t="str">
        <f>COUNTIF($A$7:A28,A28)&amp;A28</f>
        <v>111NL300126</v>
      </c>
      <c r="C28" s="54">
        <v>46023</v>
      </c>
      <c r="D28" s="55" t="s">
        <v>294</v>
      </c>
      <c r="E28" s="56" t="s">
        <v>491</v>
      </c>
      <c r="F28" s="56" t="s">
        <v>295</v>
      </c>
      <c r="G28" s="55" t="s">
        <v>492</v>
      </c>
      <c r="H28" s="55" t="s">
        <v>493</v>
      </c>
      <c r="I28" s="55" t="s">
        <v>494</v>
      </c>
      <c r="J28" s="55" t="s">
        <v>206</v>
      </c>
      <c r="K28" s="55" t="s">
        <v>315</v>
      </c>
      <c r="L28" s="55" t="s">
        <v>92</v>
      </c>
      <c r="M28" s="57">
        <v>0.3</v>
      </c>
      <c r="N28" s="58">
        <v>70000</v>
      </c>
      <c r="O28" s="58">
        <v>0</v>
      </c>
      <c r="P28" s="59">
        <v>21000</v>
      </c>
      <c r="Q28" s="58">
        <v>0</v>
      </c>
      <c r="R28" s="55">
        <v>70000</v>
      </c>
      <c r="S28" s="55" t="s">
        <v>469</v>
      </c>
      <c r="T28" s="55" t="s">
        <v>495</v>
      </c>
      <c r="U28" s="55" t="s">
        <v>18</v>
      </c>
      <c r="V28" s="55" t="s">
        <v>470</v>
      </c>
      <c r="W28" s="42">
        <f>VLOOKUP(B28,'LW13'!$X$15:$Y$501,2,0)-M28</f>
        <v>0</v>
      </c>
    </row>
    <row r="29" spans="1:23" x14ac:dyDescent="0.2">
      <c r="A29" s="9" t="str">
        <f t="shared" si="1"/>
        <v>11NL300132</v>
      </c>
      <c r="B29" s="9" t="str">
        <f>COUNTIF($A$7:A29,A29)&amp;A29</f>
        <v>111NL300132</v>
      </c>
      <c r="C29" s="54">
        <v>46023</v>
      </c>
      <c r="D29" s="55" t="s">
        <v>294</v>
      </c>
      <c r="E29" s="56" t="s">
        <v>491</v>
      </c>
      <c r="F29" s="56" t="s">
        <v>295</v>
      </c>
      <c r="G29" s="55" t="s">
        <v>492</v>
      </c>
      <c r="H29" s="55" t="s">
        <v>493</v>
      </c>
      <c r="I29" s="55" t="s">
        <v>494</v>
      </c>
      <c r="J29" s="55" t="s">
        <v>237</v>
      </c>
      <c r="K29" s="55" t="s">
        <v>36</v>
      </c>
      <c r="L29" s="55" t="s">
        <v>92</v>
      </c>
      <c r="M29" s="57">
        <v>2</v>
      </c>
      <c r="N29" s="58">
        <v>12000</v>
      </c>
      <c r="O29" s="58">
        <v>0</v>
      </c>
      <c r="P29" s="59">
        <v>24000</v>
      </c>
      <c r="Q29" s="58">
        <v>0</v>
      </c>
      <c r="R29" s="55">
        <v>12000</v>
      </c>
      <c r="S29" s="55" t="s">
        <v>469</v>
      </c>
      <c r="T29" s="55" t="s">
        <v>495</v>
      </c>
      <c r="U29" s="55" t="s">
        <v>18</v>
      </c>
      <c r="V29" s="55" t="s">
        <v>470</v>
      </c>
      <c r="W29" s="42">
        <f>VLOOKUP(B29,'LW13'!$X$15:$Y$501,2,0)-M29</f>
        <v>0</v>
      </c>
    </row>
    <row r="30" spans="1:23" x14ac:dyDescent="0.2">
      <c r="A30" s="9" t="str">
        <f t="shared" si="1"/>
        <v>11NL300142</v>
      </c>
      <c r="B30" s="9" t="str">
        <f>COUNTIF($A$7:A30,A30)&amp;A30</f>
        <v>111NL300142</v>
      </c>
      <c r="C30" s="54">
        <v>46023</v>
      </c>
      <c r="D30" s="55" t="s">
        <v>294</v>
      </c>
      <c r="E30" s="56" t="s">
        <v>491</v>
      </c>
      <c r="F30" s="56" t="s">
        <v>295</v>
      </c>
      <c r="G30" s="55" t="s">
        <v>492</v>
      </c>
      <c r="H30" s="55" t="s">
        <v>493</v>
      </c>
      <c r="I30" s="55" t="s">
        <v>494</v>
      </c>
      <c r="J30" s="55" t="s">
        <v>259</v>
      </c>
      <c r="K30" s="55" t="s">
        <v>308</v>
      </c>
      <c r="L30" s="55" t="s">
        <v>92</v>
      </c>
      <c r="M30" s="57">
        <v>5.0999999999999996</v>
      </c>
      <c r="N30" s="58">
        <v>50000</v>
      </c>
      <c r="O30" s="58">
        <v>0</v>
      </c>
      <c r="P30" s="59">
        <v>255000</v>
      </c>
      <c r="Q30" s="58">
        <v>0</v>
      </c>
      <c r="R30" s="55">
        <v>50000</v>
      </c>
      <c r="S30" s="55" t="s">
        <v>469</v>
      </c>
      <c r="T30" s="55" t="s">
        <v>495</v>
      </c>
      <c r="U30" s="55" t="s">
        <v>18</v>
      </c>
      <c r="V30" s="55" t="s">
        <v>470</v>
      </c>
      <c r="W30" s="42">
        <f>VLOOKUP(B30,'LW13'!$X$15:$Y$501,2,0)-M30</f>
        <v>0</v>
      </c>
    </row>
    <row r="31" spans="1:23" x14ac:dyDescent="0.2">
      <c r="A31" s="9" t="str">
        <f t="shared" si="1"/>
        <v>11NL100101</v>
      </c>
      <c r="B31" s="9" t="str">
        <f>COUNTIF($A$7:A31,A31)&amp;A31</f>
        <v>111NL100101</v>
      </c>
      <c r="C31" s="54">
        <v>46023</v>
      </c>
      <c r="D31" s="55" t="s">
        <v>294</v>
      </c>
      <c r="E31" s="56" t="s">
        <v>491</v>
      </c>
      <c r="F31" s="56" t="s">
        <v>295</v>
      </c>
      <c r="G31" s="55" t="s">
        <v>492</v>
      </c>
      <c r="H31" s="55" t="s">
        <v>493</v>
      </c>
      <c r="I31" s="55" t="s">
        <v>494</v>
      </c>
      <c r="J31" s="55" t="s">
        <v>263</v>
      </c>
      <c r="K31" s="55" t="s">
        <v>52</v>
      </c>
      <c r="L31" s="55" t="s">
        <v>318</v>
      </c>
      <c r="M31" s="57">
        <v>49</v>
      </c>
      <c r="N31" s="58">
        <v>5000</v>
      </c>
      <c r="O31" s="58">
        <v>0</v>
      </c>
      <c r="P31" s="59">
        <v>245000</v>
      </c>
      <c r="Q31" s="58">
        <v>0</v>
      </c>
      <c r="R31" s="55">
        <v>5000</v>
      </c>
      <c r="S31" s="55" t="s">
        <v>469</v>
      </c>
      <c r="T31" s="55" t="s">
        <v>495</v>
      </c>
      <c r="U31" s="55" t="s">
        <v>18</v>
      </c>
      <c r="V31" s="55" t="s">
        <v>470</v>
      </c>
      <c r="W31" s="42">
        <f>VLOOKUP(B31,'LW13'!$X$15:$Y$501,2,0)-M31</f>
        <v>0</v>
      </c>
    </row>
    <row r="32" spans="1:23" x14ac:dyDescent="0.2">
      <c r="A32" s="9" t="str">
        <f t="shared" si="1"/>
        <v>11NL100279</v>
      </c>
      <c r="B32" s="9" t="str">
        <f>COUNTIF($A$7:A32,A32)&amp;A32</f>
        <v>111NL100279</v>
      </c>
      <c r="C32" s="54">
        <v>46023</v>
      </c>
      <c r="D32" s="55" t="s">
        <v>294</v>
      </c>
      <c r="E32" s="56" t="s">
        <v>491</v>
      </c>
      <c r="F32" s="56" t="s">
        <v>295</v>
      </c>
      <c r="G32" s="55" t="s">
        <v>492</v>
      </c>
      <c r="H32" s="55" t="s">
        <v>493</v>
      </c>
      <c r="I32" s="55" t="s">
        <v>494</v>
      </c>
      <c r="J32" s="55" t="s">
        <v>473</v>
      </c>
      <c r="K32" s="55" t="s">
        <v>474</v>
      </c>
      <c r="L32" s="55" t="s">
        <v>53</v>
      </c>
      <c r="M32" s="57">
        <v>20</v>
      </c>
      <c r="N32" s="58">
        <v>9000</v>
      </c>
      <c r="O32" s="58">
        <v>0</v>
      </c>
      <c r="P32" s="59">
        <v>180000</v>
      </c>
      <c r="Q32" s="58">
        <v>0</v>
      </c>
      <c r="R32" s="55">
        <v>9000</v>
      </c>
      <c r="S32" s="55" t="s">
        <v>469</v>
      </c>
      <c r="T32" s="55" t="s">
        <v>495</v>
      </c>
      <c r="U32" s="55" t="s">
        <v>18</v>
      </c>
      <c r="V32" s="55" t="s">
        <v>470</v>
      </c>
      <c r="W32" s="42">
        <f>VLOOKUP(B32,'LW13'!$X$15:$Y$501,2,0)-M32</f>
        <v>0</v>
      </c>
    </row>
    <row r="33" spans="1:23" x14ac:dyDescent="0.2">
      <c r="A33" s="9" t="str">
        <f t="shared" si="1"/>
        <v>11NL300147</v>
      </c>
      <c r="B33" s="9" t="str">
        <f>COUNTIF($A$7:A33,A33)&amp;A33</f>
        <v>111NL300147</v>
      </c>
      <c r="C33" s="54">
        <v>46023</v>
      </c>
      <c r="D33" s="55" t="s">
        <v>294</v>
      </c>
      <c r="E33" s="56" t="s">
        <v>491</v>
      </c>
      <c r="F33" s="56" t="s">
        <v>295</v>
      </c>
      <c r="G33" s="55" t="s">
        <v>492</v>
      </c>
      <c r="H33" s="55" t="s">
        <v>493</v>
      </c>
      <c r="I33" s="55" t="s">
        <v>494</v>
      </c>
      <c r="J33" s="55" t="s">
        <v>270</v>
      </c>
      <c r="K33" s="55" t="s">
        <v>309</v>
      </c>
      <c r="L33" s="55" t="s">
        <v>92</v>
      </c>
      <c r="M33" s="57">
        <v>4</v>
      </c>
      <c r="N33" s="58">
        <v>62000</v>
      </c>
      <c r="O33" s="58">
        <v>0</v>
      </c>
      <c r="P33" s="59">
        <v>248000</v>
      </c>
      <c r="Q33" s="58">
        <v>0</v>
      </c>
      <c r="R33" s="55">
        <v>62000</v>
      </c>
      <c r="S33" s="55" t="s">
        <v>469</v>
      </c>
      <c r="T33" s="55" t="s">
        <v>495</v>
      </c>
      <c r="U33" s="55" t="s">
        <v>18</v>
      </c>
      <c r="V33" s="55" t="s">
        <v>470</v>
      </c>
      <c r="W33" s="42">
        <f>VLOOKUP(B33,'LW13'!$X$15:$Y$501,2,0)-M33</f>
        <v>0</v>
      </c>
    </row>
    <row r="34" spans="1:23" x14ac:dyDescent="0.2">
      <c r="A34" s="9" t="str">
        <f t="shared" si="1"/>
        <v>11NL300090</v>
      </c>
      <c r="B34" s="9" t="str">
        <f>COUNTIF($A$7:A34,A34)&amp;A34</f>
        <v>111NL300090</v>
      </c>
      <c r="C34" s="54">
        <v>46023</v>
      </c>
      <c r="D34" s="55" t="s">
        <v>294</v>
      </c>
      <c r="E34" s="56" t="s">
        <v>491</v>
      </c>
      <c r="F34" s="56" t="s">
        <v>295</v>
      </c>
      <c r="G34" s="55" t="s">
        <v>492</v>
      </c>
      <c r="H34" s="55" t="s">
        <v>493</v>
      </c>
      <c r="I34" s="55" t="s">
        <v>494</v>
      </c>
      <c r="J34" s="55" t="s">
        <v>189</v>
      </c>
      <c r="K34" s="55" t="s">
        <v>39</v>
      </c>
      <c r="L34" s="55" t="s">
        <v>92</v>
      </c>
      <c r="M34" s="57">
        <v>2</v>
      </c>
      <c r="N34" s="58">
        <v>145000</v>
      </c>
      <c r="O34" s="58">
        <v>0</v>
      </c>
      <c r="P34" s="59">
        <v>290000</v>
      </c>
      <c r="Q34" s="58">
        <v>0</v>
      </c>
      <c r="R34" s="55">
        <v>145000</v>
      </c>
      <c r="S34" s="55" t="s">
        <v>469</v>
      </c>
      <c r="T34" s="55" t="s">
        <v>495</v>
      </c>
      <c r="U34" s="55" t="s">
        <v>18</v>
      </c>
      <c r="V34" s="55" t="s">
        <v>470</v>
      </c>
      <c r="W34" s="42">
        <f>VLOOKUP(B34,'LW13'!$X$15:$Y$501,2,0)-M34</f>
        <v>0</v>
      </c>
    </row>
    <row r="35" spans="1:23" x14ac:dyDescent="0.2">
      <c r="A35" s="9" t="str">
        <f t="shared" si="1"/>
        <v>11NL300091</v>
      </c>
      <c r="B35" s="9" t="str">
        <f>COUNTIF($A$7:A35,A35)&amp;A35</f>
        <v>111NL300091</v>
      </c>
      <c r="C35" s="54">
        <v>46023</v>
      </c>
      <c r="D35" s="55" t="s">
        <v>294</v>
      </c>
      <c r="E35" s="56" t="s">
        <v>491</v>
      </c>
      <c r="F35" s="56" t="s">
        <v>295</v>
      </c>
      <c r="G35" s="55" t="s">
        <v>492</v>
      </c>
      <c r="H35" s="55" t="s">
        <v>493</v>
      </c>
      <c r="I35" s="55" t="s">
        <v>494</v>
      </c>
      <c r="J35" s="55" t="s">
        <v>190</v>
      </c>
      <c r="K35" s="55" t="s">
        <v>40</v>
      </c>
      <c r="L35" s="55" t="s">
        <v>92</v>
      </c>
      <c r="M35" s="57">
        <v>1.7</v>
      </c>
      <c r="N35" s="58">
        <v>47000</v>
      </c>
      <c r="O35" s="58">
        <v>0</v>
      </c>
      <c r="P35" s="59">
        <v>79900</v>
      </c>
      <c r="Q35" s="58">
        <v>0</v>
      </c>
      <c r="R35" s="55">
        <v>47000</v>
      </c>
      <c r="S35" s="55" t="s">
        <v>469</v>
      </c>
      <c r="T35" s="55" t="s">
        <v>495</v>
      </c>
      <c r="U35" s="55" t="s">
        <v>18</v>
      </c>
      <c r="V35" s="55" t="s">
        <v>470</v>
      </c>
      <c r="W35" s="42">
        <f>VLOOKUP(B35,'LW13'!$X$15:$Y$501,2,0)-M35</f>
        <v>0</v>
      </c>
    </row>
    <row r="36" spans="1:23" x14ac:dyDescent="0.2">
      <c r="A36" s="9" t="str">
        <f t="shared" si="1"/>
        <v>11NL300092</v>
      </c>
      <c r="B36" s="9" t="str">
        <f>COUNTIF($A$7:A36,A36)&amp;A36</f>
        <v>111NL300092</v>
      </c>
      <c r="C36" s="54">
        <v>46023</v>
      </c>
      <c r="D36" s="55" t="s">
        <v>294</v>
      </c>
      <c r="E36" s="56" t="s">
        <v>491</v>
      </c>
      <c r="F36" s="56" t="s">
        <v>295</v>
      </c>
      <c r="G36" s="55" t="s">
        <v>492</v>
      </c>
      <c r="H36" s="55" t="s">
        <v>493</v>
      </c>
      <c r="I36" s="55" t="s">
        <v>494</v>
      </c>
      <c r="J36" s="55" t="s">
        <v>191</v>
      </c>
      <c r="K36" s="55" t="s">
        <v>43</v>
      </c>
      <c r="L36" s="55" t="s">
        <v>92</v>
      </c>
      <c r="M36" s="57">
        <v>2.5</v>
      </c>
      <c r="N36" s="58">
        <v>90000</v>
      </c>
      <c r="O36" s="58">
        <v>0</v>
      </c>
      <c r="P36" s="59">
        <v>225000</v>
      </c>
      <c r="Q36" s="58">
        <v>0</v>
      </c>
      <c r="R36" s="55">
        <v>90000</v>
      </c>
      <c r="S36" s="55" t="s">
        <v>469</v>
      </c>
      <c r="T36" s="55" t="s">
        <v>495</v>
      </c>
      <c r="U36" s="55" t="s">
        <v>18</v>
      </c>
      <c r="V36" s="55" t="s">
        <v>470</v>
      </c>
      <c r="W36" s="42">
        <f>VLOOKUP(B36,'LW13'!$X$15:$Y$501,2,0)-M36</f>
        <v>0</v>
      </c>
    </row>
    <row r="37" spans="1:23" x14ac:dyDescent="0.2">
      <c r="A37" s="9" t="str">
        <f t="shared" si="1"/>
        <v>11NL300094</v>
      </c>
      <c r="B37" s="9" t="str">
        <f>COUNTIF($A$7:A37,A37)&amp;A37</f>
        <v>111NL300094</v>
      </c>
      <c r="C37" s="54">
        <v>46023</v>
      </c>
      <c r="D37" s="55" t="s">
        <v>294</v>
      </c>
      <c r="E37" s="56" t="s">
        <v>491</v>
      </c>
      <c r="F37" s="56" t="s">
        <v>295</v>
      </c>
      <c r="G37" s="55" t="s">
        <v>492</v>
      </c>
      <c r="H37" s="55" t="s">
        <v>493</v>
      </c>
      <c r="I37" s="55" t="s">
        <v>494</v>
      </c>
      <c r="J37" s="55" t="s">
        <v>192</v>
      </c>
      <c r="K37" s="55" t="s">
        <v>312</v>
      </c>
      <c r="L37" s="55" t="s">
        <v>92</v>
      </c>
      <c r="M37" s="57">
        <v>0.5</v>
      </c>
      <c r="N37" s="58">
        <v>80000</v>
      </c>
      <c r="O37" s="58">
        <v>0</v>
      </c>
      <c r="P37" s="59">
        <v>40000</v>
      </c>
      <c r="Q37" s="58">
        <v>0</v>
      </c>
      <c r="R37" s="55">
        <v>80000</v>
      </c>
      <c r="S37" s="55" t="s">
        <v>469</v>
      </c>
      <c r="T37" s="55" t="s">
        <v>495</v>
      </c>
      <c r="U37" s="55" t="s">
        <v>18</v>
      </c>
      <c r="V37" s="55" t="s">
        <v>470</v>
      </c>
      <c r="W37" s="42">
        <f>VLOOKUP(B37,'LW13'!$X$15:$Y$501,2,0)-M37</f>
        <v>0</v>
      </c>
    </row>
    <row r="38" spans="1:23" x14ac:dyDescent="0.2">
      <c r="A38" s="9" t="str">
        <f t="shared" si="1"/>
        <v>11NL300096</v>
      </c>
      <c r="B38" s="9" t="str">
        <f>COUNTIF($A$7:A38,A38)&amp;A38</f>
        <v>111NL300096</v>
      </c>
      <c r="C38" s="54">
        <v>46023</v>
      </c>
      <c r="D38" s="55" t="s">
        <v>294</v>
      </c>
      <c r="E38" s="56" t="s">
        <v>491</v>
      </c>
      <c r="F38" s="56" t="s">
        <v>295</v>
      </c>
      <c r="G38" s="55" t="s">
        <v>492</v>
      </c>
      <c r="H38" s="55" t="s">
        <v>493</v>
      </c>
      <c r="I38" s="55" t="s">
        <v>494</v>
      </c>
      <c r="J38" s="55" t="s">
        <v>193</v>
      </c>
      <c r="K38" s="55" t="s">
        <v>41</v>
      </c>
      <c r="L38" s="55" t="s">
        <v>92</v>
      </c>
      <c r="M38" s="57">
        <v>4</v>
      </c>
      <c r="N38" s="58">
        <v>45000</v>
      </c>
      <c r="O38" s="58">
        <v>0</v>
      </c>
      <c r="P38" s="59">
        <v>180000</v>
      </c>
      <c r="Q38" s="58">
        <v>0</v>
      </c>
      <c r="R38" s="55">
        <v>45000</v>
      </c>
      <c r="S38" s="55" t="s">
        <v>469</v>
      </c>
      <c r="T38" s="55" t="s">
        <v>495</v>
      </c>
      <c r="U38" s="55" t="s">
        <v>18</v>
      </c>
      <c r="V38" s="55" t="s">
        <v>470</v>
      </c>
      <c r="W38" s="42">
        <f>VLOOKUP(B38,'LW13'!$X$15:$Y$501,2,0)-M38</f>
        <v>0</v>
      </c>
    </row>
    <row r="39" spans="1:23" x14ac:dyDescent="0.2">
      <c r="A39" s="9" t="str">
        <f t="shared" si="1"/>
        <v>11NL300097</v>
      </c>
      <c r="B39" s="9" t="str">
        <f>COUNTIF($A$7:A39,A39)&amp;A39</f>
        <v>111NL300097</v>
      </c>
      <c r="C39" s="54">
        <v>46023</v>
      </c>
      <c r="D39" s="55" t="s">
        <v>294</v>
      </c>
      <c r="E39" s="56" t="s">
        <v>491</v>
      </c>
      <c r="F39" s="56" t="s">
        <v>295</v>
      </c>
      <c r="G39" s="55" t="s">
        <v>492</v>
      </c>
      <c r="H39" s="55" t="s">
        <v>493</v>
      </c>
      <c r="I39" s="55" t="s">
        <v>494</v>
      </c>
      <c r="J39" s="55" t="s">
        <v>194</v>
      </c>
      <c r="K39" s="55" t="s">
        <v>317</v>
      </c>
      <c r="L39" s="55" t="s">
        <v>92</v>
      </c>
      <c r="M39" s="57">
        <v>1</v>
      </c>
      <c r="N39" s="58">
        <v>90000</v>
      </c>
      <c r="O39" s="58">
        <v>0</v>
      </c>
      <c r="P39" s="59">
        <v>90000</v>
      </c>
      <c r="Q39" s="58">
        <v>0</v>
      </c>
      <c r="R39" s="55">
        <v>90000</v>
      </c>
      <c r="S39" s="55" t="s">
        <v>469</v>
      </c>
      <c r="T39" s="55" t="s">
        <v>495</v>
      </c>
      <c r="U39" s="55" t="s">
        <v>18</v>
      </c>
      <c r="V39" s="55" t="s">
        <v>470</v>
      </c>
      <c r="W39" s="42">
        <f>VLOOKUP(B39,'LW13'!$X$15:$Y$501,2,0)-M39</f>
        <v>0</v>
      </c>
    </row>
    <row r="40" spans="1:23" x14ac:dyDescent="0.2">
      <c r="A40" s="9" t="str">
        <f t="shared" si="1"/>
        <v>11NL300101</v>
      </c>
      <c r="B40" s="9" t="str">
        <f>COUNTIF($A$7:A40,A40)&amp;A40</f>
        <v>111NL300101</v>
      </c>
      <c r="C40" s="54">
        <v>46023</v>
      </c>
      <c r="D40" s="55" t="s">
        <v>294</v>
      </c>
      <c r="E40" s="56" t="s">
        <v>491</v>
      </c>
      <c r="F40" s="56" t="s">
        <v>295</v>
      </c>
      <c r="G40" s="55" t="s">
        <v>492</v>
      </c>
      <c r="H40" s="55" t="s">
        <v>493</v>
      </c>
      <c r="I40" s="55" t="s">
        <v>494</v>
      </c>
      <c r="J40" s="55" t="s">
        <v>200</v>
      </c>
      <c r="K40" s="55" t="s">
        <v>305</v>
      </c>
      <c r="L40" s="55" t="s">
        <v>92</v>
      </c>
      <c r="M40" s="57">
        <v>1</v>
      </c>
      <c r="N40" s="58">
        <v>195000</v>
      </c>
      <c r="O40" s="58">
        <v>0</v>
      </c>
      <c r="P40" s="59">
        <v>195000</v>
      </c>
      <c r="Q40" s="58">
        <v>0</v>
      </c>
      <c r="R40" s="55">
        <v>195000</v>
      </c>
      <c r="S40" s="55" t="s">
        <v>469</v>
      </c>
      <c r="T40" s="55" t="s">
        <v>495</v>
      </c>
      <c r="U40" s="55" t="s">
        <v>18</v>
      </c>
      <c r="V40" s="55" t="s">
        <v>470</v>
      </c>
      <c r="W40" s="42">
        <f>VLOOKUP(B40,'LW13'!$X$15:$Y$501,2,0)-M40</f>
        <v>0</v>
      </c>
    </row>
    <row r="41" spans="1:23" x14ac:dyDescent="0.2">
      <c r="A41" s="9" t="str">
        <f t="shared" si="1"/>
        <v>11NL300184</v>
      </c>
      <c r="B41" s="9" t="str">
        <f>COUNTIF($A$7:A41,A41)&amp;A41</f>
        <v>111NL300184</v>
      </c>
      <c r="C41" s="54">
        <v>46023</v>
      </c>
      <c r="D41" s="55" t="s">
        <v>294</v>
      </c>
      <c r="E41" s="56" t="s">
        <v>491</v>
      </c>
      <c r="F41" s="56" t="s">
        <v>295</v>
      </c>
      <c r="G41" s="55" t="s">
        <v>492</v>
      </c>
      <c r="H41" s="55" t="s">
        <v>493</v>
      </c>
      <c r="I41" s="55" t="s">
        <v>494</v>
      </c>
      <c r="J41" s="55" t="s">
        <v>172</v>
      </c>
      <c r="K41" s="55" t="s">
        <v>496</v>
      </c>
      <c r="L41" s="55" t="s">
        <v>92</v>
      </c>
      <c r="M41" s="57">
        <v>1.1000000000000001</v>
      </c>
      <c r="N41" s="58">
        <v>18000</v>
      </c>
      <c r="O41" s="58">
        <v>0</v>
      </c>
      <c r="P41" s="59">
        <v>19800</v>
      </c>
      <c r="Q41" s="58">
        <v>0</v>
      </c>
      <c r="R41" s="55">
        <v>18000</v>
      </c>
      <c r="S41" s="55" t="s">
        <v>469</v>
      </c>
      <c r="T41" s="55" t="s">
        <v>495</v>
      </c>
      <c r="U41" s="55" t="s">
        <v>18</v>
      </c>
      <c r="V41" s="55" t="s">
        <v>470</v>
      </c>
      <c r="W41" s="42">
        <f>VLOOKUP(B41,'LW13'!$X$15:$Y$501,2,0)-M41</f>
        <v>0</v>
      </c>
    </row>
    <row r="42" spans="1:23" x14ac:dyDescent="0.2">
      <c r="A42" s="9" t="str">
        <f t="shared" si="1"/>
        <v>11NL300029</v>
      </c>
      <c r="B42" s="9" t="str">
        <f>COUNTIF($A$7:A42,A42)&amp;A42</f>
        <v>111NL300029</v>
      </c>
      <c r="C42" s="54">
        <v>46023</v>
      </c>
      <c r="D42" s="55" t="s">
        <v>294</v>
      </c>
      <c r="E42" s="56" t="s">
        <v>491</v>
      </c>
      <c r="F42" s="56" t="s">
        <v>295</v>
      </c>
      <c r="G42" s="55" t="s">
        <v>492</v>
      </c>
      <c r="H42" s="55" t="s">
        <v>493</v>
      </c>
      <c r="I42" s="55" t="s">
        <v>494</v>
      </c>
      <c r="J42" s="55" t="s">
        <v>121</v>
      </c>
      <c r="K42" s="55" t="s">
        <v>298</v>
      </c>
      <c r="L42" s="55" t="s">
        <v>92</v>
      </c>
      <c r="M42" s="57">
        <v>3</v>
      </c>
      <c r="N42" s="58">
        <v>22000</v>
      </c>
      <c r="O42" s="58">
        <v>0</v>
      </c>
      <c r="P42" s="59">
        <v>66000</v>
      </c>
      <c r="Q42" s="58">
        <v>0</v>
      </c>
      <c r="R42" s="55">
        <v>22000</v>
      </c>
      <c r="S42" s="55" t="s">
        <v>469</v>
      </c>
      <c r="T42" s="55" t="s">
        <v>495</v>
      </c>
      <c r="U42" s="55" t="s">
        <v>18</v>
      </c>
      <c r="V42" s="55" t="s">
        <v>470</v>
      </c>
      <c r="W42" s="42">
        <f>VLOOKUP(B42,'LW13'!$X$15:$Y$501,2,0)-M42</f>
        <v>0</v>
      </c>
    </row>
    <row r="43" spans="1:23" x14ac:dyDescent="0.2">
      <c r="A43" s="9" t="str">
        <f t="shared" si="1"/>
        <v>11NL600004</v>
      </c>
      <c r="B43" s="9" t="str">
        <f>COUNTIF($A$7:A43,A43)&amp;A43</f>
        <v>111NL600004</v>
      </c>
      <c r="C43" s="54">
        <v>46023</v>
      </c>
      <c r="D43" s="55" t="s">
        <v>294</v>
      </c>
      <c r="E43" s="56" t="s">
        <v>491</v>
      </c>
      <c r="F43" s="56" t="s">
        <v>295</v>
      </c>
      <c r="G43" s="55" t="s">
        <v>492</v>
      </c>
      <c r="H43" s="55" t="s">
        <v>493</v>
      </c>
      <c r="I43" s="55" t="s">
        <v>494</v>
      </c>
      <c r="J43" s="55" t="s">
        <v>144</v>
      </c>
      <c r="K43" s="55" t="s">
        <v>47</v>
      </c>
      <c r="L43" s="55" t="s">
        <v>92</v>
      </c>
      <c r="M43" s="57">
        <v>75</v>
      </c>
      <c r="N43" s="58">
        <v>18000</v>
      </c>
      <c r="O43" s="58">
        <v>0</v>
      </c>
      <c r="P43" s="59">
        <v>1350000</v>
      </c>
      <c r="Q43" s="58">
        <v>0</v>
      </c>
      <c r="R43" s="55">
        <v>18000</v>
      </c>
      <c r="S43" s="55" t="s">
        <v>469</v>
      </c>
      <c r="T43" s="55" t="s">
        <v>495</v>
      </c>
      <c r="U43" s="55" t="s">
        <v>18</v>
      </c>
      <c r="V43" s="55" t="s">
        <v>470</v>
      </c>
      <c r="W43" s="42">
        <f>VLOOKUP(B43,'LW13'!$X$15:$Y$501,2,0)-M43</f>
        <v>0</v>
      </c>
    </row>
    <row r="44" spans="1:23" x14ac:dyDescent="0.2">
      <c r="A44" s="9" t="str">
        <f t="shared" si="1"/>
        <v>11NL300125</v>
      </c>
      <c r="B44" s="9" t="str">
        <f>COUNTIF($A$7:A44,A44)&amp;A44</f>
        <v>111NL300125</v>
      </c>
      <c r="C44" s="54">
        <v>46023</v>
      </c>
      <c r="D44" s="55" t="s">
        <v>294</v>
      </c>
      <c r="E44" s="56" t="s">
        <v>491</v>
      </c>
      <c r="F44" s="56" t="s">
        <v>295</v>
      </c>
      <c r="G44" s="55" t="s">
        <v>492</v>
      </c>
      <c r="H44" s="55" t="s">
        <v>493</v>
      </c>
      <c r="I44" s="55" t="s">
        <v>494</v>
      </c>
      <c r="J44" s="55" t="s">
        <v>228</v>
      </c>
      <c r="K44" s="55" t="s">
        <v>227</v>
      </c>
      <c r="L44" s="55" t="s">
        <v>92</v>
      </c>
      <c r="M44" s="57">
        <v>1</v>
      </c>
      <c r="N44" s="58">
        <v>42000</v>
      </c>
      <c r="O44" s="58">
        <v>0</v>
      </c>
      <c r="P44" s="59">
        <v>42000</v>
      </c>
      <c r="Q44" s="58">
        <v>0</v>
      </c>
      <c r="R44" s="55">
        <v>42000</v>
      </c>
      <c r="S44" s="55" t="s">
        <v>469</v>
      </c>
      <c r="T44" s="55" t="s">
        <v>495</v>
      </c>
      <c r="U44" s="55" t="s">
        <v>18</v>
      </c>
      <c r="V44" s="55" t="s">
        <v>470</v>
      </c>
      <c r="W44" s="42">
        <f>VLOOKUP(B44,'LW13'!$X$15:$Y$501,2,0)-M44</f>
        <v>0</v>
      </c>
    </row>
    <row r="45" spans="1:23" x14ac:dyDescent="0.2">
      <c r="A45" s="9" t="str">
        <f t="shared" si="1"/>
        <v>11NL300131</v>
      </c>
      <c r="B45" s="9" t="str">
        <f>COUNTIF($A$7:A45,A45)&amp;A45</f>
        <v>111NL300131</v>
      </c>
      <c r="C45" s="54">
        <v>46023</v>
      </c>
      <c r="D45" s="55" t="s">
        <v>294</v>
      </c>
      <c r="E45" s="56" t="s">
        <v>491</v>
      </c>
      <c r="F45" s="56" t="s">
        <v>295</v>
      </c>
      <c r="G45" s="55" t="s">
        <v>492</v>
      </c>
      <c r="H45" s="55" t="s">
        <v>493</v>
      </c>
      <c r="I45" s="55" t="s">
        <v>494</v>
      </c>
      <c r="J45" s="55" t="s">
        <v>269</v>
      </c>
      <c r="K45" s="55" t="s">
        <v>62</v>
      </c>
      <c r="L45" s="55" t="s">
        <v>92</v>
      </c>
      <c r="M45" s="57">
        <v>0.2</v>
      </c>
      <c r="N45" s="58">
        <v>220000</v>
      </c>
      <c r="O45" s="58">
        <v>0</v>
      </c>
      <c r="P45" s="59">
        <v>44000</v>
      </c>
      <c r="Q45" s="58">
        <v>0</v>
      </c>
      <c r="R45" s="55">
        <v>220000</v>
      </c>
      <c r="S45" s="55" t="s">
        <v>469</v>
      </c>
      <c r="T45" s="55" t="s">
        <v>495</v>
      </c>
      <c r="U45" s="55" t="s">
        <v>18</v>
      </c>
      <c r="V45" s="55" t="s">
        <v>470</v>
      </c>
      <c r="W45" s="42">
        <f>VLOOKUP(B45,'LW13'!$X$15:$Y$501,2,0)-M45</f>
        <v>0</v>
      </c>
    </row>
    <row r="46" spans="1:23" x14ac:dyDescent="0.2">
      <c r="A46" s="9" t="str">
        <f t="shared" si="1"/>
        <v>11NL300098</v>
      </c>
      <c r="B46" s="9" t="str">
        <f>COUNTIF($A$7:A46,A46)&amp;A46</f>
        <v>111NL300098</v>
      </c>
      <c r="C46" s="54">
        <v>46023</v>
      </c>
      <c r="D46" s="55" t="s">
        <v>294</v>
      </c>
      <c r="E46" s="56" t="s">
        <v>497</v>
      </c>
      <c r="F46" s="56" t="s">
        <v>295</v>
      </c>
      <c r="G46" s="55" t="s">
        <v>492</v>
      </c>
      <c r="H46" s="55" t="s">
        <v>493</v>
      </c>
      <c r="I46" s="55" t="s">
        <v>494</v>
      </c>
      <c r="J46" s="55" t="s">
        <v>195</v>
      </c>
      <c r="K46" s="55" t="s">
        <v>320</v>
      </c>
      <c r="L46" s="55" t="s">
        <v>92</v>
      </c>
      <c r="M46" s="57">
        <v>0.3</v>
      </c>
      <c r="N46" s="58">
        <v>95000</v>
      </c>
      <c r="O46" s="58">
        <v>0</v>
      </c>
      <c r="P46" s="59">
        <v>28500</v>
      </c>
      <c r="Q46" s="58">
        <v>0</v>
      </c>
      <c r="R46" s="55">
        <v>95000</v>
      </c>
      <c r="S46" s="55" t="s">
        <v>469</v>
      </c>
      <c r="T46" s="55" t="s">
        <v>495</v>
      </c>
      <c r="U46" s="55" t="s">
        <v>18</v>
      </c>
      <c r="V46" s="55" t="s">
        <v>470</v>
      </c>
      <c r="W46" s="42">
        <f>VLOOKUP(B46,'LW13'!$X$15:$Y$501,2,0)-M46</f>
        <v>0</v>
      </c>
    </row>
    <row r="47" spans="1:23" x14ac:dyDescent="0.2">
      <c r="A47" s="9" t="str">
        <f t="shared" si="1"/>
        <v>21NL300062</v>
      </c>
      <c r="B47" s="9" t="str">
        <f>COUNTIF($A$7:A47,A47)&amp;A47</f>
        <v>121NL300062</v>
      </c>
      <c r="C47" s="54">
        <v>46024</v>
      </c>
      <c r="D47" s="55" t="s">
        <v>294</v>
      </c>
      <c r="E47" s="56" t="s">
        <v>498</v>
      </c>
      <c r="F47" s="56" t="s">
        <v>295</v>
      </c>
      <c r="G47" s="55" t="s">
        <v>492</v>
      </c>
      <c r="H47" s="55" t="s">
        <v>493</v>
      </c>
      <c r="I47" s="55" t="s">
        <v>499</v>
      </c>
      <c r="J47" s="55" t="s">
        <v>159</v>
      </c>
      <c r="K47" s="55" t="s">
        <v>316</v>
      </c>
      <c r="L47" s="55" t="s">
        <v>92</v>
      </c>
      <c r="M47" s="57">
        <v>0.5</v>
      </c>
      <c r="N47" s="58">
        <v>65000</v>
      </c>
      <c r="O47" s="58">
        <v>0</v>
      </c>
      <c r="P47" s="59">
        <v>32500</v>
      </c>
      <c r="Q47" s="58">
        <v>0</v>
      </c>
      <c r="R47" s="55">
        <v>65000</v>
      </c>
      <c r="S47" s="55" t="s">
        <v>469</v>
      </c>
      <c r="T47" s="55" t="s">
        <v>495</v>
      </c>
      <c r="U47" s="55" t="s">
        <v>18</v>
      </c>
      <c r="V47" s="55" t="s">
        <v>470</v>
      </c>
      <c r="W47" s="42">
        <f>VLOOKUP(B47,'LW13'!$X$15:$Y$501,2,0)-M47</f>
        <v>0</v>
      </c>
    </row>
    <row r="48" spans="1:23" x14ac:dyDescent="0.2">
      <c r="A48" s="9" t="str">
        <f t="shared" si="1"/>
        <v>21NL600004</v>
      </c>
      <c r="B48" s="9" t="str">
        <f>COUNTIF($A$7:A48,A48)&amp;A48</f>
        <v>121NL600004</v>
      </c>
      <c r="C48" s="54">
        <v>46024</v>
      </c>
      <c r="D48" s="55" t="s">
        <v>294</v>
      </c>
      <c r="E48" s="56" t="s">
        <v>498</v>
      </c>
      <c r="F48" s="56" t="s">
        <v>295</v>
      </c>
      <c r="G48" s="55" t="s">
        <v>492</v>
      </c>
      <c r="H48" s="55" t="s">
        <v>493</v>
      </c>
      <c r="I48" s="55" t="s">
        <v>499</v>
      </c>
      <c r="J48" s="55" t="s">
        <v>144</v>
      </c>
      <c r="K48" s="55" t="s">
        <v>47</v>
      </c>
      <c r="L48" s="55" t="s">
        <v>92</v>
      </c>
      <c r="M48" s="57">
        <v>75</v>
      </c>
      <c r="N48" s="58">
        <v>18000</v>
      </c>
      <c r="O48" s="58">
        <v>0</v>
      </c>
      <c r="P48" s="59">
        <v>1350000</v>
      </c>
      <c r="Q48" s="58">
        <v>0</v>
      </c>
      <c r="R48" s="55">
        <v>18000</v>
      </c>
      <c r="S48" s="55" t="s">
        <v>469</v>
      </c>
      <c r="T48" s="55" t="s">
        <v>495</v>
      </c>
      <c r="U48" s="55" t="s">
        <v>18</v>
      </c>
      <c r="V48" s="55" t="s">
        <v>470</v>
      </c>
      <c r="W48" s="42">
        <f>VLOOKUP(B48,'LW13'!$X$15:$Y$501,2,0)-M48</f>
        <v>0</v>
      </c>
    </row>
    <row r="49" spans="1:23" x14ac:dyDescent="0.2">
      <c r="A49" s="9" t="str">
        <f t="shared" si="1"/>
        <v>21NL300125</v>
      </c>
      <c r="B49" s="9" t="str">
        <f>COUNTIF($A$7:A49,A49)&amp;A49</f>
        <v>121NL300125</v>
      </c>
      <c r="C49" s="54">
        <v>46024</v>
      </c>
      <c r="D49" s="55" t="s">
        <v>294</v>
      </c>
      <c r="E49" s="56" t="s">
        <v>498</v>
      </c>
      <c r="F49" s="56" t="s">
        <v>295</v>
      </c>
      <c r="G49" s="55" t="s">
        <v>492</v>
      </c>
      <c r="H49" s="55" t="s">
        <v>493</v>
      </c>
      <c r="I49" s="55" t="s">
        <v>499</v>
      </c>
      <c r="J49" s="55" t="s">
        <v>228</v>
      </c>
      <c r="K49" s="55" t="s">
        <v>227</v>
      </c>
      <c r="L49" s="55" t="s">
        <v>92</v>
      </c>
      <c r="M49" s="57">
        <v>1</v>
      </c>
      <c r="N49" s="58">
        <v>42000</v>
      </c>
      <c r="O49" s="58">
        <v>0</v>
      </c>
      <c r="P49" s="59">
        <v>42000</v>
      </c>
      <c r="Q49" s="58">
        <v>0</v>
      </c>
      <c r="R49" s="55">
        <v>42000</v>
      </c>
      <c r="S49" s="55" t="s">
        <v>469</v>
      </c>
      <c r="T49" s="55" t="s">
        <v>495</v>
      </c>
      <c r="U49" s="55" t="s">
        <v>18</v>
      </c>
      <c r="V49" s="55" t="s">
        <v>470</v>
      </c>
      <c r="W49" s="42">
        <f>VLOOKUP(B49,'LW13'!$X$15:$Y$501,2,0)-M49</f>
        <v>0</v>
      </c>
    </row>
    <row r="50" spans="1:23" x14ac:dyDescent="0.2">
      <c r="A50" s="9" t="str">
        <f t="shared" si="1"/>
        <v>21NL300007</v>
      </c>
      <c r="B50" s="9" t="str">
        <f>COUNTIF($A$7:A50,A50)&amp;A50</f>
        <v>121NL300007</v>
      </c>
      <c r="C50" s="54">
        <v>46024</v>
      </c>
      <c r="D50" s="55" t="s">
        <v>294</v>
      </c>
      <c r="E50" s="56" t="s">
        <v>498</v>
      </c>
      <c r="F50" s="56" t="s">
        <v>295</v>
      </c>
      <c r="G50" s="55" t="s">
        <v>492</v>
      </c>
      <c r="H50" s="55" t="s">
        <v>493</v>
      </c>
      <c r="I50" s="55" t="s">
        <v>499</v>
      </c>
      <c r="J50" s="55" t="s">
        <v>90</v>
      </c>
      <c r="K50" s="55" t="s">
        <v>91</v>
      </c>
      <c r="L50" s="55" t="s">
        <v>92</v>
      </c>
      <c r="M50" s="57">
        <v>8</v>
      </c>
      <c r="N50" s="58">
        <v>30000</v>
      </c>
      <c r="O50" s="58">
        <v>0</v>
      </c>
      <c r="P50" s="59">
        <v>240000</v>
      </c>
      <c r="Q50" s="58">
        <v>0</v>
      </c>
      <c r="R50" s="55">
        <v>30000</v>
      </c>
      <c r="S50" s="55" t="s">
        <v>469</v>
      </c>
      <c r="T50" s="55" t="s">
        <v>495</v>
      </c>
      <c r="U50" s="55" t="s">
        <v>18</v>
      </c>
      <c r="V50" s="55" t="s">
        <v>470</v>
      </c>
      <c r="W50" s="42">
        <f>VLOOKUP(B50,'LW13'!$X$15:$Y$501,2,0)-M50</f>
        <v>0</v>
      </c>
    </row>
    <row r="51" spans="1:23" x14ac:dyDescent="0.2">
      <c r="A51" s="9" t="str">
        <f t="shared" si="1"/>
        <v>21NL300008</v>
      </c>
      <c r="B51" s="9" t="str">
        <f>COUNTIF($A$7:A51,A51)&amp;A51</f>
        <v>121NL300008</v>
      </c>
      <c r="C51" s="54">
        <v>46024</v>
      </c>
      <c r="D51" s="55" t="s">
        <v>294</v>
      </c>
      <c r="E51" s="56" t="s">
        <v>498</v>
      </c>
      <c r="F51" s="56" t="s">
        <v>295</v>
      </c>
      <c r="G51" s="55" t="s">
        <v>492</v>
      </c>
      <c r="H51" s="55" t="s">
        <v>493</v>
      </c>
      <c r="I51" s="55" t="s">
        <v>499</v>
      </c>
      <c r="J51" s="55" t="s">
        <v>93</v>
      </c>
      <c r="K51" s="55" t="s">
        <v>301</v>
      </c>
      <c r="L51" s="55" t="s">
        <v>92</v>
      </c>
      <c r="M51" s="57">
        <v>15</v>
      </c>
      <c r="N51" s="58">
        <v>40000</v>
      </c>
      <c r="O51" s="58">
        <v>0</v>
      </c>
      <c r="P51" s="59">
        <v>600000</v>
      </c>
      <c r="Q51" s="58">
        <v>0</v>
      </c>
      <c r="R51" s="55">
        <v>40000</v>
      </c>
      <c r="S51" s="55" t="s">
        <v>469</v>
      </c>
      <c r="T51" s="55" t="s">
        <v>495</v>
      </c>
      <c r="U51" s="55" t="s">
        <v>18</v>
      </c>
      <c r="V51" s="55" t="s">
        <v>470</v>
      </c>
      <c r="W51" s="42">
        <f>VLOOKUP(B51,'LW13'!$X$15:$Y$501,2,0)-M51</f>
        <v>0</v>
      </c>
    </row>
    <row r="52" spans="1:23" x14ac:dyDescent="0.2">
      <c r="A52" s="9" t="str">
        <f t="shared" si="1"/>
        <v>21NL300020</v>
      </c>
      <c r="B52" s="9" t="str">
        <f>COUNTIF($A$7:A52,A52)&amp;A52</f>
        <v>121NL300020</v>
      </c>
      <c r="C52" s="54">
        <v>46024</v>
      </c>
      <c r="D52" s="55" t="s">
        <v>294</v>
      </c>
      <c r="E52" s="56" t="s">
        <v>498</v>
      </c>
      <c r="F52" s="56" t="s">
        <v>295</v>
      </c>
      <c r="G52" s="55" t="s">
        <v>492</v>
      </c>
      <c r="H52" s="55" t="s">
        <v>493</v>
      </c>
      <c r="I52" s="55" t="s">
        <v>499</v>
      </c>
      <c r="J52" s="55" t="s">
        <v>110</v>
      </c>
      <c r="K52" s="55" t="s">
        <v>302</v>
      </c>
      <c r="L52" s="55" t="s">
        <v>92</v>
      </c>
      <c r="M52" s="57">
        <v>3</v>
      </c>
      <c r="N52" s="58">
        <v>30000</v>
      </c>
      <c r="O52" s="58">
        <v>0</v>
      </c>
      <c r="P52" s="59">
        <v>90000</v>
      </c>
      <c r="Q52" s="58">
        <v>0</v>
      </c>
      <c r="R52" s="55">
        <v>30000</v>
      </c>
      <c r="S52" s="55" t="s">
        <v>469</v>
      </c>
      <c r="T52" s="55" t="s">
        <v>495</v>
      </c>
      <c r="U52" s="55" t="s">
        <v>18</v>
      </c>
      <c r="V52" s="55" t="s">
        <v>470</v>
      </c>
      <c r="W52" s="42">
        <f>VLOOKUP(B52,'LW13'!$X$15:$Y$501,2,0)-M52</f>
        <v>0</v>
      </c>
    </row>
    <row r="53" spans="1:23" x14ac:dyDescent="0.2">
      <c r="A53" s="9" t="str">
        <f t="shared" si="1"/>
        <v>21NL300035</v>
      </c>
      <c r="B53" s="9" t="str">
        <f>COUNTIF($A$7:A53,A53)&amp;A53</f>
        <v>121NL300035</v>
      </c>
      <c r="C53" s="54">
        <v>46024</v>
      </c>
      <c r="D53" s="55" t="s">
        <v>294</v>
      </c>
      <c r="E53" s="56" t="s">
        <v>498</v>
      </c>
      <c r="F53" s="56" t="s">
        <v>295</v>
      </c>
      <c r="G53" s="55" t="s">
        <v>492</v>
      </c>
      <c r="H53" s="55" t="s">
        <v>493</v>
      </c>
      <c r="I53" s="55" t="s">
        <v>499</v>
      </c>
      <c r="J53" s="55" t="s">
        <v>129</v>
      </c>
      <c r="K53" s="55" t="s">
        <v>500</v>
      </c>
      <c r="L53" s="55" t="s">
        <v>92</v>
      </c>
      <c r="M53" s="57">
        <v>0.2</v>
      </c>
      <c r="N53" s="58">
        <v>25000</v>
      </c>
      <c r="O53" s="58">
        <v>0</v>
      </c>
      <c r="P53" s="59">
        <v>5000</v>
      </c>
      <c r="Q53" s="58">
        <v>0</v>
      </c>
      <c r="R53" s="55">
        <v>25000</v>
      </c>
      <c r="S53" s="55" t="s">
        <v>469</v>
      </c>
      <c r="T53" s="55" t="s">
        <v>495</v>
      </c>
      <c r="U53" s="55" t="s">
        <v>18</v>
      </c>
      <c r="V53" s="55" t="s">
        <v>470</v>
      </c>
      <c r="W53" s="42">
        <f>VLOOKUP(B53,'LW13'!$X$15:$Y$501,2,0)-M53</f>
        <v>0</v>
      </c>
    </row>
    <row r="54" spans="1:23" x14ac:dyDescent="0.2">
      <c r="A54" s="9" t="str">
        <f t="shared" si="1"/>
        <v>21NL300036</v>
      </c>
      <c r="B54" s="9" t="str">
        <f>COUNTIF($A$7:A54,A54)&amp;A54</f>
        <v>121NL300036</v>
      </c>
      <c r="C54" s="54">
        <v>46024</v>
      </c>
      <c r="D54" s="55" t="s">
        <v>294</v>
      </c>
      <c r="E54" s="56" t="s">
        <v>498</v>
      </c>
      <c r="F54" s="56" t="s">
        <v>295</v>
      </c>
      <c r="G54" s="55" t="s">
        <v>492</v>
      </c>
      <c r="H54" s="55" t="s">
        <v>493</v>
      </c>
      <c r="I54" s="55" t="s">
        <v>499</v>
      </c>
      <c r="J54" s="55" t="s">
        <v>131</v>
      </c>
      <c r="K54" s="55" t="s">
        <v>27</v>
      </c>
      <c r="L54" s="55" t="s">
        <v>92</v>
      </c>
      <c r="M54" s="57">
        <v>1.5</v>
      </c>
      <c r="N54" s="58">
        <v>47000</v>
      </c>
      <c r="O54" s="58">
        <v>0</v>
      </c>
      <c r="P54" s="59">
        <v>70500</v>
      </c>
      <c r="Q54" s="58">
        <v>0</v>
      </c>
      <c r="R54" s="55">
        <v>47000</v>
      </c>
      <c r="S54" s="55" t="s">
        <v>469</v>
      </c>
      <c r="T54" s="55" t="s">
        <v>495</v>
      </c>
      <c r="U54" s="55" t="s">
        <v>18</v>
      </c>
      <c r="V54" s="55" t="s">
        <v>470</v>
      </c>
      <c r="W54" s="42">
        <f>VLOOKUP(B54,'LW13'!$X$15:$Y$501,2,0)-M54</f>
        <v>0</v>
      </c>
    </row>
    <row r="55" spans="1:23" x14ac:dyDescent="0.2">
      <c r="A55" s="9" t="str">
        <f t="shared" si="1"/>
        <v>21NL300038</v>
      </c>
      <c r="B55" s="9" t="str">
        <f>COUNTIF($A$7:A55,A55)&amp;A55</f>
        <v>121NL300038</v>
      </c>
      <c r="C55" s="54">
        <v>46024</v>
      </c>
      <c r="D55" s="55" t="s">
        <v>294</v>
      </c>
      <c r="E55" s="56" t="s">
        <v>498</v>
      </c>
      <c r="F55" s="56" t="s">
        <v>295</v>
      </c>
      <c r="G55" s="55" t="s">
        <v>492</v>
      </c>
      <c r="H55" s="55" t="s">
        <v>493</v>
      </c>
      <c r="I55" s="55" t="s">
        <v>499</v>
      </c>
      <c r="J55" s="55" t="s">
        <v>132</v>
      </c>
      <c r="K55" s="55" t="s">
        <v>28</v>
      </c>
      <c r="L55" s="55" t="s">
        <v>92</v>
      </c>
      <c r="M55" s="57">
        <v>6</v>
      </c>
      <c r="N55" s="58">
        <v>32000</v>
      </c>
      <c r="O55" s="58">
        <v>0</v>
      </c>
      <c r="P55" s="59">
        <v>192000</v>
      </c>
      <c r="Q55" s="58">
        <v>0</v>
      </c>
      <c r="R55" s="55">
        <v>32000</v>
      </c>
      <c r="S55" s="55" t="s">
        <v>469</v>
      </c>
      <c r="T55" s="55" t="s">
        <v>495</v>
      </c>
      <c r="U55" s="55" t="s">
        <v>18</v>
      </c>
      <c r="V55" s="55" t="s">
        <v>470</v>
      </c>
      <c r="W55" s="42">
        <f>VLOOKUP(B55,'LW13'!$X$15:$Y$501,2,0)-M55</f>
        <v>0</v>
      </c>
    </row>
    <row r="56" spans="1:23" x14ac:dyDescent="0.2">
      <c r="A56" s="9" t="str">
        <f t="shared" si="1"/>
        <v>21NL300054</v>
      </c>
      <c r="B56" s="9" t="str">
        <f>COUNTIF($A$7:A56,A56)&amp;A56</f>
        <v>121NL300054</v>
      </c>
      <c r="C56" s="54">
        <v>46024</v>
      </c>
      <c r="D56" s="55" t="s">
        <v>294</v>
      </c>
      <c r="E56" s="56" t="s">
        <v>498</v>
      </c>
      <c r="F56" s="56" t="s">
        <v>295</v>
      </c>
      <c r="G56" s="55" t="s">
        <v>492</v>
      </c>
      <c r="H56" s="55" t="s">
        <v>493</v>
      </c>
      <c r="I56" s="55" t="s">
        <v>499</v>
      </c>
      <c r="J56" s="55" t="s">
        <v>128</v>
      </c>
      <c r="K56" s="55" t="s">
        <v>314</v>
      </c>
      <c r="L56" s="55" t="s">
        <v>92</v>
      </c>
      <c r="M56" s="57">
        <v>2</v>
      </c>
      <c r="N56" s="58">
        <v>38000</v>
      </c>
      <c r="O56" s="58">
        <v>0</v>
      </c>
      <c r="P56" s="59">
        <v>76000</v>
      </c>
      <c r="Q56" s="58">
        <v>0</v>
      </c>
      <c r="R56" s="55">
        <v>38000</v>
      </c>
      <c r="S56" s="55" t="s">
        <v>469</v>
      </c>
      <c r="T56" s="55" t="s">
        <v>495</v>
      </c>
      <c r="U56" s="55" t="s">
        <v>18</v>
      </c>
      <c r="V56" s="55" t="s">
        <v>470</v>
      </c>
      <c r="W56" s="42">
        <f>VLOOKUP(B56,'LW13'!$X$15:$Y$501,2,0)-M56</f>
        <v>0</v>
      </c>
    </row>
    <row r="57" spans="1:23" x14ac:dyDescent="0.2">
      <c r="A57" s="9" t="str">
        <f t="shared" si="1"/>
        <v>21NL300055</v>
      </c>
      <c r="B57" s="9" t="str">
        <f>COUNTIF($A$7:A57,A57)&amp;A57</f>
        <v>121NL300055</v>
      </c>
      <c r="C57" s="54">
        <v>46024</v>
      </c>
      <c r="D57" s="55" t="s">
        <v>294</v>
      </c>
      <c r="E57" s="56" t="s">
        <v>498</v>
      </c>
      <c r="F57" s="56" t="s">
        <v>295</v>
      </c>
      <c r="G57" s="55" t="s">
        <v>492</v>
      </c>
      <c r="H57" s="55" t="s">
        <v>493</v>
      </c>
      <c r="I57" s="55" t="s">
        <v>499</v>
      </c>
      <c r="J57" s="55" t="s">
        <v>152</v>
      </c>
      <c r="K57" s="55" t="s">
        <v>311</v>
      </c>
      <c r="L57" s="55" t="s">
        <v>92</v>
      </c>
      <c r="M57" s="57">
        <v>0.1</v>
      </c>
      <c r="N57" s="58">
        <v>80000</v>
      </c>
      <c r="O57" s="58">
        <v>0</v>
      </c>
      <c r="P57" s="59">
        <v>8000</v>
      </c>
      <c r="Q57" s="58">
        <v>0</v>
      </c>
      <c r="R57" s="55">
        <v>80000</v>
      </c>
      <c r="S57" s="55" t="s">
        <v>469</v>
      </c>
      <c r="T57" s="55" t="s">
        <v>495</v>
      </c>
      <c r="U57" s="55" t="s">
        <v>18</v>
      </c>
      <c r="V57" s="55" t="s">
        <v>470</v>
      </c>
      <c r="W57" s="42">
        <f>VLOOKUP(B57,'LW13'!$X$15:$Y$501,2,0)-M57</f>
        <v>0</v>
      </c>
    </row>
    <row r="58" spans="1:23" x14ac:dyDescent="0.2">
      <c r="A58" s="9" t="str">
        <f t="shared" si="1"/>
        <v>21NL300088</v>
      </c>
      <c r="B58" s="9" t="str">
        <f>COUNTIF($A$7:A58,A58)&amp;A58</f>
        <v>121NL300088</v>
      </c>
      <c r="C58" s="54">
        <v>46024</v>
      </c>
      <c r="D58" s="55" t="s">
        <v>294</v>
      </c>
      <c r="E58" s="56" t="s">
        <v>498</v>
      </c>
      <c r="F58" s="56" t="s">
        <v>295</v>
      </c>
      <c r="G58" s="55" t="s">
        <v>492</v>
      </c>
      <c r="H58" s="55" t="s">
        <v>493</v>
      </c>
      <c r="I58" s="55" t="s">
        <v>499</v>
      </c>
      <c r="J58" s="55" t="s">
        <v>185</v>
      </c>
      <c r="K58" s="55" t="s">
        <v>31</v>
      </c>
      <c r="L58" s="55" t="s">
        <v>92</v>
      </c>
      <c r="M58" s="57">
        <v>6.7</v>
      </c>
      <c r="N58" s="58">
        <v>27000</v>
      </c>
      <c r="O58" s="58">
        <v>0</v>
      </c>
      <c r="P58" s="59">
        <v>180900</v>
      </c>
      <c r="Q58" s="58">
        <v>0</v>
      </c>
      <c r="R58" s="55">
        <v>27000</v>
      </c>
      <c r="S58" s="55" t="s">
        <v>469</v>
      </c>
      <c r="T58" s="55" t="s">
        <v>495</v>
      </c>
      <c r="U58" s="55" t="s">
        <v>18</v>
      </c>
      <c r="V58" s="55" t="s">
        <v>470</v>
      </c>
      <c r="W58" s="42">
        <f>VLOOKUP(B58,'LW13'!$X$15:$Y$501,2,0)-M58</f>
        <v>0</v>
      </c>
    </row>
    <row r="59" spans="1:23" x14ac:dyDescent="0.2">
      <c r="A59" s="9" t="str">
        <f t="shared" si="1"/>
        <v>21NL300107</v>
      </c>
      <c r="B59" s="9" t="str">
        <f>COUNTIF($A$7:A59,A59)&amp;A59</f>
        <v>121NL300107</v>
      </c>
      <c r="C59" s="54">
        <v>46024</v>
      </c>
      <c r="D59" s="55" t="s">
        <v>294</v>
      </c>
      <c r="E59" s="56" t="s">
        <v>498</v>
      </c>
      <c r="F59" s="56" t="s">
        <v>295</v>
      </c>
      <c r="G59" s="55" t="s">
        <v>492</v>
      </c>
      <c r="H59" s="55" t="s">
        <v>493</v>
      </c>
      <c r="I59" s="55" t="s">
        <v>499</v>
      </c>
      <c r="J59" s="55" t="s">
        <v>87</v>
      </c>
      <c r="K59" s="55" t="s">
        <v>299</v>
      </c>
      <c r="L59" s="55" t="s">
        <v>300</v>
      </c>
      <c r="M59" s="57">
        <v>17</v>
      </c>
      <c r="N59" s="58">
        <v>8500</v>
      </c>
      <c r="O59" s="58">
        <v>0</v>
      </c>
      <c r="P59" s="59">
        <v>144500</v>
      </c>
      <c r="Q59" s="58">
        <v>0</v>
      </c>
      <c r="R59" s="55">
        <v>8500</v>
      </c>
      <c r="S59" s="55" t="s">
        <v>469</v>
      </c>
      <c r="T59" s="55" t="s">
        <v>495</v>
      </c>
      <c r="U59" s="55" t="s">
        <v>18</v>
      </c>
      <c r="V59" s="55" t="s">
        <v>470</v>
      </c>
      <c r="W59" s="42">
        <f>VLOOKUP(B59,'LW13'!$X$15:$Y$501,2,0)-M59</f>
        <v>0</v>
      </c>
    </row>
    <row r="60" spans="1:23" x14ac:dyDescent="0.2">
      <c r="A60" s="9" t="str">
        <f t="shared" si="1"/>
        <v>21NL300113</v>
      </c>
      <c r="B60" s="9" t="str">
        <f>COUNTIF($A$7:A60,A60)&amp;A60</f>
        <v>121NL300113</v>
      </c>
      <c r="C60" s="54">
        <v>46024</v>
      </c>
      <c r="D60" s="55" t="s">
        <v>294</v>
      </c>
      <c r="E60" s="56" t="s">
        <v>498</v>
      </c>
      <c r="F60" s="56" t="s">
        <v>295</v>
      </c>
      <c r="G60" s="55" t="s">
        <v>492</v>
      </c>
      <c r="H60" s="55" t="s">
        <v>493</v>
      </c>
      <c r="I60" s="55" t="s">
        <v>499</v>
      </c>
      <c r="J60" s="55" t="s">
        <v>216</v>
      </c>
      <c r="K60" s="55" t="s">
        <v>33</v>
      </c>
      <c r="L60" s="55" t="s">
        <v>92</v>
      </c>
      <c r="M60" s="57">
        <v>1.8</v>
      </c>
      <c r="N60" s="58">
        <v>145000</v>
      </c>
      <c r="O60" s="58">
        <v>0</v>
      </c>
      <c r="P60" s="59">
        <v>261000</v>
      </c>
      <c r="Q60" s="58">
        <v>0</v>
      </c>
      <c r="R60" s="55">
        <v>145000</v>
      </c>
      <c r="S60" s="55" t="s">
        <v>469</v>
      </c>
      <c r="T60" s="55" t="s">
        <v>495</v>
      </c>
      <c r="U60" s="55" t="s">
        <v>18</v>
      </c>
      <c r="V60" s="55" t="s">
        <v>470</v>
      </c>
      <c r="W60" s="42">
        <f>VLOOKUP(B60,'LW13'!$X$15:$Y$501,2,0)-M60</f>
        <v>0</v>
      </c>
    </row>
    <row r="61" spans="1:23" x14ac:dyDescent="0.2">
      <c r="A61" s="9" t="str">
        <f t="shared" si="1"/>
        <v>21NL300137</v>
      </c>
      <c r="B61" s="9" t="str">
        <f>COUNTIF($A$7:A61,A61)&amp;A61</f>
        <v>121NL300137</v>
      </c>
      <c r="C61" s="54">
        <v>46024</v>
      </c>
      <c r="D61" s="55" t="s">
        <v>294</v>
      </c>
      <c r="E61" s="56" t="s">
        <v>498</v>
      </c>
      <c r="F61" s="56" t="s">
        <v>295</v>
      </c>
      <c r="G61" s="55" t="s">
        <v>492</v>
      </c>
      <c r="H61" s="55" t="s">
        <v>493</v>
      </c>
      <c r="I61" s="55" t="s">
        <v>499</v>
      </c>
      <c r="J61" s="55" t="s">
        <v>96</v>
      </c>
      <c r="K61" s="55" t="s">
        <v>397</v>
      </c>
      <c r="L61" s="55" t="s">
        <v>92</v>
      </c>
      <c r="M61" s="57">
        <v>4.8</v>
      </c>
      <c r="N61" s="58">
        <v>52000</v>
      </c>
      <c r="O61" s="58">
        <v>0</v>
      </c>
      <c r="P61" s="59">
        <v>249600</v>
      </c>
      <c r="Q61" s="58">
        <v>0</v>
      </c>
      <c r="R61" s="55">
        <v>52000</v>
      </c>
      <c r="S61" s="55" t="s">
        <v>469</v>
      </c>
      <c r="T61" s="55" t="s">
        <v>495</v>
      </c>
      <c r="U61" s="55" t="s">
        <v>18</v>
      </c>
      <c r="V61" s="55" t="s">
        <v>470</v>
      </c>
      <c r="W61" s="42">
        <f>VLOOKUP(B61,'LW13'!$X$15:$Y$501,2,0)-M61</f>
        <v>0</v>
      </c>
    </row>
    <row r="62" spans="1:23" x14ac:dyDescent="0.2">
      <c r="A62" s="9" t="str">
        <f t="shared" si="1"/>
        <v>21NL300116</v>
      </c>
      <c r="B62" s="9" t="str">
        <f>COUNTIF($A$7:A62,A62)&amp;A62</f>
        <v>121NL300116</v>
      </c>
      <c r="C62" s="54">
        <v>46024</v>
      </c>
      <c r="D62" s="55" t="s">
        <v>294</v>
      </c>
      <c r="E62" s="56" t="s">
        <v>498</v>
      </c>
      <c r="F62" s="56" t="s">
        <v>295</v>
      </c>
      <c r="G62" s="55" t="s">
        <v>492</v>
      </c>
      <c r="H62" s="55" t="s">
        <v>493</v>
      </c>
      <c r="I62" s="55" t="s">
        <v>499</v>
      </c>
      <c r="J62" s="55" t="s">
        <v>217</v>
      </c>
      <c r="K62" s="55" t="s">
        <v>313</v>
      </c>
      <c r="L62" s="55" t="s">
        <v>92</v>
      </c>
      <c r="M62" s="57">
        <v>0.5</v>
      </c>
      <c r="N62" s="58">
        <v>148000</v>
      </c>
      <c r="O62" s="58">
        <v>0</v>
      </c>
      <c r="P62" s="59">
        <v>74000</v>
      </c>
      <c r="Q62" s="58">
        <v>0</v>
      </c>
      <c r="R62" s="55">
        <v>148000</v>
      </c>
      <c r="S62" s="55" t="s">
        <v>469</v>
      </c>
      <c r="T62" s="55" t="s">
        <v>495</v>
      </c>
      <c r="U62" s="55" t="s">
        <v>18</v>
      </c>
      <c r="V62" s="55" t="s">
        <v>470</v>
      </c>
      <c r="W62" s="42">
        <f>VLOOKUP(B62,'LW13'!$X$15:$Y$501,2,0)-M62</f>
        <v>0</v>
      </c>
    </row>
    <row r="63" spans="1:23" x14ac:dyDescent="0.2">
      <c r="A63" s="9" t="str">
        <f t="shared" si="1"/>
        <v>21NL300119</v>
      </c>
      <c r="B63" s="9" t="str">
        <f>COUNTIF($A$7:A63,A63)&amp;A63</f>
        <v>121NL300119</v>
      </c>
      <c r="C63" s="54">
        <v>46024</v>
      </c>
      <c r="D63" s="55" t="s">
        <v>294</v>
      </c>
      <c r="E63" s="56" t="s">
        <v>498</v>
      </c>
      <c r="F63" s="56" t="s">
        <v>295</v>
      </c>
      <c r="G63" s="55" t="s">
        <v>492</v>
      </c>
      <c r="H63" s="55" t="s">
        <v>493</v>
      </c>
      <c r="I63" s="55" t="s">
        <v>499</v>
      </c>
      <c r="J63" s="55" t="s">
        <v>242</v>
      </c>
      <c r="K63" s="55" t="s">
        <v>307</v>
      </c>
      <c r="L63" s="55" t="s">
        <v>92</v>
      </c>
      <c r="M63" s="57">
        <v>2</v>
      </c>
      <c r="N63" s="58">
        <v>21000</v>
      </c>
      <c r="O63" s="58">
        <v>0</v>
      </c>
      <c r="P63" s="59">
        <v>42000</v>
      </c>
      <c r="Q63" s="58">
        <v>0</v>
      </c>
      <c r="R63" s="55">
        <v>21000</v>
      </c>
      <c r="S63" s="55" t="s">
        <v>469</v>
      </c>
      <c r="T63" s="55" t="s">
        <v>495</v>
      </c>
      <c r="U63" s="55" t="s">
        <v>18</v>
      </c>
      <c r="V63" s="55" t="s">
        <v>470</v>
      </c>
      <c r="W63" s="42">
        <f>VLOOKUP(B63,'LW13'!$X$15:$Y$501,2,0)-M63</f>
        <v>0</v>
      </c>
    </row>
    <row r="64" spans="1:23" x14ac:dyDescent="0.2">
      <c r="A64" s="9" t="str">
        <f t="shared" si="1"/>
        <v>21NL300126</v>
      </c>
      <c r="B64" s="9" t="str">
        <f>COUNTIF($A$7:A64,A64)&amp;A64</f>
        <v>121NL300126</v>
      </c>
      <c r="C64" s="54">
        <v>46024</v>
      </c>
      <c r="D64" s="55" t="s">
        <v>294</v>
      </c>
      <c r="E64" s="56" t="s">
        <v>498</v>
      </c>
      <c r="F64" s="56" t="s">
        <v>295</v>
      </c>
      <c r="G64" s="55" t="s">
        <v>492</v>
      </c>
      <c r="H64" s="55" t="s">
        <v>493</v>
      </c>
      <c r="I64" s="55" t="s">
        <v>499</v>
      </c>
      <c r="J64" s="55" t="s">
        <v>206</v>
      </c>
      <c r="K64" s="55" t="s">
        <v>315</v>
      </c>
      <c r="L64" s="55" t="s">
        <v>92</v>
      </c>
      <c r="M64" s="57">
        <v>0.1</v>
      </c>
      <c r="N64" s="58">
        <v>70000</v>
      </c>
      <c r="O64" s="58">
        <v>0</v>
      </c>
      <c r="P64" s="59">
        <v>7000</v>
      </c>
      <c r="Q64" s="58">
        <v>0</v>
      </c>
      <c r="R64" s="55">
        <v>70000</v>
      </c>
      <c r="S64" s="55" t="s">
        <v>469</v>
      </c>
      <c r="T64" s="55" t="s">
        <v>495</v>
      </c>
      <c r="U64" s="55" t="s">
        <v>18</v>
      </c>
      <c r="V64" s="55" t="s">
        <v>470</v>
      </c>
      <c r="W64" s="42">
        <f>VLOOKUP(B64,'LW13'!$X$15:$Y$501,2,0)-M64</f>
        <v>0</v>
      </c>
    </row>
    <row r="65" spans="1:23" x14ac:dyDescent="0.2">
      <c r="A65" s="9" t="str">
        <f t="shared" si="1"/>
        <v>21NL300121</v>
      </c>
      <c r="B65" s="9" t="str">
        <f>COUNTIF($A$7:A65,A65)&amp;A65</f>
        <v>121NL300121</v>
      </c>
      <c r="C65" s="54">
        <v>46024</v>
      </c>
      <c r="D65" s="55" t="s">
        <v>294</v>
      </c>
      <c r="E65" s="56" t="s">
        <v>498</v>
      </c>
      <c r="F65" s="56" t="s">
        <v>295</v>
      </c>
      <c r="G65" s="55" t="s">
        <v>492</v>
      </c>
      <c r="H65" s="55" t="s">
        <v>493</v>
      </c>
      <c r="I65" s="55" t="s">
        <v>499</v>
      </c>
      <c r="J65" s="55" t="s">
        <v>231</v>
      </c>
      <c r="K65" s="55" t="s">
        <v>35</v>
      </c>
      <c r="L65" s="55" t="s">
        <v>92</v>
      </c>
      <c r="M65" s="57">
        <v>0.1</v>
      </c>
      <c r="N65" s="58">
        <v>22000</v>
      </c>
      <c r="O65" s="58">
        <v>0</v>
      </c>
      <c r="P65" s="59">
        <v>2200</v>
      </c>
      <c r="Q65" s="58">
        <v>0</v>
      </c>
      <c r="R65" s="55">
        <v>22000</v>
      </c>
      <c r="S65" s="55" t="s">
        <v>469</v>
      </c>
      <c r="T65" s="55" t="s">
        <v>495</v>
      </c>
      <c r="U65" s="55" t="s">
        <v>18</v>
      </c>
      <c r="V65" s="55" t="s">
        <v>470</v>
      </c>
      <c r="W65" s="42">
        <f>VLOOKUP(B65,'LW13'!$X$15:$Y$501,2,0)-M65</f>
        <v>0</v>
      </c>
    </row>
    <row r="66" spans="1:23" x14ac:dyDescent="0.2">
      <c r="A66" s="9" t="str">
        <f t="shared" si="1"/>
        <v>21NL300132</v>
      </c>
      <c r="B66" s="9" t="str">
        <f>COUNTIF($A$7:A66,A66)&amp;A66</f>
        <v>121NL300132</v>
      </c>
      <c r="C66" s="54">
        <v>46024</v>
      </c>
      <c r="D66" s="55" t="s">
        <v>294</v>
      </c>
      <c r="E66" s="56" t="s">
        <v>498</v>
      </c>
      <c r="F66" s="56" t="s">
        <v>295</v>
      </c>
      <c r="G66" s="55" t="s">
        <v>492</v>
      </c>
      <c r="H66" s="55" t="s">
        <v>493</v>
      </c>
      <c r="I66" s="55" t="s">
        <v>499</v>
      </c>
      <c r="J66" s="55" t="s">
        <v>237</v>
      </c>
      <c r="K66" s="55" t="s">
        <v>36</v>
      </c>
      <c r="L66" s="55" t="s">
        <v>92</v>
      </c>
      <c r="M66" s="57">
        <v>1.5</v>
      </c>
      <c r="N66" s="58">
        <v>12000</v>
      </c>
      <c r="O66" s="58">
        <v>0</v>
      </c>
      <c r="P66" s="59">
        <v>18000</v>
      </c>
      <c r="Q66" s="58">
        <v>0</v>
      </c>
      <c r="R66" s="55">
        <v>12000</v>
      </c>
      <c r="S66" s="55" t="s">
        <v>469</v>
      </c>
      <c r="T66" s="55" t="s">
        <v>495</v>
      </c>
      <c r="U66" s="55" t="s">
        <v>18</v>
      </c>
      <c r="V66" s="55" t="s">
        <v>470</v>
      </c>
      <c r="W66" s="42">
        <f>VLOOKUP(B66,'LW13'!$X$15:$Y$501,2,0)-M66</f>
        <v>0</v>
      </c>
    </row>
    <row r="67" spans="1:23" x14ac:dyDescent="0.2">
      <c r="A67" s="9" t="str">
        <f t="shared" si="1"/>
        <v>21NL300141</v>
      </c>
      <c r="B67" s="9" t="str">
        <f>COUNTIF($A$7:A67,A67)&amp;A67</f>
        <v>121NL300141</v>
      </c>
      <c r="C67" s="54">
        <v>46024</v>
      </c>
      <c r="D67" s="55" t="s">
        <v>294</v>
      </c>
      <c r="E67" s="56" t="s">
        <v>498</v>
      </c>
      <c r="F67" s="56" t="s">
        <v>295</v>
      </c>
      <c r="G67" s="55" t="s">
        <v>492</v>
      </c>
      <c r="H67" s="55" t="s">
        <v>493</v>
      </c>
      <c r="I67" s="55" t="s">
        <v>499</v>
      </c>
      <c r="J67" s="55" t="s">
        <v>256</v>
      </c>
      <c r="K67" s="55" t="s">
        <v>501</v>
      </c>
      <c r="L67" s="55" t="s">
        <v>92</v>
      </c>
      <c r="M67" s="57">
        <v>0.1</v>
      </c>
      <c r="N67" s="58">
        <v>92000</v>
      </c>
      <c r="O67" s="58">
        <v>0</v>
      </c>
      <c r="P67" s="59">
        <v>9200</v>
      </c>
      <c r="Q67" s="58">
        <v>0</v>
      </c>
      <c r="R67" s="55">
        <v>92000</v>
      </c>
      <c r="S67" s="55" t="s">
        <v>469</v>
      </c>
      <c r="T67" s="55" t="s">
        <v>495</v>
      </c>
      <c r="U67" s="55" t="s">
        <v>18</v>
      </c>
      <c r="V67" s="55" t="s">
        <v>470</v>
      </c>
      <c r="W67" s="42">
        <f>VLOOKUP(B67,'LW13'!$X$15:$Y$501,2,0)-M67</f>
        <v>0</v>
      </c>
    </row>
    <row r="68" spans="1:23" x14ac:dyDescent="0.2">
      <c r="A68" s="9" t="str">
        <f t="shared" si="1"/>
        <v>21NL300142</v>
      </c>
      <c r="B68" s="9" t="str">
        <f>COUNTIF($A$7:A68,A68)&amp;A68</f>
        <v>121NL300142</v>
      </c>
      <c r="C68" s="54">
        <v>46024</v>
      </c>
      <c r="D68" s="55" t="s">
        <v>294</v>
      </c>
      <c r="E68" s="56" t="s">
        <v>498</v>
      </c>
      <c r="F68" s="56" t="s">
        <v>295</v>
      </c>
      <c r="G68" s="55" t="s">
        <v>492</v>
      </c>
      <c r="H68" s="55" t="s">
        <v>493</v>
      </c>
      <c r="I68" s="55" t="s">
        <v>499</v>
      </c>
      <c r="J68" s="55" t="s">
        <v>259</v>
      </c>
      <c r="K68" s="55" t="s">
        <v>308</v>
      </c>
      <c r="L68" s="55" t="s">
        <v>92</v>
      </c>
      <c r="M68" s="57">
        <v>5</v>
      </c>
      <c r="N68" s="58">
        <v>50000</v>
      </c>
      <c r="O68" s="58">
        <v>0</v>
      </c>
      <c r="P68" s="59">
        <v>250000</v>
      </c>
      <c r="Q68" s="58">
        <v>0</v>
      </c>
      <c r="R68" s="55">
        <v>50000</v>
      </c>
      <c r="S68" s="55" t="s">
        <v>469</v>
      </c>
      <c r="T68" s="55" t="s">
        <v>495</v>
      </c>
      <c r="U68" s="55" t="s">
        <v>18</v>
      </c>
      <c r="V68" s="55" t="s">
        <v>470</v>
      </c>
      <c r="W68" s="42">
        <f>VLOOKUP(B68,'LW13'!$X$15:$Y$501,2,0)-M68</f>
        <v>0</v>
      </c>
    </row>
    <row r="69" spans="1:23" x14ac:dyDescent="0.2">
      <c r="A69" s="9" t="str">
        <f t="shared" ref="A69:A131" si="2">DAY(C69)&amp;MONTH(C69)&amp;J69</f>
        <v>21NL100101</v>
      </c>
      <c r="B69" s="9" t="str">
        <f>COUNTIF($A$7:A69,A69)&amp;A69</f>
        <v>121NL100101</v>
      </c>
      <c r="C69" s="54">
        <v>46024</v>
      </c>
      <c r="D69" s="55" t="s">
        <v>294</v>
      </c>
      <c r="E69" s="56" t="s">
        <v>498</v>
      </c>
      <c r="F69" s="56" t="s">
        <v>295</v>
      </c>
      <c r="G69" s="55" t="s">
        <v>492</v>
      </c>
      <c r="H69" s="55" t="s">
        <v>493</v>
      </c>
      <c r="I69" s="55" t="s">
        <v>499</v>
      </c>
      <c r="J69" s="55" t="s">
        <v>263</v>
      </c>
      <c r="K69" s="55" t="s">
        <v>52</v>
      </c>
      <c r="L69" s="55" t="s">
        <v>318</v>
      </c>
      <c r="M69" s="57">
        <v>85</v>
      </c>
      <c r="N69" s="58">
        <v>5000</v>
      </c>
      <c r="O69" s="58">
        <v>0</v>
      </c>
      <c r="P69" s="59">
        <v>425000</v>
      </c>
      <c r="Q69" s="58">
        <v>0</v>
      </c>
      <c r="R69" s="55">
        <v>5000</v>
      </c>
      <c r="S69" s="55" t="s">
        <v>469</v>
      </c>
      <c r="T69" s="55" t="s">
        <v>495</v>
      </c>
      <c r="U69" s="55" t="s">
        <v>18</v>
      </c>
      <c r="V69" s="55" t="s">
        <v>470</v>
      </c>
      <c r="W69" s="42">
        <f>VLOOKUP(B69,'LW13'!$X$15:$Y$501,2,0)-M69</f>
        <v>0</v>
      </c>
    </row>
    <row r="70" spans="1:23" x14ac:dyDescent="0.2">
      <c r="A70" s="9" t="str">
        <f t="shared" si="2"/>
        <v>21NL300147</v>
      </c>
      <c r="B70" s="9" t="str">
        <f>COUNTIF($A$7:A70,A70)&amp;A70</f>
        <v>121NL300147</v>
      </c>
      <c r="C70" s="54">
        <v>46024</v>
      </c>
      <c r="D70" s="55" t="s">
        <v>294</v>
      </c>
      <c r="E70" s="56" t="s">
        <v>498</v>
      </c>
      <c r="F70" s="56" t="s">
        <v>295</v>
      </c>
      <c r="G70" s="55" t="s">
        <v>492</v>
      </c>
      <c r="H70" s="55" t="s">
        <v>493</v>
      </c>
      <c r="I70" s="55" t="s">
        <v>499</v>
      </c>
      <c r="J70" s="55" t="s">
        <v>270</v>
      </c>
      <c r="K70" s="55" t="s">
        <v>309</v>
      </c>
      <c r="L70" s="55" t="s">
        <v>92</v>
      </c>
      <c r="M70" s="57">
        <v>6.5</v>
      </c>
      <c r="N70" s="58">
        <v>62000</v>
      </c>
      <c r="O70" s="58">
        <v>0</v>
      </c>
      <c r="P70" s="59">
        <v>403000</v>
      </c>
      <c r="Q70" s="58">
        <v>0</v>
      </c>
      <c r="R70" s="55">
        <v>62000</v>
      </c>
      <c r="S70" s="55" t="s">
        <v>469</v>
      </c>
      <c r="T70" s="55" t="s">
        <v>495</v>
      </c>
      <c r="U70" s="55" t="s">
        <v>18</v>
      </c>
      <c r="V70" s="55" t="s">
        <v>470</v>
      </c>
      <c r="W70" s="42">
        <f>VLOOKUP(B70,'LW13'!$X$15:$Y$501,2,0)-M70</f>
        <v>0</v>
      </c>
    </row>
    <row r="71" spans="1:23" x14ac:dyDescent="0.2">
      <c r="A71" s="9" t="str">
        <f t="shared" si="2"/>
        <v>21NL300091</v>
      </c>
      <c r="B71" s="9" t="str">
        <f>COUNTIF($A$7:A71,A71)&amp;A71</f>
        <v>121NL300091</v>
      </c>
      <c r="C71" s="54">
        <v>46024</v>
      </c>
      <c r="D71" s="55" t="s">
        <v>294</v>
      </c>
      <c r="E71" s="56" t="s">
        <v>498</v>
      </c>
      <c r="F71" s="56" t="s">
        <v>295</v>
      </c>
      <c r="G71" s="55" t="s">
        <v>492</v>
      </c>
      <c r="H71" s="55" t="s">
        <v>493</v>
      </c>
      <c r="I71" s="55" t="s">
        <v>499</v>
      </c>
      <c r="J71" s="55" t="s">
        <v>190</v>
      </c>
      <c r="K71" s="55" t="s">
        <v>40</v>
      </c>
      <c r="L71" s="55" t="s">
        <v>92</v>
      </c>
      <c r="M71" s="57">
        <v>4</v>
      </c>
      <c r="N71" s="58">
        <v>47000</v>
      </c>
      <c r="O71" s="58">
        <v>0</v>
      </c>
      <c r="P71" s="59">
        <v>188000</v>
      </c>
      <c r="Q71" s="58">
        <v>0</v>
      </c>
      <c r="R71" s="55">
        <v>47000</v>
      </c>
      <c r="S71" s="55" t="s">
        <v>469</v>
      </c>
      <c r="T71" s="55" t="s">
        <v>495</v>
      </c>
      <c r="U71" s="55" t="s">
        <v>18</v>
      </c>
      <c r="V71" s="55" t="s">
        <v>470</v>
      </c>
      <c r="W71" s="42">
        <f>VLOOKUP(B71,'LW13'!$X$15:$Y$501,2,0)-M71</f>
        <v>0</v>
      </c>
    </row>
    <row r="72" spans="1:23" x14ac:dyDescent="0.2">
      <c r="A72" s="9" t="str">
        <f t="shared" si="2"/>
        <v>21NL300092</v>
      </c>
      <c r="B72" s="9" t="str">
        <f>COUNTIF($A$7:A72,A72)&amp;A72</f>
        <v>121NL300092</v>
      </c>
      <c r="C72" s="54">
        <v>46024</v>
      </c>
      <c r="D72" s="55" t="s">
        <v>294</v>
      </c>
      <c r="E72" s="56" t="s">
        <v>498</v>
      </c>
      <c r="F72" s="56" t="s">
        <v>295</v>
      </c>
      <c r="G72" s="55" t="s">
        <v>492</v>
      </c>
      <c r="H72" s="55" t="s">
        <v>493</v>
      </c>
      <c r="I72" s="55" t="s">
        <v>499</v>
      </c>
      <c r="J72" s="55" t="s">
        <v>191</v>
      </c>
      <c r="K72" s="55" t="s">
        <v>43</v>
      </c>
      <c r="L72" s="55" t="s">
        <v>92</v>
      </c>
      <c r="M72" s="57">
        <v>2</v>
      </c>
      <c r="N72" s="58">
        <v>90000</v>
      </c>
      <c r="O72" s="58">
        <v>0</v>
      </c>
      <c r="P72" s="59">
        <v>180000</v>
      </c>
      <c r="Q72" s="58">
        <v>0</v>
      </c>
      <c r="R72" s="55">
        <v>90000</v>
      </c>
      <c r="S72" s="55" t="s">
        <v>469</v>
      </c>
      <c r="T72" s="55" t="s">
        <v>495</v>
      </c>
      <c r="U72" s="55" t="s">
        <v>18</v>
      </c>
      <c r="V72" s="55" t="s">
        <v>470</v>
      </c>
      <c r="W72" s="42">
        <f>VLOOKUP(B72,'LW13'!$X$15:$Y$501,2,0)-M72</f>
        <v>0</v>
      </c>
    </row>
    <row r="73" spans="1:23" x14ac:dyDescent="0.2">
      <c r="A73" s="9" t="str">
        <f t="shared" si="2"/>
        <v>21NL300096</v>
      </c>
      <c r="B73" s="9" t="str">
        <f>COUNTIF($A$7:A73,A73)&amp;A73</f>
        <v>121NL300096</v>
      </c>
      <c r="C73" s="54">
        <v>46024</v>
      </c>
      <c r="D73" s="55" t="s">
        <v>294</v>
      </c>
      <c r="E73" s="56" t="s">
        <v>498</v>
      </c>
      <c r="F73" s="56" t="s">
        <v>295</v>
      </c>
      <c r="G73" s="55" t="s">
        <v>492</v>
      </c>
      <c r="H73" s="55" t="s">
        <v>493</v>
      </c>
      <c r="I73" s="55" t="s">
        <v>499</v>
      </c>
      <c r="J73" s="55" t="s">
        <v>193</v>
      </c>
      <c r="K73" s="55" t="s">
        <v>41</v>
      </c>
      <c r="L73" s="55" t="s">
        <v>92</v>
      </c>
      <c r="M73" s="57">
        <v>9</v>
      </c>
      <c r="N73" s="58">
        <v>45000</v>
      </c>
      <c r="O73" s="58">
        <v>0</v>
      </c>
      <c r="P73" s="59">
        <v>405000</v>
      </c>
      <c r="Q73" s="58">
        <v>0</v>
      </c>
      <c r="R73" s="55">
        <v>45000</v>
      </c>
      <c r="S73" s="55" t="s">
        <v>469</v>
      </c>
      <c r="T73" s="55" t="s">
        <v>495</v>
      </c>
      <c r="U73" s="55" t="s">
        <v>18</v>
      </c>
      <c r="V73" s="55" t="s">
        <v>470</v>
      </c>
      <c r="W73" s="42">
        <f>VLOOKUP(B73,'LW13'!$X$15:$Y$501,2,0)-M73</f>
        <v>0</v>
      </c>
    </row>
    <row r="74" spans="1:23" x14ac:dyDescent="0.2">
      <c r="A74" s="9" t="str">
        <f t="shared" si="2"/>
        <v>21NL300097</v>
      </c>
      <c r="B74" s="9" t="str">
        <f>COUNTIF($A$7:A74,A74)&amp;A74</f>
        <v>121NL300097</v>
      </c>
      <c r="C74" s="54">
        <v>46024</v>
      </c>
      <c r="D74" s="55" t="s">
        <v>294</v>
      </c>
      <c r="E74" s="56" t="s">
        <v>498</v>
      </c>
      <c r="F74" s="56" t="s">
        <v>295</v>
      </c>
      <c r="G74" s="55" t="s">
        <v>492</v>
      </c>
      <c r="H74" s="55" t="s">
        <v>493</v>
      </c>
      <c r="I74" s="55" t="s">
        <v>499</v>
      </c>
      <c r="J74" s="55" t="s">
        <v>194</v>
      </c>
      <c r="K74" s="55" t="s">
        <v>317</v>
      </c>
      <c r="L74" s="55" t="s">
        <v>92</v>
      </c>
      <c r="M74" s="57">
        <v>2.6</v>
      </c>
      <c r="N74" s="58">
        <v>90000</v>
      </c>
      <c r="O74" s="58">
        <v>0</v>
      </c>
      <c r="P74" s="59">
        <v>234000</v>
      </c>
      <c r="Q74" s="58">
        <v>0</v>
      </c>
      <c r="R74" s="55">
        <v>90000</v>
      </c>
      <c r="S74" s="55" t="s">
        <v>469</v>
      </c>
      <c r="T74" s="55" t="s">
        <v>495</v>
      </c>
      <c r="U74" s="55" t="s">
        <v>18</v>
      </c>
      <c r="V74" s="55" t="s">
        <v>470</v>
      </c>
      <c r="W74" s="42">
        <f>VLOOKUP(B74,'LW13'!$X$15:$Y$501,2,0)-M74</f>
        <v>0</v>
      </c>
    </row>
    <row r="75" spans="1:23" s="61" customFormat="1" x14ac:dyDescent="0.2">
      <c r="A75" s="60" t="str">
        <f t="shared" si="2"/>
        <v>21NL300189</v>
      </c>
      <c r="B75" s="9" t="str">
        <f>COUNTIF($A$7:A75,A75)&amp;A75</f>
        <v>121NL300189</v>
      </c>
      <c r="C75" s="54">
        <v>46024</v>
      </c>
      <c r="D75" s="55" t="s">
        <v>294</v>
      </c>
      <c r="E75" s="56" t="s">
        <v>502</v>
      </c>
      <c r="F75" s="56" t="s">
        <v>295</v>
      </c>
      <c r="G75" s="55" t="s">
        <v>492</v>
      </c>
      <c r="H75" s="55" t="s">
        <v>493</v>
      </c>
      <c r="I75" s="55" t="s">
        <v>499</v>
      </c>
      <c r="J75" s="55" t="s">
        <v>85</v>
      </c>
      <c r="K75" s="55" t="s">
        <v>54</v>
      </c>
      <c r="L75" s="55" t="s">
        <v>92</v>
      </c>
      <c r="M75" s="57">
        <v>2</v>
      </c>
      <c r="N75" s="58">
        <v>15000</v>
      </c>
      <c r="O75" s="58">
        <v>0</v>
      </c>
      <c r="P75" s="59">
        <v>30000</v>
      </c>
      <c r="Q75" s="58">
        <v>0</v>
      </c>
      <c r="R75" s="55">
        <v>15000</v>
      </c>
      <c r="S75" s="55" t="s">
        <v>469</v>
      </c>
      <c r="T75" s="55" t="s">
        <v>495</v>
      </c>
      <c r="U75" s="55" t="s">
        <v>18</v>
      </c>
      <c r="V75" s="55" t="s">
        <v>470</v>
      </c>
      <c r="W75" s="42">
        <f>VLOOKUP(B75,'LW13'!$X$15:$Y$501,2,0)-M75</f>
        <v>0</v>
      </c>
    </row>
    <row r="76" spans="1:23" x14ac:dyDescent="0.2">
      <c r="A76" s="9" t="str">
        <f t="shared" si="2"/>
        <v>21NL300004</v>
      </c>
      <c r="B76" s="9" t="str">
        <f>COUNTIF($A$7:A76,A76)&amp;A76</f>
        <v>121NL300004</v>
      </c>
      <c r="C76" s="54">
        <v>46024</v>
      </c>
      <c r="D76" s="55" t="s">
        <v>294</v>
      </c>
      <c r="E76" s="56" t="s">
        <v>502</v>
      </c>
      <c r="F76" s="56" t="s">
        <v>295</v>
      </c>
      <c r="G76" s="55" t="s">
        <v>492</v>
      </c>
      <c r="H76" s="55" t="s">
        <v>493</v>
      </c>
      <c r="I76" s="55" t="s">
        <v>499</v>
      </c>
      <c r="J76" s="55" t="s">
        <v>86</v>
      </c>
      <c r="K76" s="55" t="s">
        <v>16</v>
      </c>
      <c r="L76" s="55" t="s">
        <v>92</v>
      </c>
      <c r="M76" s="57">
        <v>1.6</v>
      </c>
      <c r="N76" s="58">
        <v>19000</v>
      </c>
      <c r="O76" s="58">
        <v>0</v>
      </c>
      <c r="P76" s="59">
        <v>30400</v>
      </c>
      <c r="Q76" s="58">
        <v>0</v>
      </c>
      <c r="R76" s="55">
        <v>19000</v>
      </c>
      <c r="S76" s="55" t="s">
        <v>469</v>
      </c>
      <c r="T76" s="55" t="s">
        <v>495</v>
      </c>
      <c r="U76" s="55" t="s">
        <v>18</v>
      </c>
      <c r="V76" s="55" t="s">
        <v>470</v>
      </c>
      <c r="W76" s="42">
        <f>VLOOKUP(B76,'LW13'!$X$15:$Y$501,2,0)-M76</f>
        <v>0</v>
      </c>
    </row>
    <row r="77" spans="1:23" x14ac:dyDescent="0.2">
      <c r="A77" s="9" t="str">
        <f t="shared" si="2"/>
        <v>21NL300028</v>
      </c>
      <c r="B77" s="9" t="str">
        <f>COUNTIF($A$7:A77,A77)&amp;A77</f>
        <v>121NL300028</v>
      </c>
      <c r="C77" s="54">
        <v>46024</v>
      </c>
      <c r="D77" s="55" t="s">
        <v>294</v>
      </c>
      <c r="E77" s="56" t="s">
        <v>502</v>
      </c>
      <c r="F77" s="56" t="s">
        <v>295</v>
      </c>
      <c r="G77" s="55" t="s">
        <v>492</v>
      </c>
      <c r="H77" s="55" t="s">
        <v>493</v>
      </c>
      <c r="I77" s="55" t="s">
        <v>499</v>
      </c>
      <c r="J77" s="55" t="s">
        <v>107</v>
      </c>
      <c r="K77" s="55" t="s">
        <v>70</v>
      </c>
      <c r="L77" s="55" t="s">
        <v>92</v>
      </c>
      <c r="M77" s="57">
        <v>0.5</v>
      </c>
      <c r="N77" s="58">
        <v>75000</v>
      </c>
      <c r="O77" s="58">
        <v>0</v>
      </c>
      <c r="P77" s="59">
        <v>37500</v>
      </c>
      <c r="Q77" s="58">
        <v>0</v>
      </c>
      <c r="R77" s="55">
        <v>75000</v>
      </c>
      <c r="S77" s="55" t="s">
        <v>469</v>
      </c>
      <c r="T77" s="55" t="s">
        <v>495</v>
      </c>
      <c r="U77" s="55" t="s">
        <v>18</v>
      </c>
      <c r="V77" s="55" t="s">
        <v>470</v>
      </c>
      <c r="W77" s="42">
        <f>VLOOKUP(B77,'LW13'!$X$15:$Y$501,2,0)-M77</f>
        <v>0</v>
      </c>
    </row>
    <row r="78" spans="1:23" x14ac:dyDescent="0.2">
      <c r="A78" s="9" t="str">
        <f t="shared" si="2"/>
        <v>21NL300041</v>
      </c>
      <c r="B78" s="9" t="str">
        <f>COUNTIF($A$7:A78,A78)&amp;A78</f>
        <v>121NL300041</v>
      </c>
      <c r="C78" s="54">
        <v>46024</v>
      </c>
      <c r="D78" s="55" t="s">
        <v>294</v>
      </c>
      <c r="E78" s="56" t="s">
        <v>502</v>
      </c>
      <c r="F78" s="56" t="s">
        <v>295</v>
      </c>
      <c r="G78" s="55" t="s">
        <v>492</v>
      </c>
      <c r="H78" s="55" t="s">
        <v>493</v>
      </c>
      <c r="I78" s="55" t="s">
        <v>499</v>
      </c>
      <c r="J78" s="55" t="s">
        <v>140</v>
      </c>
      <c r="K78" s="55" t="s">
        <v>319</v>
      </c>
      <c r="L78" s="55" t="s">
        <v>300</v>
      </c>
      <c r="M78" s="57">
        <v>15</v>
      </c>
      <c r="N78" s="58">
        <v>15000</v>
      </c>
      <c r="O78" s="58">
        <v>0</v>
      </c>
      <c r="P78" s="59">
        <v>225000</v>
      </c>
      <c r="Q78" s="58">
        <v>0</v>
      </c>
      <c r="R78" s="55">
        <v>15000</v>
      </c>
      <c r="S78" s="55" t="s">
        <v>469</v>
      </c>
      <c r="T78" s="55" t="s">
        <v>495</v>
      </c>
      <c r="U78" s="55" t="s">
        <v>18</v>
      </c>
      <c r="V78" s="55" t="s">
        <v>470</v>
      </c>
      <c r="W78" s="42">
        <f>VLOOKUP(B78,'LW13'!$X$15:$Y$501,2,0)-M78</f>
        <v>0</v>
      </c>
    </row>
    <row r="79" spans="1:23" x14ac:dyDescent="0.2">
      <c r="A79" s="9" t="str">
        <f t="shared" si="2"/>
        <v>21NL300059</v>
      </c>
      <c r="B79" s="9" t="str">
        <f>COUNTIF($A$7:A79,A79)&amp;A79</f>
        <v>121NL300059</v>
      </c>
      <c r="C79" s="54">
        <v>46024</v>
      </c>
      <c r="D79" s="55" t="s">
        <v>294</v>
      </c>
      <c r="E79" s="56" t="s">
        <v>502</v>
      </c>
      <c r="F79" s="56" t="s">
        <v>295</v>
      </c>
      <c r="G79" s="55" t="s">
        <v>492</v>
      </c>
      <c r="H79" s="55" t="s">
        <v>493</v>
      </c>
      <c r="I79" s="55" t="s">
        <v>499</v>
      </c>
      <c r="J79" s="55" t="s">
        <v>151</v>
      </c>
      <c r="K79" s="55" t="s">
        <v>71</v>
      </c>
      <c r="L79" s="55" t="s">
        <v>92</v>
      </c>
      <c r="M79" s="57">
        <v>1</v>
      </c>
      <c r="N79" s="58">
        <v>13000</v>
      </c>
      <c r="O79" s="58">
        <v>0</v>
      </c>
      <c r="P79" s="59">
        <v>13000</v>
      </c>
      <c r="Q79" s="58">
        <v>0</v>
      </c>
      <c r="R79" s="55">
        <v>13000</v>
      </c>
      <c r="S79" s="55" t="s">
        <v>469</v>
      </c>
      <c r="T79" s="55" t="s">
        <v>495</v>
      </c>
      <c r="U79" s="55" t="s">
        <v>18</v>
      </c>
      <c r="V79" s="55" t="s">
        <v>470</v>
      </c>
      <c r="W79" s="42">
        <f>VLOOKUP(B79,'LW13'!$X$15:$Y$501,2,0)-M79</f>
        <v>0</v>
      </c>
    </row>
    <row r="80" spans="1:23" x14ac:dyDescent="0.2">
      <c r="A80" s="9" t="str">
        <f t="shared" si="2"/>
        <v>21NL300073</v>
      </c>
      <c r="B80" s="9" t="str">
        <f>COUNTIF($A$7:A80,A80)&amp;A80</f>
        <v>121NL300073</v>
      </c>
      <c r="C80" s="54">
        <v>46024</v>
      </c>
      <c r="D80" s="55" t="s">
        <v>294</v>
      </c>
      <c r="E80" s="56" t="s">
        <v>502</v>
      </c>
      <c r="F80" s="56" t="s">
        <v>295</v>
      </c>
      <c r="G80" s="55" t="s">
        <v>492</v>
      </c>
      <c r="H80" s="55" t="s">
        <v>493</v>
      </c>
      <c r="I80" s="55" t="s">
        <v>499</v>
      </c>
      <c r="J80" s="55" t="s">
        <v>167</v>
      </c>
      <c r="K80" s="55" t="s">
        <v>61</v>
      </c>
      <c r="L80" s="55" t="s">
        <v>92</v>
      </c>
      <c r="M80" s="57">
        <v>0.1</v>
      </c>
      <c r="N80" s="58">
        <v>42000</v>
      </c>
      <c r="O80" s="58">
        <v>0</v>
      </c>
      <c r="P80" s="59">
        <v>4200</v>
      </c>
      <c r="Q80" s="58">
        <v>0</v>
      </c>
      <c r="R80" s="55">
        <v>42000</v>
      </c>
      <c r="S80" s="55" t="s">
        <v>469</v>
      </c>
      <c r="T80" s="55" t="s">
        <v>495</v>
      </c>
      <c r="U80" s="55" t="s">
        <v>18</v>
      </c>
      <c r="V80" s="55" t="s">
        <v>470</v>
      </c>
      <c r="W80" s="42">
        <f>VLOOKUP(B80,'LW13'!$X$15:$Y$501,2,0)-M80</f>
        <v>0</v>
      </c>
    </row>
    <row r="81" spans="1:23" x14ac:dyDescent="0.2">
      <c r="A81" s="9" t="str">
        <f t="shared" si="2"/>
        <v>21NL300085</v>
      </c>
      <c r="B81" s="9" t="str">
        <f>COUNTIF($A$7:A81,A81)&amp;A81</f>
        <v>121NL300085</v>
      </c>
      <c r="C81" s="54">
        <v>46024</v>
      </c>
      <c r="D81" s="55" t="s">
        <v>294</v>
      </c>
      <c r="E81" s="56" t="s">
        <v>502</v>
      </c>
      <c r="F81" s="56" t="s">
        <v>295</v>
      </c>
      <c r="G81" s="55" t="s">
        <v>492</v>
      </c>
      <c r="H81" s="55" t="s">
        <v>493</v>
      </c>
      <c r="I81" s="55" t="s">
        <v>499</v>
      </c>
      <c r="J81" s="55" t="s">
        <v>205</v>
      </c>
      <c r="K81" s="55" t="s">
        <v>306</v>
      </c>
      <c r="L81" s="55" t="s">
        <v>92</v>
      </c>
      <c r="M81" s="57">
        <v>5.5</v>
      </c>
      <c r="N81" s="58">
        <v>45000</v>
      </c>
      <c r="O81" s="58">
        <v>0</v>
      </c>
      <c r="P81" s="59">
        <v>247500</v>
      </c>
      <c r="Q81" s="58">
        <v>0</v>
      </c>
      <c r="R81" s="55">
        <v>45000</v>
      </c>
      <c r="S81" s="55" t="s">
        <v>469</v>
      </c>
      <c r="T81" s="55" t="s">
        <v>495</v>
      </c>
      <c r="U81" s="55" t="s">
        <v>18</v>
      </c>
      <c r="V81" s="55" t="s">
        <v>470</v>
      </c>
      <c r="W81" s="42">
        <f>VLOOKUP(B81,'LW13'!$X$15:$Y$501,2,0)-M81</f>
        <v>0</v>
      </c>
    </row>
    <row r="82" spans="1:23" x14ac:dyDescent="0.2">
      <c r="A82" s="9" t="str">
        <f t="shared" si="2"/>
        <v>21NL300025</v>
      </c>
      <c r="B82" s="9" t="str">
        <f>COUNTIF($A$7:A82,A82)&amp;A82</f>
        <v>121NL300025</v>
      </c>
      <c r="C82" s="54">
        <v>46024</v>
      </c>
      <c r="D82" s="55" t="s">
        <v>294</v>
      </c>
      <c r="E82" s="56" t="s">
        <v>502</v>
      </c>
      <c r="F82" s="56" t="s">
        <v>295</v>
      </c>
      <c r="G82" s="55" t="s">
        <v>492</v>
      </c>
      <c r="H82" s="55" t="s">
        <v>493</v>
      </c>
      <c r="I82" s="55" t="s">
        <v>499</v>
      </c>
      <c r="J82" s="55" t="s">
        <v>117</v>
      </c>
      <c r="K82" s="55" t="s">
        <v>303</v>
      </c>
      <c r="L82" s="55" t="s">
        <v>92</v>
      </c>
      <c r="M82" s="57">
        <v>0.5</v>
      </c>
      <c r="N82" s="58">
        <v>44000</v>
      </c>
      <c r="O82" s="58">
        <v>0</v>
      </c>
      <c r="P82" s="59">
        <v>22000</v>
      </c>
      <c r="Q82" s="58">
        <v>0</v>
      </c>
      <c r="R82" s="55">
        <v>44000</v>
      </c>
      <c r="S82" s="55" t="s">
        <v>469</v>
      </c>
      <c r="T82" s="55" t="s">
        <v>495</v>
      </c>
      <c r="U82" s="55" t="s">
        <v>18</v>
      </c>
      <c r="V82" s="55" t="s">
        <v>470</v>
      </c>
      <c r="W82" s="42">
        <f>VLOOKUP(B82,'LW13'!$X$15:$Y$501,2,0)-M82</f>
        <v>0</v>
      </c>
    </row>
    <row r="83" spans="1:23" x14ac:dyDescent="0.2">
      <c r="A83" s="9" t="str">
        <f t="shared" si="2"/>
        <v>21NL300090</v>
      </c>
      <c r="B83" s="9" t="str">
        <f>COUNTIF($A$7:A83,A83)&amp;A83</f>
        <v>121NL300090</v>
      </c>
      <c r="C83" s="54">
        <v>46024</v>
      </c>
      <c r="D83" s="55" t="s">
        <v>294</v>
      </c>
      <c r="E83" s="56" t="s">
        <v>502</v>
      </c>
      <c r="F83" s="56" t="s">
        <v>295</v>
      </c>
      <c r="G83" s="55" t="s">
        <v>492</v>
      </c>
      <c r="H83" s="55" t="s">
        <v>493</v>
      </c>
      <c r="I83" s="55" t="s">
        <v>499</v>
      </c>
      <c r="J83" s="55" t="s">
        <v>189</v>
      </c>
      <c r="K83" s="55" t="s">
        <v>39</v>
      </c>
      <c r="L83" s="55" t="s">
        <v>92</v>
      </c>
      <c r="M83" s="57">
        <v>5</v>
      </c>
      <c r="N83" s="58">
        <v>145000</v>
      </c>
      <c r="O83" s="58">
        <v>0</v>
      </c>
      <c r="P83" s="59">
        <v>725000</v>
      </c>
      <c r="Q83" s="58">
        <v>0</v>
      </c>
      <c r="R83" s="55">
        <v>145000</v>
      </c>
      <c r="S83" s="55" t="s">
        <v>469</v>
      </c>
      <c r="T83" s="55" t="s">
        <v>495</v>
      </c>
      <c r="U83" s="55" t="s">
        <v>18</v>
      </c>
      <c r="V83" s="55" t="s">
        <v>470</v>
      </c>
      <c r="W83" s="42">
        <f>VLOOKUP(B83,'LW13'!$X$15:$Y$501,2,0)-M83</f>
        <v>0</v>
      </c>
    </row>
    <row r="84" spans="1:23" x14ac:dyDescent="0.2">
      <c r="A84" s="9" t="str">
        <f t="shared" si="2"/>
        <v>21NL300094</v>
      </c>
      <c r="B84" s="9" t="str">
        <f>COUNTIF($A$7:A84,A84)&amp;A84</f>
        <v>121NL300094</v>
      </c>
      <c r="C84" s="54">
        <v>46024</v>
      </c>
      <c r="D84" s="55" t="s">
        <v>294</v>
      </c>
      <c r="E84" s="56" t="s">
        <v>502</v>
      </c>
      <c r="F84" s="56" t="s">
        <v>295</v>
      </c>
      <c r="G84" s="55" t="s">
        <v>492</v>
      </c>
      <c r="H84" s="55" t="s">
        <v>493</v>
      </c>
      <c r="I84" s="55" t="s">
        <v>499</v>
      </c>
      <c r="J84" s="55" t="s">
        <v>192</v>
      </c>
      <c r="K84" s="55" t="s">
        <v>312</v>
      </c>
      <c r="L84" s="55" t="s">
        <v>92</v>
      </c>
      <c r="M84" s="57">
        <v>0.3</v>
      </c>
      <c r="N84" s="58">
        <v>80000</v>
      </c>
      <c r="O84" s="58">
        <v>0</v>
      </c>
      <c r="P84" s="59">
        <v>24000</v>
      </c>
      <c r="Q84" s="58">
        <v>0</v>
      </c>
      <c r="R84" s="55">
        <v>80000</v>
      </c>
      <c r="S84" s="55" t="s">
        <v>469</v>
      </c>
      <c r="T84" s="55" t="s">
        <v>495</v>
      </c>
      <c r="U84" s="55" t="s">
        <v>18</v>
      </c>
      <c r="V84" s="55" t="s">
        <v>470</v>
      </c>
      <c r="W84" s="42">
        <f>VLOOKUP(B84,'LW13'!$X$15:$Y$501,2,0)-M84</f>
        <v>0</v>
      </c>
    </row>
    <row r="85" spans="1:23" x14ac:dyDescent="0.2">
      <c r="A85" s="9" t="str">
        <f t="shared" si="2"/>
        <v>21NL300098</v>
      </c>
      <c r="B85" s="9" t="str">
        <f>COUNTIF($A$7:A85,A85)&amp;A85</f>
        <v>121NL300098</v>
      </c>
      <c r="C85" s="54">
        <v>46024</v>
      </c>
      <c r="D85" s="55" t="s">
        <v>294</v>
      </c>
      <c r="E85" s="56" t="s">
        <v>502</v>
      </c>
      <c r="F85" s="56" t="s">
        <v>295</v>
      </c>
      <c r="G85" s="55" t="s">
        <v>492</v>
      </c>
      <c r="H85" s="55" t="s">
        <v>493</v>
      </c>
      <c r="I85" s="55" t="s">
        <v>499</v>
      </c>
      <c r="J85" s="55" t="s">
        <v>195</v>
      </c>
      <c r="K85" s="55" t="s">
        <v>320</v>
      </c>
      <c r="L85" s="55" t="s">
        <v>92</v>
      </c>
      <c r="M85" s="57">
        <v>0.4</v>
      </c>
      <c r="N85" s="58">
        <v>95000</v>
      </c>
      <c r="O85" s="58">
        <v>0</v>
      </c>
      <c r="P85" s="59">
        <v>38000</v>
      </c>
      <c r="Q85" s="58">
        <v>0</v>
      </c>
      <c r="R85" s="55">
        <v>95000</v>
      </c>
      <c r="S85" s="55" t="s">
        <v>469</v>
      </c>
      <c r="T85" s="55" t="s">
        <v>495</v>
      </c>
      <c r="U85" s="55" t="s">
        <v>18</v>
      </c>
      <c r="V85" s="55" t="s">
        <v>470</v>
      </c>
      <c r="W85" s="42">
        <f>VLOOKUP(B85,'LW13'!$X$15:$Y$501,2,0)-M85</f>
        <v>0</v>
      </c>
    </row>
    <row r="86" spans="1:23" x14ac:dyDescent="0.2">
      <c r="A86" s="9" t="str">
        <f t="shared" si="2"/>
        <v>31NL300004</v>
      </c>
      <c r="B86" s="9" t="str">
        <f>COUNTIF($A$7:A86,A86)&amp;A86</f>
        <v>131NL300004</v>
      </c>
      <c r="C86" s="54">
        <v>46025</v>
      </c>
      <c r="D86" s="55" t="s">
        <v>294</v>
      </c>
      <c r="E86" s="56" t="s">
        <v>503</v>
      </c>
      <c r="F86" s="56" t="s">
        <v>295</v>
      </c>
      <c r="G86" s="55" t="s">
        <v>492</v>
      </c>
      <c r="H86" s="55" t="s">
        <v>493</v>
      </c>
      <c r="I86" s="55" t="s">
        <v>504</v>
      </c>
      <c r="J86" s="55" t="s">
        <v>86</v>
      </c>
      <c r="K86" s="55" t="s">
        <v>16</v>
      </c>
      <c r="L86" s="55" t="s">
        <v>92</v>
      </c>
      <c r="M86" s="57">
        <v>3</v>
      </c>
      <c r="N86" s="58">
        <v>19000</v>
      </c>
      <c r="O86" s="58">
        <v>0</v>
      </c>
      <c r="P86" s="59">
        <v>57000</v>
      </c>
      <c r="Q86" s="58">
        <v>0</v>
      </c>
      <c r="R86" s="55">
        <v>19000</v>
      </c>
      <c r="S86" s="55" t="s">
        <v>469</v>
      </c>
      <c r="T86" s="55" t="s">
        <v>495</v>
      </c>
      <c r="U86" s="55" t="s">
        <v>18</v>
      </c>
      <c r="V86" s="55" t="s">
        <v>470</v>
      </c>
      <c r="W86" s="42">
        <f>VLOOKUP(B86,'LW13'!$X$15:$Y$501,2,0)-M86</f>
        <v>0</v>
      </c>
    </row>
    <row r="87" spans="1:23" x14ac:dyDescent="0.2">
      <c r="A87" s="9" t="str">
        <f t="shared" si="2"/>
        <v>31NL300007</v>
      </c>
      <c r="B87" s="9" t="str">
        <f>COUNTIF($A$7:A87,A87)&amp;A87</f>
        <v>131NL300007</v>
      </c>
      <c r="C87" s="54">
        <v>46025</v>
      </c>
      <c r="D87" s="55" t="s">
        <v>294</v>
      </c>
      <c r="E87" s="56" t="s">
        <v>503</v>
      </c>
      <c r="F87" s="56" t="s">
        <v>295</v>
      </c>
      <c r="G87" s="55" t="s">
        <v>492</v>
      </c>
      <c r="H87" s="55" t="s">
        <v>493</v>
      </c>
      <c r="I87" s="55" t="s">
        <v>504</v>
      </c>
      <c r="J87" s="55" t="s">
        <v>90</v>
      </c>
      <c r="K87" s="55" t="s">
        <v>91</v>
      </c>
      <c r="L87" s="55" t="s">
        <v>92</v>
      </c>
      <c r="M87" s="57">
        <v>5.6</v>
      </c>
      <c r="N87" s="58">
        <v>30000</v>
      </c>
      <c r="O87" s="58">
        <v>0</v>
      </c>
      <c r="P87" s="59">
        <v>168000</v>
      </c>
      <c r="Q87" s="58">
        <v>0</v>
      </c>
      <c r="R87" s="55">
        <v>30000</v>
      </c>
      <c r="S87" s="55" t="s">
        <v>469</v>
      </c>
      <c r="T87" s="55" t="s">
        <v>495</v>
      </c>
      <c r="U87" s="55" t="s">
        <v>18</v>
      </c>
      <c r="V87" s="55" t="s">
        <v>470</v>
      </c>
      <c r="W87" s="42">
        <f>VLOOKUP(B87,'LW13'!$X$15:$Y$501,2,0)-M87</f>
        <v>0</v>
      </c>
    </row>
    <row r="88" spans="1:23" x14ac:dyDescent="0.2">
      <c r="A88" s="9" t="str">
        <f t="shared" si="2"/>
        <v>31NL300008</v>
      </c>
      <c r="B88" s="9" t="str">
        <f>COUNTIF($A$7:A88,A88)&amp;A88</f>
        <v>131NL300008</v>
      </c>
      <c r="C88" s="54">
        <v>46025</v>
      </c>
      <c r="D88" s="55" t="s">
        <v>294</v>
      </c>
      <c r="E88" s="56" t="s">
        <v>503</v>
      </c>
      <c r="F88" s="56" t="s">
        <v>295</v>
      </c>
      <c r="G88" s="55" t="s">
        <v>492</v>
      </c>
      <c r="H88" s="55" t="s">
        <v>493</v>
      </c>
      <c r="I88" s="55" t="s">
        <v>504</v>
      </c>
      <c r="J88" s="55" t="s">
        <v>93</v>
      </c>
      <c r="K88" s="55" t="s">
        <v>301</v>
      </c>
      <c r="L88" s="55" t="s">
        <v>92</v>
      </c>
      <c r="M88" s="57">
        <v>15</v>
      </c>
      <c r="N88" s="58">
        <v>40000</v>
      </c>
      <c r="O88" s="58">
        <v>0</v>
      </c>
      <c r="P88" s="59">
        <v>600000</v>
      </c>
      <c r="Q88" s="58">
        <v>0</v>
      </c>
      <c r="R88" s="55">
        <v>40000</v>
      </c>
      <c r="S88" s="55" t="s">
        <v>469</v>
      </c>
      <c r="T88" s="55" t="s">
        <v>495</v>
      </c>
      <c r="U88" s="55" t="s">
        <v>18</v>
      </c>
      <c r="V88" s="55" t="s">
        <v>470</v>
      </c>
      <c r="W88" s="42">
        <f>VLOOKUP(B88,'LW13'!$X$15:$Y$501,2,0)-M88</f>
        <v>0</v>
      </c>
    </row>
    <row r="89" spans="1:23" x14ac:dyDescent="0.2">
      <c r="A89" s="9" t="str">
        <f t="shared" si="2"/>
        <v>31NL300020</v>
      </c>
      <c r="B89" s="9" t="str">
        <f>COUNTIF($A$7:A89,A89)&amp;A89</f>
        <v>131NL300020</v>
      </c>
      <c r="C89" s="54">
        <v>46025</v>
      </c>
      <c r="D89" s="55" t="s">
        <v>294</v>
      </c>
      <c r="E89" s="56" t="s">
        <v>503</v>
      </c>
      <c r="F89" s="56" t="s">
        <v>295</v>
      </c>
      <c r="G89" s="55" t="s">
        <v>492</v>
      </c>
      <c r="H89" s="55" t="s">
        <v>493</v>
      </c>
      <c r="I89" s="55" t="s">
        <v>504</v>
      </c>
      <c r="J89" s="55" t="s">
        <v>110</v>
      </c>
      <c r="K89" s="55" t="s">
        <v>302</v>
      </c>
      <c r="L89" s="55" t="s">
        <v>92</v>
      </c>
      <c r="M89" s="57">
        <v>1.5</v>
      </c>
      <c r="N89" s="58">
        <v>30000</v>
      </c>
      <c r="O89" s="58">
        <v>0</v>
      </c>
      <c r="P89" s="59">
        <v>45000</v>
      </c>
      <c r="Q89" s="58">
        <v>0</v>
      </c>
      <c r="R89" s="55">
        <v>30000</v>
      </c>
      <c r="S89" s="55" t="s">
        <v>469</v>
      </c>
      <c r="T89" s="55" t="s">
        <v>495</v>
      </c>
      <c r="U89" s="55" t="s">
        <v>18</v>
      </c>
      <c r="V89" s="55" t="s">
        <v>470</v>
      </c>
      <c r="W89" s="42">
        <f>VLOOKUP(B89,'LW13'!$X$15:$Y$501,2,0)-M89</f>
        <v>0</v>
      </c>
    </row>
    <row r="90" spans="1:23" x14ac:dyDescent="0.2">
      <c r="A90" s="9" t="str">
        <f t="shared" si="2"/>
        <v>31NL300036</v>
      </c>
      <c r="B90" s="9" t="str">
        <f>COUNTIF($A$7:A90,A90)&amp;A90</f>
        <v>131NL300036</v>
      </c>
      <c r="C90" s="54">
        <v>46025</v>
      </c>
      <c r="D90" s="55" t="s">
        <v>294</v>
      </c>
      <c r="E90" s="56" t="s">
        <v>503</v>
      </c>
      <c r="F90" s="56" t="s">
        <v>295</v>
      </c>
      <c r="G90" s="55" t="s">
        <v>492</v>
      </c>
      <c r="H90" s="55" t="s">
        <v>493</v>
      </c>
      <c r="I90" s="55" t="s">
        <v>504</v>
      </c>
      <c r="J90" s="55" t="s">
        <v>131</v>
      </c>
      <c r="K90" s="55" t="s">
        <v>27</v>
      </c>
      <c r="L90" s="55" t="s">
        <v>92</v>
      </c>
      <c r="M90" s="57">
        <v>1.1000000000000001</v>
      </c>
      <c r="N90" s="58">
        <v>47000</v>
      </c>
      <c r="O90" s="58">
        <v>0</v>
      </c>
      <c r="P90" s="59">
        <v>51700</v>
      </c>
      <c r="Q90" s="58">
        <v>0</v>
      </c>
      <c r="R90" s="55">
        <v>47000</v>
      </c>
      <c r="S90" s="55" t="s">
        <v>469</v>
      </c>
      <c r="T90" s="55" t="s">
        <v>495</v>
      </c>
      <c r="U90" s="55" t="s">
        <v>18</v>
      </c>
      <c r="V90" s="55" t="s">
        <v>470</v>
      </c>
      <c r="W90" s="42">
        <f>VLOOKUP(B90,'LW13'!$X$15:$Y$501,2,0)-M90</f>
        <v>0</v>
      </c>
    </row>
    <row r="91" spans="1:23" x14ac:dyDescent="0.2">
      <c r="A91" s="9" t="str">
        <f t="shared" si="2"/>
        <v>31NL300038</v>
      </c>
      <c r="B91" s="9" t="str">
        <f>COUNTIF($A$7:A91,A91)&amp;A91</f>
        <v>131NL300038</v>
      </c>
      <c r="C91" s="54">
        <v>46025</v>
      </c>
      <c r="D91" s="55" t="s">
        <v>294</v>
      </c>
      <c r="E91" s="56" t="s">
        <v>503</v>
      </c>
      <c r="F91" s="56" t="s">
        <v>295</v>
      </c>
      <c r="G91" s="55" t="s">
        <v>492</v>
      </c>
      <c r="H91" s="55" t="s">
        <v>493</v>
      </c>
      <c r="I91" s="55" t="s">
        <v>504</v>
      </c>
      <c r="J91" s="55" t="s">
        <v>132</v>
      </c>
      <c r="K91" s="55" t="s">
        <v>28</v>
      </c>
      <c r="L91" s="55" t="s">
        <v>92</v>
      </c>
      <c r="M91" s="57">
        <v>1.7</v>
      </c>
      <c r="N91" s="58">
        <v>32000</v>
      </c>
      <c r="O91" s="58">
        <v>0</v>
      </c>
      <c r="P91" s="59">
        <v>54400</v>
      </c>
      <c r="Q91" s="58">
        <v>0</v>
      </c>
      <c r="R91" s="55">
        <v>32000</v>
      </c>
      <c r="S91" s="55" t="s">
        <v>469</v>
      </c>
      <c r="T91" s="55" t="s">
        <v>495</v>
      </c>
      <c r="U91" s="55" t="s">
        <v>18</v>
      </c>
      <c r="V91" s="55" t="s">
        <v>470</v>
      </c>
      <c r="W91" s="42">
        <f>VLOOKUP(B91,'LW13'!$X$15:$Y$501,2,0)-M91</f>
        <v>0</v>
      </c>
    </row>
    <row r="92" spans="1:23" x14ac:dyDescent="0.2">
      <c r="A92" s="9" t="str">
        <f t="shared" si="2"/>
        <v>31NL300054</v>
      </c>
      <c r="B92" s="9" t="str">
        <f>COUNTIF($A$7:A92,A92)&amp;A92</f>
        <v>131NL300054</v>
      </c>
      <c r="C92" s="54">
        <v>46025</v>
      </c>
      <c r="D92" s="55" t="s">
        <v>294</v>
      </c>
      <c r="E92" s="56" t="s">
        <v>503</v>
      </c>
      <c r="F92" s="56" t="s">
        <v>295</v>
      </c>
      <c r="G92" s="55" t="s">
        <v>492</v>
      </c>
      <c r="H92" s="55" t="s">
        <v>493</v>
      </c>
      <c r="I92" s="55" t="s">
        <v>504</v>
      </c>
      <c r="J92" s="55" t="s">
        <v>128</v>
      </c>
      <c r="K92" s="55" t="s">
        <v>314</v>
      </c>
      <c r="L92" s="55" t="s">
        <v>92</v>
      </c>
      <c r="M92" s="57">
        <v>2</v>
      </c>
      <c r="N92" s="58">
        <v>38000</v>
      </c>
      <c r="O92" s="58">
        <v>0</v>
      </c>
      <c r="P92" s="59">
        <v>76000</v>
      </c>
      <c r="Q92" s="58">
        <v>0</v>
      </c>
      <c r="R92" s="55">
        <v>38000</v>
      </c>
      <c r="S92" s="55" t="s">
        <v>469</v>
      </c>
      <c r="T92" s="55" t="s">
        <v>495</v>
      </c>
      <c r="U92" s="55" t="s">
        <v>18</v>
      </c>
      <c r="V92" s="55" t="s">
        <v>470</v>
      </c>
      <c r="W92" s="42">
        <f>VLOOKUP(B92,'LW13'!$X$15:$Y$501,2,0)-M92</f>
        <v>0</v>
      </c>
    </row>
    <row r="93" spans="1:23" x14ac:dyDescent="0.2">
      <c r="A93" s="9" t="str">
        <f t="shared" si="2"/>
        <v>31NL300058</v>
      </c>
      <c r="B93" s="9" t="str">
        <f>COUNTIF($A$7:A93,A93)&amp;A93</f>
        <v>131NL300058</v>
      </c>
      <c r="C93" s="54">
        <v>46025</v>
      </c>
      <c r="D93" s="55" t="s">
        <v>294</v>
      </c>
      <c r="E93" s="56" t="s">
        <v>503</v>
      </c>
      <c r="F93" s="56" t="s">
        <v>295</v>
      </c>
      <c r="G93" s="55" t="s">
        <v>492</v>
      </c>
      <c r="H93" s="55" t="s">
        <v>493</v>
      </c>
      <c r="I93" s="55" t="s">
        <v>504</v>
      </c>
      <c r="J93" s="55" t="s">
        <v>147</v>
      </c>
      <c r="K93" s="55" t="s">
        <v>29</v>
      </c>
      <c r="L93" s="55" t="s">
        <v>92</v>
      </c>
      <c r="M93" s="57">
        <v>6</v>
      </c>
      <c r="N93" s="58">
        <v>55000</v>
      </c>
      <c r="O93" s="58">
        <v>0</v>
      </c>
      <c r="P93" s="59">
        <v>330000</v>
      </c>
      <c r="Q93" s="58">
        <v>0</v>
      </c>
      <c r="R93" s="55">
        <v>55000</v>
      </c>
      <c r="S93" s="55" t="s">
        <v>469</v>
      </c>
      <c r="T93" s="55" t="s">
        <v>495</v>
      </c>
      <c r="U93" s="55" t="s">
        <v>18</v>
      </c>
      <c r="V93" s="55" t="s">
        <v>470</v>
      </c>
      <c r="W93" s="42">
        <f>VLOOKUP(B93,'LW13'!$X$15:$Y$501,2,0)-M93</f>
        <v>0</v>
      </c>
    </row>
    <row r="94" spans="1:23" x14ac:dyDescent="0.2">
      <c r="A94" s="9" t="str">
        <f t="shared" si="2"/>
        <v>31NL300061</v>
      </c>
      <c r="B94" s="9" t="str">
        <f>COUNTIF($A$7:A94,A94)&amp;A94</f>
        <v>131NL300061</v>
      </c>
      <c r="C94" s="54">
        <v>46025</v>
      </c>
      <c r="D94" s="55" t="s">
        <v>294</v>
      </c>
      <c r="E94" s="56" t="s">
        <v>503</v>
      </c>
      <c r="F94" s="56" t="s">
        <v>295</v>
      </c>
      <c r="G94" s="55" t="s">
        <v>492</v>
      </c>
      <c r="H94" s="55" t="s">
        <v>493</v>
      </c>
      <c r="I94" s="55" t="s">
        <v>504</v>
      </c>
      <c r="J94" s="55" t="s">
        <v>148</v>
      </c>
      <c r="K94" s="55" t="s">
        <v>403</v>
      </c>
      <c r="L94" s="55" t="s">
        <v>92</v>
      </c>
      <c r="M94" s="57">
        <v>0.5</v>
      </c>
      <c r="N94" s="58">
        <v>38000</v>
      </c>
      <c r="O94" s="58">
        <v>0</v>
      </c>
      <c r="P94" s="59">
        <v>19000</v>
      </c>
      <c r="Q94" s="58">
        <v>0</v>
      </c>
      <c r="R94" s="55">
        <v>38000</v>
      </c>
      <c r="S94" s="55" t="s">
        <v>469</v>
      </c>
      <c r="T94" s="55" t="s">
        <v>495</v>
      </c>
      <c r="U94" s="55" t="s">
        <v>18</v>
      </c>
      <c r="V94" s="55" t="s">
        <v>470</v>
      </c>
      <c r="W94" s="42">
        <f>VLOOKUP(B94,'LW13'!$X$15:$Y$501,2,0)-M94</f>
        <v>0</v>
      </c>
    </row>
    <row r="95" spans="1:23" x14ac:dyDescent="0.2">
      <c r="A95" s="9" t="str">
        <f t="shared" si="2"/>
        <v>31NL300085</v>
      </c>
      <c r="B95" s="9" t="str">
        <f>COUNTIF($A$7:A95,A95)&amp;A95</f>
        <v>131NL300085</v>
      </c>
      <c r="C95" s="54">
        <v>46025</v>
      </c>
      <c r="D95" s="55" t="s">
        <v>294</v>
      </c>
      <c r="E95" s="56" t="s">
        <v>503</v>
      </c>
      <c r="F95" s="56" t="s">
        <v>295</v>
      </c>
      <c r="G95" s="55" t="s">
        <v>492</v>
      </c>
      <c r="H95" s="55" t="s">
        <v>493</v>
      </c>
      <c r="I95" s="55" t="s">
        <v>504</v>
      </c>
      <c r="J95" s="55" t="s">
        <v>205</v>
      </c>
      <c r="K95" s="55" t="s">
        <v>306</v>
      </c>
      <c r="L95" s="55" t="s">
        <v>92</v>
      </c>
      <c r="M95" s="57">
        <v>4</v>
      </c>
      <c r="N95" s="58">
        <v>45000</v>
      </c>
      <c r="O95" s="58">
        <v>0</v>
      </c>
      <c r="P95" s="59">
        <v>180000</v>
      </c>
      <c r="Q95" s="58">
        <v>0</v>
      </c>
      <c r="R95" s="55">
        <v>45000</v>
      </c>
      <c r="S95" s="55" t="s">
        <v>469</v>
      </c>
      <c r="T95" s="55" t="s">
        <v>495</v>
      </c>
      <c r="U95" s="55" t="s">
        <v>18</v>
      </c>
      <c r="V95" s="55" t="s">
        <v>470</v>
      </c>
      <c r="W95" s="42">
        <f>VLOOKUP(B95,'LW13'!$X$15:$Y$501,2,0)-M95</f>
        <v>0</v>
      </c>
    </row>
    <row r="96" spans="1:23" x14ac:dyDescent="0.2">
      <c r="A96" s="9" t="str">
        <f t="shared" si="2"/>
        <v>31NL300107</v>
      </c>
      <c r="B96" s="9" t="str">
        <f>COUNTIF($A$7:A96,A96)&amp;A96</f>
        <v>131NL300107</v>
      </c>
      <c r="C96" s="54">
        <v>46025</v>
      </c>
      <c r="D96" s="55" t="s">
        <v>294</v>
      </c>
      <c r="E96" s="56" t="s">
        <v>503</v>
      </c>
      <c r="F96" s="56" t="s">
        <v>295</v>
      </c>
      <c r="G96" s="55" t="s">
        <v>492</v>
      </c>
      <c r="H96" s="55" t="s">
        <v>493</v>
      </c>
      <c r="I96" s="55" t="s">
        <v>504</v>
      </c>
      <c r="J96" s="55" t="s">
        <v>87</v>
      </c>
      <c r="K96" s="55" t="s">
        <v>299</v>
      </c>
      <c r="L96" s="55" t="s">
        <v>300</v>
      </c>
      <c r="M96" s="57">
        <v>20</v>
      </c>
      <c r="N96" s="58">
        <v>8500</v>
      </c>
      <c r="O96" s="58">
        <v>0</v>
      </c>
      <c r="P96" s="59">
        <v>170000</v>
      </c>
      <c r="Q96" s="58">
        <v>0</v>
      </c>
      <c r="R96" s="55">
        <v>8500</v>
      </c>
      <c r="S96" s="55" t="s">
        <v>469</v>
      </c>
      <c r="T96" s="55" t="s">
        <v>495</v>
      </c>
      <c r="U96" s="55" t="s">
        <v>18</v>
      </c>
      <c r="V96" s="55" t="s">
        <v>470</v>
      </c>
      <c r="W96" s="42">
        <f>VLOOKUP(B96,'LW13'!$X$15:$Y$501,2,0)-M96</f>
        <v>0</v>
      </c>
    </row>
    <row r="97" spans="1:23" x14ac:dyDescent="0.2">
      <c r="A97" s="9" t="str">
        <f t="shared" si="2"/>
        <v>31NL300113</v>
      </c>
      <c r="B97" s="9" t="str">
        <f>COUNTIF($A$7:A97,A97)&amp;A97</f>
        <v>131NL300113</v>
      </c>
      <c r="C97" s="54">
        <v>46025</v>
      </c>
      <c r="D97" s="55" t="s">
        <v>294</v>
      </c>
      <c r="E97" s="56" t="s">
        <v>503</v>
      </c>
      <c r="F97" s="56" t="s">
        <v>295</v>
      </c>
      <c r="G97" s="55" t="s">
        <v>492</v>
      </c>
      <c r="H97" s="55" t="s">
        <v>493</v>
      </c>
      <c r="I97" s="55" t="s">
        <v>504</v>
      </c>
      <c r="J97" s="55" t="s">
        <v>216</v>
      </c>
      <c r="K97" s="55" t="s">
        <v>33</v>
      </c>
      <c r="L97" s="55" t="s">
        <v>92</v>
      </c>
      <c r="M97" s="57">
        <v>2</v>
      </c>
      <c r="N97" s="58">
        <v>145000</v>
      </c>
      <c r="O97" s="58">
        <v>0</v>
      </c>
      <c r="P97" s="59">
        <v>290000</v>
      </c>
      <c r="Q97" s="58">
        <v>0</v>
      </c>
      <c r="R97" s="55">
        <v>145000</v>
      </c>
      <c r="S97" s="55" t="s">
        <v>469</v>
      </c>
      <c r="T97" s="55" t="s">
        <v>495</v>
      </c>
      <c r="U97" s="55" t="s">
        <v>18</v>
      </c>
      <c r="V97" s="55" t="s">
        <v>470</v>
      </c>
      <c r="W97" s="42">
        <f>VLOOKUP(B97,'LW13'!$X$15:$Y$501,2,0)-M97</f>
        <v>0</v>
      </c>
    </row>
    <row r="98" spans="1:23" x14ac:dyDescent="0.2">
      <c r="A98" s="9" t="str">
        <f t="shared" si="2"/>
        <v>31NL300137</v>
      </c>
      <c r="B98" s="9" t="str">
        <f>COUNTIF($A$7:A98,A98)&amp;A98</f>
        <v>131NL300137</v>
      </c>
      <c r="C98" s="54">
        <v>46025</v>
      </c>
      <c r="D98" s="55" t="s">
        <v>294</v>
      </c>
      <c r="E98" s="56" t="s">
        <v>503</v>
      </c>
      <c r="F98" s="56" t="s">
        <v>295</v>
      </c>
      <c r="G98" s="55" t="s">
        <v>492</v>
      </c>
      <c r="H98" s="55" t="s">
        <v>493</v>
      </c>
      <c r="I98" s="55" t="s">
        <v>504</v>
      </c>
      <c r="J98" s="55" t="s">
        <v>96</v>
      </c>
      <c r="K98" s="55" t="s">
        <v>397</v>
      </c>
      <c r="L98" s="55" t="s">
        <v>92</v>
      </c>
      <c r="M98" s="57">
        <v>6</v>
      </c>
      <c r="N98" s="58">
        <v>52000</v>
      </c>
      <c r="O98" s="58">
        <v>0</v>
      </c>
      <c r="P98" s="59">
        <v>312000</v>
      </c>
      <c r="Q98" s="58">
        <v>0</v>
      </c>
      <c r="R98" s="55">
        <v>52000</v>
      </c>
      <c r="S98" s="55" t="s">
        <v>469</v>
      </c>
      <c r="T98" s="55" t="s">
        <v>495</v>
      </c>
      <c r="U98" s="55" t="s">
        <v>18</v>
      </c>
      <c r="V98" s="55" t="s">
        <v>470</v>
      </c>
      <c r="W98" s="42">
        <f>VLOOKUP(B98,'LW13'!$X$15:$Y$501,2,0)-M98</f>
        <v>0</v>
      </c>
    </row>
    <row r="99" spans="1:23" x14ac:dyDescent="0.2">
      <c r="A99" s="9" t="str">
        <f t="shared" si="2"/>
        <v>31NL300116</v>
      </c>
      <c r="B99" s="9" t="str">
        <f>COUNTIF($A$7:A99,A99)&amp;A99</f>
        <v>131NL300116</v>
      </c>
      <c r="C99" s="54">
        <v>46025</v>
      </c>
      <c r="D99" s="55" t="s">
        <v>294</v>
      </c>
      <c r="E99" s="56" t="s">
        <v>503</v>
      </c>
      <c r="F99" s="56" t="s">
        <v>295</v>
      </c>
      <c r="G99" s="55" t="s">
        <v>492</v>
      </c>
      <c r="H99" s="55" t="s">
        <v>493</v>
      </c>
      <c r="I99" s="55" t="s">
        <v>504</v>
      </c>
      <c r="J99" s="55" t="s">
        <v>217</v>
      </c>
      <c r="K99" s="55" t="s">
        <v>313</v>
      </c>
      <c r="L99" s="55" t="s">
        <v>92</v>
      </c>
      <c r="M99" s="57">
        <v>0.2</v>
      </c>
      <c r="N99" s="58">
        <v>148000</v>
      </c>
      <c r="O99" s="58">
        <v>0</v>
      </c>
      <c r="P99" s="59">
        <v>29600</v>
      </c>
      <c r="Q99" s="58">
        <v>0</v>
      </c>
      <c r="R99" s="55">
        <v>148000</v>
      </c>
      <c r="S99" s="55" t="s">
        <v>469</v>
      </c>
      <c r="T99" s="55" t="s">
        <v>495</v>
      </c>
      <c r="U99" s="55" t="s">
        <v>18</v>
      </c>
      <c r="V99" s="55" t="s">
        <v>470</v>
      </c>
      <c r="W99" s="42">
        <f>VLOOKUP(B99,'LW13'!$X$15:$Y$501,2,0)-M99</f>
        <v>0</v>
      </c>
    </row>
    <row r="100" spans="1:23" x14ac:dyDescent="0.2">
      <c r="A100" s="9" t="str">
        <f t="shared" si="2"/>
        <v>31NL300025</v>
      </c>
      <c r="B100" s="9" t="str">
        <f>COUNTIF($A$7:A100,A100)&amp;A100</f>
        <v>131NL300025</v>
      </c>
      <c r="C100" s="54">
        <v>46025</v>
      </c>
      <c r="D100" s="55" t="s">
        <v>294</v>
      </c>
      <c r="E100" s="56" t="s">
        <v>503</v>
      </c>
      <c r="F100" s="56" t="s">
        <v>295</v>
      </c>
      <c r="G100" s="55" t="s">
        <v>492</v>
      </c>
      <c r="H100" s="55" t="s">
        <v>493</v>
      </c>
      <c r="I100" s="55" t="s">
        <v>504</v>
      </c>
      <c r="J100" s="55" t="s">
        <v>117</v>
      </c>
      <c r="K100" s="55" t="s">
        <v>303</v>
      </c>
      <c r="L100" s="55" t="s">
        <v>92</v>
      </c>
      <c r="M100" s="57">
        <v>0.6</v>
      </c>
      <c r="N100" s="58">
        <v>44000</v>
      </c>
      <c r="O100" s="58">
        <v>0</v>
      </c>
      <c r="P100" s="59">
        <v>26400</v>
      </c>
      <c r="Q100" s="58">
        <v>0</v>
      </c>
      <c r="R100" s="55">
        <v>44000</v>
      </c>
      <c r="S100" s="55" t="s">
        <v>469</v>
      </c>
      <c r="T100" s="55" t="s">
        <v>495</v>
      </c>
      <c r="U100" s="55" t="s">
        <v>18</v>
      </c>
      <c r="V100" s="55" t="s">
        <v>470</v>
      </c>
      <c r="W100" s="42">
        <f>VLOOKUP(B100,'LW13'!$X$15:$Y$501,2,0)-M100</f>
        <v>0</v>
      </c>
    </row>
    <row r="101" spans="1:23" x14ac:dyDescent="0.2">
      <c r="A101" s="9" t="str">
        <f t="shared" si="2"/>
        <v>31NL300126</v>
      </c>
      <c r="B101" s="9" t="str">
        <f>COUNTIF($A$7:A101,A101)&amp;A101</f>
        <v>131NL300126</v>
      </c>
      <c r="C101" s="54">
        <v>46025</v>
      </c>
      <c r="D101" s="55" t="s">
        <v>294</v>
      </c>
      <c r="E101" s="56" t="s">
        <v>503</v>
      </c>
      <c r="F101" s="56" t="s">
        <v>295</v>
      </c>
      <c r="G101" s="55" t="s">
        <v>492</v>
      </c>
      <c r="H101" s="55" t="s">
        <v>493</v>
      </c>
      <c r="I101" s="55" t="s">
        <v>504</v>
      </c>
      <c r="J101" s="55" t="s">
        <v>206</v>
      </c>
      <c r="K101" s="55" t="s">
        <v>315</v>
      </c>
      <c r="L101" s="55" t="s">
        <v>92</v>
      </c>
      <c r="M101" s="57">
        <v>0.2</v>
      </c>
      <c r="N101" s="58">
        <v>70000</v>
      </c>
      <c r="O101" s="58">
        <v>0</v>
      </c>
      <c r="P101" s="59">
        <v>14000</v>
      </c>
      <c r="Q101" s="58">
        <v>0</v>
      </c>
      <c r="R101" s="55">
        <v>70000</v>
      </c>
      <c r="S101" s="55" t="s">
        <v>469</v>
      </c>
      <c r="T101" s="55" t="s">
        <v>495</v>
      </c>
      <c r="U101" s="55" t="s">
        <v>18</v>
      </c>
      <c r="V101" s="55" t="s">
        <v>470</v>
      </c>
      <c r="W101" s="42">
        <f>VLOOKUP(B101,'LW13'!$X$15:$Y$501,2,0)-M101</f>
        <v>0</v>
      </c>
    </row>
    <row r="102" spans="1:23" x14ac:dyDescent="0.2">
      <c r="A102" s="9" t="str">
        <f t="shared" si="2"/>
        <v>31NL300121</v>
      </c>
      <c r="B102" s="9" t="str">
        <f>COUNTIF($A$7:A102,A102)&amp;A102</f>
        <v>131NL300121</v>
      </c>
      <c r="C102" s="54">
        <v>46025</v>
      </c>
      <c r="D102" s="55" t="s">
        <v>294</v>
      </c>
      <c r="E102" s="56" t="s">
        <v>503</v>
      </c>
      <c r="F102" s="56" t="s">
        <v>295</v>
      </c>
      <c r="G102" s="55" t="s">
        <v>492</v>
      </c>
      <c r="H102" s="55" t="s">
        <v>493</v>
      </c>
      <c r="I102" s="55" t="s">
        <v>504</v>
      </c>
      <c r="J102" s="55" t="s">
        <v>231</v>
      </c>
      <c r="K102" s="55" t="s">
        <v>35</v>
      </c>
      <c r="L102" s="55" t="s">
        <v>92</v>
      </c>
      <c r="M102" s="57">
        <v>0.3</v>
      </c>
      <c r="N102" s="58">
        <v>22000</v>
      </c>
      <c r="O102" s="58">
        <v>0</v>
      </c>
      <c r="P102" s="59">
        <v>6600</v>
      </c>
      <c r="Q102" s="58">
        <v>0</v>
      </c>
      <c r="R102" s="55">
        <v>22000</v>
      </c>
      <c r="S102" s="55" t="s">
        <v>469</v>
      </c>
      <c r="T102" s="55" t="s">
        <v>495</v>
      </c>
      <c r="U102" s="55" t="s">
        <v>18</v>
      </c>
      <c r="V102" s="55" t="s">
        <v>470</v>
      </c>
      <c r="W102" s="42">
        <f>VLOOKUP(B102,'LW13'!$X$15:$Y$501,2,0)-M102</f>
        <v>0</v>
      </c>
    </row>
    <row r="103" spans="1:23" x14ac:dyDescent="0.2">
      <c r="A103" s="9" t="str">
        <f t="shared" si="2"/>
        <v>31NL300132</v>
      </c>
      <c r="B103" s="9" t="str">
        <f>COUNTIF($A$7:A103,A103)&amp;A103</f>
        <v>131NL300132</v>
      </c>
      <c r="C103" s="54">
        <v>46025</v>
      </c>
      <c r="D103" s="55" t="s">
        <v>294</v>
      </c>
      <c r="E103" s="56" t="s">
        <v>503</v>
      </c>
      <c r="F103" s="56" t="s">
        <v>295</v>
      </c>
      <c r="G103" s="55" t="s">
        <v>492</v>
      </c>
      <c r="H103" s="55" t="s">
        <v>493</v>
      </c>
      <c r="I103" s="55" t="s">
        <v>504</v>
      </c>
      <c r="J103" s="55" t="s">
        <v>237</v>
      </c>
      <c r="K103" s="55" t="s">
        <v>36</v>
      </c>
      <c r="L103" s="55" t="s">
        <v>92</v>
      </c>
      <c r="M103" s="57">
        <v>2</v>
      </c>
      <c r="N103" s="58">
        <v>12000</v>
      </c>
      <c r="O103" s="58">
        <v>0</v>
      </c>
      <c r="P103" s="59">
        <v>24000</v>
      </c>
      <c r="Q103" s="58">
        <v>0</v>
      </c>
      <c r="R103" s="55">
        <v>12000</v>
      </c>
      <c r="S103" s="55" t="s">
        <v>469</v>
      </c>
      <c r="T103" s="55" t="s">
        <v>495</v>
      </c>
      <c r="U103" s="55" t="s">
        <v>18</v>
      </c>
      <c r="V103" s="55" t="s">
        <v>470</v>
      </c>
      <c r="W103" s="42">
        <f>VLOOKUP(B103,'LW13'!$X$15:$Y$501,2,0)-M103</f>
        <v>0</v>
      </c>
    </row>
    <row r="104" spans="1:23" x14ac:dyDescent="0.2">
      <c r="A104" s="9" t="str">
        <f t="shared" si="2"/>
        <v>31NL300139</v>
      </c>
      <c r="B104" s="9" t="str">
        <f>COUNTIF($A$7:A104,A104)&amp;A104</f>
        <v>131NL300139</v>
      </c>
      <c r="C104" s="54">
        <v>46025</v>
      </c>
      <c r="D104" s="55" t="s">
        <v>294</v>
      </c>
      <c r="E104" s="56" t="s">
        <v>503</v>
      </c>
      <c r="F104" s="56" t="s">
        <v>295</v>
      </c>
      <c r="G104" s="55" t="s">
        <v>492</v>
      </c>
      <c r="H104" s="55" t="s">
        <v>493</v>
      </c>
      <c r="I104" s="55" t="s">
        <v>504</v>
      </c>
      <c r="J104" s="55" t="s">
        <v>249</v>
      </c>
      <c r="K104" s="55" t="s">
        <v>58</v>
      </c>
      <c r="L104" s="55" t="s">
        <v>92</v>
      </c>
      <c r="M104" s="57">
        <v>0.2</v>
      </c>
      <c r="N104" s="58">
        <v>42000</v>
      </c>
      <c r="O104" s="58">
        <v>0</v>
      </c>
      <c r="P104" s="59">
        <v>8400</v>
      </c>
      <c r="Q104" s="58">
        <v>0</v>
      </c>
      <c r="R104" s="55">
        <v>42000</v>
      </c>
      <c r="S104" s="55" t="s">
        <v>469</v>
      </c>
      <c r="T104" s="55" t="s">
        <v>495</v>
      </c>
      <c r="U104" s="55" t="s">
        <v>18</v>
      </c>
      <c r="V104" s="55" t="s">
        <v>470</v>
      </c>
      <c r="W104" s="42">
        <f>VLOOKUP(B104,'LW13'!$X$15:$Y$501,2,0)-M104</f>
        <v>0</v>
      </c>
    </row>
    <row r="105" spans="1:23" x14ac:dyDescent="0.2">
      <c r="A105" s="9" t="str">
        <f t="shared" si="2"/>
        <v>31NL300142</v>
      </c>
      <c r="B105" s="9" t="str">
        <f>COUNTIF($A$7:A105,A105)&amp;A105</f>
        <v>131NL300142</v>
      </c>
      <c r="C105" s="54">
        <v>46025</v>
      </c>
      <c r="D105" s="55" t="s">
        <v>294</v>
      </c>
      <c r="E105" s="56" t="s">
        <v>503</v>
      </c>
      <c r="F105" s="56" t="s">
        <v>295</v>
      </c>
      <c r="G105" s="55" t="s">
        <v>492</v>
      </c>
      <c r="H105" s="55" t="s">
        <v>493</v>
      </c>
      <c r="I105" s="55" t="s">
        <v>504</v>
      </c>
      <c r="J105" s="55" t="s">
        <v>259</v>
      </c>
      <c r="K105" s="55" t="s">
        <v>308</v>
      </c>
      <c r="L105" s="55" t="s">
        <v>92</v>
      </c>
      <c r="M105" s="57">
        <v>5</v>
      </c>
      <c r="N105" s="58">
        <v>50000</v>
      </c>
      <c r="O105" s="58">
        <v>0</v>
      </c>
      <c r="P105" s="59">
        <v>250000</v>
      </c>
      <c r="Q105" s="58">
        <v>0</v>
      </c>
      <c r="R105" s="55">
        <v>50000</v>
      </c>
      <c r="S105" s="55" t="s">
        <v>469</v>
      </c>
      <c r="T105" s="55" t="s">
        <v>495</v>
      </c>
      <c r="U105" s="55" t="s">
        <v>18</v>
      </c>
      <c r="V105" s="55" t="s">
        <v>470</v>
      </c>
      <c r="W105" s="42">
        <f>VLOOKUP(B105,'LW13'!$X$15:$Y$501,2,0)-M105</f>
        <v>0</v>
      </c>
    </row>
    <row r="106" spans="1:23" x14ac:dyDescent="0.2">
      <c r="A106" s="9" t="str">
        <f t="shared" si="2"/>
        <v>31NL300147</v>
      </c>
      <c r="B106" s="9" t="str">
        <f>COUNTIF($A$7:A106,A106)&amp;A106</f>
        <v>131NL300147</v>
      </c>
      <c r="C106" s="54">
        <v>46025</v>
      </c>
      <c r="D106" s="55" t="s">
        <v>294</v>
      </c>
      <c r="E106" s="56" t="s">
        <v>503</v>
      </c>
      <c r="F106" s="56" t="s">
        <v>295</v>
      </c>
      <c r="G106" s="55" t="s">
        <v>492</v>
      </c>
      <c r="H106" s="55" t="s">
        <v>493</v>
      </c>
      <c r="I106" s="55" t="s">
        <v>504</v>
      </c>
      <c r="J106" s="55" t="s">
        <v>270</v>
      </c>
      <c r="K106" s="55" t="s">
        <v>309</v>
      </c>
      <c r="L106" s="55" t="s">
        <v>92</v>
      </c>
      <c r="M106" s="57">
        <v>4.7</v>
      </c>
      <c r="N106" s="58">
        <v>62000</v>
      </c>
      <c r="O106" s="58">
        <v>0</v>
      </c>
      <c r="P106" s="59">
        <v>291400</v>
      </c>
      <c r="Q106" s="58">
        <v>0</v>
      </c>
      <c r="R106" s="55">
        <v>62000</v>
      </c>
      <c r="S106" s="55" t="s">
        <v>469</v>
      </c>
      <c r="T106" s="55" t="s">
        <v>495</v>
      </c>
      <c r="U106" s="55" t="s">
        <v>18</v>
      </c>
      <c r="V106" s="55" t="s">
        <v>470</v>
      </c>
      <c r="W106" s="42">
        <f>VLOOKUP(B106,'LW13'!$X$15:$Y$501,2,0)-M106</f>
        <v>0</v>
      </c>
    </row>
    <row r="107" spans="1:23" x14ac:dyDescent="0.2">
      <c r="A107" s="9" t="str">
        <f t="shared" si="2"/>
        <v>31NL300091</v>
      </c>
      <c r="B107" s="9" t="str">
        <f>COUNTIF($A$7:A107,A107)&amp;A107</f>
        <v>131NL300091</v>
      </c>
      <c r="C107" s="54">
        <v>46025</v>
      </c>
      <c r="D107" s="55" t="s">
        <v>294</v>
      </c>
      <c r="E107" s="56" t="s">
        <v>503</v>
      </c>
      <c r="F107" s="56" t="s">
        <v>295</v>
      </c>
      <c r="G107" s="55" t="s">
        <v>492</v>
      </c>
      <c r="H107" s="55" t="s">
        <v>493</v>
      </c>
      <c r="I107" s="55" t="s">
        <v>504</v>
      </c>
      <c r="J107" s="55" t="s">
        <v>190</v>
      </c>
      <c r="K107" s="55" t="s">
        <v>40</v>
      </c>
      <c r="L107" s="55" t="s">
        <v>92</v>
      </c>
      <c r="M107" s="57">
        <v>3</v>
      </c>
      <c r="N107" s="58">
        <v>47000</v>
      </c>
      <c r="O107" s="58">
        <v>0</v>
      </c>
      <c r="P107" s="59">
        <v>141000</v>
      </c>
      <c r="Q107" s="58">
        <v>0</v>
      </c>
      <c r="R107" s="55">
        <v>47000</v>
      </c>
      <c r="S107" s="55" t="s">
        <v>469</v>
      </c>
      <c r="T107" s="55" t="s">
        <v>495</v>
      </c>
      <c r="U107" s="55" t="s">
        <v>18</v>
      </c>
      <c r="V107" s="55" t="s">
        <v>470</v>
      </c>
      <c r="W107" s="42">
        <f>VLOOKUP(B107,'LW13'!$X$15:$Y$501,2,0)-M107</f>
        <v>0</v>
      </c>
    </row>
    <row r="108" spans="1:23" x14ac:dyDescent="0.2">
      <c r="A108" s="9" t="str">
        <f t="shared" si="2"/>
        <v>31NL300092</v>
      </c>
      <c r="B108" s="9" t="str">
        <f>COUNTIF($A$7:A108,A108)&amp;A108</f>
        <v>131NL300092</v>
      </c>
      <c r="C108" s="54">
        <v>46025</v>
      </c>
      <c r="D108" s="55" t="s">
        <v>294</v>
      </c>
      <c r="E108" s="56" t="s">
        <v>503</v>
      </c>
      <c r="F108" s="56" t="s">
        <v>295</v>
      </c>
      <c r="G108" s="55" t="s">
        <v>492</v>
      </c>
      <c r="H108" s="55" t="s">
        <v>493</v>
      </c>
      <c r="I108" s="55" t="s">
        <v>504</v>
      </c>
      <c r="J108" s="55" t="s">
        <v>191</v>
      </c>
      <c r="K108" s="55" t="s">
        <v>43</v>
      </c>
      <c r="L108" s="55" t="s">
        <v>92</v>
      </c>
      <c r="M108" s="57">
        <v>2</v>
      </c>
      <c r="N108" s="58">
        <v>90000</v>
      </c>
      <c r="O108" s="58">
        <v>0</v>
      </c>
      <c r="P108" s="59">
        <v>180000</v>
      </c>
      <c r="Q108" s="58">
        <v>0</v>
      </c>
      <c r="R108" s="55">
        <v>90000</v>
      </c>
      <c r="S108" s="55" t="s">
        <v>469</v>
      </c>
      <c r="T108" s="55" t="s">
        <v>495</v>
      </c>
      <c r="U108" s="55" t="s">
        <v>18</v>
      </c>
      <c r="V108" s="55" t="s">
        <v>470</v>
      </c>
      <c r="W108" s="42">
        <f>VLOOKUP(B108,'LW13'!$X$15:$Y$501,2,0)-M108</f>
        <v>0</v>
      </c>
    </row>
    <row r="109" spans="1:23" s="31" customFormat="1" x14ac:dyDescent="0.2">
      <c r="A109" s="30" t="str">
        <f t="shared" si="2"/>
        <v>31NL300096</v>
      </c>
      <c r="B109" s="9" t="str">
        <f>COUNTIF($A$7:A109,A109)&amp;A109</f>
        <v>131NL300096</v>
      </c>
      <c r="C109" s="54">
        <v>46025</v>
      </c>
      <c r="D109" s="55" t="s">
        <v>294</v>
      </c>
      <c r="E109" s="56" t="s">
        <v>503</v>
      </c>
      <c r="F109" s="56" t="s">
        <v>295</v>
      </c>
      <c r="G109" s="55" t="s">
        <v>492</v>
      </c>
      <c r="H109" s="55" t="s">
        <v>493</v>
      </c>
      <c r="I109" s="55" t="s">
        <v>504</v>
      </c>
      <c r="J109" s="55" t="s">
        <v>193</v>
      </c>
      <c r="K109" s="55" t="s">
        <v>41</v>
      </c>
      <c r="L109" s="55" t="s">
        <v>92</v>
      </c>
      <c r="M109" s="57">
        <v>6</v>
      </c>
      <c r="N109" s="58">
        <v>45000</v>
      </c>
      <c r="O109" s="58">
        <v>0</v>
      </c>
      <c r="P109" s="59">
        <v>270000</v>
      </c>
      <c r="Q109" s="58">
        <v>0</v>
      </c>
      <c r="R109" s="55">
        <v>45000</v>
      </c>
      <c r="S109" s="55" t="s">
        <v>469</v>
      </c>
      <c r="T109" s="55" t="s">
        <v>495</v>
      </c>
      <c r="U109" s="55" t="s">
        <v>18</v>
      </c>
      <c r="V109" s="55" t="s">
        <v>470</v>
      </c>
      <c r="W109" s="42">
        <f>VLOOKUP(B109,'LW13'!$X$15:$Y$501,2,0)-M109</f>
        <v>0</v>
      </c>
    </row>
    <row r="110" spans="1:23" x14ac:dyDescent="0.2">
      <c r="A110" s="9" t="str">
        <f t="shared" si="2"/>
        <v>31NL300097</v>
      </c>
      <c r="B110" s="9" t="str">
        <f>COUNTIF($A$7:A110,A110)&amp;A110</f>
        <v>131NL300097</v>
      </c>
      <c r="C110" s="54">
        <v>46025</v>
      </c>
      <c r="D110" s="55" t="s">
        <v>294</v>
      </c>
      <c r="E110" s="56" t="s">
        <v>503</v>
      </c>
      <c r="F110" s="56" t="s">
        <v>295</v>
      </c>
      <c r="G110" s="55" t="s">
        <v>492</v>
      </c>
      <c r="H110" s="55" t="s">
        <v>493</v>
      </c>
      <c r="I110" s="55" t="s">
        <v>504</v>
      </c>
      <c r="J110" s="55" t="s">
        <v>194</v>
      </c>
      <c r="K110" s="55" t="s">
        <v>317</v>
      </c>
      <c r="L110" s="55" t="s">
        <v>92</v>
      </c>
      <c r="M110" s="57">
        <v>1</v>
      </c>
      <c r="N110" s="58">
        <v>90000</v>
      </c>
      <c r="O110" s="58">
        <v>0</v>
      </c>
      <c r="P110" s="59">
        <v>90000</v>
      </c>
      <c r="Q110" s="58">
        <v>0</v>
      </c>
      <c r="R110" s="55">
        <v>90000</v>
      </c>
      <c r="S110" s="55" t="s">
        <v>469</v>
      </c>
      <c r="T110" s="55" t="s">
        <v>495</v>
      </c>
      <c r="U110" s="55" t="s">
        <v>18</v>
      </c>
      <c r="V110" s="55" t="s">
        <v>470</v>
      </c>
      <c r="W110" s="42">
        <f>VLOOKUP(B110,'LW13'!$X$15:$Y$501,2,0)-M110</f>
        <v>0</v>
      </c>
    </row>
    <row r="111" spans="1:23" s="31" customFormat="1" x14ac:dyDescent="0.2">
      <c r="A111" s="30" t="str">
        <f t="shared" si="2"/>
        <v>31NL300184</v>
      </c>
      <c r="B111" s="9" t="str">
        <f>COUNTIF($A$7:A111,A111)&amp;A111</f>
        <v>131NL300184</v>
      </c>
      <c r="C111" s="54">
        <v>46025</v>
      </c>
      <c r="D111" s="55" t="s">
        <v>294</v>
      </c>
      <c r="E111" s="56" t="s">
        <v>503</v>
      </c>
      <c r="F111" s="56" t="s">
        <v>295</v>
      </c>
      <c r="G111" s="55" t="s">
        <v>492</v>
      </c>
      <c r="H111" s="55" t="s">
        <v>493</v>
      </c>
      <c r="I111" s="55" t="s">
        <v>504</v>
      </c>
      <c r="J111" s="55" t="s">
        <v>172</v>
      </c>
      <c r="K111" s="55" t="s">
        <v>496</v>
      </c>
      <c r="L111" s="55" t="s">
        <v>92</v>
      </c>
      <c r="M111" s="57">
        <v>1</v>
      </c>
      <c r="N111" s="58">
        <v>18000</v>
      </c>
      <c r="O111" s="58">
        <v>0</v>
      </c>
      <c r="P111" s="59">
        <v>18000</v>
      </c>
      <c r="Q111" s="58">
        <v>0</v>
      </c>
      <c r="R111" s="55">
        <v>18000</v>
      </c>
      <c r="S111" s="55" t="s">
        <v>469</v>
      </c>
      <c r="T111" s="55" t="s">
        <v>495</v>
      </c>
      <c r="U111" s="55" t="s">
        <v>18</v>
      </c>
      <c r="V111" s="55" t="s">
        <v>470</v>
      </c>
      <c r="W111" s="42">
        <f>VLOOKUP(B111,'LW13'!$X$15:$Y$501,2,0)-M111</f>
        <v>0</v>
      </c>
    </row>
    <row r="112" spans="1:23" s="31" customFormat="1" x14ac:dyDescent="0.2">
      <c r="A112" s="30" t="str">
        <f t="shared" si="2"/>
        <v>31NL300029</v>
      </c>
      <c r="B112" s="9" t="str">
        <f>COUNTIF($A$7:A112,A112)&amp;A112</f>
        <v>131NL300029</v>
      </c>
      <c r="C112" s="54">
        <v>46025</v>
      </c>
      <c r="D112" s="55" t="s">
        <v>294</v>
      </c>
      <c r="E112" s="56" t="s">
        <v>503</v>
      </c>
      <c r="F112" s="56" t="s">
        <v>295</v>
      </c>
      <c r="G112" s="55" t="s">
        <v>492</v>
      </c>
      <c r="H112" s="55" t="s">
        <v>493</v>
      </c>
      <c r="I112" s="55" t="s">
        <v>504</v>
      </c>
      <c r="J112" s="55" t="s">
        <v>121</v>
      </c>
      <c r="K112" s="55" t="s">
        <v>298</v>
      </c>
      <c r="L112" s="55" t="s">
        <v>92</v>
      </c>
      <c r="M112" s="57">
        <v>1.5</v>
      </c>
      <c r="N112" s="58">
        <v>22000</v>
      </c>
      <c r="O112" s="58">
        <v>0</v>
      </c>
      <c r="P112" s="59">
        <v>33000</v>
      </c>
      <c r="Q112" s="58">
        <v>0</v>
      </c>
      <c r="R112" s="55">
        <v>22000</v>
      </c>
      <c r="S112" s="55" t="s">
        <v>469</v>
      </c>
      <c r="T112" s="55" t="s">
        <v>495</v>
      </c>
      <c r="U112" s="55" t="s">
        <v>18</v>
      </c>
      <c r="V112" s="55" t="s">
        <v>470</v>
      </c>
      <c r="W112" s="42">
        <f>VLOOKUP(B112,'LW13'!$X$15:$Y$501,2,0)-M112</f>
        <v>0</v>
      </c>
    </row>
    <row r="113" spans="1:23" s="31" customFormat="1" x14ac:dyDescent="0.2">
      <c r="A113" s="30" t="str">
        <f t="shared" si="2"/>
        <v>31NL600004</v>
      </c>
      <c r="B113" s="9" t="str">
        <f>COUNTIF($A$7:A113,A113)&amp;A113</f>
        <v>131NL600004</v>
      </c>
      <c r="C113" s="54">
        <v>46025</v>
      </c>
      <c r="D113" s="55" t="s">
        <v>294</v>
      </c>
      <c r="E113" s="56" t="s">
        <v>503</v>
      </c>
      <c r="F113" s="56" t="s">
        <v>295</v>
      </c>
      <c r="G113" s="55" t="s">
        <v>492</v>
      </c>
      <c r="H113" s="55" t="s">
        <v>493</v>
      </c>
      <c r="I113" s="55" t="s">
        <v>504</v>
      </c>
      <c r="J113" s="55" t="s">
        <v>144</v>
      </c>
      <c r="K113" s="55" t="s">
        <v>47</v>
      </c>
      <c r="L113" s="55" t="s">
        <v>92</v>
      </c>
      <c r="M113" s="57">
        <v>61</v>
      </c>
      <c r="N113" s="58">
        <v>18000</v>
      </c>
      <c r="O113" s="58">
        <v>0</v>
      </c>
      <c r="P113" s="59">
        <v>1098000</v>
      </c>
      <c r="Q113" s="58">
        <v>0</v>
      </c>
      <c r="R113" s="55">
        <v>18000</v>
      </c>
      <c r="S113" s="55" t="s">
        <v>469</v>
      </c>
      <c r="T113" s="55" t="s">
        <v>495</v>
      </c>
      <c r="U113" s="55" t="s">
        <v>18</v>
      </c>
      <c r="V113" s="55" t="s">
        <v>470</v>
      </c>
      <c r="W113" s="42">
        <f>VLOOKUP(B113,'LW13'!$X$15:$Y$501,2,0)-M113</f>
        <v>0</v>
      </c>
    </row>
    <row r="114" spans="1:23" x14ac:dyDescent="0.2">
      <c r="A114" s="9" t="str">
        <f t="shared" si="2"/>
        <v>31NL300131</v>
      </c>
      <c r="B114" s="9" t="str">
        <f>COUNTIF($A$7:A114,A114)&amp;A114</f>
        <v>131NL300131</v>
      </c>
      <c r="C114" s="54">
        <v>46025</v>
      </c>
      <c r="D114" s="55" t="s">
        <v>294</v>
      </c>
      <c r="E114" s="56" t="s">
        <v>503</v>
      </c>
      <c r="F114" s="56" t="s">
        <v>295</v>
      </c>
      <c r="G114" s="55" t="s">
        <v>492</v>
      </c>
      <c r="H114" s="55" t="s">
        <v>493</v>
      </c>
      <c r="I114" s="55" t="s">
        <v>504</v>
      </c>
      <c r="J114" s="55" t="s">
        <v>269</v>
      </c>
      <c r="K114" s="55" t="s">
        <v>62</v>
      </c>
      <c r="L114" s="55" t="s">
        <v>92</v>
      </c>
      <c r="M114" s="57">
        <v>0.3</v>
      </c>
      <c r="N114" s="58">
        <v>220000</v>
      </c>
      <c r="O114" s="58">
        <v>0</v>
      </c>
      <c r="P114" s="59">
        <v>66000</v>
      </c>
      <c r="Q114" s="58">
        <v>0</v>
      </c>
      <c r="R114" s="55">
        <v>220000</v>
      </c>
      <c r="S114" s="55" t="s">
        <v>469</v>
      </c>
      <c r="T114" s="55" t="s">
        <v>495</v>
      </c>
      <c r="U114" s="55" t="s">
        <v>18</v>
      </c>
      <c r="V114" s="55" t="s">
        <v>470</v>
      </c>
      <c r="W114" s="42">
        <f>VLOOKUP(B114,'LW13'!$X$15:$Y$501,2,0)-M114</f>
        <v>0</v>
      </c>
    </row>
    <row r="115" spans="1:23" s="31" customFormat="1" x14ac:dyDescent="0.2">
      <c r="A115" s="30" t="str">
        <f t="shared" si="2"/>
        <v>31NL300189</v>
      </c>
      <c r="B115" s="9" t="str">
        <f>COUNTIF($A$7:A115,A115)&amp;A115</f>
        <v>131NL300189</v>
      </c>
      <c r="C115" s="54">
        <v>46025</v>
      </c>
      <c r="D115" s="55" t="s">
        <v>294</v>
      </c>
      <c r="E115" s="56" t="s">
        <v>505</v>
      </c>
      <c r="F115" s="56" t="s">
        <v>295</v>
      </c>
      <c r="G115" s="55" t="s">
        <v>492</v>
      </c>
      <c r="H115" s="55" t="s">
        <v>493</v>
      </c>
      <c r="I115" s="55" t="s">
        <v>504</v>
      </c>
      <c r="J115" s="55" t="s">
        <v>85</v>
      </c>
      <c r="K115" s="55" t="s">
        <v>54</v>
      </c>
      <c r="L115" s="55" t="s">
        <v>92</v>
      </c>
      <c r="M115" s="57">
        <v>3</v>
      </c>
      <c r="N115" s="58">
        <v>15000</v>
      </c>
      <c r="O115" s="58">
        <v>0</v>
      </c>
      <c r="P115" s="59">
        <v>45000</v>
      </c>
      <c r="Q115" s="58">
        <v>0</v>
      </c>
      <c r="R115" s="55">
        <v>15000</v>
      </c>
      <c r="S115" s="55" t="s">
        <v>469</v>
      </c>
      <c r="T115" s="55" t="s">
        <v>495</v>
      </c>
      <c r="U115" s="55" t="s">
        <v>18</v>
      </c>
      <c r="V115" s="55" t="s">
        <v>470</v>
      </c>
      <c r="W115" s="42">
        <f>VLOOKUP(B115,'LW13'!$X$15:$Y$501,2,0)-M115</f>
        <v>0</v>
      </c>
    </row>
    <row r="116" spans="1:23" x14ac:dyDescent="0.2">
      <c r="A116" s="9" t="str">
        <f t="shared" si="2"/>
        <v>31NL300028</v>
      </c>
      <c r="B116" s="9" t="str">
        <f>COUNTIF($A$7:A116,A116)&amp;A116</f>
        <v>131NL300028</v>
      </c>
      <c r="C116" s="54">
        <v>46025</v>
      </c>
      <c r="D116" s="55" t="s">
        <v>294</v>
      </c>
      <c r="E116" s="56" t="s">
        <v>505</v>
      </c>
      <c r="F116" s="56" t="s">
        <v>295</v>
      </c>
      <c r="G116" s="55" t="s">
        <v>492</v>
      </c>
      <c r="H116" s="55" t="s">
        <v>493</v>
      </c>
      <c r="I116" s="55" t="s">
        <v>504</v>
      </c>
      <c r="J116" s="55" t="s">
        <v>107</v>
      </c>
      <c r="K116" s="55" t="s">
        <v>70</v>
      </c>
      <c r="L116" s="55" t="s">
        <v>92</v>
      </c>
      <c r="M116" s="57">
        <v>0.7</v>
      </c>
      <c r="N116" s="58">
        <v>75000</v>
      </c>
      <c r="O116" s="58">
        <v>0</v>
      </c>
      <c r="P116" s="59">
        <v>52500</v>
      </c>
      <c r="Q116" s="58">
        <v>0</v>
      </c>
      <c r="R116" s="55">
        <v>75000</v>
      </c>
      <c r="S116" s="55" t="s">
        <v>469</v>
      </c>
      <c r="T116" s="55" t="s">
        <v>495</v>
      </c>
      <c r="U116" s="55" t="s">
        <v>18</v>
      </c>
      <c r="V116" s="55" t="s">
        <v>470</v>
      </c>
      <c r="W116" s="42">
        <f>VLOOKUP(B116,'LW13'!$X$15:$Y$501,2,0)-M116</f>
        <v>0</v>
      </c>
    </row>
    <row r="117" spans="1:23" x14ac:dyDescent="0.2">
      <c r="A117" s="9" t="str">
        <f t="shared" si="2"/>
        <v>31NL300070</v>
      </c>
      <c r="B117" s="9" t="str">
        <f>COUNTIF($A$7:A117,A117)&amp;A117</f>
        <v>131NL300070</v>
      </c>
      <c r="C117" s="54">
        <v>46025</v>
      </c>
      <c r="D117" s="55" t="s">
        <v>294</v>
      </c>
      <c r="E117" s="56" t="s">
        <v>505</v>
      </c>
      <c r="F117" s="56" t="s">
        <v>295</v>
      </c>
      <c r="G117" s="55" t="s">
        <v>492</v>
      </c>
      <c r="H117" s="55" t="s">
        <v>493</v>
      </c>
      <c r="I117" s="55" t="s">
        <v>504</v>
      </c>
      <c r="J117" s="55" t="s">
        <v>162</v>
      </c>
      <c r="K117" s="55" t="s">
        <v>304</v>
      </c>
      <c r="L117" s="55" t="s">
        <v>92</v>
      </c>
      <c r="M117" s="57">
        <v>0.5</v>
      </c>
      <c r="N117" s="58">
        <v>23000</v>
      </c>
      <c r="O117" s="58">
        <v>0</v>
      </c>
      <c r="P117" s="59">
        <v>11500</v>
      </c>
      <c r="Q117" s="58">
        <v>0</v>
      </c>
      <c r="R117" s="55">
        <v>23000</v>
      </c>
      <c r="S117" s="55" t="s">
        <v>469</v>
      </c>
      <c r="T117" s="55" t="s">
        <v>495</v>
      </c>
      <c r="U117" s="55" t="s">
        <v>18</v>
      </c>
      <c r="V117" s="55" t="s">
        <v>470</v>
      </c>
      <c r="W117" s="42">
        <f>VLOOKUP(B117,'LW13'!$X$15:$Y$501,2,0)-M117</f>
        <v>0</v>
      </c>
    </row>
    <row r="118" spans="1:23" x14ac:dyDescent="0.2">
      <c r="A118" s="9" t="str">
        <f t="shared" si="2"/>
        <v>31NL300073</v>
      </c>
      <c r="B118" s="9" t="str">
        <f>COUNTIF($A$7:A118,A118)&amp;A118</f>
        <v>131NL300073</v>
      </c>
      <c r="C118" s="54">
        <v>46025</v>
      </c>
      <c r="D118" s="55" t="s">
        <v>294</v>
      </c>
      <c r="E118" s="56" t="s">
        <v>505</v>
      </c>
      <c r="F118" s="56" t="s">
        <v>295</v>
      </c>
      <c r="G118" s="55" t="s">
        <v>492</v>
      </c>
      <c r="H118" s="55" t="s">
        <v>493</v>
      </c>
      <c r="I118" s="55" t="s">
        <v>504</v>
      </c>
      <c r="J118" s="55" t="s">
        <v>167</v>
      </c>
      <c r="K118" s="55" t="s">
        <v>61</v>
      </c>
      <c r="L118" s="55" t="s">
        <v>92</v>
      </c>
      <c r="M118" s="57">
        <v>0.1</v>
      </c>
      <c r="N118" s="58">
        <v>42000</v>
      </c>
      <c r="O118" s="58">
        <v>0</v>
      </c>
      <c r="P118" s="59">
        <v>4200</v>
      </c>
      <c r="Q118" s="58">
        <v>0</v>
      </c>
      <c r="R118" s="55">
        <v>42000</v>
      </c>
      <c r="S118" s="55" t="s">
        <v>469</v>
      </c>
      <c r="T118" s="55" t="s">
        <v>495</v>
      </c>
      <c r="U118" s="55" t="s">
        <v>18</v>
      </c>
      <c r="V118" s="55" t="s">
        <v>470</v>
      </c>
      <c r="W118" s="42">
        <f>VLOOKUP(B118,'LW13'!$X$15:$Y$501,2,0)-M118</f>
        <v>0</v>
      </c>
    </row>
    <row r="119" spans="1:23" x14ac:dyDescent="0.2">
      <c r="A119" s="9" t="str">
        <f t="shared" si="2"/>
        <v>31NL300088</v>
      </c>
      <c r="B119" s="9" t="str">
        <f>COUNTIF($A$7:A119,A119)&amp;A119</f>
        <v>131NL300088</v>
      </c>
      <c r="C119" s="54">
        <v>46025</v>
      </c>
      <c r="D119" s="55" t="s">
        <v>294</v>
      </c>
      <c r="E119" s="56" t="s">
        <v>505</v>
      </c>
      <c r="F119" s="56" t="s">
        <v>295</v>
      </c>
      <c r="G119" s="55" t="s">
        <v>492</v>
      </c>
      <c r="H119" s="55" t="s">
        <v>493</v>
      </c>
      <c r="I119" s="55" t="s">
        <v>504</v>
      </c>
      <c r="J119" s="55" t="s">
        <v>185</v>
      </c>
      <c r="K119" s="55" t="s">
        <v>31</v>
      </c>
      <c r="L119" s="55" t="s">
        <v>92</v>
      </c>
      <c r="M119" s="57">
        <v>5.8</v>
      </c>
      <c r="N119" s="58">
        <v>27000</v>
      </c>
      <c r="O119" s="58">
        <v>0</v>
      </c>
      <c r="P119" s="59">
        <v>156600</v>
      </c>
      <c r="Q119" s="58">
        <v>0</v>
      </c>
      <c r="R119" s="55">
        <v>27000</v>
      </c>
      <c r="S119" s="55" t="s">
        <v>469</v>
      </c>
      <c r="T119" s="55" t="s">
        <v>495</v>
      </c>
      <c r="U119" s="55" t="s">
        <v>18</v>
      </c>
      <c r="V119" s="55" t="s">
        <v>470</v>
      </c>
      <c r="W119" s="42">
        <f>VLOOKUP(B119,'LW13'!$X$15:$Y$501,2,0)-M119</f>
        <v>0</v>
      </c>
    </row>
    <row r="120" spans="1:23" x14ac:dyDescent="0.2">
      <c r="A120" s="9" t="str">
        <f t="shared" si="2"/>
        <v>31NL100101</v>
      </c>
      <c r="B120" s="9" t="str">
        <f>COUNTIF($A$7:A120,A120)&amp;A120</f>
        <v>131NL100101</v>
      </c>
      <c r="C120" s="54">
        <v>46025</v>
      </c>
      <c r="D120" s="55" t="s">
        <v>294</v>
      </c>
      <c r="E120" s="56" t="s">
        <v>505</v>
      </c>
      <c r="F120" s="56" t="s">
        <v>295</v>
      </c>
      <c r="G120" s="55" t="s">
        <v>492</v>
      </c>
      <c r="H120" s="55" t="s">
        <v>493</v>
      </c>
      <c r="I120" s="55" t="s">
        <v>504</v>
      </c>
      <c r="J120" s="55" t="s">
        <v>263</v>
      </c>
      <c r="K120" s="55" t="s">
        <v>52</v>
      </c>
      <c r="L120" s="55" t="s">
        <v>318</v>
      </c>
      <c r="M120" s="57">
        <v>100</v>
      </c>
      <c r="N120" s="58">
        <v>5000</v>
      </c>
      <c r="O120" s="58">
        <v>0</v>
      </c>
      <c r="P120" s="59">
        <v>500000</v>
      </c>
      <c r="Q120" s="58">
        <v>0</v>
      </c>
      <c r="R120" s="55">
        <v>5000</v>
      </c>
      <c r="S120" s="55" t="s">
        <v>469</v>
      </c>
      <c r="T120" s="55" t="s">
        <v>495</v>
      </c>
      <c r="U120" s="55" t="s">
        <v>18</v>
      </c>
      <c r="V120" s="55" t="s">
        <v>470</v>
      </c>
      <c r="W120" s="42">
        <f>VLOOKUP(B120,'LW13'!$X$15:$Y$501,2,0)-M120</f>
        <v>0</v>
      </c>
    </row>
    <row r="121" spans="1:23" x14ac:dyDescent="0.2">
      <c r="A121" s="9" t="str">
        <f t="shared" si="2"/>
        <v>31NL300090</v>
      </c>
      <c r="B121" s="9" t="str">
        <f>COUNTIF($A$7:A121,A121)&amp;A121</f>
        <v>131NL300090</v>
      </c>
      <c r="C121" s="54">
        <v>46025</v>
      </c>
      <c r="D121" s="55" t="s">
        <v>294</v>
      </c>
      <c r="E121" s="56" t="s">
        <v>505</v>
      </c>
      <c r="F121" s="56" t="s">
        <v>295</v>
      </c>
      <c r="G121" s="55" t="s">
        <v>492</v>
      </c>
      <c r="H121" s="55" t="s">
        <v>493</v>
      </c>
      <c r="I121" s="55" t="s">
        <v>504</v>
      </c>
      <c r="J121" s="55" t="s">
        <v>189</v>
      </c>
      <c r="K121" s="55" t="s">
        <v>39</v>
      </c>
      <c r="L121" s="55" t="s">
        <v>92</v>
      </c>
      <c r="M121" s="57">
        <v>3.2</v>
      </c>
      <c r="N121" s="58">
        <v>145000</v>
      </c>
      <c r="O121" s="58">
        <v>0</v>
      </c>
      <c r="P121" s="59">
        <v>464000</v>
      </c>
      <c r="Q121" s="58">
        <v>0</v>
      </c>
      <c r="R121" s="55">
        <v>145000</v>
      </c>
      <c r="S121" s="55" t="s">
        <v>469</v>
      </c>
      <c r="T121" s="55" t="s">
        <v>495</v>
      </c>
      <c r="U121" s="55" t="s">
        <v>18</v>
      </c>
      <c r="V121" s="55" t="s">
        <v>470</v>
      </c>
      <c r="W121" s="42">
        <f>VLOOKUP(B121,'LW13'!$X$15:$Y$501,2,0)-M121</f>
        <v>0</v>
      </c>
    </row>
    <row r="122" spans="1:23" x14ac:dyDescent="0.2">
      <c r="A122" s="9" t="str">
        <f t="shared" si="2"/>
        <v>31NL300094</v>
      </c>
      <c r="B122" s="9" t="str">
        <f>COUNTIF($A$7:A122,A122)&amp;A122</f>
        <v>131NL300094</v>
      </c>
      <c r="C122" s="54">
        <v>46025</v>
      </c>
      <c r="D122" s="55" t="s">
        <v>294</v>
      </c>
      <c r="E122" s="56" t="s">
        <v>505</v>
      </c>
      <c r="F122" s="56" t="s">
        <v>295</v>
      </c>
      <c r="G122" s="55" t="s">
        <v>492</v>
      </c>
      <c r="H122" s="55" t="s">
        <v>493</v>
      </c>
      <c r="I122" s="55" t="s">
        <v>504</v>
      </c>
      <c r="J122" s="55" t="s">
        <v>192</v>
      </c>
      <c r="K122" s="55" t="s">
        <v>312</v>
      </c>
      <c r="L122" s="55" t="s">
        <v>92</v>
      </c>
      <c r="M122" s="57">
        <v>2.5</v>
      </c>
      <c r="N122" s="58">
        <v>80000</v>
      </c>
      <c r="O122" s="58">
        <v>0</v>
      </c>
      <c r="P122" s="59">
        <v>200000</v>
      </c>
      <c r="Q122" s="58">
        <v>0</v>
      </c>
      <c r="R122" s="55">
        <v>80000</v>
      </c>
      <c r="S122" s="55" t="s">
        <v>469</v>
      </c>
      <c r="T122" s="55" t="s">
        <v>495</v>
      </c>
      <c r="U122" s="55" t="s">
        <v>18</v>
      </c>
      <c r="V122" s="55" t="s">
        <v>470</v>
      </c>
      <c r="W122" s="42">
        <f>VLOOKUP(B122,'LW13'!$X$15:$Y$501,2,0)-M122</f>
        <v>0</v>
      </c>
    </row>
    <row r="123" spans="1:23" x14ac:dyDescent="0.2">
      <c r="A123" s="9" t="str">
        <f t="shared" si="2"/>
        <v>31NL300098</v>
      </c>
      <c r="B123" s="9" t="str">
        <f>COUNTIF($A$7:A123,A123)&amp;A123</f>
        <v>131NL300098</v>
      </c>
      <c r="C123" s="54">
        <v>46025</v>
      </c>
      <c r="D123" s="55" t="s">
        <v>294</v>
      </c>
      <c r="E123" s="56" t="s">
        <v>505</v>
      </c>
      <c r="F123" s="56" t="s">
        <v>295</v>
      </c>
      <c r="G123" s="55" t="s">
        <v>492</v>
      </c>
      <c r="H123" s="55" t="s">
        <v>493</v>
      </c>
      <c r="I123" s="55" t="s">
        <v>504</v>
      </c>
      <c r="J123" s="55" t="s">
        <v>195</v>
      </c>
      <c r="K123" s="55" t="s">
        <v>320</v>
      </c>
      <c r="L123" s="55" t="s">
        <v>92</v>
      </c>
      <c r="M123" s="57">
        <v>0.3</v>
      </c>
      <c r="N123" s="58">
        <v>95000</v>
      </c>
      <c r="O123" s="58">
        <v>0</v>
      </c>
      <c r="P123" s="59">
        <v>28500</v>
      </c>
      <c r="Q123" s="58">
        <v>0</v>
      </c>
      <c r="R123" s="55">
        <v>95000</v>
      </c>
      <c r="S123" s="55" t="s">
        <v>469</v>
      </c>
      <c r="T123" s="55" t="s">
        <v>495</v>
      </c>
      <c r="U123" s="55" t="s">
        <v>18</v>
      </c>
      <c r="V123" s="55" t="s">
        <v>470</v>
      </c>
      <c r="W123" s="42">
        <f>VLOOKUP(B123,'LW13'!$X$15:$Y$501,2,0)-M123</f>
        <v>0</v>
      </c>
    </row>
    <row r="124" spans="1:23" x14ac:dyDescent="0.2">
      <c r="A124" s="9" t="str">
        <f t="shared" si="2"/>
        <v>31NL300101</v>
      </c>
      <c r="B124" s="9" t="str">
        <f>COUNTIF($A$7:A124,A124)&amp;A124</f>
        <v>131NL300101</v>
      </c>
      <c r="C124" s="54">
        <v>46025</v>
      </c>
      <c r="D124" s="55" t="s">
        <v>294</v>
      </c>
      <c r="E124" s="56" t="s">
        <v>505</v>
      </c>
      <c r="F124" s="56" t="s">
        <v>295</v>
      </c>
      <c r="G124" s="55" t="s">
        <v>492</v>
      </c>
      <c r="H124" s="55" t="s">
        <v>493</v>
      </c>
      <c r="I124" s="55" t="s">
        <v>504</v>
      </c>
      <c r="J124" s="55" t="s">
        <v>200</v>
      </c>
      <c r="K124" s="55" t="s">
        <v>305</v>
      </c>
      <c r="L124" s="55" t="s">
        <v>92</v>
      </c>
      <c r="M124" s="57">
        <v>1</v>
      </c>
      <c r="N124" s="58">
        <v>195000</v>
      </c>
      <c r="O124" s="58">
        <v>0</v>
      </c>
      <c r="P124" s="59">
        <v>195000</v>
      </c>
      <c r="Q124" s="58">
        <v>0</v>
      </c>
      <c r="R124" s="55">
        <v>195000</v>
      </c>
      <c r="S124" s="55" t="s">
        <v>469</v>
      </c>
      <c r="T124" s="55" t="s">
        <v>495</v>
      </c>
      <c r="U124" s="55" t="s">
        <v>18</v>
      </c>
      <c r="V124" s="55" t="s">
        <v>470</v>
      </c>
      <c r="W124" s="42">
        <f>VLOOKUP(B124,'LW13'!$X$15:$Y$501,2,0)-M124</f>
        <v>0</v>
      </c>
    </row>
    <row r="125" spans="1:23" x14ac:dyDescent="0.2">
      <c r="A125" s="9" t="str">
        <f t="shared" si="2"/>
        <v>41NL300107</v>
      </c>
      <c r="B125" s="9" t="str">
        <f>COUNTIF($A$7:A125,A125)&amp;A125</f>
        <v>141NL300107</v>
      </c>
      <c r="C125" s="54">
        <v>46026</v>
      </c>
      <c r="D125" s="55" t="s">
        <v>294</v>
      </c>
      <c r="E125" s="56" t="s">
        <v>506</v>
      </c>
      <c r="F125" s="56" t="s">
        <v>295</v>
      </c>
      <c r="G125" s="55" t="s">
        <v>492</v>
      </c>
      <c r="H125" s="55" t="s">
        <v>493</v>
      </c>
      <c r="I125" s="55" t="s">
        <v>507</v>
      </c>
      <c r="J125" s="55" t="s">
        <v>87</v>
      </c>
      <c r="K125" s="55" t="s">
        <v>299</v>
      </c>
      <c r="L125" s="55" t="s">
        <v>300</v>
      </c>
      <c r="M125" s="57">
        <v>12</v>
      </c>
      <c r="N125" s="58">
        <v>8500</v>
      </c>
      <c r="O125" s="58">
        <v>0</v>
      </c>
      <c r="P125" s="59">
        <v>102000</v>
      </c>
      <c r="Q125" s="58">
        <v>0</v>
      </c>
      <c r="R125" s="55">
        <v>8500</v>
      </c>
      <c r="S125" s="55" t="s">
        <v>469</v>
      </c>
      <c r="T125" s="55" t="s">
        <v>495</v>
      </c>
      <c r="U125" s="55" t="s">
        <v>18</v>
      </c>
      <c r="V125" s="55" t="s">
        <v>470</v>
      </c>
      <c r="W125" s="42">
        <f>VLOOKUP(B125,'LW13'!$X$15:$Y$501,2,0)-M125</f>
        <v>0</v>
      </c>
    </row>
    <row r="126" spans="1:23" x14ac:dyDescent="0.2">
      <c r="A126" s="9" t="str">
        <f t="shared" si="2"/>
        <v>41NL300007</v>
      </c>
      <c r="B126" s="9" t="str">
        <f>COUNTIF($A$7:A126,A126)&amp;A126</f>
        <v>141NL300007</v>
      </c>
      <c r="C126" s="54">
        <v>46026</v>
      </c>
      <c r="D126" s="55" t="s">
        <v>294</v>
      </c>
      <c r="E126" s="56" t="s">
        <v>506</v>
      </c>
      <c r="F126" s="56" t="s">
        <v>295</v>
      </c>
      <c r="G126" s="55" t="s">
        <v>492</v>
      </c>
      <c r="H126" s="55" t="s">
        <v>493</v>
      </c>
      <c r="I126" s="55" t="s">
        <v>507</v>
      </c>
      <c r="J126" s="55" t="s">
        <v>90</v>
      </c>
      <c r="K126" s="55" t="s">
        <v>91</v>
      </c>
      <c r="L126" s="55" t="s">
        <v>92</v>
      </c>
      <c r="M126" s="57">
        <v>3.7</v>
      </c>
      <c r="N126" s="58">
        <v>30000</v>
      </c>
      <c r="O126" s="58">
        <v>0</v>
      </c>
      <c r="P126" s="59">
        <v>111000</v>
      </c>
      <c r="Q126" s="58">
        <v>0</v>
      </c>
      <c r="R126" s="55">
        <v>30000</v>
      </c>
      <c r="S126" s="55" t="s">
        <v>469</v>
      </c>
      <c r="T126" s="55" t="s">
        <v>495</v>
      </c>
      <c r="U126" s="55" t="s">
        <v>18</v>
      </c>
      <c r="V126" s="55" t="s">
        <v>470</v>
      </c>
      <c r="W126" s="42">
        <f>VLOOKUP(B126,'LW13'!$X$15:$Y$501,2,0)-M126</f>
        <v>0</v>
      </c>
    </row>
    <row r="127" spans="1:23" x14ac:dyDescent="0.2">
      <c r="A127" s="9" t="str">
        <f t="shared" si="2"/>
        <v>41NL300020</v>
      </c>
      <c r="B127" s="9" t="str">
        <f>COUNTIF($A$7:A127,A127)&amp;A127</f>
        <v>141NL300020</v>
      </c>
      <c r="C127" s="54">
        <v>46026</v>
      </c>
      <c r="D127" s="55" t="s">
        <v>294</v>
      </c>
      <c r="E127" s="56" t="s">
        <v>506</v>
      </c>
      <c r="F127" s="56" t="s">
        <v>295</v>
      </c>
      <c r="G127" s="55" t="s">
        <v>492</v>
      </c>
      <c r="H127" s="55" t="s">
        <v>493</v>
      </c>
      <c r="I127" s="55" t="s">
        <v>507</v>
      </c>
      <c r="J127" s="55" t="s">
        <v>110</v>
      </c>
      <c r="K127" s="55" t="s">
        <v>302</v>
      </c>
      <c r="L127" s="55" t="s">
        <v>92</v>
      </c>
      <c r="M127" s="57">
        <v>1.5</v>
      </c>
      <c r="N127" s="58">
        <v>30000</v>
      </c>
      <c r="O127" s="58">
        <v>0</v>
      </c>
      <c r="P127" s="59">
        <v>45000</v>
      </c>
      <c r="Q127" s="58">
        <v>0</v>
      </c>
      <c r="R127" s="55">
        <v>30000</v>
      </c>
      <c r="S127" s="55" t="s">
        <v>469</v>
      </c>
      <c r="T127" s="55" t="s">
        <v>495</v>
      </c>
      <c r="U127" s="55" t="s">
        <v>18</v>
      </c>
      <c r="V127" s="55" t="s">
        <v>470</v>
      </c>
      <c r="W127" s="42">
        <f>VLOOKUP(B127,'LW13'!$X$15:$Y$501,2,0)-M127</f>
        <v>0</v>
      </c>
    </row>
    <row r="128" spans="1:23" x14ac:dyDescent="0.2">
      <c r="A128" s="9" t="str">
        <f t="shared" si="2"/>
        <v>41NL300025</v>
      </c>
      <c r="B128" s="9" t="str">
        <f>COUNTIF($A$7:A128,A128)&amp;A128</f>
        <v>141NL300025</v>
      </c>
      <c r="C128" s="54">
        <v>46026</v>
      </c>
      <c r="D128" s="55" t="s">
        <v>294</v>
      </c>
      <c r="E128" s="56" t="s">
        <v>506</v>
      </c>
      <c r="F128" s="56" t="s">
        <v>295</v>
      </c>
      <c r="G128" s="55" t="s">
        <v>492</v>
      </c>
      <c r="H128" s="55" t="s">
        <v>493</v>
      </c>
      <c r="I128" s="55" t="s">
        <v>507</v>
      </c>
      <c r="J128" s="55" t="s">
        <v>117</v>
      </c>
      <c r="K128" s="55" t="s">
        <v>303</v>
      </c>
      <c r="L128" s="55" t="s">
        <v>92</v>
      </c>
      <c r="M128" s="57">
        <v>0.65</v>
      </c>
      <c r="N128" s="58">
        <v>44000</v>
      </c>
      <c r="O128" s="58">
        <v>0</v>
      </c>
      <c r="P128" s="59">
        <v>28600</v>
      </c>
      <c r="Q128" s="58">
        <v>0</v>
      </c>
      <c r="R128" s="55">
        <v>44000</v>
      </c>
      <c r="S128" s="55" t="s">
        <v>469</v>
      </c>
      <c r="T128" s="55" t="s">
        <v>495</v>
      </c>
      <c r="U128" s="55" t="s">
        <v>18</v>
      </c>
      <c r="V128" s="55" t="s">
        <v>470</v>
      </c>
      <c r="W128" s="42">
        <f>VLOOKUP(B128,'LW13'!$X$15:$Y$501,2,0)-M128</f>
        <v>0</v>
      </c>
    </row>
    <row r="129" spans="1:23" x14ac:dyDescent="0.2">
      <c r="A129" s="9" t="str">
        <f t="shared" si="2"/>
        <v>41NL300054</v>
      </c>
      <c r="B129" s="9" t="str">
        <f>COUNTIF($A$7:A129,A129)&amp;A129</f>
        <v>141NL300054</v>
      </c>
      <c r="C129" s="54">
        <v>46026</v>
      </c>
      <c r="D129" s="55" t="s">
        <v>294</v>
      </c>
      <c r="E129" s="56" t="s">
        <v>506</v>
      </c>
      <c r="F129" s="56" t="s">
        <v>295</v>
      </c>
      <c r="G129" s="55" t="s">
        <v>492</v>
      </c>
      <c r="H129" s="55" t="s">
        <v>493</v>
      </c>
      <c r="I129" s="55" t="s">
        <v>507</v>
      </c>
      <c r="J129" s="55" t="s">
        <v>128</v>
      </c>
      <c r="K129" s="55" t="s">
        <v>314</v>
      </c>
      <c r="L129" s="55" t="s">
        <v>92</v>
      </c>
      <c r="M129" s="57">
        <v>2</v>
      </c>
      <c r="N129" s="58">
        <v>38000</v>
      </c>
      <c r="O129" s="58">
        <v>0</v>
      </c>
      <c r="P129" s="59">
        <v>76000</v>
      </c>
      <c r="Q129" s="58">
        <v>0</v>
      </c>
      <c r="R129" s="55">
        <v>38000</v>
      </c>
      <c r="S129" s="55" t="s">
        <v>469</v>
      </c>
      <c r="T129" s="55" t="s">
        <v>495</v>
      </c>
      <c r="U129" s="55" t="s">
        <v>18</v>
      </c>
      <c r="V129" s="55" t="s">
        <v>470</v>
      </c>
      <c r="W129" s="42">
        <f>VLOOKUP(B129,'LW13'!$X$15:$Y$501,2,0)-M129</f>
        <v>0</v>
      </c>
    </row>
    <row r="130" spans="1:23" x14ac:dyDescent="0.2">
      <c r="A130" s="9" t="str">
        <f t="shared" si="2"/>
        <v>41NL300062</v>
      </c>
      <c r="B130" s="9" t="str">
        <f>COUNTIF($A$7:A130,A130)&amp;A130</f>
        <v>141NL300062</v>
      </c>
      <c r="C130" s="54">
        <v>46026</v>
      </c>
      <c r="D130" s="55" t="s">
        <v>294</v>
      </c>
      <c r="E130" s="56" t="s">
        <v>506</v>
      </c>
      <c r="F130" s="56" t="s">
        <v>295</v>
      </c>
      <c r="G130" s="55" t="s">
        <v>492</v>
      </c>
      <c r="H130" s="55" t="s">
        <v>493</v>
      </c>
      <c r="I130" s="55" t="s">
        <v>507</v>
      </c>
      <c r="J130" s="55" t="s">
        <v>159</v>
      </c>
      <c r="K130" s="55" t="s">
        <v>316</v>
      </c>
      <c r="L130" s="55" t="s">
        <v>92</v>
      </c>
      <c r="M130" s="57">
        <v>0.3</v>
      </c>
      <c r="N130" s="58">
        <v>65000</v>
      </c>
      <c r="O130" s="58">
        <v>0</v>
      </c>
      <c r="P130" s="59">
        <v>19500</v>
      </c>
      <c r="Q130" s="58">
        <v>0</v>
      </c>
      <c r="R130" s="55">
        <v>65000</v>
      </c>
      <c r="S130" s="55" t="s">
        <v>469</v>
      </c>
      <c r="T130" s="55" t="s">
        <v>495</v>
      </c>
      <c r="U130" s="55" t="s">
        <v>18</v>
      </c>
      <c r="V130" s="55" t="s">
        <v>470</v>
      </c>
      <c r="W130" s="42">
        <f>VLOOKUP(B130,'LW13'!$X$15:$Y$501,2,0)-M130</f>
        <v>0</v>
      </c>
    </row>
    <row r="131" spans="1:23" x14ac:dyDescent="0.2">
      <c r="A131" s="9" t="str">
        <f t="shared" si="2"/>
        <v>41NL600004</v>
      </c>
      <c r="B131" s="9" t="str">
        <f>COUNTIF($A$7:A131,A131)&amp;A131</f>
        <v>141NL600004</v>
      </c>
      <c r="C131" s="54">
        <v>46026</v>
      </c>
      <c r="D131" s="55" t="s">
        <v>294</v>
      </c>
      <c r="E131" s="56" t="s">
        <v>506</v>
      </c>
      <c r="F131" s="56" t="s">
        <v>295</v>
      </c>
      <c r="G131" s="55" t="s">
        <v>492</v>
      </c>
      <c r="H131" s="55" t="s">
        <v>493</v>
      </c>
      <c r="I131" s="55" t="s">
        <v>507</v>
      </c>
      <c r="J131" s="55" t="s">
        <v>144</v>
      </c>
      <c r="K131" s="55" t="s">
        <v>47</v>
      </c>
      <c r="L131" s="55" t="s">
        <v>92</v>
      </c>
      <c r="M131" s="57">
        <v>39.5</v>
      </c>
      <c r="N131" s="58">
        <v>18000</v>
      </c>
      <c r="O131" s="58">
        <v>0</v>
      </c>
      <c r="P131" s="59">
        <v>711000</v>
      </c>
      <c r="Q131" s="58">
        <v>0</v>
      </c>
      <c r="R131" s="55">
        <v>18000</v>
      </c>
      <c r="S131" s="55" t="s">
        <v>469</v>
      </c>
      <c r="T131" s="55" t="s">
        <v>495</v>
      </c>
      <c r="U131" s="55" t="s">
        <v>18</v>
      </c>
      <c r="V131" s="55" t="s">
        <v>470</v>
      </c>
      <c r="W131" s="42">
        <f>VLOOKUP(B131,'LW13'!$X$15:$Y$501,2,0)-M131</f>
        <v>0</v>
      </c>
    </row>
    <row r="132" spans="1:23" x14ac:dyDescent="0.2">
      <c r="A132" s="9" t="str">
        <f t="shared" ref="A132:A143" si="3">DAY(C132)&amp;MONTH(C132)&amp;J132</f>
        <v>41NL300125</v>
      </c>
      <c r="B132" s="9" t="str">
        <f>COUNTIF($A$7:A132,A132)&amp;A132</f>
        <v>141NL300125</v>
      </c>
      <c r="C132" s="54">
        <v>46026</v>
      </c>
      <c r="D132" s="55" t="s">
        <v>294</v>
      </c>
      <c r="E132" s="56" t="s">
        <v>506</v>
      </c>
      <c r="F132" s="56" t="s">
        <v>295</v>
      </c>
      <c r="G132" s="55" t="s">
        <v>492</v>
      </c>
      <c r="H132" s="55" t="s">
        <v>493</v>
      </c>
      <c r="I132" s="55" t="s">
        <v>507</v>
      </c>
      <c r="J132" s="55" t="s">
        <v>228</v>
      </c>
      <c r="K132" s="55" t="s">
        <v>227</v>
      </c>
      <c r="L132" s="55" t="s">
        <v>92</v>
      </c>
      <c r="M132" s="57">
        <v>1</v>
      </c>
      <c r="N132" s="58">
        <v>42000</v>
      </c>
      <c r="O132" s="58">
        <v>0</v>
      </c>
      <c r="P132" s="59">
        <v>42000</v>
      </c>
      <c r="Q132" s="58">
        <v>0</v>
      </c>
      <c r="R132" s="55">
        <v>42000</v>
      </c>
      <c r="S132" s="55" t="s">
        <v>469</v>
      </c>
      <c r="T132" s="55" t="s">
        <v>495</v>
      </c>
      <c r="U132" s="55" t="s">
        <v>18</v>
      </c>
      <c r="V132" s="55" t="s">
        <v>470</v>
      </c>
      <c r="W132" s="42">
        <f>VLOOKUP(B132,'LW13'!$X$15:$Y$501,2,0)-M132</f>
        <v>0</v>
      </c>
    </row>
    <row r="133" spans="1:23" x14ac:dyDescent="0.2">
      <c r="A133" s="9" t="str">
        <f t="shared" si="3"/>
        <v>41NL300035</v>
      </c>
      <c r="B133" s="9" t="str">
        <f>COUNTIF($A$7:A133,A133)&amp;A133</f>
        <v>141NL300035</v>
      </c>
      <c r="C133" s="54">
        <v>46026</v>
      </c>
      <c r="D133" s="55" t="s">
        <v>294</v>
      </c>
      <c r="E133" s="56" t="s">
        <v>506</v>
      </c>
      <c r="F133" s="56" t="s">
        <v>295</v>
      </c>
      <c r="G133" s="55" t="s">
        <v>492</v>
      </c>
      <c r="H133" s="55" t="s">
        <v>493</v>
      </c>
      <c r="I133" s="55" t="s">
        <v>507</v>
      </c>
      <c r="J133" s="55" t="s">
        <v>129</v>
      </c>
      <c r="K133" s="55" t="s">
        <v>500</v>
      </c>
      <c r="L133" s="55" t="s">
        <v>92</v>
      </c>
      <c r="M133" s="57">
        <v>0.2</v>
      </c>
      <c r="N133" s="58">
        <v>25000</v>
      </c>
      <c r="O133" s="58">
        <v>0</v>
      </c>
      <c r="P133" s="59">
        <v>5000</v>
      </c>
      <c r="Q133" s="58">
        <v>0</v>
      </c>
      <c r="R133" s="55">
        <v>25000</v>
      </c>
      <c r="S133" s="55" t="s">
        <v>469</v>
      </c>
      <c r="T133" s="55" t="s">
        <v>495</v>
      </c>
      <c r="U133" s="55" t="s">
        <v>18</v>
      </c>
      <c r="V133" s="55" t="s">
        <v>470</v>
      </c>
      <c r="W133" s="42">
        <f>VLOOKUP(B133,'LW13'!$X$15:$Y$501,2,0)-M133</f>
        <v>0</v>
      </c>
    </row>
    <row r="134" spans="1:23" x14ac:dyDescent="0.2">
      <c r="A134" s="9" t="str">
        <f t="shared" si="3"/>
        <v>41NL300038</v>
      </c>
      <c r="B134" s="9" t="str">
        <f>COUNTIF($A$7:A134,A134)&amp;A134</f>
        <v>141NL300038</v>
      </c>
      <c r="C134" s="54">
        <v>46026</v>
      </c>
      <c r="D134" s="55" t="s">
        <v>294</v>
      </c>
      <c r="E134" s="56" t="s">
        <v>506</v>
      </c>
      <c r="F134" s="56" t="s">
        <v>295</v>
      </c>
      <c r="G134" s="55" t="s">
        <v>492</v>
      </c>
      <c r="H134" s="55" t="s">
        <v>493</v>
      </c>
      <c r="I134" s="55" t="s">
        <v>507</v>
      </c>
      <c r="J134" s="55" t="s">
        <v>132</v>
      </c>
      <c r="K134" s="55" t="s">
        <v>28</v>
      </c>
      <c r="L134" s="55" t="s">
        <v>92</v>
      </c>
      <c r="M134" s="57">
        <v>3.5</v>
      </c>
      <c r="N134" s="58">
        <v>32000</v>
      </c>
      <c r="O134" s="58">
        <v>0</v>
      </c>
      <c r="P134" s="59">
        <v>112000</v>
      </c>
      <c r="Q134" s="58">
        <v>0</v>
      </c>
      <c r="R134" s="55">
        <v>32000</v>
      </c>
      <c r="S134" s="55" t="s">
        <v>469</v>
      </c>
      <c r="T134" s="55" t="s">
        <v>495</v>
      </c>
      <c r="U134" s="55" t="s">
        <v>18</v>
      </c>
      <c r="V134" s="55" t="s">
        <v>470</v>
      </c>
      <c r="W134" s="42">
        <f>VLOOKUP(B134,'LW13'!$X$15:$Y$501,2,0)-M134</f>
        <v>0</v>
      </c>
    </row>
    <row r="135" spans="1:23" x14ac:dyDescent="0.2">
      <c r="A135" s="9" t="str">
        <f t="shared" si="3"/>
        <v>41NL300058</v>
      </c>
      <c r="B135" s="9" t="str">
        <f>COUNTIF($A$7:A135,A135)&amp;A135</f>
        <v>141NL300058</v>
      </c>
      <c r="C135" s="54">
        <v>46026</v>
      </c>
      <c r="D135" s="55" t="s">
        <v>294</v>
      </c>
      <c r="E135" s="56" t="s">
        <v>506</v>
      </c>
      <c r="F135" s="56" t="s">
        <v>295</v>
      </c>
      <c r="G135" s="55" t="s">
        <v>492</v>
      </c>
      <c r="H135" s="55" t="s">
        <v>493</v>
      </c>
      <c r="I135" s="55" t="s">
        <v>507</v>
      </c>
      <c r="J135" s="55" t="s">
        <v>147</v>
      </c>
      <c r="K135" s="55" t="s">
        <v>29</v>
      </c>
      <c r="L135" s="55" t="s">
        <v>92</v>
      </c>
      <c r="M135" s="57">
        <v>6</v>
      </c>
      <c r="N135" s="58">
        <v>55000</v>
      </c>
      <c r="O135" s="58">
        <v>0</v>
      </c>
      <c r="P135" s="59">
        <v>330000</v>
      </c>
      <c r="Q135" s="58">
        <v>0</v>
      </c>
      <c r="R135" s="55">
        <v>55000</v>
      </c>
      <c r="S135" s="55" t="s">
        <v>469</v>
      </c>
      <c r="T135" s="55" t="s">
        <v>495</v>
      </c>
      <c r="U135" s="55" t="s">
        <v>18</v>
      </c>
      <c r="V135" s="55" t="s">
        <v>470</v>
      </c>
      <c r="W135" s="42">
        <f>VLOOKUP(B135,'LW13'!$X$15:$Y$501,2,0)-M135</f>
        <v>0</v>
      </c>
    </row>
    <row r="136" spans="1:23" x14ac:dyDescent="0.2">
      <c r="A136" s="9" t="str">
        <f t="shared" si="3"/>
        <v>41NL300070</v>
      </c>
      <c r="B136" s="9" t="str">
        <f>COUNTIF($A$7:A136,A136)&amp;A136</f>
        <v>141NL300070</v>
      </c>
      <c r="C136" s="54">
        <v>46026</v>
      </c>
      <c r="D136" s="55" t="s">
        <v>294</v>
      </c>
      <c r="E136" s="56" t="s">
        <v>506</v>
      </c>
      <c r="F136" s="56" t="s">
        <v>295</v>
      </c>
      <c r="G136" s="55" t="s">
        <v>492</v>
      </c>
      <c r="H136" s="55" t="s">
        <v>493</v>
      </c>
      <c r="I136" s="55" t="s">
        <v>507</v>
      </c>
      <c r="J136" s="55" t="s">
        <v>162</v>
      </c>
      <c r="K136" s="55" t="s">
        <v>304</v>
      </c>
      <c r="L136" s="55" t="s">
        <v>92</v>
      </c>
      <c r="M136" s="57">
        <v>1</v>
      </c>
      <c r="N136" s="58">
        <v>23000</v>
      </c>
      <c r="O136" s="58">
        <v>0</v>
      </c>
      <c r="P136" s="59">
        <v>23000</v>
      </c>
      <c r="Q136" s="58">
        <v>0</v>
      </c>
      <c r="R136" s="55">
        <v>23000</v>
      </c>
      <c r="S136" s="55" t="s">
        <v>469</v>
      </c>
      <c r="T136" s="55" t="s">
        <v>495</v>
      </c>
      <c r="U136" s="55" t="s">
        <v>18</v>
      </c>
      <c r="V136" s="55" t="s">
        <v>470</v>
      </c>
      <c r="W136" s="42">
        <f>VLOOKUP(B136,'LW13'!$X$15:$Y$501,2,0)-M136</f>
        <v>0</v>
      </c>
    </row>
    <row r="137" spans="1:23" x14ac:dyDescent="0.2">
      <c r="A137" s="9" t="str">
        <f t="shared" si="3"/>
        <v>41NL300085</v>
      </c>
      <c r="B137" s="9" t="str">
        <f>COUNTIF($A$7:A137,A137)&amp;A137</f>
        <v>141NL300085</v>
      </c>
      <c r="C137" s="54">
        <v>46026</v>
      </c>
      <c r="D137" s="55" t="s">
        <v>294</v>
      </c>
      <c r="E137" s="56" t="s">
        <v>506</v>
      </c>
      <c r="F137" s="56" t="s">
        <v>295</v>
      </c>
      <c r="G137" s="55" t="s">
        <v>492</v>
      </c>
      <c r="H137" s="55" t="s">
        <v>493</v>
      </c>
      <c r="I137" s="55" t="s">
        <v>507</v>
      </c>
      <c r="J137" s="55" t="s">
        <v>205</v>
      </c>
      <c r="K137" s="55" t="s">
        <v>306</v>
      </c>
      <c r="L137" s="55" t="s">
        <v>92</v>
      </c>
      <c r="M137" s="57">
        <v>4</v>
      </c>
      <c r="N137" s="58">
        <v>45000</v>
      </c>
      <c r="O137" s="58">
        <v>0</v>
      </c>
      <c r="P137" s="59">
        <v>180000</v>
      </c>
      <c r="Q137" s="58">
        <v>0</v>
      </c>
      <c r="R137" s="55">
        <v>45000</v>
      </c>
      <c r="S137" s="55" t="s">
        <v>469</v>
      </c>
      <c r="T137" s="55" t="s">
        <v>495</v>
      </c>
      <c r="U137" s="55" t="s">
        <v>18</v>
      </c>
      <c r="V137" s="55" t="s">
        <v>470</v>
      </c>
      <c r="W137" s="42">
        <f>VLOOKUP(B137,'LW13'!$X$15:$Y$501,2,0)-M137</f>
        <v>0</v>
      </c>
    </row>
    <row r="138" spans="1:23" x14ac:dyDescent="0.2">
      <c r="A138" s="9" t="str">
        <f t="shared" si="3"/>
        <v>41NL300088</v>
      </c>
      <c r="B138" s="9" t="str">
        <f>COUNTIF($A$7:A138,A138)&amp;A138</f>
        <v>141NL300088</v>
      </c>
      <c r="C138" s="54">
        <v>46026</v>
      </c>
      <c r="D138" s="55" t="s">
        <v>294</v>
      </c>
      <c r="E138" s="56" t="s">
        <v>506</v>
      </c>
      <c r="F138" s="56" t="s">
        <v>295</v>
      </c>
      <c r="G138" s="55" t="s">
        <v>492</v>
      </c>
      <c r="H138" s="55" t="s">
        <v>493</v>
      </c>
      <c r="I138" s="55" t="s">
        <v>507</v>
      </c>
      <c r="J138" s="55" t="s">
        <v>185</v>
      </c>
      <c r="K138" s="55" t="s">
        <v>31</v>
      </c>
      <c r="L138" s="55" t="s">
        <v>92</v>
      </c>
      <c r="M138" s="57">
        <v>2.7</v>
      </c>
      <c r="N138" s="58">
        <v>27000</v>
      </c>
      <c r="O138" s="58">
        <v>0</v>
      </c>
      <c r="P138" s="59">
        <v>72900</v>
      </c>
      <c r="Q138" s="58">
        <v>0</v>
      </c>
      <c r="R138" s="55">
        <v>27000</v>
      </c>
      <c r="S138" s="55" t="s">
        <v>469</v>
      </c>
      <c r="T138" s="55" t="s">
        <v>495</v>
      </c>
      <c r="U138" s="55" t="s">
        <v>18</v>
      </c>
      <c r="V138" s="55" t="s">
        <v>470</v>
      </c>
      <c r="W138" s="42">
        <f>VLOOKUP(B138,'LW13'!$X$15:$Y$501,2,0)-M138</f>
        <v>0</v>
      </c>
    </row>
    <row r="139" spans="1:23" x14ac:dyDescent="0.2">
      <c r="A139" s="9" t="str">
        <f t="shared" si="3"/>
        <v>41NL300116</v>
      </c>
      <c r="B139" s="9" t="str">
        <f>COUNTIF($A$7:A139,A139)&amp;A139</f>
        <v>141NL300116</v>
      </c>
      <c r="C139" s="54">
        <v>46026</v>
      </c>
      <c r="D139" s="55" t="s">
        <v>294</v>
      </c>
      <c r="E139" s="56" t="s">
        <v>506</v>
      </c>
      <c r="F139" s="56" t="s">
        <v>295</v>
      </c>
      <c r="G139" s="55" t="s">
        <v>492</v>
      </c>
      <c r="H139" s="55" t="s">
        <v>493</v>
      </c>
      <c r="I139" s="55" t="s">
        <v>507</v>
      </c>
      <c r="J139" s="55" t="s">
        <v>217</v>
      </c>
      <c r="K139" s="55" t="s">
        <v>313</v>
      </c>
      <c r="L139" s="55" t="s">
        <v>92</v>
      </c>
      <c r="M139" s="57">
        <v>0.3</v>
      </c>
      <c r="N139" s="58">
        <v>148000</v>
      </c>
      <c r="O139" s="58">
        <v>0</v>
      </c>
      <c r="P139" s="59">
        <v>44400</v>
      </c>
      <c r="Q139" s="58">
        <v>0</v>
      </c>
      <c r="R139" s="55">
        <v>148000</v>
      </c>
      <c r="S139" s="55" t="s">
        <v>469</v>
      </c>
      <c r="T139" s="55" t="s">
        <v>495</v>
      </c>
      <c r="U139" s="55" t="s">
        <v>18</v>
      </c>
      <c r="V139" s="55" t="s">
        <v>470</v>
      </c>
      <c r="W139" s="42">
        <f>VLOOKUP(B139,'LW13'!$X$15:$Y$501,2,0)-M139</f>
        <v>0</v>
      </c>
    </row>
    <row r="140" spans="1:23" x14ac:dyDescent="0.2">
      <c r="A140" s="9" t="str">
        <f t="shared" si="3"/>
        <v>41NL300142</v>
      </c>
      <c r="B140" s="9" t="str">
        <f>COUNTIF($A$7:A140,A140)&amp;A140</f>
        <v>141NL300142</v>
      </c>
      <c r="C140" s="54">
        <v>46026</v>
      </c>
      <c r="D140" s="55" t="s">
        <v>294</v>
      </c>
      <c r="E140" s="56" t="s">
        <v>506</v>
      </c>
      <c r="F140" s="56" t="s">
        <v>295</v>
      </c>
      <c r="G140" s="55" t="s">
        <v>492</v>
      </c>
      <c r="H140" s="55" t="s">
        <v>493</v>
      </c>
      <c r="I140" s="55" t="s">
        <v>507</v>
      </c>
      <c r="J140" s="55" t="s">
        <v>259</v>
      </c>
      <c r="K140" s="55" t="s">
        <v>308</v>
      </c>
      <c r="L140" s="55" t="s">
        <v>92</v>
      </c>
      <c r="M140" s="57">
        <v>4.2</v>
      </c>
      <c r="N140" s="58">
        <v>50000</v>
      </c>
      <c r="O140" s="58">
        <v>0</v>
      </c>
      <c r="P140" s="59">
        <v>210000</v>
      </c>
      <c r="Q140" s="58">
        <v>0</v>
      </c>
      <c r="R140" s="55">
        <v>50000</v>
      </c>
      <c r="S140" s="55" t="s">
        <v>469</v>
      </c>
      <c r="T140" s="55" t="s">
        <v>495</v>
      </c>
      <c r="U140" s="55" t="s">
        <v>18</v>
      </c>
      <c r="V140" s="55" t="s">
        <v>470</v>
      </c>
      <c r="W140" s="42">
        <f>VLOOKUP(B140,'LW13'!$X$15:$Y$501,2,0)-M140</f>
        <v>0</v>
      </c>
    </row>
    <row r="141" spans="1:23" x14ac:dyDescent="0.2">
      <c r="A141" s="9" t="str">
        <f t="shared" si="3"/>
        <v>41NL100101</v>
      </c>
      <c r="B141" s="9" t="str">
        <f>COUNTIF($A$7:A141,A141)&amp;A141</f>
        <v>141NL100101</v>
      </c>
      <c r="C141" s="54">
        <v>46026</v>
      </c>
      <c r="D141" s="55" t="s">
        <v>294</v>
      </c>
      <c r="E141" s="56" t="s">
        <v>506</v>
      </c>
      <c r="F141" s="56" t="s">
        <v>295</v>
      </c>
      <c r="G141" s="55" t="s">
        <v>492</v>
      </c>
      <c r="H141" s="55" t="s">
        <v>493</v>
      </c>
      <c r="I141" s="55" t="s">
        <v>507</v>
      </c>
      <c r="J141" s="55" t="s">
        <v>263</v>
      </c>
      <c r="K141" s="55" t="s">
        <v>52</v>
      </c>
      <c r="L141" s="55" t="s">
        <v>318</v>
      </c>
      <c r="M141" s="57">
        <v>60</v>
      </c>
      <c r="N141" s="58">
        <v>5000</v>
      </c>
      <c r="O141" s="58">
        <v>0</v>
      </c>
      <c r="P141" s="59">
        <v>300000</v>
      </c>
      <c r="Q141" s="58">
        <v>0</v>
      </c>
      <c r="R141" s="55">
        <v>5000</v>
      </c>
      <c r="S141" s="55" t="s">
        <v>469</v>
      </c>
      <c r="T141" s="55" t="s">
        <v>495</v>
      </c>
      <c r="U141" s="55" t="s">
        <v>18</v>
      </c>
      <c r="V141" s="55" t="s">
        <v>470</v>
      </c>
      <c r="W141" s="42">
        <f>VLOOKUP(B141,'LW13'!$X$15:$Y$501,2,0)-M141</f>
        <v>0</v>
      </c>
    </row>
    <row r="142" spans="1:23" x14ac:dyDescent="0.2">
      <c r="A142" s="9" t="str">
        <f t="shared" si="3"/>
        <v>41NL300090</v>
      </c>
      <c r="B142" s="9" t="str">
        <f>COUNTIF($A$7:A142,A142)&amp;A142</f>
        <v>141NL300090</v>
      </c>
      <c r="C142" s="54">
        <v>46026</v>
      </c>
      <c r="D142" s="55" t="s">
        <v>294</v>
      </c>
      <c r="E142" s="56" t="s">
        <v>506</v>
      </c>
      <c r="F142" s="56" t="s">
        <v>295</v>
      </c>
      <c r="G142" s="55" t="s">
        <v>492</v>
      </c>
      <c r="H142" s="55" t="s">
        <v>493</v>
      </c>
      <c r="I142" s="55" t="s">
        <v>507</v>
      </c>
      <c r="J142" s="55" t="s">
        <v>189</v>
      </c>
      <c r="K142" s="55" t="s">
        <v>39</v>
      </c>
      <c r="L142" s="55" t="s">
        <v>92</v>
      </c>
      <c r="M142" s="57">
        <v>3</v>
      </c>
      <c r="N142" s="58">
        <v>145000</v>
      </c>
      <c r="O142" s="58">
        <v>0</v>
      </c>
      <c r="P142" s="59">
        <v>435000</v>
      </c>
      <c r="Q142" s="58">
        <v>0</v>
      </c>
      <c r="R142" s="55">
        <v>145000</v>
      </c>
      <c r="S142" s="55" t="s">
        <v>469</v>
      </c>
      <c r="T142" s="55" t="s">
        <v>495</v>
      </c>
      <c r="U142" s="55" t="s">
        <v>18</v>
      </c>
      <c r="V142" s="55" t="s">
        <v>470</v>
      </c>
      <c r="W142" s="42">
        <f>VLOOKUP(B142,'LW13'!$X$15:$Y$501,2,0)-M142</f>
        <v>0</v>
      </c>
    </row>
    <row r="143" spans="1:23" x14ac:dyDescent="0.2">
      <c r="A143" s="9" t="str">
        <f t="shared" si="3"/>
        <v>41NL300091</v>
      </c>
      <c r="B143" s="9" t="str">
        <f>COUNTIF($A$7:A143,A143)&amp;A143</f>
        <v>141NL300091</v>
      </c>
      <c r="C143" s="54">
        <v>46026</v>
      </c>
      <c r="D143" s="55" t="s">
        <v>294</v>
      </c>
      <c r="E143" s="56" t="s">
        <v>506</v>
      </c>
      <c r="F143" s="56" t="s">
        <v>295</v>
      </c>
      <c r="G143" s="55" t="s">
        <v>492</v>
      </c>
      <c r="H143" s="55" t="s">
        <v>493</v>
      </c>
      <c r="I143" s="55" t="s">
        <v>507</v>
      </c>
      <c r="J143" s="55" t="s">
        <v>190</v>
      </c>
      <c r="K143" s="55" t="s">
        <v>40</v>
      </c>
      <c r="L143" s="55" t="s">
        <v>92</v>
      </c>
      <c r="M143" s="57">
        <v>2</v>
      </c>
      <c r="N143" s="58">
        <v>47000</v>
      </c>
      <c r="O143" s="58">
        <v>0</v>
      </c>
      <c r="P143" s="59">
        <v>94000</v>
      </c>
      <c r="Q143" s="58">
        <v>0</v>
      </c>
      <c r="R143" s="55">
        <v>47000</v>
      </c>
      <c r="S143" s="55" t="s">
        <v>469</v>
      </c>
      <c r="T143" s="55" t="s">
        <v>495</v>
      </c>
      <c r="U143" s="55" t="s">
        <v>18</v>
      </c>
      <c r="V143" s="55" t="s">
        <v>470</v>
      </c>
      <c r="W143" s="42">
        <f>VLOOKUP(B143,'LW13'!$X$15:$Y$501,2,0)-M143</f>
        <v>0</v>
      </c>
    </row>
    <row r="144" spans="1:23" x14ac:dyDescent="0.2">
      <c r="A144" s="9" t="str">
        <f t="shared" ref="A144:A154" si="4">DAY(C144)&amp;MONTH(C144)&amp;J144</f>
        <v>41NL300096</v>
      </c>
      <c r="B144" s="9" t="str">
        <f>COUNTIF($A$7:A144,A144)&amp;A144</f>
        <v>141NL300096</v>
      </c>
      <c r="C144" s="54">
        <v>46026</v>
      </c>
      <c r="D144" s="55" t="s">
        <v>294</v>
      </c>
      <c r="E144" s="56" t="s">
        <v>506</v>
      </c>
      <c r="F144" s="56" t="s">
        <v>295</v>
      </c>
      <c r="G144" s="55" t="s">
        <v>492</v>
      </c>
      <c r="H144" s="55" t="s">
        <v>493</v>
      </c>
      <c r="I144" s="55" t="s">
        <v>507</v>
      </c>
      <c r="J144" s="55" t="s">
        <v>193</v>
      </c>
      <c r="K144" s="55" t="s">
        <v>41</v>
      </c>
      <c r="L144" s="55" t="s">
        <v>92</v>
      </c>
      <c r="M144" s="57">
        <v>7.5</v>
      </c>
      <c r="N144" s="58">
        <v>45000</v>
      </c>
      <c r="O144" s="58">
        <v>0</v>
      </c>
      <c r="P144" s="59">
        <v>337500</v>
      </c>
      <c r="Q144" s="58">
        <v>0</v>
      </c>
      <c r="R144" s="55">
        <v>45000</v>
      </c>
      <c r="S144" s="55" t="s">
        <v>469</v>
      </c>
      <c r="T144" s="55" t="s">
        <v>495</v>
      </c>
      <c r="U144" s="55" t="s">
        <v>18</v>
      </c>
      <c r="V144" s="55" t="s">
        <v>470</v>
      </c>
      <c r="W144" s="42">
        <f>VLOOKUP(B144,'LW13'!$X$15:$Y$501,2,0)-M144</f>
        <v>0</v>
      </c>
    </row>
    <row r="145" spans="1:23" x14ac:dyDescent="0.2">
      <c r="A145" s="9" t="str">
        <f t="shared" si="4"/>
        <v>41NL300097</v>
      </c>
      <c r="B145" s="9" t="str">
        <f>COUNTIF($A$7:A145,A145)&amp;A145</f>
        <v>141NL300097</v>
      </c>
      <c r="C145" s="54">
        <v>46026</v>
      </c>
      <c r="D145" s="55" t="s">
        <v>294</v>
      </c>
      <c r="E145" s="56" t="s">
        <v>506</v>
      </c>
      <c r="F145" s="56" t="s">
        <v>295</v>
      </c>
      <c r="G145" s="55" t="s">
        <v>492</v>
      </c>
      <c r="H145" s="55" t="s">
        <v>493</v>
      </c>
      <c r="I145" s="55" t="s">
        <v>507</v>
      </c>
      <c r="J145" s="55" t="s">
        <v>194</v>
      </c>
      <c r="K145" s="55" t="s">
        <v>317</v>
      </c>
      <c r="L145" s="55" t="s">
        <v>92</v>
      </c>
      <c r="M145" s="57">
        <v>1.5</v>
      </c>
      <c r="N145" s="58">
        <v>90000</v>
      </c>
      <c r="O145" s="58">
        <v>0</v>
      </c>
      <c r="P145" s="59">
        <v>135000</v>
      </c>
      <c r="Q145" s="58">
        <v>0</v>
      </c>
      <c r="R145" s="55">
        <v>90000</v>
      </c>
      <c r="S145" s="55" t="s">
        <v>469</v>
      </c>
      <c r="T145" s="55" t="s">
        <v>495</v>
      </c>
      <c r="U145" s="55" t="s">
        <v>18</v>
      </c>
      <c r="V145" s="55" t="s">
        <v>470</v>
      </c>
      <c r="W145" s="42">
        <f>VLOOKUP(B145,'LW13'!$X$15:$Y$501,2,0)-M145</f>
        <v>0</v>
      </c>
    </row>
    <row r="146" spans="1:23" x14ac:dyDescent="0.2">
      <c r="A146" s="9" t="str">
        <f t="shared" si="4"/>
        <v>41NL300189</v>
      </c>
      <c r="B146" s="9" t="str">
        <f>COUNTIF($A$7:A146,A146)&amp;A146</f>
        <v>141NL300189</v>
      </c>
      <c r="C146" s="54">
        <v>46026</v>
      </c>
      <c r="D146" s="55" t="s">
        <v>294</v>
      </c>
      <c r="E146" s="56" t="s">
        <v>508</v>
      </c>
      <c r="F146" s="56" t="s">
        <v>295</v>
      </c>
      <c r="G146" s="55" t="s">
        <v>492</v>
      </c>
      <c r="H146" s="55" t="s">
        <v>493</v>
      </c>
      <c r="I146" s="55" t="s">
        <v>507</v>
      </c>
      <c r="J146" s="55" t="s">
        <v>85</v>
      </c>
      <c r="K146" s="55" t="s">
        <v>54</v>
      </c>
      <c r="L146" s="55" t="s">
        <v>92</v>
      </c>
      <c r="M146" s="57">
        <v>2.5</v>
      </c>
      <c r="N146" s="58">
        <v>15000</v>
      </c>
      <c r="O146" s="58">
        <v>0</v>
      </c>
      <c r="P146" s="59">
        <v>37500</v>
      </c>
      <c r="Q146" s="58">
        <v>0</v>
      </c>
      <c r="R146" s="55">
        <v>15000</v>
      </c>
      <c r="S146" s="55" t="s">
        <v>469</v>
      </c>
      <c r="T146" s="55" t="s">
        <v>495</v>
      </c>
      <c r="U146" s="55" t="s">
        <v>18</v>
      </c>
      <c r="V146" s="55" t="s">
        <v>470</v>
      </c>
      <c r="W146" s="42">
        <f>VLOOKUP(B146,'LW13'!$X$15:$Y$501,2,0)-M146</f>
        <v>0</v>
      </c>
    </row>
    <row r="147" spans="1:23" x14ac:dyDescent="0.2">
      <c r="A147" s="9" t="str">
        <f t="shared" si="4"/>
        <v>41NL300008</v>
      </c>
      <c r="B147" s="9" t="str">
        <f>COUNTIF($A$7:A147,A147)&amp;A147</f>
        <v>141NL300008</v>
      </c>
      <c r="C147" s="54">
        <v>46026</v>
      </c>
      <c r="D147" s="55" t="s">
        <v>294</v>
      </c>
      <c r="E147" s="56" t="s">
        <v>508</v>
      </c>
      <c r="F147" s="56" t="s">
        <v>295</v>
      </c>
      <c r="G147" s="55" t="s">
        <v>492</v>
      </c>
      <c r="H147" s="55" t="s">
        <v>493</v>
      </c>
      <c r="I147" s="55" t="s">
        <v>507</v>
      </c>
      <c r="J147" s="55" t="s">
        <v>93</v>
      </c>
      <c r="K147" s="55" t="s">
        <v>301</v>
      </c>
      <c r="L147" s="55" t="s">
        <v>92</v>
      </c>
      <c r="M147" s="57">
        <v>7</v>
      </c>
      <c r="N147" s="58">
        <v>40000</v>
      </c>
      <c r="O147" s="58">
        <v>0</v>
      </c>
      <c r="P147" s="59">
        <v>280000</v>
      </c>
      <c r="Q147" s="58">
        <v>0</v>
      </c>
      <c r="R147" s="55">
        <v>40000</v>
      </c>
      <c r="S147" s="55" t="s">
        <v>469</v>
      </c>
      <c r="T147" s="55" t="s">
        <v>495</v>
      </c>
      <c r="U147" s="55" t="s">
        <v>18</v>
      </c>
      <c r="V147" s="55" t="s">
        <v>470</v>
      </c>
      <c r="W147" s="42">
        <f>VLOOKUP(B147,'LW13'!$X$15:$Y$501,2,0)-M147</f>
        <v>0</v>
      </c>
    </row>
    <row r="148" spans="1:23" x14ac:dyDescent="0.2">
      <c r="A148" s="9" t="str">
        <f t="shared" si="4"/>
        <v>41NL300137</v>
      </c>
      <c r="B148" s="9" t="str">
        <f>COUNTIF($A$7:A148,A148)&amp;A148</f>
        <v>141NL300137</v>
      </c>
      <c r="C148" s="54">
        <v>46026</v>
      </c>
      <c r="D148" s="55" t="s">
        <v>294</v>
      </c>
      <c r="E148" s="56" t="s">
        <v>508</v>
      </c>
      <c r="F148" s="56" t="s">
        <v>295</v>
      </c>
      <c r="G148" s="55" t="s">
        <v>492</v>
      </c>
      <c r="H148" s="55" t="s">
        <v>493</v>
      </c>
      <c r="I148" s="55" t="s">
        <v>507</v>
      </c>
      <c r="J148" s="55" t="s">
        <v>96</v>
      </c>
      <c r="K148" s="55" t="s">
        <v>397</v>
      </c>
      <c r="L148" s="55" t="s">
        <v>92</v>
      </c>
      <c r="M148" s="57">
        <v>3.8</v>
      </c>
      <c r="N148" s="58">
        <v>52000</v>
      </c>
      <c r="O148" s="58">
        <v>0</v>
      </c>
      <c r="P148" s="59">
        <v>197600</v>
      </c>
      <c r="Q148" s="58">
        <v>0</v>
      </c>
      <c r="R148" s="55">
        <v>52000</v>
      </c>
      <c r="S148" s="55" t="s">
        <v>469</v>
      </c>
      <c r="T148" s="55" t="s">
        <v>495</v>
      </c>
      <c r="U148" s="55" t="s">
        <v>18</v>
      </c>
      <c r="V148" s="55" t="s">
        <v>470</v>
      </c>
      <c r="W148" s="42">
        <f>VLOOKUP(B148,'LW13'!$X$15:$Y$501,2,0)-M148</f>
        <v>0</v>
      </c>
    </row>
    <row r="149" spans="1:23" x14ac:dyDescent="0.2">
      <c r="A149" s="9" t="str">
        <f t="shared" si="4"/>
        <v>41NL300041</v>
      </c>
      <c r="B149" s="9" t="str">
        <f>COUNTIF($A$7:A149,A149)&amp;A149</f>
        <v>141NL300041</v>
      </c>
      <c r="C149" s="54">
        <v>46026</v>
      </c>
      <c r="D149" s="55" t="s">
        <v>294</v>
      </c>
      <c r="E149" s="56" t="s">
        <v>508</v>
      </c>
      <c r="F149" s="56" t="s">
        <v>295</v>
      </c>
      <c r="G149" s="55" t="s">
        <v>492</v>
      </c>
      <c r="H149" s="55" t="s">
        <v>493</v>
      </c>
      <c r="I149" s="55" t="s">
        <v>507</v>
      </c>
      <c r="J149" s="55" t="s">
        <v>140</v>
      </c>
      <c r="K149" s="55" t="s">
        <v>319</v>
      </c>
      <c r="L149" s="55" t="s">
        <v>300</v>
      </c>
      <c r="M149" s="57">
        <v>12</v>
      </c>
      <c r="N149" s="58">
        <v>15000</v>
      </c>
      <c r="O149" s="58">
        <v>0</v>
      </c>
      <c r="P149" s="59">
        <v>180000</v>
      </c>
      <c r="Q149" s="58">
        <v>0</v>
      </c>
      <c r="R149" s="55">
        <v>15000</v>
      </c>
      <c r="S149" s="55" t="s">
        <v>469</v>
      </c>
      <c r="T149" s="55" t="s">
        <v>495</v>
      </c>
      <c r="U149" s="55" t="s">
        <v>18</v>
      </c>
      <c r="V149" s="55" t="s">
        <v>470</v>
      </c>
      <c r="W149" s="42">
        <f>VLOOKUP(B149,'LW13'!$X$15:$Y$501,2,0)-M149</f>
        <v>0</v>
      </c>
    </row>
    <row r="150" spans="1:23" x14ac:dyDescent="0.2">
      <c r="A150" s="9" t="str">
        <f t="shared" si="4"/>
        <v>41NL300121</v>
      </c>
      <c r="B150" s="9" t="str">
        <f>COUNTIF($A$7:A150,A150)&amp;A150</f>
        <v>141NL300121</v>
      </c>
      <c r="C150" s="54">
        <v>46026</v>
      </c>
      <c r="D150" s="55" t="s">
        <v>294</v>
      </c>
      <c r="E150" s="56" t="s">
        <v>508</v>
      </c>
      <c r="F150" s="56" t="s">
        <v>295</v>
      </c>
      <c r="G150" s="55" t="s">
        <v>492</v>
      </c>
      <c r="H150" s="55" t="s">
        <v>493</v>
      </c>
      <c r="I150" s="55" t="s">
        <v>507</v>
      </c>
      <c r="J150" s="55" t="s">
        <v>231</v>
      </c>
      <c r="K150" s="55" t="s">
        <v>35</v>
      </c>
      <c r="L150" s="55" t="s">
        <v>92</v>
      </c>
      <c r="M150" s="57">
        <v>0.1</v>
      </c>
      <c r="N150" s="58">
        <v>22000</v>
      </c>
      <c r="O150" s="58">
        <v>0</v>
      </c>
      <c r="P150" s="59">
        <v>2200</v>
      </c>
      <c r="Q150" s="58">
        <v>0</v>
      </c>
      <c r="R150" s="55">
        <v>22000</v>
      </c>
      <c r="S150" s="55" t="s">
        <v>469</v>
      </c>
      <c r="T150" s="55" t="s">
        <v>495</v>
      </c>
      <c r="U150" s="55" t="s">
        <v>18</v>
      </c>
      <c r="V150" s="55" t="s">
        <v>470</v>
      </c>
      <c r="W150" s="42">
        <f>VLOOKUP(B150,'LW13'!$X$15:$Y$501,2,0)-M150</f>
        <v>0</v>
      </c>
    </row>
    <row r="151" spans="1:23" x14ac:dyDescent="0.2">
      <c r="A151" s="9" t="str">
        <f t="shared" si="4"/>
        <v>41NL300140</v>
      </c>
      <c r="B151" s="9" t="str">
        <f>COUNTIF($A$7:A151,A151)&amp;A151</f>
        <v>141NL300140</v>
      </c>
      <c r="C151" s="54">
        <v>46026</v>
      </c>
      <c r="D151" s="55" t="s">
        <v>294</v>
      </c>
      <c r="E151" s="56" t="s">
        <v>508</v>
      </c>
      <c r="F151" s="56" t="s">
        <v>295</v>
      </c>
      <c r="G151" s="55" t="s">
        <v>492</v>
      </c>
      <c r="H151" s="55" t="s">
        <v>493</v>
      </c>
      <c r="I151" s="55" t="s">
        <v>507</v>
      </c>
      <c r="J151" s="55" t="s">
        <v>233</v>
      </c>
      <c r="K151" s="55" t="s">
        <v>475</v>
      </c>
      <c r="L151" s="55" t="s">
        <v>92</v>
      </c>
      <c r="M151" s="57">
        <v>0.3</v>
      </c>
      <c r="N151" s="58">
        <v>36000</v>
      </c>
      <c r="O151" s="58">
        <v>0</v>
      </c>
      <c r="P151" s="59">
        <v>10800</v>
      </c>
      <c r="Q151" s="58">
        <v>0</v>
      </c>
      <c r="R151" s="55">
        <v>36000</v>
      </c>
      <c r="S151" s="55" t="s">
        <v>469</v>
      </c>
      <c r="T151" s="55" t="s">
        <v>495</v>
      </c>
      <c r="U151" s="55" t="s">
        <v>18</v>
      </c>
      <c r="V151" s="55" t="s">
        <v>470</v>
      </c>
      <c r="W151" s="42">
        <f>VLOOKUP(B151,'LW13'!$X$15:$Y$501,2,0)-M151</f>
        <v>0</v>
      </c>
    </row>
    <row r="152" spans="1:23" x14ac:dyDescent="0.2">
      <c r="A152" s="9" t="str">
        <f t="shared" si="4"/>
        <v>41NL300119</v>
      </c>
      <c r="B152" s="9" t="str">
        <f>COUNTIF($A$7:A152,A152)&amp;A152</f>
        <v>141NL300119</v>
      </c>
      <c r="C152" s="54">
        <v>46026</v>
      </c>
      <c r="D152" s="55" t="s">
        <v>294</v>
      </c>
      <c r="E152" s="56" t="s">
        <v>508</v>
      </c>
      <c r="F152" s="56" t="s">
        <v>295</v>
      </c>
      <c r="G152" s="55" t="s">
        <v>492</v>
      </c>
      <c r="H152" s="55" t="s">
        <v>493</v>
      </c>
      <c r="I152" s="55" t="s">
        <v>507</v>
      </c>
      <c r="J152" s="55" t="s">
        <v>242</v>
      </c>
      <c r="K152" s="55" t="s">
        <v>307</v>
      </c>
      <c r="L152" s="55" t="s">
        <v>92</v>
      </c>
      <c r="M152" s="57">
        <v>1</v>
      </c>
      <c r="N152" s="58">
        <v>21000</v>
      </c>
      <c r="O152" s="58">
        <v>0</v>
      </c>
      <c r="P152" s="59">
        <v>21000</v>
      </c>
      <c r="Q152" s="58">
        <v>0</v>
      </c>
      <c r="R152" s="55">
        <v>21000</v>
      </c>
      <c r="S152" s="55" t="s">
        <v>469</v>
      </c>
      <c r="T152" s="55" t="s">
        <v>495</v>
      </c>
      <c r="U152" s="55" t="s">
        <v>18</v>
      </c>
      <c r="V152" s="55" t="s">
        <v>470</v>
      </c>
      <c r="W152" s="42">
        <f>VLOOKUP(B152,'LW13'!$X$15:$Y$501,2,0)-M152</f>
        <v>0</v>
      </c>
    </row>
    <row r="153" spans="1:23" x14ac:dyDescent="0.2">
      <c r="A153" s="9" t="str">
        <f t="shared" si="4"/>
        <v>41NL300147</v>
      </c>
      <c r="B153" s="9" t="str">
        <f>COUNTIF($A$7:A153,A153)&amp;A153</f>
        <v>141NL300147</v>
      </c>
      <c r="C153" s="54">
        <v>46026</v>
      </c>
      <c r="D153" s="55" t="s">
        <v>294</v>
      </c>
      <c r="E153" s="56" t="s">
        <v>508</v>
      </c>
      <c r="F153" s="56" t="s">
        <v>295</v>
      </c>
      <c r="G153" s="55" t="s">
        <v>492</v>
      </c>
      <c r="H153" s="55" t="s">
        <v>493</v>
      </c>
      <c r="I153" s="55" t="s">
        <v>507</v>
      </c>
      <c r="J153" s="55" t="s">
        <v>270</v>
      </c>
      <c r="K153" s="55" t="s">
        <v>309</v>
      </c>
      <c r="L153" s="55" t="s">
        <v>92</v>
      </c>
      <c r="M153" s="57">
        <v>2</v>
      </c>
      <c r="N153" s="58">
        <v>62000</v>
      </c>
      <c r="O153" s="58">
        <v>0</v>
      </c>
      <c r="P153" s="59">
        <v>124000</v>
      </c>
      <c r="Q153" s="58">
        <v>0</v>
      </c>
      <c r="R153" s="55">
        <v>62000</v>
      </c>
      <c r="S153" s="55" t="s">
        <v>469</v>
      </c>
      <c r="T153" s="55" t="s">
        <v>495</v>
      </c>
      <c r="U153" s="55" t="s">
        <v>18</v>
      </c>
      <c r="V153" s="55" t="s">
        <v>470</v>
      </c>
      <c r="W153" s="42">
        <f>VLOOKUP(B153,'LW13'!$X$15:$Y$501,2,0)-M153</f>
        <v>0</v>
      </c>
    </row>
    <row r="154" spans="1:23" x14ac:dyDescent="0.2">
      <c r="A154" s="9" t="str">
        <f t="shared" si="4"/>
        <v>51NL600068</v>
      </c>
      <c r="B154" s="9" t="str">
        <f>COUNTIF($A$7:A154,A154)&amp;A154</f>
        <v>151NL600068</v>
      </c>
      <c r="C154" s="54">
        <v>46027</v>
      </c>
      <c r="D154" s="55" t="s">
        <v>294</v>
      </c>
      <c r="E154" s="56" t="s">
        <v>509</v>
      </c>
      <c r="F154" s="56" t="s">
        <v>295</v>
      </c>
      <c r="G154" s="55" t="s">
        <v>492</v>
      </c>
      <c r="H154" s="55" t="s">
        <v>493</v>
      </c>
      <c r="I154" s="55" t="s">
        <v>510</v>
      </c>
      <c r="J154" s="55" t="s">
        <v>123</v>
      </c>
      <c r="K154" s="55" t="s">
        <v>74</v>
      </c>
      <c r="L154" s="55" t="s">
        <v>92</v>
      </c>
      <c r="M154" s="57">
        <v>0.2</v>
      </c>
      <c r="N154" s="58">
        <v>95000</v>
      </c>
      <c r="O154" s="58">
        <v>0</v>
      </c>
      <c r="P154" s="59">
        <v>19000</v>
      </c>
      <c r="Q154" s="58">
        <v>0</v>
      </c>
      <c r="R154" s="55">
        <v>95000</v>
      </c>
      <c r="S154" s="55" t="s">
        <v>469</v>
      </c>
      <c r="T154" s="55" t="s">
        <v>495</v>
      </c>
      <c r="U154" s="55" t="s">
        <v>18</v>
      </c>
      <c r="V154" s="55" t="s">
        <v>470</v>
      </c>
      <c r="W154" s="42">
        <f>VLOOKUP(B154,'LW13'!$X$15:$Y$501,2,0)-M154</f>
        <v>0</v>
      </c>
    </row>
    <row r="155" spans="1:23" x14ac:dyDescent="0.2">
      <c r="A155" s="9" t="str">
        <f t="shared" ref="A155:A157" si="5">DAY(C155)&amp;MONTH(C155)&amp;J155</f>
        <v>51NL600004</v>
      </c>
      <c r="B155" s="9" t="str">
        <f>COUNTIF($A$7:A155,A155)&amp;A155</f>
        <v>151NL600004</v>
      </c>
      <c r="C155" s="54">
        <v>46027</v>
      </c>
      <c r="D155" s="55" t="s">
        <v>294</v>
      </c>
      <c r="E155" s="56" t="s">
        <v>509</v>
      </c>
      <c r="F155" s="56" t="s">
        <v>295</v>
      </c>
      <c r="G155" s="55" t="s">
        <v>492</v>
      </c>
      <c r="H155" s="55" t="s">
        <v>493</v>
      </c>
      <c r="I155" s="55" t="s">
        <v>510</v>
      </c>
      <c r="J155" s="55" t="s">
        <v>144</v>
      </c>
      <c r="K155" s="55" t="s">
        <v>47</v>
      </c>
      <c r="L155" s="55" t="s">
        <v>92</v>
      </c>
      <c r="M155" s="57">
        <v>25.5</v>
      </c>
      <c r="N155" s="58">
        <v>18000</v>
      </c>
      <c r="O155" s="58">
        <v>0</v>
      </c>
      <c r="P155" s="59">
        <v>459000</v>
      </c>
      <c r="Q155" s="58">
        <v>0</v>
      </c>
      <c r="R155" s="55">
        <v>18000</v>
      </c>
      <c r="S155" s="55" t="s">
        <v>469</v>
      </c>
      <c r="T155" s="55" t="s">
        <v>495</v>
      </c>
      <c r="U155" s="55" t="s">
        <v>18</v>
      </c>
      <c r="V155" s="55" t="s">
        <v>470</v>
      </c>
      <c r="W155" s="42">
        <f>VLOOKUP(B155,'LW13'!$X$15:$Y$501,2,0)-M155</f>
        <v>0</v>
      </c>
    </row>
    <row r="156" spans="1:23" x14ac:dyDescent="0.2">
      <c r="A156" s="9" t="str">
        <f t="shared" si="5"/>
        <v>51NL300189</v>
      </c>
      <c r="B156" s="9" t="str">
        <f>COUNTIF($A$7:A156,A156)&amp;A156</f>
        <v>151NL300189</v>
      </c>
      <c r="C156" s="54">
        <v>46027</v>
      </c>
      <c r="D156" s="55" t="s">
        <v>294</v>
      </c>
      <c r="E156" s="56" t="s">
        <v>509</v>
      </c>
      <c r="F156" s="56" t="s">
        <v>295</v>
      </c>
      <c r="G156" s="55" t="s">
        <v>492</v>
      </c>
      <c r="H156" s="55" t="s">
        <v>493</v>
      </c>
      <c r="I156" s="55" t="s">
        <v>510</v>
      </c>
      <c r="J156" s="55" t="s">
        <v>85</v>
      </c>
      <c r="K156" s="55" t="s">
        <v>54</v>
      </c>
      <c r="L156" s="55" t="s">
        <v>92</v>
      </c>
      <c r="M156" s="57">
        <v>1.5</v>
      </c>
      <c r="N156" s="58">
        <v>15000</v>
      </c>
      <c r="O156" s="58">
        <v>0</v>
      </c>
      <c r="P156" s="59">
        <v>22500</v>
      </c>
      <c r="Q156" s="58">
        <v>0</v>
      </c>
      <c r="R156" s="55">
        <v>15000</v>
      </c>
      <c r="S156" s="55" t="s">
        <v>469</v>
      </c>
      <c r="T156" s="55" t="s">
        <v>495</v>
      </c>
      <c r="U156" s="55" t="s">
        <v>18</v>
      </c>
      <c r="V156" s="55" t="s">
        <v>470</v>
      </c>
      <c r="W156" s="42">
        <f>VLOOKUP(B156,'LW13'!$X$15:$Y$501,2,0)-M156</f>
        <v>0</v>
      </c>
    </row>
    <row r="157" spans="1:23" x14ac:dyDescent="0.2">
      <c r="A157" s="9" t="str">
        <f t="shared" si="5"/>
        <v>51NL300004</v>
      </c>
      <c r="B157" s="9" t="str">
        <f>COUNTIF($A$7:A157,A157)&amp;A157</f>
        <v>151NL300004</v>
      </c>
      <c r="C157" s="54">
        <v>46027</v>
      </c>
      <c r="D157" s="55" t="s">
        <v>294</v>
      </c>
      <c r="E157" s="56" t="s">
        <v>509</v>
      </c>
      <c r="F157" s="56" t="s">
        <v>295</v>
      </c>
      <c r="G157" s="55" t="s">
        <v>492</v>
      </c>
      <c r="H157" s="55" t="s">
        <v>493</v>
      </c>
      <c r="I157" s="55" t="s">
        <v>510</v>
      </c>
      <c r="J157" s="55" t="s">
        <v>86</v>
      </c>
      <c r="K157" s="55" t="s">
        <v>16</v>
      </c>
      <c r="L157" s="55" t="s">
        <v>92</v>
      </c>
      <c r="M157" s="57">
        <v>2</v>
      </c>
      <c r="N157" s="58">
        <v>19000</v>
      </c>
      <c r="O157" s="58">
        <v>0</v>
      </c>
      <c r="P157" s="59">
        <v>38000</v>
      </c>
      <c r="Q157" s="58">
        <v>0</v>
      </c>
      <c r="R157" s="55">
        <v>19000</v>
      </c>
      <c r="S157" s="55" t="s">
        <v>469</v>
      </c>
      <c r="T157" s="55" t="s">
        <v>495</v>
      </c>
      <c r="U157" s="55" t="s">
        <v>18</v>
      </c>
      <c r="V157" s="55" t="s">
        <v>470</v>
      </c>
      <c r="W157" s="42">
        <f>VLOOKUP(B157,'LW13'!$X$15:$Y$501,2,0)-M157</f>
        <v>0</v>
      </c>
    </row>
    <row r="158" spans="1:23" x14ac:dyDescent="0.2">
      <c r="A158" s="9" t="str">
        <f t="shared" ref="A158:A165" si="6">DAY(C158)&amp;MONTH(C158)&amp;J158</f>
        <v>51NL300007</v>
      </c>
      <c r="B158" s="9" t="str">
        <f>COUNTIF($A$7:A158,A158)&amp;A158</f>
        <v>151NL300007</v>
      </c>
      <c r="C158" s="54">
        <v>46027</v>
      </c>
      <c r="D158" s="55" t="s">
        <v>294</v>
      </c>
      <c r="E158" s="56" t="s">
        <v>509</v>
      </c>
      <c r="F158" s="56" t="s">
        <v>295</v>
      </c>
      <c r="G158" s="55" t="s">
        <v>492</v>
      </c>
      <c r="H158" s="55" t="s">
        <v>493</v>
      </c>
      <c r="I158" s="55" t="s">
        <v>510</v>
      </c>
      <c r="J158" s="55" t="s">
        <v>90</v>
      </c>
      <c r="K158" s="55" t="s">
        <v>91</v>
      </c>
      <c r="L158" s="55" t="s">
        <v>92</v>
      </c>
      <c r="M158" s="57">
        <v>2.2999999999999998</v>
      </c>
      <c r="N158" s="58">
        <v>30000</v>
      </c>
      <c r="O158" s="58">
        <v>0</v>
      </c>
      <c r="P158" s="59">
        <v>69000</v>
      </c>
      <c r="Q158" s="58">
        <v>0</v>
      </c>
      <c r="R158" s="55">
        <v>30000</v>
      </c>
      <c r="S158" s="55" t="s">
        <v>469</v>
      </c>
      <c r="T158" s="55" t="s">
        <v>495</v>
      </c>
      <c r="U158" s="55" t="s">
        <v>18</v>
      </c>
      <c r="V158" s="55" t="s">
        <v>470</v>
      </c>
      <c r="W158" s="42">
        <f>VLOOKUP(B158,'LW13'!$X$15:$Y$501,2,0)-M158</f>
        <v>0</v>
      </c>
    </row>
    <row r="159" spans="1:23" x14ac:dyDescent="0.2">
      <c r="A159" s="9" t="str">
        <f t="shared" si="6"/>
        <v>51NL300008</v>
      </c>
      <c r="B159" s="9" t="str">
        <f>COUNTIF($A$7:A159,A159)&amp;A159</f>
        <v>151NL300008</v>
      </c>
      <c r="C159" s="54">
        <v>46027</v>
      </c>
      <c r="D159" s="55" t="s">
        <v>294</v>
      </c>
      <c r="E159" s="56" t="s">
        <v>509</v>
      </c>
      <c r="F159" s="56" t="s">
        <v>295</v>
      </c>
      <c r="G159" s="55" t="s">
        <v>492</v>
      </c>
      <c r="H159" s="55" t="s">
        <v>493</v>
      </c>
      <c r="I159" s="55" t="s">
        <v>510</v>
      </c>
      <c r="J159" s="55" t="s">
        <v>93</v>
      </c>
      <c r="K159" s="55" t="s">
        <v>301</v>
      </c>
      <c r="L159" s="55" t="s">
        <v>92</v>
      </c>
      <c r="M159" s="57">
        <v>6</v>
      </c>
      <c r="N159" s="58">
        <v>40000</v>
      </c>
      <c r="O159" s="58">
        <v>0</v>
      </c>
      <c r="P159" s="59">
        <v>240000</v>
      </c>
      <c r="Q159" s="58">
        <v>0</v>
      </c>
      <c r="R159" s="55">
        <v>40000</v>
      </c>
      <c r="S159" s="55" t="s">
        <v>469</v>
      </c>
      <c r="T159" s="55" t="s">
        <v>495</v>
      </c>
      <c r="U159" s="55" t="s">
        <v>18</v>
      </c>
      <c r="V159" s="55" t="s">
        <v>470</v>
      </c>
      <c r="W159" s="42">
        <f>VLOOKUP(B159,'LW13'!$X$15:$Y$501,2,0)-M159</f>
        <v>0</v>
      </c>
    </row>
    <row r="160" spans="1:23" x14ac:dyDescent="0.2">
      <c r="A160" s="9" t="str">
        <f t="shared" si="6"/>
        <v>51NL300028</v>
      </c>
      <c r="B160" s="9" t="str">
        <f>COUNTIF($A$7:A160,A160)&amp;A160</f>
        <v>151NL300028</v>
      </c>
      <c r="C160" s="54">
        <v>46027</v>
      </c>
      <c r="D160" s="55" t="s">
        <v>294</v>
      </c>
      <c r="E160" s="56" t="s">
        <v>509</v>
      </c>
      <c r="F160" s="56" t="s">
        <v>295</v>
      </c>
      <c r="G160" s="55" t="s">
        <v>492</v>
      </c>
      <c r="H160" s="55" t="s">
        <v>493</v>
      </c>
      <c r="I160" s="55" t="s">
        <v>510</v>
      </c>
      <c r="J160" s="55" t="s">
        <v>107</v>
      </c>
      <c r="K160" s="55" t="s">
        <v>70</v>
      </c>
      <c r="L160" s="55" t="s">
        <v>92</v>
      </c>
      <c r="M160" s="57">
        <v>0.5</v>
      </c>
      <c r="N160" s="58">
        <v>75000</v>
      </c>
      <c r="O160" s="58">
        <v>0</v>
      </c>
      <c r="P160" s="59">
        <v>37500</v>
      </c>
      <c r="Q160" s="58">
        <v>0</v>
      </c>
      <c r="R160" s="55">
        <v>75000</v>
      </c>
      <c r="S160" s="55" t="s">
        <v>469</v>
      </c>
      <c r="T160" s="55" t="s">
        <v>495</v>
      </c>
      <c r="U160" s="55" t="s">
        <v>18</v>
      </c>
      <c r="V160" s="55" t="s">
        <v>470</v>
      </c>
      <c r="W160" s="42">
        <f>VLOOKUP(B160,'LW13'!$X$15:$Y$501,2,0)-M160</f>
        <v>0</v>
      </c>
    </row>
    <row r="161" spans="1:23" x14ac:dyDescent="0.2">
      <c r="A161" s="9" t="str">
        <f t="shared" si="6"/>
        <v>51NL300020</v>
      </c>
      <c r="B161" s="9" t="str">
        <f>COUNTIF($A$7:A161,A161)&amp;A161</f>
        <v>151NL300020</v>
      </c>
      <c r="C161" s="54">
        <v>46027</v>
      </c>
      <c r="D161" s="55" t="s">
        <v>294</v>
      </c>
      <c r="E161" s="56" t="s">
        <v>509</v>
      </c>
      <c r="F161" s="56" t="s">
        <v>295</v>
      </c>
      <c r="G161" s="55" t="s">
        <v>492</v>
      </c>
      <c r="H161" s="55" t="s">
        <v>493</v>
      </c>
      <c r="I161" s="55" t="s">
        <v>510</v>
      </c>
      <c r="J161" s="55" t="s">
        <v>110</v>
      </c>
      <c r="K161" s="55" t="s">
        <v>302</v>
      </c>
      <c r="L161" s="55" t="s">
        <v>92</v>
      </c>
      <c r="M161" s="57">
        <v>1.5</v>
      </c>
      <c r="N161" s="58">
        <v>30000</v>
      </c>
      <c r="O161" s="58">
        <v>0</v>
      </c>
      <c r="P161" s="59">
        <v>45000</v>
      </c>
      <c r="Q161" s="58">
        <v>0</v>
      </c>
      <c r="R161" s="55">
        <v>30000</v>
      </c>
      <c r="S161" s="55" t="s">
        <v>469</v>
      </c>
      <c r="T161" s="55" t="s">
        <v>495</v>
      </c>
      <c r="U161" s="55" t="s">
        <v>18</v>
      </c>
      <c r="V161" s="55" t="s">
        <v>470</v>
      </c>
      <c r="W161" s="42">
        <f>VLOOKUP(B161,'LW13'!$X$15:$Y$501,2,0)-M161</f>
        <v>0</v>
      </c>
    </row>
    <row r="162" spans="1:23" x14ac:dyDescent="0.2">
      <c r="A162" s="9" t="str">
        <f t="shared" si="6"/>
        <v>51NL300035</v>
      </c>
      <c r="B162" s="9" t="str">
        <f>COUNTIF($A$7:A162,A162)&amp;A162</f>
        <v>151NL300035</v>
      </c>
      <c r="C162" s="54">
        <v>46027</v>
      </c>
      <c r="D162" s="55" t="s">
        <v>294</v>
      </c>
      <c r="E162" s="56" t="s">
        <v>509</v>
      </c>
      <c r="F162" s="56" t="s">
        <v>295</v>
      </c>
      <c r="G162" s="55" t="s">
        <v>492</v>
      </c>
      <c r="H162" s="55" t="s">
        <v>493</v>
      </c>
      <c r="I162" s="55" t="s">
        <v>510</v>
      </c>
      <c r="J162" s="55" t="s">
        <v>129</v>
      </c>
      <c r="K162" s="55" t="s">
        <v>500</v>
      </c>
      <c r="L162" s="55" t="s">
        <v>92</v>
      </c>
      <c r="M162" s="57">
        <v>0.1</v>
      </c>
      <c r="N162" s="58">
        <v>25000</v>
      </c>
      <c r="O162" s="58">
        <v>0</v>
      </c>
      <c r="P162" s="59">
        <v>2500</v>
      </c>
      <c r="Q162" s="58">
        <v>0</v>
      </c>
      <c r="R162" s="55">
        <v>25000</v>
      </c>
      <c r="S162" s="55" t="s">
        <v>469</v>
      </c>
      <c r="T162" s="55" t="s">
        <v>495</v>
      </c>
      <c r="U162" s="55" t="s">
        <v>18</v>
      </c>
      <c r="V162" s="55" t="s">
        <v>470</v>
      </c>
      <c r="W162" s="42">
        <f>VLOOKUP(B162,'LW13'!$X$15:$Y$501,2,0)-M162</f>
        <v>0</v>
      </c>
    </row>
    <row r="163" spans="1:23" x14ac:dyDescent="0.2">
      <c r="A163" s="9" t="str">
        <f t="shared" si="6"/>
        <v>51NL300107</v>
      </c>
      <c r="B163" s="9" t="str">
        <f>COUNTIF($A$7:A163,A163)&amp;A163</f>
        <v>151NL300107</v>
      </c>
      <c r="C163" s="54">
        <v>46027</v>
      </c>
      <c r="D163" s="55" t="s">
        <v>294</v>
      </c>
      <c r="E163" s="56" t="s">
        <v>509</v>
      </c>
      <c r="F163" s="56" t="s">
        <v>295</v>
      </c>
      <c r="G163" s="55" t="s">
        <v>492</v>
      </c>
      <c r="H163" s="55" t="s">
        <v>493</v>
      </c>
      <c r="I163" s="55" t="s">
        <v>510</v>
      </c>
      <c r="J163" s="55" t="s">
        <v>87</v>
      </c>
      <c r="K163" s="55" t="s">
        <v>299</v>
      </c>
      <c r="L163" s="55" t="s">
        <v>300</v>
      </c>
      <c r="M163" s="57">
        <v>8</v>
      </c>
      <c r="N163" s="58">
        <v>8500</v>
      </c>
      <c r="O163" s="58">
        <v>0</v>
      </c>
      <c r="P163" s="59">
        <v>68000</v>
      </c>
      <c r="Q163" s="58">
        <v>0</v>
      </c>
      <c r="R163" s="55">
        <v>8500</v>
      </c>
      <c r="S163" s="55" t="s">
        <v>469</v>
      </c>
      <c r="T163" s="55" t="s">
        <v>495</v>
      </c>
      <c r="U163" s="55" t="s">
        <v>18</v>
      </c>
      <c r="V163" s="55" t="s">
        <v>470</v>
      </c>
      <c r="W163" s="42">
        <f>VLOOKUP(B163,'LW13'!$X$15:$Y$501,2,0)-M163</f>
        <v>0</v>
      </c>
    </row>
    <row r="164" spans="1:23" x14ac:dyDescent="0.2">
      <c r="A164" s="9" t="str">
        <f t="shared" si="6"/>
        <v>51NL300137</v>
      </c>
      <c r="B164" s="9" t="str">
        <f>COUNTIF($A$7:A164,A164)&amp;A164</f>
        <v>151NL300137</v>
      </c>
      <c r="C164" s="54">
        <v>46027</v>
      </c>
      <c r="D164" s="55" t="s">
        <v>294</v>
      </c>
      <c r="E164" s="56" t="s">
        <v>509</v>
      </c>
      <c r="F164" s="56" t="s">
        <v>295</v>
      </c>
      <c r="G164" s="55" t="s">
        <v>492</v>
      </c>
      <c r="H164" s="55" t="s">
        <v>493</v>
      </c>
      <c r="I164" s="55" t="s">
        <v>510</v>
      </c>
      <c r="J164" s="55" t="s">
        <v>96</v>
      </c>
      <c r="K164" s="55" t="s">
        <v>397</v>
      </c>
      <c r="L164" s="55" t="s">
        <v>92</v>
      </c>
      <c r="M164" s="57">
        <v>2</v>
      </c>
      <c r="N164" s="58">
        <v>52000</v>
      </c>
      <c r="O164" s="58">
        <v>0</v>
      </c>
      <c r="P164" s="59">
        <v>104000</v>
      </c>
      <c r="Q164" s="58">
        <v>0</v>
      </c>
      <c r="R164" s="55">
        <v>52000</v>
      </c>
      <c r="S164" s="55" t="s">
        <v>469</v>
      </c>
      <c r="T164" s="55" t="s">
        <v>495</v>
      </c>
      <c r="U164" s="55" t="s">
        <v>18</v>
      </c>
      <c r="V164" s="55" t="s">
        <v>470</v>
      </c>
      <c r="W164" s="42">
        <f>VLOOKUP(B164,'LW13'!$X$15:$Y$501,2,0)-M164</f>
        <v>0</v>
      </c>
    </row>
    <row r="165" spans="1:23" x14ac:dyDescent="0.2">
      <c r="A165" s="9" t="str">
        <f t="shared" si="6"/>
        <v>51NL300119</v>
      </c>
      <c r="B165" s="9" t="str">
        <f>COUNTIF($A$7:A165,A165)&amp;A165</f>
        <v>151NL300119</v>
      </c>
      <c r="C165" s="54">
        <v>46027</v>
      </c>
      <c r="D165" s="55" t="s">
        <v>294</v>
      </c>
      <c r="E165" s="56" t="s">
        <v>509</v>
      </c>
      <c r="F165" s="56" t="s">
        <v>295</v>
      </c>
      <c r="G165" s="55" t="s">
        <v>492</v>
      </c>
      <c r="H165" s="55" t="s">
        <v>493</v>
      </c>
      <c r="I165" s="55" t="s">
        <v>510</v>
      </c>
      <c r="J165" s="55" t="s">
        <v>242</v>
      </c>
      <c r="K165" s="55" t="s">
        <v>307</v>
      </c>
      <c r="L165" s="55" t="s">
        <v>92</v>
      </c>
      <c r="M165" s="57">
        <v>1</v>
      </c>
      <c r="N165" s="58">
        <v>21000</v>
      </c>
      <c r="O165" s="58">
        <v>0</v>
      </c>
      <c r="P165" s="59">
        <v>21000</v>
      </c>
      <c r="Q165" s="58">
        <v>0</v>
      </c>
      <c r="R165" s="55">
        <v>21000</v>
      </c>
      <c r="S165" s="55" t="s">
        <v>469</v>
      </c>
      <c r="T165" s="55" t="s">
        <v>495</v>
      </c>
      <c r="U165" s="55" t="s">
        <v>18</v>
      </c>
      <c r="V165" s="55" t="s">
        <v>470</v>
      </c>
      <c r="W165" s="42">
        <f>VLOOKUP(B165,'LW13'!$X$15:$Y$501,2,0)-M165</f>
        <v>0</v>
      </c>
    </row>
    <row r="166" spans="1:23" x14ac:dyDescent="0.2">
      <c r="A166" s="9" t="str">
        <f t="shared" ref="A166:A170" si="7">DAY(C166)&amp;MONTH(C166)&amp;J166</f>
        <v>51NL300121</v>
      </c>
      <c r="B166" s="9" t="str">
        <f>COUNTIF($A$7:A166,A166)&amp;A166</f>
        <v>151NL300121</v>
      </c>
      <c r="C166" s="54">
        <v>46027</v>
      </c>
      <c r="D166" s="55" t="s">
        <v>294</v>
      </c>
      <c r="E166" s="56" t="s">
        <v>509</v>
      </c>
      <c r="F166" s="56" t="s">
        <v>295</v>
      </c>
      <c r="G166" s="55" t="s">
        <v>492</v>
      </c>
      <c r="H166" s="55" t="s">
        <v>493</v>
      </c>
      <c r="I166" s="55" t="s">
        <v>510</v>
      </c>
      <c r="J166" s="55" t="s">
        <v>231</v>
      </c>
      <c r="K166" s="55" t="s">
        <v>35</v>
      </c>
      <c r="L166" s="55" t="s">
        <v>92</v>
      </c>
      <c r="M166" s="57">
        <v>0.2</v>
      </c>
      <c r="N166" s="58">
        <v>22000</v>
      </c>
      <c r="O166" s="58">
        <v>0</v>
      </c>
      <c r="P166" s="59">
        <v>4400</v>
      </c>
      <c r="Q166" s="58">
        <v>0</v>
      </c>
      <c r="R166" s="55">
        <v>22000</v>
      </c>
      <c r="S166" s="55" t="s">
        <v>469</v>
      </c>
      <c r="T166" s="55" t="s">
        <v>495</v>
      </c>
      <c r="U166" s="55" t="s">
        <v>18</v>
      </c>
      <c r="V166" s="55" t="s">
        <v>470</v>
      </c>
      <c r="W166" s="42">
        <f>VLOOKUP(B166,'LW13'!$X$15:$Y$501,2,0)-M166</f>
        <v>0</v>
      </c>
    </row>
    <row r="167" spans="1:23" x14ac:dyDescent="0.2">
      <c r="A167" s="9" t="str">
        <f t="shared" si="7"/>
        <v>51NL100101</v>
      </c>
      <c r="B167" s="9" t="str">
        <f>COUNTIF($A$7:A167,A167)&amp;A167</f>
        <v>151NL100101</v>
      </c>
      <c r="C167" s="54">
        <v>46027</v>
      </c>
      <c r="D167" s="55" t="s">
        <v>294</v>
      </c>
      <c r="E167" s="56" t="s">
        <v>509</v>
      </c>
      <c r="F167" s="56" t="s">
        <v>295</v>
      </c>
      <c r="G167" s="55" t="s">
        <v>492</v>
      </c>
      <c r="H167" s="55" t="s">
        <v>493</v>
      </c>
      <c r="I167" s="55" t="s">
        <v>510</v>
      </c>
      <c r="J167" s="55" t="s">
        <v>263</v>
      </c>
      <c r="K167" s="55" t="s">
        <v>52</v>
      </c>
      <c r="L167" s="55" t="s">
        <v>318</v>
      </c>
      <c r="M167" s="57">
        <v>30</v>
      </c>
      <c r="N167" s="58">
        <v>5000</v>
      </c>
      <c r="O167" s="58">
        <v>0</v>
      </c>
      <c r="P167" s="59">
        <v>150000</v>
      </c>
      <c r="Q167" s="58">
        <v>0</v>
      </c>
      <c r="R167" s="55">
        <v>5000</v>
      </c>
      <c r="S167" s="55" t="s">
        <v>469</v>
      </c>
      <c r="T167" s="55" t="s">
        <v>495</v>
      </c>
      <c r="U167" s="55" t="s">
        <v>18</v>
      </c>
      <c r="V167" s="55" t="s">
        <v>470</v>
      </c>
      <c r="W167" s="42">
        <f>VLOOKUP(B167,'LW13'!$X$15:$Y$501,2,0)-M167</f>
        <v>0</v>
      </c>
    </row>
    <row r="168" spans="1:23" x14ac:dyDescent="0.2">
      <c r="A168" s="9" t="str">
        <f t="shared" si="7"/>
        <v>51NL100279</v>
      </c>
      <c r="B168" s="9" t="str">
        <f>COUNTIF($A$7:A168,A168)&amp;A168</f>
        <v>151NL100279</v>
      </c>
      <c r="C168" s="54">
        <v>46027</v>
      </c>
      <c r="D168" s="55" t="s">
        <v>294</v>
      </c>
      <c r="E168" s="56" t="s">
        <v>509</v>
      </c>
      <c r="F168" s="56" t="s">
        <v>295</v>
      </c>
      <c r="G168" s="55" t="s">
        <v>492</v>
      </c>
      <c r="H168" s="55" t="s">
        <v>493</v>
      </c>
      <c r="I168" s="55" t="s">
        <v>510</v>
      </c>
      <c r="J168" s="55" t="s">
        <v>473</v>
      </c>
      <c r="K168" s="55" t="s">
        <v>474</v>
      </c>
      <c r="L168" s="55" t="s">
        <v>53</v>
      </c>
      <c r="M168" s="57">
        <v>30</v>
      </c>
      <c r="N168" s="58">
        <v>9000</v>
      </c>
      <c r="O168" s="58">
        <v>0</v>
      </c>
      <c r="P168" s="59">
        <v>270000</v>
      </c>
      <c r="Q168" s="58">
        <v>0</v>
      </c>
      <c r="R168" s="55">
        <v>9000</v>
      </c>
      <c r="S168" s="55" t="s">
        <v>469</v>
      </c>
      <c r="T168" s="55" t="s">
        <v>495</v>
      </c>
      <c r="U168" s="55" t="s">
        <v>18</v>
      </c>
      <c r="V168" s="55" t="s">
        <v>470</v>
      </c>
      <c r="W168" s="42">
        <f>VLOOKUP(B168,'LW13'!$X$15:$Y$501,2,0)-M168</f>
        <v>0</v>
      </c>
    </row>
    <row r="169" spans="1:23" x14ac:dyDescent="0.2">
      <c r="A169" s="9" t="str">
        <f t="shared" si="7"/>
        <v>51NL300140</v>
      </c>
      <c r="B169" s="9" t="str">
        <f>COUNTIF($A$7:A169,A169)&amp;A169</f>
        <v>151NL300140</v>
      </c>
      <c r="C169" s="54">
        <v>46027</v>
      </c>
      <c r="D169" s="55" t="s">
        <v>294</v>
      </c>
      <c r="E169" s="56" t="s">
        <v>509</v>
      </c>
      <c r="F169" s="56" t="s">
        <v>295</v>
      </c>
      <c r="G169" s="55" t="s">
        <v>492</v>
      </c>
      <c r="H169" s="55" t="s">
        <v>493</v>
      </c>
      <c r="I169" s="55" t="s">
        <v>510</v>
      </c>
      <c r="J169" s="55" t="s">
        <v>233</v>
      </c>
      <c r="K169" s="55" t="s">
        <v>475</v>
      </c>
      <c r="L169" s="55" t="s">
        <v>92</v>
      </c>
      <c r="M169" s="57">
        <v>0.2</v>
      </c>
      <c r="N169" s="58">
        <v>36000</v>
      </c>
      <c r="O169" s="58">
        <v>0</v>
      </c>
      <c r="P169" s="59">
        <v>7200</v>
      </c>
      <c r="Q169" s="58">
        <v>0</v>
      </c>
      <c r="R169" s="55">
        <v>36000</v>
      </c>
      <c r="S169" s="55" t="s">
        <v>469</v>
      </c>
      <c r="T169" s="55" t="s">
        <v>495</v>
      </c>
      <c r="U169" s="55" t="s">
        <v>18</v>
      </c>
      <c r="V169" s="55" t="s">
        <v>470</v>
      </c>
      <c r="W169" s="42">
        <f>VLOOKUP(B169,'LW13'!$X$15:$Y$501,2,0)-M169</f>
        <v>0</v>
      </c>
    </row>
    <row r="170" spans="1:23" x14ac:dyDescent="0.2">
      <c r="A170" s="9" t="str">
        <f t="shared" si="7"/>
        <v>51NL300090</v>
      </c>
      <c r="B170" s="9" t="str">
        <f>COUNTIF($A$7:A170,A170)&amp;A170</f>
        <v>151NL300090</v>
      </c>
      <c r="C170" s="54">
        <v>46027</v>
      </c>
      <c r="D170" s="55" t="s">
        <v>294</v>
      </c>
      <c r="E170" s="56" t="s">
        <v>509</v>
      </c>
      <c r="F170" s="56" t="s">
        <v>295</v>
      </c>
      <c r="G170" s="55" t="s">
        <v>492</v>
      </c>
      <c r="H170" s="55" t="s">
        <v>493</v>
      </c>
      <c r="I170" s="55" t="s">
        <v>510</v>
      </c>
      <c r="J170" s="55" t="s">
        <v>189</v>
      </c>
      <c r="K170" s="55" t="s">
        <v>39</v>
      </c>
      <c r="L170" s="55" t="s">
        <v>92</v>
      </c>
      <c r="M170" s="57">
        <v>2.5</v>
      </c>
      <c r="N170" s="58">
        <v>145000</v>
      </c>
      <c r="O170" s="58">
        <v>0</v>
      </c>
      <c r="P170" s="59">
        <v>362500</v>
      </c>
      <c r="Q170" s="58">
        <v>0</v>
      </c>
      <c r="R170" s="55">
        <v>145000</v>
      </c>
      <c r="S170" s="55" t="s">
        <v>469</v>
      </c>
      <c r="T170" s="55" t="s">
        <v>495</v>
      </c>
      <c r="U170" s="55" t="s">
        <v>18</v>
      </c>
      <c r="V170" s="55" t="s">
        <v>470</v>
      </c>
      <c r="W170" s="42">
        <f>VLOOKUP(B170,'LW13'!$X$15:$Y$501,2,0)-M170</f>
        <v>0</v>
      </c>
    </row>
    <row r="171" spans="1:23" x14ac:dyDescent="0.2">
      <c r="A171" s="9" t="str">
        <f t="shared" ref="A171:A177" si="8">DAY(C171)&amp;MONTH(C171)&amp;J171</f>
        <v>51NL300091</v>
      </c>
      <c r="B171" s="9" t="str">
        <f>COUNTIF($A$7:A171,A171)&amp;A171</f>
        <v>151NL300091</v>
      </c>
      <c r="C171" s="54">
        <v>46027</v>
      </c>
      <c r="D171" s="55" t="s">
        <v>294</v>
      </c>
      <c r="E171" s="56" t="s">
        <v>509</v>
      </c>
      <c r="F171" s="56" t="s">
        <v>295</v>
      </c>
      <c r="G171" s="55" t="s">
        <v>492</v>
      </c>
      <c r="H171" s="55" t="s">
        <v>493</v>
      </c>
      <c r="I171" s="55" t="s">
        <v>510</v>
      </c>
      <c r="J171" s="55" t="s">
        <v>190</v>
      </c>
      <c r="K171" s="55" t="s">
        <v>40</v>
      </c>
      <c r="L171" s="55" t="s">
        <v>92</v>
      </c>
      <c r="M171" s="57">
        <v>1</v>
      </c>
      <c r="N171" s="58">
        <v>47000</v>
      </c>
      <c r="O171" s="58">
        <v>0</v>
      </c>
      <c r="P171" s="59">
        <v>47000</v>
      </c>
      <c r="Q171" s="58">
        <v>0</v>
      </c>
      <c r="R171" s="55">
        <v>47000</v>
      </c>
      <c r="S171" s="55" t="s">
        <v>469</v>
      </c>
      <c r="T171" s="55" t="s">
        <v>495</v>
      </c>
      <c r="U171" s="55" t="s">
        <v>18</v>
      </c>
      <c r="V171" s="55" t="s">
        <v>470</v>
      </c>
      <c r="W171" s="42">
        <f>VLOOKUP(B171,'LW13'!$X$15:$Y$501,2,0)-M171</f>
        <v>0</v>
      </c>
    </row>
    <row r="172" spans="1:23" x14ac:dyDescent="0.2">
      <c r="A172" s="9" t="str">
        <f t="shared" si="8"/>
        <v>51NL300092</v>
      </c>
      <c r="B172" s="9" t="str">
        <f>COUNTIF($A$7:A172,A172)&amp;A172</f>
        <v>151NL300092</v>
      </c>
      <c r="C172" s="54">
        <v>46027</v>
      </c>
      <c r="D172" s="55" t="s">
        <v>294</v>
      </c>
      <c r="E172" s="56" t="s">
        <v>509</v>
      </c>
      <c r="F172" s="56" t="s">
        <v>295</v>
      </c>
      <c r="G172" s="55" t="s">
        <v>492</v>
      </c>
      <c r="H172" s="55" t="s">
        <v>493</v>
      </c>
      <c r="I172" s="55" t="s">
        <v>510</v>
      </c>
      <c r="J172" s="55" t="s">
        <v>191</v>
      </c>
      <c r="K172" s="55" t="s">
        <v>43</v>
      </c>
      <c r="L172" s="55" t="s">
        <v>92</v>
      </c>
      <c r="M172" s="57">
        <v>1</v>
      </c>
      <c r="N172" s="58">
        <v>90000</v>
      </c>
      <c r="O172" s="58">
        <v>0</v>
      </c>
      <c r="P172" s="59">
        <v>90000</v>
      </c>
      <c r="Q172" s="58">
        <v>0</v>
      </c>
      <c r="R172" s="55">
        <v>90000</v>
      </c>
      <c r="S172" s="55" t="s">
        <v>469</v>
      </c>
      <c r="T172" s="55" t="s">
        <v>495</v>
      </c>
      <c r="U172" s="55" t="s">
        <v>18</v>
      </c>
      <c r="V172" s="55" t="s">
        <v>470</v>
      </c>
      <c r="W172" s="42">
        <f>VLOOKUP(B172,'LW13'!$X$15:$Y$501,2,0)-M172</f>
        <v>0</v>
      </c>
    </row>
    <row r="173" spans="1:23" x14ac:dyDescent="0.2">
      <c r="A173" s="9" t="str">
        <f t="shared" si="8"/>
        <v>51NL300094</v>
      </c>
      <c r="B173" s="9" t="str">
        <f>COUNTIF($A$7:A173,A173)&amp;A173</f>
        <v>151NL300094</v>
      </c>
      <c r="C173" s="54">
        <v>46027</v>
      </c>
      <c r="D173" s="55" t="s">
        <v>294</v>
      </c>
      <c r="E173" s="56" t="s">
        <v>509</v>
      </c>
      <c r="F173" s="56" t="s">
        <v>295</v>
      </c>
      <c r="G173" s="55" t="s">
        <v>492</v>
      </c>
      <c r="H173" s="55" t="s">
        <v>493</v>
      </c>
      <c r="I173" s="55" t="s">
        <v>510</v>
      </c>
      <c r="J173" s="55" t="s">
        <v>192</v>
      </c>
      <c r="K173" s="55" t="s">
        <v>312</v>
      </c>
      <c r="L173" s="55" t="s">
        <v>92</v>
      </c>
      <c r="M173" s="57">
        <v>1</v>
      </c>
      <c r="N173" s="58">
        <v>80000</v>
      </c>
      <c r="O173" s="58">
        <v>0</v>
      </c>
      <c r="P173" s="59">
        <v>80000</v>
      </c>
      <c r="Q173" s="58">
        <v>0</v>
      </c>
      <c r="R173" s="55">
        <v>80000</v>
      </c>
      <c r="S173" s="55" t="s">
        <v>469</v>
      </c>
      <c r="T173" s="55" t="s">
        <v>495</v>
      </c>
      <c r="U173" s="55" t="s">
        <v>18</v>
      </c>
      <c r="V173" s="55" t="s">
        <v>470</v>
      </c>
      <c r="W173" s="42">
        <f>VLOOKUP(B173,'LW13'!$X$15:$Y$501,2,0)-M173</f>
        <v>0</v>
      </c>
    </row>
    <row r="174" spans="1:23" x14ac:dyDescent="0.2">
      <c r="A174" s="9" t="str">
        <f t="shared" si="8"/>
        <v>51NL300062</v>
      </c>
      <c r="B174" s="9" t="str">
        <f>COUNTIF($A$7:A174,A174)&amp;A174</f>
        <v>151NL300062</v>
      </c>
      <c r="C174" s="54">
        <v>46027</v>
      </c>
      <c r="D174" s="55" t="s">
        <v>294</v>
      </c>
      <c r="E174" s="56" t="s">
        <v>509</v>
      </c>
      <c r="F174" s="56" t="s">
        <v>295</v>
      </c>
      <c r="G174" s="55" t="s">
        <v>492</v>
      </c>
      <c r="H174" s="55" t="s">
        <v>493</v>
      </c>
      <c r="I174" s="55" t="s">
        <v>510</v>
      </c>
      <c r="J174" s="55" t="s">
        <v>159</v>
      </c>
      <c r="K174" s="55" t="s">
        <v>316</v>
      </c>
      <c r="L174" s="55" t="s">
        <v>92</v>
      </c>
      <c r="M174" s="57">
        <v>0.2</v>
      </c>
      <c r="N174" s="58">
        <v>65000</v>
      </c>
      <c r="O174" s="58">
        <v>0</v>
      </c>
      <c r="P174" s="59">
        <v>13000</v>
      </c>
      <c r="Q174" s="58">
        <v>0</v>
      </c>
      <c r="R174" s="55">
        <v>65000</v>
      </c>
      <c r="S174" s="55" t="s">
        <v>469</v>
      </c>
      <c r="T174" s="55" t="s">
        <v>495</v>
      </c>
      <c r="U174" s="55" t="s">
        <v>18</v>
      </c>
      <c r="V174" s="55" t="s">
        <v>470</v>
      </c>
      <c r="W174" s="42">
        <f>VLOOKUP(B174,'LW13'!$X$15:$Y$501,2,0)-M174</f>
        <v>0</v>
      </c>
    </row>
    <row r="175" spans="1:23" x14ac:dyDescent="0.2">
      <c r="A175" s="9" t="str">
        <f t="shared" si="8"/>
        <v>51NL600067</v>
      </c>
      <c r="B175" s="9" t="str">
        <f>COUNTIF($A$7:A175,A175)&amp;A175</f>
        <v>151NL600067</v>
      </c>
      <c r="C175" s="54">
        <v>46027</v>
      </c>
      <c r="D175" s="55" t="s">
        <v>294</v>
      </c>
      <c r="E175" s="56" t="s">
        <v>509</v>
      </c>
      <c r="F175" s="56" t="s">
        <v>295</v>
      </c>
      <c r="G175" s="55" t="s">
        <v>492</v>
      </c>
      <c r="H175" s="55" t="s">
        <v>493</v>
      </c>
      <c r="I175" s="55" t="s">
        <v>510</v>
      </c>
      <c r="J175" s="55" t="s">
        <v>115</v>
      </c>
      <c r="K175" s="55" t="s">
        <v>72</v>
      </c>
      <c r="L175" s="55" t="s">
        <v>92</v>
      </c>
      <c r="M175" s="57">
        <v>0.2</v>
      </c>
      <c r="N175" s="58">
        <v>75000</v>
      </c>
      <c r="O175" s="58">
        <v>0</v>
      </c>
      <c r="P175" s="59">
        <v>15000</v>
      </c>
      <c r="Q175" s="58">
        <v>0</v>
      </c>
      <c r="R175" s="55">
        <v>75000</v>
      </c>
      <c r="S175" s="55" t="s">
        <v>469</v>
      </c>
      <c r="T175" s="55" t="s">
        <v>495</v>
      </c>
      <c r="U175" s="55" t="s">
        <v>18</v>
      </c>
      <c r="V175" s="55" t="s">
        <v>470</v>
      </c>
      <c r="W175" s="42">
        <f>VLOOKUP(B175,'LW13'!$X$15:$Y$501,2,0)-M175</f>
        <v>0</v>
      </c>
    </row>
    <row r="176" spans="1:23" x14ac:dyDescent="0.2">
      <c r="A176" s="9" t="str">
        <f t="shared" si="8"/>
        <v>51NL300030</v>
      </c>
      <c r="B176" s="9" t="str">
        <f>COUNTIF($A$7:A176,A176)&amp;A176</f>
        <v>151NL300030</v>
      </c>
      <c r="C176" s="54">
        <v>46027</v>
      </c>
      <c r="D176" s="55" t="s">
        <v>294</v>
      </c>
      <c r="E176" s="56" t="s">
        <v>509</v>
      </c>
      <c r="F176" s="56" t="s">
        <v>295</v>
      </c>
      <c r="G176" s="55" t="s">
        <v>492</v>
      </c>
      <c r="H176" s="55" t="s">
        <v>493</v>
      </c>
      <c r="I176" s="55" t="s">
        <v>510</v>
      </c>
      <c r="J176" s="55" t="s">
        <v>120</v>
      </c>
      <c r="K176" s="55" t="s">
        <v>310</v>
      </c>
      <c r="L176" s="55" t="s">
        <v>92</v>
      </c>
      <c r="M176" s="57">
        <v>0.6</v>
      </c>
      <c r="N176" s="58">
        <v>34000</v>
      </c>
      <c r="O176" s="58">
        <v>0</v>
      </c>
      <c r="P176" s="59">
        <v>20400</v>
      </c>
      <c r="Q176" s="58">
        <v>0</v>
      </c>
      <c r="R176" s="55">
        <v>34000</v>
      </c>
      <c r="S176" s="55" t="s">
        <v>469</v>
      </c>
      <c r="T176" s="55" t="s">
        <v>495</v>
      </c>
      <c r="U176" s="55" t="s">
        <v>18</v>
      </c>
      <c r="V176" s="55" t="s">
        <v>470</v>
      </c>
      <c r="W176" s="42">
        <f>VLOOKUP(B176,'LW13'!$X$15:$Y$501,2,0)-M176</f>
        <v>0</v>
      </c>
    </row>
    <row r="177" spans="1:23" x14ac:dyDescent="0.2">
      <c r="A177" s="9" t="str">
        <f t="shared" si="8"/>
        <v>61NL300189</v>
      </c>
      <c r="B177" s="9" t="str">
        <f>COUNTIF($A$7:A177,A177)&amp;A177</f>
        <v>161NL300189</v>
      </c>
      <c r="C177" s="54">
        <v>46028</v>
      </c>
      <c r="D177" s="55" t="s">
        <v>294</v>
      </c>
      <c r="E177" s="56" t="s">
        <v>511</v>
      </c>
      <c r="F177" s="56" t="s">
        <v>295</v>
      </c>
      <c r="G177" s="55" t="s">
        <v>492</v>
      </c>
      <c r="H177" s="55" t="s">
        <v>493</v>
      </c>
      <c r="I177" s="55" t="s">
        <v>512</v>
      </c>
      <c r="J177" s="55" t="s">
        <v>85</v>
      </c>
      <c r="K177" s="55" t="s">
        <v>54</v>
      </c>
      <c r="L177" s="55" t="s">
        <v>92</v>
      </c>
      <c r="M177" s="57">
        <v>1.5</v>
      </c>
      <c r="N177" s="58">
        <v>15000</v>
      </c>
      <c r="O177" s="58">
        <v>0</v>
      </c>
      <c r="P177" s="59">
        <v>22500</v>
      </c>
      <c r="Q177" s="58">
        <v>0</v>
      </c>
      <c r="R177" s="55">
        <v>15000</v>
      </c>
      <c r="S177" s="55" t="s">
        <v>469</v>
      </c>
      <c r="T177" s="55" t="s">
        <v>495</v>
      </c>
      <c r="U177" s="55" t="s">
        <v>18</v>
      </c>
      <c r="V177" s="55" t="s">
        <v>470</v>
      </c>
      <c r="W177" s="42">
        <f>VLOOKUP(B177,'LW13'!$X$15:$Y$501,2,0)-M177</f>
        <v>0</v>
      </c>
    </row>
    <row r="178" spans="1:23" x14ac:dyDescent="0.2">
      <c r="A178" s="9" t="str">
        <f t="shared" ref="A178:A205" si="9">DAY(C178)&amp;MONTH(C178)&amp;J178</f>
        <v>61NL300004</v>
      </c>
      <c r="B178" s="9" t="str">
        <f>COUNTIF($A$7:A178,A178)&amp;A178</f>
        <v>161NL300004</v>
      </c>
      <c r="C178" s="54">
        <v>46028</v>
      </c>
      <c r="D178" s="55" t="s">
        <v>294</v>
      </c>
      <c r="E178" s="56" t="s">
        <v>511</v>
      </c>
      <c r="F178" s="56" t="s">
        <v>295</v>
      </c>
      <c r="G178" s="55" t="s">
        <v>492</v>
      </c>
      <c r="H178" s="55" t="s">
        <v>493</v>
      </c>
      <c r="I178" s="55" t="s">
        <v>512</v>
      </c>
      <c r="J178" s="55" t="s">
        <v>86</v>
      </c>
      <c r="K178" s="55" t="s">
        <v>16</v>
      </c>
      <c r="L178" s="55" t="s">
        <v>92</v>
      </c>
      <c r="M178" s="57">
        <v>2</v>
      </c>
      <c r="N178" s="58">
        <v>19000</v>
      </c>
      <c r="O178" s="58">
        <v>0</v>
      </c>
      <c r="P178" s="59">
        <v>38000</v>
      </c>
      <c r="Q178" s="58">
        <v>0</v>
      </c>
      <c r="R178" s="55">
        <v>19000</v>
      </c>
      <c r="S178" s="55" t="s">
        <v>469</v>
      </c>
      <c r="T178" s="55" t="s">
        <v>495</v>
      </c>
      <c r="U178" s="55" t="s">
        <v>18</v>
      </c>
      <c r="V178" s="55" t="s">
        <v>470</v>
      </c>
      <c r="W178" s="42">
        <f>VLOOKUP(B178,'LW13'!$X$15:$Y$501,2,0)-M178</f>
        <v>0</v>
      </c>
    </row>
    <row r="179" spans="1:23" x14ac:dyDescent="0.2">
      <c r="A179" s="9" t="str">
        <f t="shared" si="9"/>
        <v>61NL300007</v>
      </c>
      <c r="B179" s="9" t="str">
        <f>COUNTIF($A$7:A179,A179)&amp;A179</f>
        <v>161NL300007</v>
      </c>
      <c r="C179" s="54">
        <v>46028</v>
      </c>
      <c r="D179" s="55" t="s">
        <v>294</v>
      </c>
      <c r="E179" s="56" t="s">
        <v>511</v>
      </c>
      <c r="F179" s="56" t="s">
        <v>295</v>
      </c>
      <c r="G179" s="55" t="s">
        <v>492</v>
      </c>
      <c r="H179" s="55" t="s">
        <v>493</v>
      </c>
      <c r="I179" s="55" t="s">
        <v>512</v>
      </c>
      <c r="J179" s="55" t="s">
        <v>90</v>
      </c>
      <c r="K179" s="55" t="s">
        <v>91</v>
      </c>
      <c r="L179" s="55" t="s">
        <v>92</v>
      </c>
      <c r="M179" s="57">
        <v>2</v>
      </c>
      <c r="N179" s="58">
        <v>30000</v>
      </c>
      <c r="O179" s="58">
        <v>0</v>
      </c>
      <c r="P179" s="59">
        <v>60000</v>
      </c>
      <c r="Q179" s="58">
        <v>0</v>
      </c>
      <c r="R179" s="55">
        <v>30000</v>
      </c>
      <c r="S179" s="55" t="s">
        <v>469</v>
      </c>
      <c r="T179" s="55" t="s">
        <v>495</v>
      </c>
      <c r="U179" s="55" t="s">
        <v>18</v>
      </c>
      <c r="V179" s="55" t="s">
        <v>470</v>
      </c>
      <c r="W179" s="42">
        <f>VLOOKUP(B179,'LW13'!$X$15:$Y$501,2,0)-M179</f>
        <v>0</v>
      </c>
    </row>
    <row r="180" spans="1:23" x14ac:dyDescent="0.2">
      <c r="A180" s="9" t="str">
        <f t="shared" si="9"/>
        <v>61NL300008</v>
      </c>
      <c r="B180" s="9" t="str">
        <f>COUNTIF($A$7:A180,A180)&amp;A180</f>
        <v>161NL300008</v>
      </c>
      <c r="C180" s="54">
        <v>46028</v>
      </c>
      <c r="D180" s="55" t="s">
        <v>294</v>
      </c>
      <c r="E180" s="56" t="s">
        <v>511</v>
      </c>
      <c r="F180" s="56" t="s">
        <v>295</v>
      </c>
      <c r="G180" s="55" t="s">
        <v>492</v>
      </c>
      <c r="H180" s="55" t="s">
        <v>493</v>
      </c>
      <c r="I180" s="55" t="s">
        <v>512</v>
      </c>
      <c r="J180" s="55" t="s">
        <v>93</v>
      </c>
      <c r="K180" s="55" t="s">
        <v>301</v>
      </c>
      <c r="L180" s="55" t="s">
        <v>92</v>
      </c>
      <c r="M180" s="57">
        <v>5</v>
      </c>
      <c r="N180" s="58">
        <v>40000</v>
      </c>
      <c r="O180" s="58">
        <v>0</v>
      </c>
      <c r="P180" s="59">
        <v>200000</v>
      </c>
      <c r="Q180" s="58">
        <v>0</v>
      </c>
      <c r="R180" s="55">
        <v>40000</v>
      </c>
      <c r="S180" s="55" t="s">
        <v>469</v>
      </c>
      <c r="T180" s="55" t="s">
        <v>495</v>
      </c>
      <c r="U180" s="55" t="s">
        <v>18</v>
      </c>
      <c r="V180" s="55" t="s">
        <v>470</v>
      </c>
      <c r="W180" s="42">
        <f>VLOOKUP(B180,'LW13'!$X$15:$Y$501,2,0)-M180</f>
        <v>0</v>
      </c>
    </row>
    <row r="181" spans="1:23" x14ac:dyDescent="0.2">
      <c r="A181" s="9" t="str">
        <f t="shared" si="9"/>
        <v>61NL300028</v>
      </c>
      <c r="B181" s="9" t="str">
        <f>COUNTIF($A$7:A181,A181)&amp;A181</f>
        <v>161NL300028</v>
      </c>
      <c r="C181" s="54">
        <v>46028</v>
      </c>
      <c r="D181" s="55" t="s">
        <v>294</v>
      </c>
      <c r="E181" s="56" t="s">
        <v>511</v>
      </c>
      <c r="F181" s="56" t="s">
        <v>295</v>
      </c>
      <c r="G181" s="55" t="s">
        <v>492</v>
      </c>
      <c r="H181" s="55" t="s">
        <v>493</v>
      </c>
      <c r="I181" s="55" t="s">
        <v>512</v>
      </c>
      <c r="J181" s="55" t="s">
        <v>107</v>
      </c>
      <c r="K181" s="55" t="s">
        <v>70</v>
      </c>
      <c r="L181" s="55" t="s">
        <v>92</v>
      </c>
      <c r="M181" s="57">
        <v>0.3</v>
      </c>
      <c r="N181" s="58">
        <v>75000</v>
      </c>
      <c r="O181" s="58">
        <v>0</v>
      </c>
      <c r="P181" s="59">
        <v>22500</v>
      </c>
      <c r="Q181" s="58">
        <v>0</v>
      </c>
      <c r="R181" s="55">
        <v>75000</v>
      </c>
      <c r="S181" s="55" t="s">
        <v>469</v>
      </c>
      <c r="T181" s="55" t="s">
        <v>495</v>
      </c>
      <c r="U181" s="55" t="s">
        <v>18</v>
      </c>
      <c r="V181" s="55" t="s">
        <v>470</v>
      </c>
      <c r="W181" s="42">
        <f>VLOOKUP(B181,'LW13'!$X$15:$Y$501,2,0)-M181</f>
        <v>0</v>
      </c>
    </row>
    <row r="182" spans="1:23" x14ac:dyDescent="0.2">
      <c r="A182" s="9" t="str">
        <f t="shared" si="9"/>
        <v>61NL300036</v>
      </c>
      <c r="B182" s="9" t="str">
        <f>COUNTIF($A$7:A182,A182)&amp;A182</f>
        <v>161NL300036</v>
      </c>
      <c r="C182" s="54">
        <v>46028</v>
      </c>
      <c r="D182" s="55" t="s">
        <v>294</v>
      </c>
      <c r="E182" s="56" t="s">
        <v>511</v>
      </c>
      <c r="F182" s="56" t="s">
        <v>295</v>
      </c>
      <c r="G182" s="55" t="s">
        <v>492</v>
      </c>
      <c r="H182" s="55" t="s">
        <v>493</v>
      </c>
      <c r="I182" s="55" t="s">
        <v>512</v>
      </c>
      <c r="J182" s="55" t="s">
        <v>131</v>
      </c>
      <c r="K182" s="55" t="s">
        <v>27</v>
      </c>
      <c r="L182" s="55" t="s">
        <v>92</v>
      </c>
      <c r="M182" s="57">
        <v>0.4</v>
      </c>
      <c r="N182" s="58">
        <v>47000</v>
      </c>
      <c r="O182" s="58">
        <v>0</v>
      </c>
      <c r="P182" s="59">
        <v>18800</v>
      </c>
      <c r="Q182" s="58">
        <v>0</v>
      </c>
      <c r="R182" s="55">
        <v>47000</v>
      </c>
      <c r="S182" s="55" t="s">
        <v>469</v>
      </c>
      <c r="T182" s="55" t="s">
        <v>495</v>
      </c>
      <c r="U182" s="55" t="s">
        <v>18</v>
      </c>
      <c r="V182" s="55" t="s">
        <v>470</v>
      </c>
      <c r="W182" s="42">
        <f>VLOOKUP(B182,'LW13'!$X$15:$Y$501,2,0)-M182</f>
        <v>0</v>
      </c>
    </row>
    <row r="183" spans="1:23" x14ac:dyDescent="0.2">
      <c r="A183" s="9" t="str">
        <f t="shared" si="9"/>
        <v>61NL300088</v>
      </c>
      <c r="B183" s="9" t="str">
        <f>COUNTIF($A$7:A183,A183)&amp;A183</f>
        <v>161NL300088</v>
      </c>
      <c r="C183" s="54">
        <v>46028</v>
      </c>
      <c r="D183" s="55" t="s">
        <v>294</v>
      </c>
      <c r="E183" s="56" t="s">
        <v>511</v>
      </c>
      <c r="F183" s="56" t="s">
        <v>295</v>
      </c>
      <c r="G183" s="55" t="s">
        <v>492</v>
      </c>
      <c r="H183" s="55" t="s">
        <v>493</v>
      </c>
      <c r="I183" s="55" t="s">
        <v>512</v>
      </c>
      <c r="J183" s="55" t="s">
        <v>185</v>
      </c>
      <c r="K183" s="55" t="s">
        <v>31</v>
      </c>
      <c r="L183" s="55" t="s">
        <v>92</v>
      </c>
      <c r="M183" s="57">
        <v>2</v>
      </c>
      <c r="N183" s="58">
        <v>27000</v>
      </c>
      <c r="O183" s="58">
        <v>0</v>
      </c>
      <c r="P183" s="59">
        <v>54000</v>
      </c>
      <c r="Q183" s="58">
        <v>0</v>
      </c>
      <c r="R183" s="55">
        <v>27000</v>
      </c>
      <c r="S183" s="55" t="s">
        <v>469</v>
      </c>
      <c r="T183" s="55" t="s">
        <v>495</v>
      </c>
      <c r="U183" s="55" t="s">
        <v>18</v>
      </c>
      <c r="V183" s="55" t="s">
        <v>470</v>
      </c>
      <c r="W183" s="42">
        <f>VLOOKUP(B183,'LW13'!$X$15:$Y$501,2,0)-M183</f>
        <v>0</v>
      </c>
    </row>
    <row r="184" spans="1:23" x14ac:dyDescent="0.2">
      <c r="A184" s="9" t="str">
        <f t="shared" si="9"/>
        <v>61NL300025</v>
      </c>
      <c r="B184" s="9" t="str">
        <f>COUNTIF($A$7:A184,A184)&amp;A184</f>
        <v>161NL300025</v>
      </c>
      <c r="C184" s="54">
        <v>46028</v>
      </c>
      <c r="D184" s="55" t="s">
        <v>294</v>
      </c>
      <c r="E184" s="56" t="s">
        <v>511</v>
      </c>
      <c r="F184" s="56" t="s">
        <v>295</v>
      </c>
      <c r="G184" s="55" t="s">
        <v>492</v>
      </c>
      <c r="H184" s="55" t="s">
        <v>493</v>
      </c>
      <c r="I184" s="55" t="s">
        <v>512</v>
      </c>
      <c r="J184" s="55" t="s">
        <v>117</v>
      </c>
      <c r="K184" s="55" t="s">
        <v>303</v>
      </c>
      <c r="L184" s="55" t="s">
        <v>92</v>
      </c>
      <c r="M184" s="57">
        <v>0.5</v>
      </c>
      <c r="N184" s="58">
        <v>44000</v>
      </c>
      <c r="O184" s="58">
        <v>0</v>
      </c>
      <c r="P184" s="59">
        <v>22000</v>
      </c>
      <c r="Q184" s="58">
        <v>0</v>
      </c>
      <c r="R184" s="55">
        <v>44000</v>
      </c>
      <c r="S184" s="55" t="s">
        <v>469</v>
      </c>
      <c r="T184" s="55" t="s">
        <v>495</v>
      </c>
      <c r="U184" s="55" t="s">
        <v>18</v>
      </c>
      <c r="V184" s="55" t="s">
        <v>470</v>
      </c>
      <c r="W184" s="42">
        <f>VLOOKUP(B184,'LW13'!$X$15:$Y$501,2,0)-M184</f>
        <v>0</v>
      </c>
    </row>
    <row r="185" spans="1:23" x14ac:dyDescent="0.2">
      <c r="A185" s="9" t="str">
        <f t="shared" si="9"/>
        <v>61NL300140</v>
      </c>
      <c r="B185" s="9" t="str">
        <f>COUNTIF($A$7:A185,A185)&amp;A185</f>
        <v>161NL300140</v>
      </c>
      <c r="C185" s="54">
        <v>46028</v>
      </c>
      <c r="D185" s="55" t="s">
        <v>294</v>
      </c>
      <c r="E185" s="56" t="s">
        <v>511</v>
      </c>
      <c r="F185" s="56" t="s">
        <v>295</v>
      </c>
      <c r="G185" s="55" t="s">
        <v>492</v>
      </c>
      <c r="H185" s="55" t="s">
        <v>493</v>
      </c>
      <c r="I185" s="55" t="s">
        <v>512</v>
      </c>
      <c r="J185" s="55" t="s">
        <v>233</v>
      </c>
      <c r="K185" s="55" t="s">
        <v>475</v>
      </c>
      <c r="L185" s="55" t="s">
        <v>92</v>
      </c>
      <c r="M185" s="57">
        <v>0.2</v>
      </c>
      <c r="N185" s="58">
        <v>36000</v>
      </c>
      <c r="O185" s="58">
        <v>0</v>
      </c>
      <c r="P185" s="59">
        <v>7200</v>
      </c>
      <c r="Q185" s="58">
        <v>0</v>
      </c>
      <c r="R185" s="55">
        <v>36000</v>
      </c>
      <c r="S185" s="55" t="s">
        <v>469</v>
      </c>
      <c r="T185" s="55" t="s">
        <v>495</v>
      </c>
      <c r="U185" s="55" t="s">
        <v>18</v>
      </c>
      <c r="V185" s="55" t="s">
        <v>470</v>
      </c>
      <c r="W185" s="42">
        <f>VLOOKUP(B185,'LW13'!$X$15:$Y$501,2,0)-M185</f>
        <v>0</v>
      </c>
    </row>
    <row r="186" spans="1:23" x14ac:dyDescent="0.2">
      <c r="A186" s="9" t="str">
        <f t="shared" si="9"/>
        <v>61NL300147</v>
      </c>
      <c r="B186" s="9" t="str">
        <f>COUNTIF($A$7:A186,A186)&amp;A186</f>
        <v>161NL300147</v>
      </c>
      <c r="C186" s="54">
        <v>46028</v>
      </c>
      <c r="D186" s="55" t="s">
        <v>294</v>
      </c>
      <c r="E186" s="56" t="s">
        <v>511</v>
      </c>
      <c r="F186" s="56" t="s">
        <v>295</v>
      </c>
      <c r="G186" s="55" t="s">
        <v>492</v>
      </c>
      <c r="H186" s="55" t="s">
        <v>493</v>
      </c>
      <c r="I186" s="55" t="s">
        <v>512</v>
      </c>
      <c r="J186" s="55" t="s">
        <v>270</v>
      </c>
      <c r="K186" s="55" t="s">
        <v>309</v>
      </c>
      <c r="L186" s="55" t="s">
        <v>92</v>
      </c>
      <c r="M186" s="57">
        <v>2</v>
      </c>
      <c r="N186" s="58">
        <v>62000</v>
      </c>
      <c r="O186" s="58">
        <v>0</v>
      </c>
      <c r="P186" s="59">
        <v>124000</v>
      </c>
      <c r="Q186" s="58">
        <v>0</v>
      </c>
      <c r="R186" s="55">
        <v>62000</v>
      </c>
      <c r="S186" s="55" t="s">
        <v>469</v>
      </c>
      <c r="T186" s="55" t="s">
        <v>495</v>
      </c>
      <c r="U186" s="55" t="s">
        <v>18</v>
      </c>
      <c r="V186" s="55" t="s">
        <v>470</v>
      </c>
      <c r="W186" s="42">
        <f>VLOOKUP(B186,'LW13'!$X$15:$Y$501,2,0)-M186</f>
        <v>0</v>
      </c>
    </row>
    <row r="187" spans="1:23" x14ac:dyDescent="0.2">
      <c r="A187" s="9" t="str">
        <f t="shared" si="9"/>
        <v>61NL300090</v>
      </c>
      <c r="B187" s="9" t="str">
        <f>COUNTIF($A$7:A187,A187)&amp;A187</f>
        <v>161NL300090</v>
      </c>
      <c r="C187" s="54">
        <v>46028</v>
      </c>
      <c r="D187" s="55" t="s">
        <v>294</v>
      </c>
      <c r="E187" s="56" t="s">
        <v>511</v>
      </c>
      <c r="F187" s="56" t="s">
        <v>295</v>
      </c>
      <c r="G187" s="55" t="s">
        <v>492</v>
      </c>
      <c r="H187" s="55" t="s">
        <v>493</v>
      </c>
      <c r="I187" s="55" t="s">
        <v>512</v>
      </c>
      <c r="J187" s="55" t="s">
        <v>189</v>
      </c>
      <c r="K187" s="55" t="s">
        <v>39</v>
      </c>
      <c r="L187" s="55" t="s">
        <v>92</v>
      </c>
      <c r="M187" s="57">
        <v>2.4</v>
      </c>
      <c r="N187" s="58">
        <v>145000</v>
      </c>
      <c r="O187" s="58">
        <v>0</v>
      </c>
      <c r="P187" s="59">
        <v>348000</v>
      </c>
      <c r="Q187" s="58">
        <v>0</v>
      </c>
      <c r="R187" s="55">
        <v>145000</v>
      </c>
      <c r="S187" s="55" t="s">
        <v>469</v>
      </c>
      <c r="T187" s="55" t="s">
        <v>495</v>
      </c>
      <c r="U187" s="55" t="s">
        <v>18</v>
      </c>
      <c r="V187" s="55" t="s">
        <v>470</v>
      </c>
      <c r="W187" s="42">
        <f>VLOOKUP(B187,'LW13'!$X$15:$Y$501,2,0)-M187</f>
        <v>0</v>
      </c>
    </row>
    <row r="188" spans="1:23" x14ac:dyDescent="0.2">
      <c r="A188" s="9" t="str">
        <f t="shared" si="9"/>
        <v>61NL300101</v>
      </c>
      <c r="B188" s="9" t="str">
        <f>COUNTIF($A$7:A188,A188)&amp;A188</f>
        <v>161NL300101</v>
      </c>
      <c r="C188" s="54">
        <v>46028</v>
      </c>
      <c r="D188" s="55" t="s">
        <v>294</v>
      </c>
      <c r="E188" s="56" t="s">
        <v>511</v>
      </c>
      <c r="F188" s="56" t="s">
        <v>295</v>
      </c>
      <c r="G188" s="55" t="s">
        <v>492</v>
      </c>
      <c r="H188" s="55" t="s">
        <v>493</v>
      </c>
      <c r="I188" s="55" t="s">
        <v>512</v>
      </c>
      <c r="J188" s="55" t="s">
        <v>200</v>
      </c>
      <c r="K188" s="55" t="s">
        <v>305</v>
      </c>
      <c r="L188" s="55" t="s">
        <v>92</v>
      </c>
      <c r="M188" s="57">
        <v>0.3</v>
      </c>
      <c r="N188" s="58">
        <v>195000</v>
      </c>
      <c r="O188" s="58">
        <v>0</v>
      </c>
      <c r="P188" s="59">
        <v>58500</v>
      </c>
      <c r="Q188" s="58">
        <v>0</v>
      </c>
      <c r="R188" s="55">
        <v>195000</v>
      </c>
      <c r="S188" s="55" t="s">
        <v>469</v>
      </c>
      <c r="T188" s="55" t="s">
        <v>495</v>
      </c>
      <c r="U188" s="55" t="s">
        <v>18</v>
      </c>
      <c r="V188" s="55" t="s">
        <v>470</v>
      </c>
      <c r="W188" s="42">
        <f>VLOOKUP(B188,'LW13'!$X$15:$Y$501,2,0)-M188</f>
        <v>0</v>
      </c>
    </row>
    <row r="189" spans="1:23" x14ac:dyDescent="0.2">
      <c r="A189" s="9" t="str">
        <f t="shared" si="9"/>
        <v>61NL300184</v>
      </c>
      <c r="B189" s="9" t="str">
        <f>COUNTIF($A$7:A189,A189)&amp;A189</f>
        <v>161NL300184</v>
      </c>
      <c r="C189" s="54">
        <v>46028</v>
      </c>
      <c r="D189" s="55" t="s">
        <v>294</v>
      </c>
      <c r="E189" s="56" t="s">
        <v>511</v>
      </c>
      <c r="F189" s="56" t="s">
        <v>295</v>
      </c>
      <c r="G189" s="55" t="s">
        <v>492</v>
      </c>
      <c r="H189" s="55" t="s">
        <v>493</v>
      </c>
      <c r="I189" s="55" t="s">
        <v>512</v>
      </c>
      <c r="J189" s="55" t="s">
        <v>172</v>
      </c>
      <c r="K189" s="55" t="s">
        <v>496</v>
      </c>
      <c r="L189" s="55" t="s">
        <v>92</v>
      </c>
      <c r="M189" s="57">
        <v>1</v>
      </c>
      <c r="N189" s="58">
        <v>18000</v>
      </c>
      <c r="O189" s="58">
        <v>0</v>
      </c>
      <c r="P189" s="59">
        <v>18000</v>
      </c>
      <c r="Q189" s="58">
        <v>0</v>
      </c>
      <c r="R189" s="55">
        <v>18000</v>
      </c>
      <c r="S189" s="55" t="s">
        <v>469</v>
      </c>
      <c r="T189" s="55" t="s">
        <v>495</v>
      </c>
      <c r="U189" s="55" t="s">
        <v>18</v>
      </c>
      <c r="V189" s="55" t="s">
        <v>470</v>
      </c>
      <c r="W189" s="42">
        <f>VLOOKUP(B189,'LW13'!$X$15:$Y$501,2,0)-M189</f>
        <v>0</v>
      </c>
    </row>
    <row r="190" spans="1:23" x14ac:dyDescent="0.2">
      <c r="A190" s="9" t="str">
        <f t="shared" si="9"/>
        <v>61NL300125</v>
      </c>
      <c r="B190" s="9" t="str">
        <f>COUNTIF($A$7:A190,A190)&amp;A190</f>
        <v>161NL300125</v>
      </c>
      <c r="C190" s="54">
        <v>46028</v>
      </c>
      <c r="D190" s="55" t="s">
        <v>294</v>
      </c>
      <c r="E190" s="56" t="s">
        <v>511</v>
      </c>
      <c r="F190" s="56" t="s">
        <v>295</v>
      </c>
      <c r="G190" s="55" t="s">
        <v>492</v>
      </c>
      <c r="H190" s="55" t="s">
        <v>493</v>
      </c>
      <c r="I190" s="55" t="s">
        <v>512</v>
      </c>
      <c r="J190" s="55" t="s">
        <v>228</v>
      </c>
      <c r="K190" s="55" t="s">
        <v>227</v>
      </c>
      <c r="L190" s="55" t="s">
        <v>92</v>
      </c>
      <c r="M190" s="57">
        <v>1</v>
      </c>
      <c r="N190" s="58">
        <v>42000</v>
      </c>
      <c r="O190" s="58">
        <v>0</v>
      </c>
      <c r="P190" s="59">
        <v>42000</v>
      </c>
      <c r="Q190" s="58">
        <v>0</v>
      </c>
      <c r="R190" s="55">
        <v>42000</v>
      </c>
      <c r="S190" s="55" t="s">
        <v>469</v>
      </c>
      <c r="T190" s="55" t="s">
        <v>495</v>
      </c>
      <c r="U190" s="55" t="s">
        <v>18</v>
      </c>
      <c r="V190" s="55" t="s">
        <v>470</v>
      </c>
      <c r="W190" s="42">
        <f>VLOOKUP(B190,'LW13'!$X$15:$Y$501,2,0)-M190</f>
        <v>0</v>
      </c>
    </row>
    <row r="191" spans="1:23" x14ac:dyDescent="0.2">
      <c r="A191" s="9" t="str">
        <f t="shared" si="9"/>
        <v>71NL300119</v>
      </c>
      <c r="B191" s="9" t="str">
        <f>COUNTIF($A$7:A191,A191)&amp;A191</f>
        <v>171NL300119</v>
      </c>
      <c r="C191" s="54">
        <v>46029</v>
      </c>
      <c r="D191" s="55" t="s">
        <v>294</v>
      </c>
      <c r="E191" s="56" t="s">
        <v>513</v>
      </c>
      <c r="F191" s="56" t="s">
        <v>295</v>
      </c>
      <c r="G191" s="55" t="s">
        <v>492</v>
      </c>
      <c r="H191" s="55" t="s">
        <v>493</v>
      </c>
      <c r="I191" s="55" t="s">
        <v>514</v>
      </c>
      <c r="J191" s="55" t="s">
        <v>242</v>
      </c>
      <c r="K191" s="55" t="s">
        <v>307</v>
      </c>
      <c r="L191" s="55" t="s">
        <v>92</v>
      </c>
      <c r="M191" s="57">
        <v>0.8</v>
      </c>
      <c r="N191" s="58">
        <v>21000</v>
      </c>
      <c r="O191" s="58">
        <v>0</v>
      </c>
      <c r="P191" s="59">
        <v>16800</v>
      </c>
      <c r="Q191" s="58">
        <v>0</v>
      </c>
      <c r="R191" s="55">
        <v>21000</v>
      </c>
      <c r="S191" s="55" t="s">
        <v>469</v>
      </c>
      <c r="T191" s="55" t="s">
        <v>495</v>
      </c>
      <c r="U191" s="55" t="s">
        <v>18</v>
      </c>
      <c r="V191" s="55" t="s">
        <v>470</v>
      </c>
      <c r="W191" s="42">
        <f>VLOOKUP(B191,'LW13'!$X$15:$Y$501,2,0)-M191</f>
        <v>0</v>
      </c>
    </row>
    <row r="192" spans="1:23" x14ac:dyDescent="0.2">
      <c r="A192" s="9" t="str">
        <f t="shared" si="9"/>
        <v>71NL300141</v>
      </c>
      <c r="B192" s="9" t="str">
        <f>COUNTIF($A$7:A192,A192)&amp;A192</f>
        <v>171NL300141</v>
      </c>
      <c r="C192" s="54">
        <v>46029</v>
      </c>
      <c r="D192" s="55" t="s">
        <v>294</v>
      </c>
      <c r="E192" s="56" t="s">
        <v>513</v>
      </c>
      <c r="F192" s="56" t="s">
        <v>295</v>
      </c>
      <c r="G192" s="55" t="s">
        <v>492</v>
      </c>
      <c r="H192" s="55" t="s">
        <v>493</v>
      </c>
      <c r="I192" s="55" t="s">
        <v>514</v>
      </c>
      <c r="J192" s="55" t="s">
        <v>256</v>
      </c>
      <c r="K192" s="55" t="s">
        <v>501</v>
      </c>
      <c r="L192" s="55" t="s">
        <v>92</v>
      </c>
      <c r="M192" s="57">
        <v>0.1</v>
      </c>
      <c r="N192" s="58">
        <v>92000</v>
      </c>
      <c r="O192" s="58">
        <v>0</v>
      </c>
      <c r="P192" s="59">
        <v>9200</v>
      </c>
      <c r="Q192" s="58">
        <v>0</v>
      </c>
      <c r="R192" s="55">
        <v>92000</v>
      </c>
      <c r="S192" s="55" t="s">
        <v>469</v>
      </c>
      <c r="T192" s="55" t="s">
        <v>495</v>
      </c>
      <c r="U192" s="55" t="s">
        <v>18</v>
      </c>
      <c r="V192" s="55" t="s">
        <v>470</v>
      </c>
      <c r="W192" s="42">
        <f>VLOOKUP(B192,'LW13'!$X$15:$Y$501,2,0)-M192</f>
        <v>0</v>
      </c>
    </row>
    <row r="193" spans="1:23" x14ac:dyDescent="0.2">
      <c r="A193" s="9" t="str">
        <f t="shared" si="9"/>
        <v>71NL100101</v>
      </c>
      <c r="B193" s="9" t="str">
        <f>COUNTIF($A$7:A193,A193)&amp;A193</f>
        <v>171NL100101</v>
      </c>
      <c r="C193" s="54">
        <v>46029</v>
      </c>
      <c r="D193" s="55" t="s">
        <v>294</v>
      </c>
      <c r="E193" s="56" t="s">
        <v>513</v>
      </c>
      <c r="F193" s="56" t="s">
        <v>295</v>
      </c>
      <c r="G193" s="55" t="s">
        <v>492</v>
      </c>
      <c r="H193" s="55" t="s">
        <v>493</v>
      </c>
      <c r="I193" s="55" t="s">
        <v>514</v>
      </c>
      <c r="J193" s="55" t="s">
        <v>263</v>
      </c>
      <c r="K193" s="55" t="s">
        <v>52</v>
      </c>
      <c r="L193" s="55" t="s">
        <v>318</v>
      </c>
      <c r="M193" s="57">
        <v>35</v>
      </c>
      <c r="N193" s="58">
        <v>5000</v>
      </c>
      <c r="O193" s="58">
        <v>0</v>
      </c>
      <c r="P193" s="59">
        <v>175000</v>
      </c>
      <c r="Q193" s="58">
        <v>0</v>
      </c>
      <c r="R193" s="55">
        <v>5000</v>
      </c>
      <c r="S193" s="55" t="s">
        <v>469</v>
      </c>
      <c r="T193" s="55" t="s">
        <v>495</v>
      </c>
      <c r="U193" s="55" t="s">
        <v>18</v>
      </c>
      <c r="V193" s="55" t="s">
        <v>470</v>
      </c>
      <c r="W193" s="42">
        <f>VLOOKUP(B193,'LW13'!$X$15:$Y$501,2,0)-M193</f>
        <v>0</v>
      </c>
    </row>
    <row r="194" spans="1:23" x14ac:dyDescent="0.2">
      <c r="A194" s="9" t="str">
        <f t="shared" si="9"/>
        <v>71NL300140</v>
      </c>
      <c r="B194" s="9" t="str">
        <f>COUNTIF($A$7:A194,A194)&amp;A194</f>
        <v>171NL300140</v>
      </c>
      <c r="C194" s="54">
        <v>46029</v>
      </c>
      <c r="D194" s="55" t="s">
        <v>294</v>
      </c>
      <c r="E194" s="56" t="s">
        <v>513</v>
      </c>
      <c r="F194" s="56" t="s">
        <v>295</v>
      </c>
      <c r="G194" s="55" t="s">
        <v>492</v>
      </c>
      <c r="H194" s="55" t="s">
        <v>493</v>
      </c>
      <c r="I194" s="55" t="s">
        <v>514</v>
      </c>
      <c r="J194" s="55" t="s">
        <v>233</v>
      </c>
      <c r="K194" s="55" t="s">
        <v>475</v>
      </c>
      <c r="L194" s="55" t="s">
        <v>92</v>
      </c>
      <c r="M194" s="57">
        <v>0.1</v>
      </c>
      <c r="N194" s="58">
        <v>36000</v>
      </c>
      <c r="O194" s="58">
        <v>0</v>
      </c>
      <c r="P194" s="59">
        <v>3600</v>
      </c>
      <c r="Q194" s="58">
        <v>0</v>
      </c>
      <c r="R194" s="55">
        <v>36000</v>
      </c>
      <c r="S194" s="55" t="s">
        <v>469</v>
      </c>
      <c r="T194" s="55" t="s">
        <v>495</v>
      </c>
      <c r="U194" s="55" t="s">
        <v>18</v>
      </c>
      <c r="V194" s="55" t="s">
        <v>470</v>
      </c>
      <c r="W194" s="42">
        <f>VLOOKUP(B194,'LW13'!$X$15:$Y$501,2,0)-M194</f>
        <v>0</v>
      </c>
    </row>
    <row r="195" spans="1:23" x14ac:dyDescent="0.2">
      <c r="A195" s="9" t="str">
        <f t="shared" si="9"/>
        <v>71NL300147</v>
      </c>
      <c r="B195" s="9" t="str">
        <f>COUNTIF($A$7:A195,A195)&amp;A195</f>
        <v>171NL300147</v>
      </c>
      <c r="C195" s="54">
        <v>46029</v>
      </c>
      <c r="D195" s="55" t="s">
        <v>294</v>
      </c>
      <c r="E195" s="56" t="s">
        <v>513</v>
      </c>
      <c r="F195" s="56" t="s">
        <v>295</v>
      </c>
      <c r="G195" s="55" t="s">
        <v>492</v>
      </c>
      <c r="H195" s="55" t="s">
        <v>493</v>
      </c>
      <c r="I195" s="55" t="s">
        <v>514</v>
      </c>
      <c r="J195" s="55" t="s">
        <v>270</v>
      </c>
      <c r="K195" s="55" t="s">
        <v>309</v>
      </c>
      <c r="L195" s="55" t="s">
        <v>92</v>
      </c>
      <c r="M195" s="57">
        <v>1.5</v>
      </c>
      <c r="N195" s="58">
        <v>62000</v>
      </c>
      <c r="O195" s="58">
        <v>0</v>
      </c>
      <c r="P195" s="59">
        <v>93000</v>
      </c>
      <c r="Q195" s="58">
        <v>0</v>
      </c>
      <c r="R195" s="55">
        <v>62000</v>
      </c>
      <c r="S195" s="55" t="s">
        <v>469</v>
      </c>
      <c r="T195" s="55" t="s">
        <v>495</v>
      </c>
      <c r="U195" s="55" t="s">
        <v>18</v>
      </c>
      <c r="V195" s="55" t="s">
        <v>470</v>
      </c>
      <c r="W195" s="42">
        <f>VLOOKUP(B195,'LW13'!$X$15:$Y$501,2,0)-M195</f>
        <v>0</v>
      </c>
    </row>
    <row r="196" spans="1:23" x14ac:dyDescent="0.2">
      <c r="A196" s="9" t="str">
        <f t="shared" si="9"/>
        <v>71NL300097</v>
      </c>
      <c r="B196" s="9" t="str">
        <f>COUNTIF($A$7:A196,A196)&amp;A196</f>
        <v>171NL300097</v>
      </c>
      <c r="C196" s="54">
        <v>46029</v>
      </c>
      <c r="D196" s="55" t="s">
        <v>294</v>
      </c>
      <c r="E196" s="56" t="s">
        <v>513</v>
      </c>
      <c r="F196" s="56" t="s">
        <v>295</v>
      </c>
      <c r="G196" s="55" t="s">
        <v>492</v>
      </c>
      <c r="H196" s="55" t="s">
        <v>493</v>
      </c>
      <c r="I196" s="55" t="s">
        <v>514</v>
      </c>
      <c r="J196" s="55" t="s">
        <v>194</v>
      </c>
      <c r="K196" s="55" t="s">
        <v>317</v>
      </c>
      <c r="L196" s="55" t="s">
        <v>92</v>
      </c>
      <c r="M196" s="57">
        <v>1</v>
      </c>
      <c r="N196" s="58">
        <v>90000</v>
      </c>
      <c r="O196" s="58">
        <v>0</v>
      </c>
      <c r="P196" s="59">
        <v>90000</v>
      </c>
      <c r="Q196" s="58">
        <v>0</v>
      </c>
      <c r="R196" s="55">
        <v>90000</v>
      </c>
      <c r="S196" s="55" t="s">
        <v>469</v>
      </c>
      <c r="T196" s="55" t="s">
        <v>495</v>
      </c>
      <c r="U196" s="55" t="s">
        <v>18</v>
      </c>
      <c r="V196" s="55" t="s">
        <v>470</v>
      </c>
      <c r="W196" s="42">
        <f>VLOOKUP(B196,'LW13'!$X$15:$Y$501,2,0)-M196</f>
        <v>0</v>
      </c>
    </row>
    <row r="197" spans="1:23" x14ac:dyDescent="0.2">
      <c r="A197" s="9" t="str">
        <f t="shared" si="9"/>
        <v>71NL300007</v>
      </c>
      <c r="B197" s="9" t="str">
        <f>COUNTIF($A$7:A197,A197)&amp;A197</f>
        <v>171NL300007</v>
      </c>
      <c r="C197" s="54">
        <v>46029</v>
      </c>
      <c r="D197" s="55" t="s">
        <v>294</v>
      </c>
      <c r="E197" s="56" t="s">
        <v>513</v>
      </c>
      <c r="F197" s="56" t="s">
        <v>295</v>
      </c>
      <c r="G197" s="55" t="s">
        <v>492</v>
      </c>
      <c r="H197" s="55" t="s">
        <v>493</v>
      </c>
      <c r="I197" s="55" t="s">
        <v>514</v>
      </c>
      <c r="J197" s="55" t="s">
        <v>90</v>
      </c>
      <c r="K197" s="55" t="s">
        <v>91</v>
      </c>
      <c r="L197" s="55" t="s">
        <v>92</v>
      </c>
      <c r="M197" s="57">
        <v>3.2</v>
      </c>
      <c r="N197" s="58">
        <v>30000</v>
      </c>
      <c r="O197" s="58">
        <v>0</v>
      </c>
      <c r="P197" s="59">
        <v>96000</v>
      </c>
      <c r="Q197" s="58">
        <v>0</v>
      </c>
      <c r="R197" s="55">
        <v>30000</v>
      </c>
      <c r="S197" s="55" t="s">
        <v>469</v>
      </c>
      <c r="T197" s="55" t="s">
        <v>495</v>
      </c>
      <c r="U197" s="55" t="s">
        <v>18</v>
      </c>
      <c r="V197" s="55" t="s">
        <v>470</v>
      </c>
      <c r="W197" s="42">
        <f>VLOOKUP(B197,'LW13'!$X$15:$Y$501,2,0)-M197</f>
        <v>0</v>
      </c>
    </row>
    <row r="198" spans="1:23" x14ac:dyDescent="0.2">
      <c r="A198" s="9" t="str">
        <f t="shared" si="9"/>
        <v>71NL300038</v>
      </c>
      <c r="B198" s="9" t="str">
        <f>COUNTIF($A$7:A198,A198)&amp;A198</f>
        <v>171NL300038</v>
      </c>
      <c r="C198" s="54">
        <v>46029</v>
      </c>
      <c r="D198" s="55" t="s">
        <v>294</v>
      </c>
      <c r="E198" s="56" t="s">
        <v>513</v>
      </c>
      <c r="F198" s="56" t="s">
        <v>295</v>
      </c>
      <c r="G198" s="55" t="s">
        <v>492</v>
      </c>
      <c r="H198" s="55" t="s">
        <v>493</v>
      </c>
      <c r="I198" s="55" t="s">
        <v>514</v>
      </c>
      <c r="J198" s="55" t="s">
        <v>132</v>
      </c>
      <c r="K198" s="55" t="s">
        <v>28</v>
      </c>
      <c r="L198" s="55" t="s">
        <v>92</v>
      </c>
      <c r="M198" s="57">
        <v>1.5</v>
      </c>
      <c r="N198" s="58">
        <v>32000</v>
      </c>
      <c r="O198" s="58">
        <v>0</v>
      </c>
      <c r="P198" s="59">
        <v>48000</v>
      </c>
      <c r="Q198" s="58">
        <v>0</v>
      </c>
      <c r="R198" s="55">
        <v>32000</v>
      </c>
      <c r="S198" s="55" t="s">
        <v>469</v>
      </c>
      <c r="T198" s="55" t="s">
        <v>495</v>
      </c>
      <c r="U198" s="55" t="s">
        <v>18</v>
      </c>
      <c r="V198" s="55" t="s">
        <v>470</v>
      </c>
      <c r="W198" s="42">
        <f>VLOOKUP(B198,'LW13'!$X$15:$Y$501,2,0)-M198</f>
        <v>0</v>
      </c>
    </row>
    <row r="199" spans="1:23" x14ac:dyDescent="0.2">
      <c r="A199" s="9" t="str">
        <f t="shared" si="9"/>
        <v>71NL300054</v>
      </c>
      <c r="B199" s="9" t="str">
        <f>COUNTIF($A$7:A199,A199)&amp;A199</f>
        <v>171NL300054</v>
      </c>
      <c r="C199" s="54">
        <v>46029</v>
      </c>
      <c r="D199" s="55" t="s">
        <v>294</v>
      </c>
      <c r="E199" s="56" t="s">
        <v>513</v>
      </c>
      <c r="F199" s="56" t="s">
        <v>295</v>
      </c>
      <c r="G199" s="55" t="s">
        <v>492</v>
      </c>
      <c r="H199" s="55" t="s">
        <v>493</v>
      </c>
      <c r="I199" s="55" t="s">
        <v>514</v>
      </c>
      <c r="J199" s="55" t="s">
        <v>128</v>
      </c>
      <c r="K199" s="55" t="s">
        <v>314</v>
      </c>
      <c r="L199" s="55" t="s">
        <v>92</v>
      </c>
      <c r="M199" s="57">
        <v>0.8</v>
      </c>
      <c r="N199" s="58">
        <v>38000</v>
      </c>
      <c r="O199" s="58">
        <v>0</v>
      </c>
      <c r="P199" s="59">
        <v>30400</v>
      </c>
      <c r="Q199" s="58">
        <v>0</v>
      </c>
      <c r="R199" s="55">
        <v>38000</v>
      </c>
      <c r="S199" s="55" t="s">
        <v>469</v>
      </c>
      <c r="T199" s="55" t="s">
        <v>495</v>
      </c>
      <c r="U199" s="55" t="s">
        <v>18</v>
      </c>
      <c r="V199" s="55" t="s">
        <v>470</v>
      </c>
      <c r="W199" s="42">
        <f>VLOOKUP(B199,'LW13'!$X$15:$Y$501,2,0)-M199</f>
        <v>0</v>
      </c>
    </row>
    <row r="200" spans="1:23" x14ac:dyDescent="0.2">
      <c r="A200" s="9" t="str">
        <f t="shared" si="9"/>
        <v>71NL300055</v>
      </c>
      <c r="B200" s="9" t="str">
        <f>COUNTIF($A$7:A200,A200)&amp;A200</f>
        <v>171NL300055</v>
      </c>
      <c r="C200" s="54">
        <v>46029</v>
      </c>
      <c r="D200" s="55" t="s">
        <v>294</v>
      </c>
      <c r="E200" s="56" t="s">
        <v>513</v>
      </c>
      <c r="F200" s="56" t="s">
        <v>295</v>
      </c>
      <c r="G200" s="55" t="s">
        <v>492</v>
      </c>
      <c r="H200" s="55" t="s">
        <v>493</v>
      </c>
      <c r="I200" s="55" t="s">
        <v>514</v>
      </c>
      <c r="J200" s="55" t="s">
        <v>152</v>
      </c>
      <c r="K200" s="55" t="s">
        <v>311</v>
      </c>
      <c r="L200" s="55" t="s">
        <v>92</v>
      </c>
      <c r="M200" s="57">
        <v>0.2</v>
      </c>
      <c r="N200" s="58">
        <v>80000</v>
      </c>
      <c r="O200" s="58">
        <v>0</v>
      </c>
      <c r="P200" s="59">
        <v>16000</v>
      </c>
      <c r="Q200" s="58">
        <v>0</v>
      </c>
      <c r="R200" s="55">
        <v>80000</v>
      </c>
      <c r="S200" s="55" t="s">
        <v>469</v>
      </c>
      <c r="T200" s="55" t="s">
        <v>495</v>
      </c>
      <c r="U200" s="55" t="s">
        <v>18</v>
      </c>
      <c r="V200" s="55" t="s">
        <v>470</v>
      </c>
      <c r="W200" s="42">
        <f>VLOOKUP(B200,'LW13'!$X$15:$Y$501,2,0)-M200</f>
        <v>0</v>
      </c>
    </row>
    <row r="201" spans="1:23" x14ac:dyDescent="0.2">
      <c r="A201" s="9" t="str">
        <f t="shared" si="9"/>
        <v>71NL300088</v>
      </c>
      <c r="B201" s="9" t="str">
        <f>COUNTIF($A$7:A201,A201)&amp;A201</f>
        <v>171NL300088</v>
      </c>
      <c r="C201" s="54">
        <v>46029</v>
      </c>
      <c r="D201" s="55" t="s">
        <v>294</v>
      </c>
      <c r="E201" s="56" t="s">
        <v>513</v>
      </c>
      <c r="F201" s="56" t="s">
        <v>295</v>
      </c>
      <c r="G201" s="55" t="s">
        <v>492</v>
      </c>
      <c r="H201" s="55" t="s">
        <v>493</v>
      </c>
      <c r="I201" s="55" t="s">
        <v>514</v>
      </c>
      <c r="J201" s="55" t="s">
        <v>185</v>
      </c>
      <c r="K201" s="55" t="s">
        <v>31</v>
      </c>
      <c r="L201" s="55" t="s">
        <v>92</v>
      </c>
      <c r="M201" s="57">
        <v>1.5</v>
      </c>
      <c r="N201" s="58">
        <v>27000</v>
      </c>
      <c r="O201" s="58">
        <v>0</v>
      </c>
      <c r="P201" s="59">
        <v>40500</v>
      </c>
      <c r="Q201" s="58">
        <v>0</v>
      </c>
      <c r="R201" s="55">
        <v>27000</v>
      </c>
      <c r="S201" s="55" t="s">
        <v>469</v>
      </c>
      <c r="T201" s="55" t="s">
        <v>495</v>
      </c>
      <c r="U201" s="55" t="s">
        <v>18</v>
      </c>
      <c r="V201" s="55" t="s">
        <v>470</v>
      </c>
      <c r="W201" s="42">
        <f>VLOOKUP(B201,'LW13'!$X$15:$Y$501,2,0)-M201</f>
        <v>0</v>
      </c>
    </row>
    <row r="202" spans="1:23" x14ac:dyDescent="0.2">
      <c r="A202" s="9" t="str">
        <f t="shared" si="9"/>
        <v>71NL300137</v>
      </c>
      <c r="B202" s="9" t="str">
        <f>COUNTIF($A$7:A202,A202)&amp;A202</f>
        <v>171NL300137</v>
      </c>
      <c r="C202" s="54">
        <v>46029</v>
      </c>
      <c r="D202" s="55" t="s">
        <v>294</v>
      </c>
      <c r="E202" s="56" t="s">
        <v>513</v>
      </c>
      <c r="F202" s="56" t="s">
        <v>295</v>
      </c>
      <c r="G202" s="55" t="s">
        <v>492</v>
      </c>
      <c r="H202" s="55" t="s">
        <v>493</v>
      </c>
      <c r="I202" s="55" t="s">
        <v>514</v>
      </c>
      <c r="J202" s="55" t="s">
        <v>96</v>
      </c>
      <c r="K202" s="55" t="s">
        <v>397</v>
      </c>
      <c r="L202" s="55" t="s">
        <v>92</v>
      </c>
      <c r="M202" s="57">
        <v>2</v>
      </c>
      <c r="N202" s="58">
        <v>52000</v>
      </c>
      <c r="O202" s="58">
        <v>0</v>
      </c>
      <c r="P202" s="59">
        <v>104000</v>
      </c>
      <c r="Q202" s="58">
        <v>0</v>
      </c>
      <c r="R202" s="55">
        <v>52000</v>
      </c>
      <c r="S202" s="55" t="s">
        <v>469</v>
      </c>
      <c r="T202" s="55" t="s">
        <v>495</v>
      </c>
      <c r="U202" s="55" t="s">
        <v>18</v>
      </c>
      <c r="V202" s="55" t="s">
        <v>470</v>
      </c>
      <c r="W202" s="42">
        <f>VLOOKUP(B202,'LW13'!$X$15:$Y$501,2,0)-M202</f>
        <v>0</v>
      </c>
    </row>
    <row r="203" spans="1:23" x14ac:dyDescent="0.2">
      <c r="A203" s="9" t="str">
        <f t="shared" si="9"/>
        <v>71NL300116</v>
      </c>
      <c r="B203" s="9" t="str">
        <f>COUNTIF($A$7:A203,A203)&amp;A203</f>
        <v>171NL300116</v>
      </c>
      <c r="C203" s="54">
        <v>46029</v>
      </c>
      <c r="D203" s="55" t="s">
        <v>294</v>
      </c>
      <c r="E203" s="56" t="s">
        <v>513</v>
      </c>
      <c r="F203" s="56" t="s">
        <v>295</v>
      </c>
      <c r="G203" s="55" t="s">
        <v>492</v>
      </c>
      <c r="H203" s="55" t="s">
        <v>493</v>
      </c>
      <c r="I203" s="55" t="s">
        <v>514</v>
      </c>
      <c r="J203" s="55" t="s">
        <v>217</v>
      </c>
      <c r="K203" s="55" t="s">
        <v>313</v>
      </c>
      <c r="L203" s="55" t="s">
        <v>92</v>
      </c>
      <c r="M203" s="57">
        <v>0.2</v>
      </c>
      <c r="N203" s="58">
        <v>148000</v>
      </c>
      <c r="O203" s="58">
        <v>0</v>
      </c>
      <c r="P203" s="59">
        <v>29600</v>
      </c>
      <c r="Q203" s="58">
        <v>0</v>
      </c>
      <c r="R203" s="55">
        <v>148000</v>
      </c>
      <c r="S203" s="55" t="s">
        <v>469</v>
      </c>
      <c r="T203" s="55" t="s">
        <v>495</v>
      </c>
      <c r="U203" s="55" t="s">
        <v>18</v>
      </c>
      <c r="V203" s="55" t="s">
        <v>470</v>
      </c>
      <c r="W203" s="42">
        <f>VLOOKUP(B203,'LW13'!$X$15:$Y$501,2,0)-M203</f>
        <v>0</v>
      </c>
    </row>
    <row r="204" spans="1:23" x14ac:dyDescent="0.2">
      <c r="A204" s="9" t="str">
        <f t="shared" si="9"/>
        <v>71NL300062</v>
      </c>
      <c r="B204" s="9" t="str">
        <f>COUNTIF($A$7:A204,A204)&amp;A204</f>
        <v>171NL300062</v>
      </c>
      <c r="C204" s="54">
        <v>46029</v>
      </c>
      <c r="D204" s="55" t="s">
        <v>294</v>
      </c>
      <c r="E204" s="56" t="s">
        <v>513</v>
      </c>
      <c r="F204" s="56" t="s">
        <v>295</v>
      </c>
      <c r="G204" s="55" t="s">
        <v>492</v>
      </c>
      <c r="H204" s="55" t="s">
        <v>493</v>
      </c>
      <c r="I204" s="55" t="s">
        <v>514</v>
      </c>
      <c r="J204" s="55" t="s">
        <v>159</v>
      </c>
      <c r="K204" s="55" t="s">
        <v>316</v>
      </c>
      <c r="L204" s="55" t="s">
        <v>92</v>
      </c>
      <c r="M204" s="57">
        <v>0.3</v>
      </c>
      <c r="N204" s="58">
        <v>65000</v>
      </c>
      <c r="O204" s="58">
        <v>0</v>
      </c>
      <c r="P204" s="59">
        <v>19500</v>
      </c>
      <c r="Q204" s="58">
        <v>0</v>
      </c>
      <c r="R204" s="55">
        <v>65000</v>
      </c>
      <c r="S204" s="55" t="s">
        <v>469</v>
      </c>
      <c r="T204" s="55" t="s">
        <v>495</v>
      </c>
      <c r="U204" s="55" t="s">
        <v>18</v>
      </c>
      <c r="V204" s="55" t="s">
        <v>470</v>
      </c>
      <c r="W204" s="42">
        <f>VLOOKUP(B204,'LW13'!$X$15:$Y$501,2,0)-M204</f>
        <v>0</v>
      </c>
    </row>
    <row r="205" spans="1:23" x14ac:dyDescent="0.2">
      <c r="A205" s="9" t="str">
        <f t="shared" si="9"/>
        <v>71NL600004</v>
      </c>
      <c r="B205" s="9" t="str">
        <f>COUNTIF($A$7:A205,A205)&amp;A205</f>
        <v>171NL600004</v>
      </c>
      <c r="C205" s="54">
        <v>46029</v>
      </c>
      <c r="D205" s="55" t="s">
        <v>294</v>
      </c>
      <c r="E205" s="56" t="s">
        <v>513</v>
      </c>
      <c r="F205" s="56" t="s">
        <v>295</v>
      </c>
      <c r="G205" s="55" t="s">
        <v>492</v>
      </c>
      <c r="H205" s="55" t="s">
        <v>493</v>
      </c>
      <c r="I205" s="55" t="s">
        <v>514</v>
      </c>
      <c r="J205" s="55" t="s">
        <v>144</v>
      </c>
      <c r="K205" s="55" t="s">
        <v>47</v>
      </c>
      <c r="L205" s="55" t="s">
        <v>92</v>
      </c>
      <c r="M205" s="57">
        <v>11</v>
      </c>
      <c r="N205" s="58">
        <v>18000</v>
      </c>
      <c r="O205" s="58">
        <v>0</v>
      </c>
      <c r="P205" s="59">
        <v>198000</v>
      </c>
      <c r="Q205" s="58">
        <v>0</v>
      </c>
      <c r="R205" s="55">
        <v>18000</v>
      </c>
      <c r="S205" s="55" t="s">
        <v>469</v>
      </c>
      <c r="T205" s="55" t="s">
        <v>495</v>
      </c>
      <c r="U205" s="55" t="s">
        <v>18</v>
      </c>
      <c r="V205" s="55" t="s">
        <v>470</v>
      </c>
      <c r="W205" s="42">
        <f>VLOOKUP(B205,'LW13'!$X$15:$Y$501,2,0)-M205</f>
        <v>0</v>
      </c>
    </row>
    <row r="206" spans="1:23" x14ac:dyDescent="0.2">
      <c r="A206" s="9" t="str">
        <f t="shared" ref="A206:A269" si="10">DAY(C206)&amp;MONTH(C206)&amp;J206</f>
        <v>71NL300131</v>
      </c>
      <c r="B206" s="9" t="str">
        <f>COUNTIF($A$7:A206,A206)&amp;A206</f>
        <v>171NL300131</v>
      </c>
      <c r="C206" s="54">
        <v>46029</v>
      </c>
      <c r="D206" s="55" t="s">
        <v>294</v>
      </c>
      <c r="E206" s="56" t="s">
        <v>513</v>
      </c>
      <c r="F206" s="56" t="s">
        <v>295</v>
      </c>
      <c r="G206" s="55" t="s">
        <v>492</v>
      </c>
      <c r="H206" s="55" t="s">
        <v>493</v>
      </c>
      <c r="I206" s="55" t="s">
        <v>514</v>
      </c>
      <c r="J206" s="55" t="s">
        <v>269</v>
      </c>
      <c r="K206" s="55" t="s">
        <v>62</v>
      </c>
      <c r="L206" s="55" t="s">
        <v>92</v>
      </c>
      <c r="M206" s="57">
        <v>0.2</v>
      </c>
      <c r="N206" s="58">
        <v>220000</v>
      </c>
      <c r="O206" s="58">
        <v>0</v>
      </c>
      <c r="P206" s="59">
        <v>44000</v>
      </c>
      <c r="Q206" s="58">
        <v>0</v>
      </c>
      <c r="R206" s="55">
        <v>220000</v>
      </c>
      <c r="S206" s="55" t="s">
        <v>469</v>
      </c>
      <c r="T206" s="55" t="s">
        <v>495</v>
      </c>
      <c r="U206" s="55" t="s">
        <v>18</v>
      </c>
      <c r="V206" s="55" t="s">
        <v>470</v>
      </c>
      <c r="W206" s="42">
        <f>VLOOKUP(B206,'LW13'!$X$15:$Y$501,2,0)-M206</f>
        <v>0</v>
      </c>
    </row>
    <row r="207" spans="1:23" x14ac:dyDescent="0.2">
      <c r="A207" s="9" t="str">
        <f t="shared" si="10"/>
        <v>71NL300189</v>
      </c>
      <c r="B207" s="9" t="str">
        <f>COUNTIF($A$7:A207,A207)&amp;A207</f>
        <v>171NL300189</v>
      </c>
      <c r="C207" s="54">
        <v>46029</v>
      </c>
      <c r="D207" s="55" t="s">
        <v>294</v>
      </c>
      <c r="E207" s="56" t="s">
        <v>515</v>
      </c>
      <c r="F207" s="56" t="s">
        <v>295</v>
      </c>
      <c r="G207" s="55" t="s">
        <v>492</v>
      </c>
      <c r="H207" s="55" t="s">
        <v>493</v>
      </c>
      <c r="I207" s="55" t="s">
        <v>514</v>
      </c>
      <c r="J207" s="55" t="s">
        <v>85</v>
      </c>
      <c r="K207" s="55" t="s">
        <v>54</v>
      </c>
      <c r="L207" s="55" t="s">
        <v>92</v>
      </c>
      <c r="M207" s="57">
        <v>1.5</v>
      </c>
      <c r="N207" s="58">
        <v>15000</v>
      </c>
      <c r="O207" s="58">
        <v>0</v>
      </c>
      <c r="P207" s="59">
        <v>22500</v>
      </c>
      <c r="Q207" s="58">
        <v>0</v>
      </c>
      <c r="R207" s="55">
        <v>15000</v>
      </c>
      <c r="S207" s="55" t="s">
        <v>469</v>
      </c>
      <c r="T207" s="55" t="s">
        <v>495</v>
      </c>
      <c r="U207" s="55" t="s">
        <v>18</v>
      </c>
      <c r="V207" s="55" t="s">
        <v>470</v>
      </c>
      <c r="W207" s="42">
        <f>VLOOKUP(B207,'LW13'!$X$15:$Y$501,2,0)-M207</f>
        <v>0</v>
      </c>
    </row>
    <row r="208" spans="1:23" x14ac:dyDescent="0.2">
      <c r="A208" s="9" t="str">
        <f t="shared" si="10"/>
        <v>71NL300113</v>
      </c>
      <c r="B208" s="9" t="str">
        <f>COUNTIF($A$7:A208,A208)&amp;A208</f>
        <v>171NL300113</v>
      </c>
      <c r="C208" s="54">
        <v>46029</v>
      </c>
      <c r="D208" s="55" t="s">
        <v>294</v>
      </c>
      <c r="E208" s="56" t="s">
        <v>515</v>
      </c>
      <c r="F208" s="56" t="s">
        <v>295</v>
      </c>
      <c r="G208" s="55" t="s">
        <v>492</v>
      </c>
      <c r="H208" s="55" t="s">
        <v>493</v>
      </c>
      <c r="I208" s="55" t="s">
        <v>514</v>
      </c>
      <c r="J208" s="55" t="s">
        <v>216</v>
      </c>
      <c r="K208" s="55" t="s">
        <v>33</v>
      </c>
      <c r="L208" s="55" t="s">
        <v>92</v>
      </c>
      <c r="M208" s="57">
        <v>0.8</v>
      </c>
      <c r="N208" s="58">
        <v>145000</v>
      </c>
      <c r="O208" s="58">
        <v>0</v>
      </c>
      <c r="P208" s="59">
        <v>116000</v>
      </c>
      <c r="Q208" s="58">
        <v>0</v>
      </c>
      <c r="R208" s="55">
        <v>145000</v>
      </c>
      <c r="S208" s="55" t="s">
        <v>469</v>
      </c>
      <c r="T208" s="55" t="s">
        <v>495</v>
      </c>
      <c r="U208" s="55" t="s">
        <v>18</v>
      </c>
      <c r="V208" s="55" t="s">
        <v>470</v>
      </c>
      <c r="W208" s="42">
        <f>VLOOKUP(B208,'LW13'!$X$15:$Y$501,2,0)-M208</f>
        <v>0</v>
      </c>
    </row>
    <row r="209" spans="1:23" x14ac:dyDescent="0.2">
      <c r="A209" s="9" t="str">
        <f t="shared" si="10"/>
        <v>81NL300020</v>
      </c>
      <c r="B209" s="9" t="str">
        <f>COUNTIF($A$7:A209,A209)&amp;A209</f>
        <v>181NL300020</v>
      </c>
      <c r="C209" s="54">
        <v>46030</v>
      </c>
      <c r="D209" s="55" t="s">
        <v>294</v>
      </c>
      <c r="E209" s="56" t="s">
        <v>516</v>
      </c>
      <c r="F209" s="56" t="s">
        <v>295</v>
      </c>
      <c r="G209" s="55" t="s">
        <v>492</v>
      </c>
      <c r="H209" s="55" t="s">
        <v>493</v>
      </c>
      <c r="I209" s="55" t="s">
        <v>517</v>
      </c>
      <c r="J209" s="55" t="s">
        <v>110</v>
      </c>
      <c r="K209" s="55" t="s">
        <v>302</v>
      </c>
      <c r="L209" s="55" t="s">
        <v>92</v>
      </c>
      <c r="M209" s="57">
        <v>1.8</v>
      </c>
      <c r="N209" s="58">
        <v>30000</v>
      </c>
      <c r="O209" s="58">
        <v>0</v>
      </c>
      <c r="P209" s="59">
        <v>54000</v>
      </c>
      <c r="Q209" s="58">
        <v>0</v>
      </c>
      <c r="R209" s="55">
        <v>30000</v>
      </c>
      <c r="S209" s="55" t="s">
        <v>469</v>
      </c>
      <c r="T209" s="55" t="s">
        <v>495</v>
      </c>
      <c r="U209" s="55" t="s">
        <v>18</v>
      </c>
      <c r="V209" s="55" t="s">
        <v>470</v>
      </c>
      <c r="W209" s="42">
        <f>VLOOKUP(B209,'LW13'!$X$15:$Y$501,2,0)-M209</f>
        <v>0</v>
      </c>
    </row>
    <row r="210" spans="1:23" x14ac:dyDescent="0.2">
      <c r="A210" s="9" t="str">
        <f t="shared" si="10"/>
        <v>81NL300036</v>
      </c>
      <c r="B210" s="9" t="str">
        <f>COUNTIF($A$7:A210,A210)&amp;A210</f>
        <v>181NL300036</v>
      </c>
      <c r="C210" s="54">
        <v>46030</v>
      </c>
      <c r="D210" s="55" t="s">
        <v>294</v>
      </c>
      <c r="E210" s="56" t="s">
        <v>516</v>
      </c>
      <c r="F210" s="56" t="s">
        <v>295</v>
      </c>
      <c r="G210" s="55" t="s">
        <v>492</v>
      </c>
      <c r="H210" s="55" t="s">
        <v>493</v>
      </c>
      <c r="I210" s="55" t="s">
        <v>517</v>
      </c>
      <c r="J210" s="55" t="s">
        <v>131</v>
      </c>
      <c r="K210" s="55" t="s">
        <v>27</v>
      </c>
      <c r="L210" s="55" t="s">
        <v>92</v>
      </c>
      <c r="M210" s="57">
        <v>0.4</v>
      </c>
      <c r="N210" s="58">
        <v>47000</v>
      </c>
      <c r="O210" s="58">
        <v>0</v>
      </c>
      <c r="P210" s="59">
        <v>18800</v>
      </c>
      <c r="Q210" s="58">
        <v>0</v>
      </c>
      <c r="R210" s="55">
        <v>47000</v>
      </c>
      <c r="S210" s="55" t="s">
        <v>469</v>
      </c>
      <c r="T210" s="55" t="s">
        <v>495</v>
      </c>
      <c r="U210" s="55" t="s">
        <v>18</v>
      </c>
      <c r="V210" s="55" t="s">
        <v>470</v>
      </c>
      <c r="W210" s="42">
        <f>VLOOKUP(B210,'LW13'!$X$15:$Y$501,2,0)-M210</f>
        <v>0</v>
      </c>
    </row>
    <row r="211" spans="1:23" x14ac:dyDescent="0.2">
      <c r="A211" s="9" t="str">
        <f t="shared" si="10"/>
        <v>81NL300038</v>
      </c>
      <c r="B211" s="9" t="str">
        <f>COUNTIF($A$7:A211,A211)&amp;A211</f>
        <v>181NL300038</v>
      </c>
      <c r="C211" s="54">
        <v>46030</v>
      </c>
      <c r="D211" s="55" t="s">
        <v>294</v>
      </c>
      <c r="E211" s="56" t="s">
        <v>516</v>
      </c>
      <c r="F211" s="56" t="s">
        <v>295</v>
      </c>
      <c r="G211" s="55" t="s">
        <v>492</v>
      </c>
      <c r="H211" s="55" t="s">
        <v>493</v>
      </c>
      <c r="I211" s="55" t="s">
        <v>517</v>
      </c>
      <c r="J211" s="55" t="s">
        <v>132</v>
      </c>
      <c r="K211" s="55" t="s">
        <v>28</v>
      </c>
      <c r="L211" s="55" t="s">
        <v>92</v>
      </c>
      <c r="M211" s="57">
        <v>1.7</v>
      </c>
      <c r="N211" s="58">
        <v>32000</v>
      </c>
      <c r="O211" s="58">
        <v>0</v>
      </c>
      <c r="P211" s="59">
        <v>54400</v>
      </c>
      <c r="Q211" s="58">
        <v>0</v>
      </c>
      <c r="R211" s="55">
        <v>32000</v>
      </c>
      <c r="S211" s="55" t="s">
        <v>469</v>
      </c>
      <c r="T211" s="55" t="s">
        <v>495</v>
      </c>
      <c r="U211" s="55" t="s">
        <v>18</v>
      </c>
      <c r="V211" s="55" t="s">
        <v>470</v>
      </c>
      <c r="W211" s="42">
        <f>VLOOKUP(B211,'LW13'!$X$15:$Y$501,2,0)-M211</f>
        <v>0</v>
      </c>
    </row>
    <row r="212" spans="1:23" x14ac:dyDescent="0.2">
      <c r="A212" s="9" t="str">
        <f t="shared" si="10"/>
        <v>81NL300059</v>
      </c>
      <c r="B212" s="9" t="str">
        <f>COUNTIF($A$7:A212,A212)&amp;A212</f>
        <v>181NL300059</v>
      </c>
      <c r="C212" s="54">
        <v>46030</v>
      </c>
      <c r="D212" s="55" t="s">
        <v>294</v>
      </c>
      <c r="E212" s="56" t="s">
        <v>516</v>
      </c>
      <c r="F212" s="56" t="s">
        <v>295</v>
      </c>
      <c r="G212" s="55" t="s">
        <v>492</v>
      </c>
      <c r="H212" s="55" t="s">
        <v>493</v>
      </c>
      <c r="I212" s="55" t="s">
        <v>517</v>
      </c>
      <c r="J212" s="55" t="s">
        <v>151</v>
      </c>
      <c r="K212" s="55" t="s">
        <v>71</v>
      </c>
      <c r="L212" s="55" t="s">
        <v>92</v>
      </c>
      <c r="M212" s="57">
        <v>0.9</v>
      </c>
      <c r="N212" s="58">
        <v>13000</v>
      </c>
      <c r="O212" s="58">
        <v>0</v>
      </c>
      <c r="P212" s="59">
        <v>11700</v>
      </c>
      <c r="Q212" s="58">
        <v>0</v>
      </c>
      <c r="R212" s="55">
        <v>13000</v>
      </c>
      <c r="S212" s="55" t="s">
        <v>469</v>
      </c>
      <c r="T212" s="55" t="s">
        <v>495</v>
      </c>
      <c r="U212" s="55" t="s">
        <v>18</v>
      </c>
      <c r="V212" s="55" t="s">
        <v>470</v>
      </c>
      <c r="W212" s="42">
        <f>VLOOKUP(B212,'LW13'!$X$15:$Y$501,2,0)-M212</f>
        <v>0</v>
      </c>
    </row>
    <row r="213" spans="1:23" x14ac:dyDescent="0.2">
      <c r="A213" s="9" t="str">
        <f t="shared" si="10"/>
        <v>81NL300088</v>
      </c>
      <c r="B213" s="9" t="str">
        <f>COUNTIF($A$7:A213,A213)&amp;A213</f>
        <v>181NL300088</v>
      </c>
      <c r="C213" s="54">
        <v>46030</v>
      </c>
      <c r="D213" s="55" t="s">
        <v>294</v>
      </c>
      <c r="E213" s="56" t="s">
        <v>516</v>
      </c>
      <c r="F213" s="56" t="s">
        <v>295</v>
      </c>
      <c r="G213" s="55" t="s">
        <v>492</v>
      </c>
      <c r="H213" s="55" t="s">
        <v>493</v>
      </c>
      <c r="I213" s="55" t="s">
        <v>517</v>
      </c>
      <c r="J213" s="55" t="s">
        <v>185</v>
      </c>
      <c r="K213" s="55" t="s">
        <v>31</v>
      </c>
      <c r="L213" s="55" t="s">
        <v>92</v>
      </c>
      <c r="M213" s="57">
        <v>0.9</v>
      </c>
      <c r="N213" s="58">
        <v>27000</v>
      </c>
      <c r="O213" s="58">
        <v>0</v>
      </c>
      <c r="P213" s="59">
        <v>24300</v>
      </c>
      <c r="Q213" s="58">
        <v>0</v>
      </c>
      <c r="R213" s="55">
        <v>27000</v>
      </c>
      <c r="S213" s="55" t="s">
        <v>469</v>
      </c>
      <c r="T213" s="55" t="s">
        <v>495</v>
      </c>
      <c r="U213" s="55" t="s">
        <v>18</v>
      </c>
      <c r="V213" s="55" t="s">
        <v>470</v>
      </c>
      <c r="W213" s="42">
        <f>VLOOKUP(B213,'LW13'!$X$15:$Y$501,2,0)-M213</f>
        <v>0</v>
      </c>
    </row>
    <row r="214" spans="1:23" x14ac:dyDescent="0.2">
      <c r="A214" s="9" t="str">
        <f t="shared" si="10"/>
        <v>81NL300137</v>
      </c>
      <c r="B214" s="9" t="str">
        <f>COUNTIF($A$7:A214,A214)&amp;A214</f>
        <v>181NL300137</v>
      </c>
      <c r="C214" s="54">
        <v>46030</v>
      </c>
      <c r="D214" s="55" t="s">
        <v>294</v>
      </c>
      <c r="E214" s="56" t="s">
        <v>516</v>
      </c>
      <c r="F214" s="56" t="s">
        <v>295</v>
      </c>
      <c r="G214" s="55" t="s">
        <v>492</v>
      </c>
      <c r="H214" s="55" t="s">
        <v>493</v>
      </c>
      <c r="I214" s="55" t="s">
        <v>517</v>
      </c>
      <c r="J214" s="55" t="s">
        <v>96</v>
      </c>
      <c r="K214" s="55" t="s">
        <v>397</v>
      </c>
      <c r="L214" s="55" t="s">
        <v>92</v>
      </c>
      <c r="M214" s="57">
        <v>1.9</v>
      </c>
      <c r="N214" s="58">
        <v>52000</v>
      </c>
      <c r="O214" s="58">
        <v>0</v>
      </c>
      <c r="P214" s="59">
        <v>98800</v>
      </c>
      <c r="Q214" s="58">
        <v>0</v>
      </c>
      <c r="R214" s="55">
        <v>52000</v>
      </c>
      <c r="S214" s="55" t="s">
        <v>469</v>
      </c>
      <c r="T214" s="55" t="s">
        <v>495</v>
      </c>
      <c r="U214" s="55" t="s">
        <v>18</v>
      </c>
      <c r="V214" s="55" t="s">
        <v>470</v>
      </c>
      <c r="W214" s="42">
        <f>VLOOKUP(B214,'LW13'!$X$15:$Y$501,2,0)-M214</f>
        <v>0</v>
      </c>
    </row>
    <row r="215" spans="1:23" x14ac:dyDescent="0.2">
      <c r="A215" s="9" t="str">
        <f t="shared" si="10"/>
        <v>81NL300116</v>
      </c>
      <c r="B215" s="9" t="str">
        <f>COUNTIF($A$7:A215,A215)&amp;A215</f>
        <v>181NL300116</v>
      </c>
      <c r="C215" s="54">
        <v>46030</v>
      </c>
      <c r="D215" s="55" t="s">
        <v>294</v>
      </c>
      <c r="E215" s="56" t="s">
        <v>516</v>
      </c>
      <c r="F215" s="56" t="s">
        <v>295</v>
      </c>
      <c r="G215" s="55" t="s">
        <v>492</v>
      </c>
      <c r="H215" s="55" t="s">
        <v>493</v>
      </c>
      <c r="I215" s="55" t="s">
        <v>517</v>
      </c>
      <c r="J215" s="55" t="s">
        <v>217</v>
      </c>
      <c r="K215" s="55" t="s">
        <v>313</v>
      </c>
      <c r="L215" s="55" t="s">
        <v>92</v>
      </c>
      <c r="M215" s="57">
        <v>0.18</v>
      </c>
      <c r="N215" s="58">
        <v>148000</v>
      </c>
      <c r="O215" s="58">
        <v>0</v>
      </c>
      <c r="P215" s="59">
        <v>26640</v>
      </c>
      <c r="Q215" s="58">
        <v>0</v>
      </c>
      <c r="R215" s="55">
        <v>148000</v>
      </c>
      <c r="S215" s="55" t="s">
        <v>469</v>
      </c>
      <c r="T215" s="55" t="s">
        <v>495</v>
      </c>
      <c r="U215" s="55" t="s">
        <v>18</v>
      </c>
      <c r="V215" s="55" t="s">
        <v>470</v>
      </c>
      <c r="W215" s="42">
        <f>VLOOKUP(B215,'LW13'!$X$15:$Y$501,2,0)-M215</f>
        <v>0</v>
      </c>
    </row>
    <row r="216" spans="1:23" x14ac:dyDescent="0.2">
      <c r="A216" s="9" t="str">
        <f t="shared" si="10"/>
        <v>81NL600067</v>
      </c>
      <c r="B216" s="9" t="str">
        <f>COUNTIF($A$7:A216,A216)&amp;A216</f>
        <v>181NL600067</v>
      </c>
      <c r="C216" s="54">
        <v>46030</v>
      </c>
      <c r="D216" s="55" t="s">
        <v>294</v>
      </c>
      <c r="E216" s="56" t="s">
        <v>516</v>
      </c>
      <c r="F216" s="56" t="s">
        <v>295</v>
      </c>
      <c r="G216" s="55" t="s">
        <v>492</v>
      </c>
      <c r="H216" s="55" t="s">
        <v>493</v>
      </c>
      <c r="I216" s="55" t="s">
        <v>517</v>
      </c>
      <c r="J216" s="55" t="s">
        <v>115</v>
      </c>
      <c r="K216" s="55" t="s">
        <v>72</v>
      </c>
      <c r="L216" s="55" t="s">
        <v>92</v>
      </c>
      <c r="M216" s="57">
        <v>0.3</v>
      </c>
      <c r="N216" s="58">
        <v>75000</v>
      </c>
      <c r="O216" s="58">
        <v>0</v>
      </c>
      <c r="P216" s="59">
        <v>22500</v>
      </c>
      <c r="Q216" s="58">
        <v>0</v>
      </c>
      <c r="R216" s="55">
        <v>75000</v>
      </c>
      <c r="S216" s="55" t="s">
        <v>469</v>
      </c>
      <c r="T216" s="55" t="s">
        <v>495</v>
      </c>
      <c r="U216" s="55" t="s">
        <v>18</v>
      </c>
      <c r="V216" s="55" t="s">
        <v>470</v>
      </c>
      <c r="W216" s="42">
        <f>VLOOKUP(B216,'LW13'!$X$15:$Y$501,2,0)-M216</f>
        <v>0</v>
      </c>
    </row>
    <row r="217" spans="1:23" x14ac:dyDescent="0.2">
      <c r="A217" s="9" t="str">
        <f t="shared" si="10"/>
        <v>81NL300030</v>
      </c>
      <c r="B217" s="9" t="str">
        <f>COUNTIF($A$7:A217,A217)&amp;A217</f>
        <v>181NL300030</v>
      </c>
      <c r="C217" s="54">
        <v>46030</v>
      </c>
      <c r="D217" s="55" t="s">
        <v>294</v>
      </c>
      <c r="E217" s="56" t="s">
        <v>516</v>
      </c>
      <c r="F217" s="56" t="s">
        <v>295</v>
      </c>
      <c r="G217" s="55" t="s">
        <v>492</v>
      </c>
      <c r="H217" s="55" t="s">
        <v>493</v>
      </c>
      <c r="I217" s="55" t="s">
        <v>517</v>
      </c>
      <c r="J217" s="55" t="s">
        <v>120</v>
      </c>
      <c r="K217" s="55" t="s">
        <v>310</v>
      </c>
      <c r="L217" s="55" t="s">
        <v>92</v>
      </c>
      <c r="M217" s="57">
        <v>0.5</v>
      </c>
      <c r="N217" s="58">
        <v>34000</v>
      </c>
      <c r="O217" s="58">
        <v>0</v>
      </c>
      <c r="P217" s="59">
        <v>17000</v>
      </c>
      <c r="Q217" s="58">
        <v>0</v>
      </c>
      <c r="R217" s="55">
        <v>34000</v>
      </c>
      <c r="S217" s="55" t="s">
        <v>469</v>
      </c>
      <c r="T217" s="55" t="s">
        <v>495</v>
      </c>
      <c r="U217" s="55" t="s">
        <v>18</v>
      </c>
      <c r="V217" s="55" t="s">
        <v>470</v>
      </c>
      <c r="W217" s="42">
        <f>VLOOKUP(B217,'LW13'!$X$15:$Y$501,2,0)-M217</f>
        <v>0</v>
      </c>
    </row>
    <row r="218" spans="1:23" x14ac:dyDescent="0.2">
      <c r="A218" s="9" t="str">
        <f t="shared" si="10"/>
        <v>81NL600004</v>
      </c>
      <c r="B218" s="9" t="str">
        <f>COUNTIF($A$7:A218,A218)&amp;A218</f>
        <v>181NL600004</v>
      </c>
      <c r="C218" s="54">
        <v>46030</v>
      </c>
      <c r="D218" s="55" t="s">
        <v>294</v>
      </c>
      <c r="E218" s="56" t="s">
        <v>516</v>
      </c>
      <c r="F218" s="56" t="s">
        <v>295</v>
      </c>
      <c r="G218" s="55" t="s">
        <v>492</v>
      </c>
      <c r="H218" s="55" t="s">
        <v>493</v>
      </c>
      <c r="I218" s="55" t="s">
        <v>517</v>
      </c>
      <c r="J218" s="55" t="s">
        <v>144</v>
      </c>
      <c r="K218" s="55" t="s">
        <v>47</v>
      </c>
      <c r="L218" s="55" t="s">
        <v>92</v>
      </c>
      <c r="M218" s="57">
        <v>9.8000000000000007</v>
      </c>
      <c r="N218" s="58">
        <v>18000</v>
      </c>
      <c r="O218" s="58">
        <v>0</v>
      </c>
      <c r="P218" s="59">
        <v>176400</v>
      </c>
      <c r="Q218" s="58">
        <v>0</v>
      </c>
      <c r="R218" s="55">
        <v>18000</v>
      </c>
      <c r="S218" s="55" t="s">
        <v>469</v>
      </c>
      <c r="T218" s="55" t="s">
        <v>495</v>
      </c>
      <c r="U218" s="55" t="s">
        <v>18</v>
      </c>
      <c r="V218" s="55" t="s">
        <v>470</v>
      </c>
      <c r="W218" s="42">
        <f>VLOOKUP(B218,'LW13'!$X$15:$Y$501,2,0)-M218</f>
        <v>0</v>
      </c>
    </row>
    <row r="219" spans="1:23" x14ac:dyDescent="0.2">
      <c r="A219" s="9" t="str">
        <f t="shared" si="10"/>
        <v>81NL300189</v>
      </c>
      <c r="B219" s="9" t="str">
        <f>COUNTIF($A$7:A219,A219)&amp;A219</f>
        <v>181NL300189</v>
      </c>
      <c r="C219" s="54">
        <v>46030</v>
      </c>
      <c r="D219" s="55" t="s">
        <v>294</v>
      </c>
      <c r="E219" s="56" t="s">
        <v>516</v>
      </c>
      <c r="F219" s="56" t="s">
        <v>295</v>
      </c>
      <c r="G219" s="55" t="s">
        <v>492</v>
      </c>
      <c r="H219" s="55" t="s">
        <v>493</v>
      </c>
      <c r="I219" s="55" t="s">
        <v>517</v>
      </c>
      <c r="J219" s="55" t="s">
        <v>85</v>
      </c>
      <c r="K219" s="55" t="s">
        <v>54</v>
      </c>
      <c r="L219" s="55" t="s">
        <v>92</v>
      </c>
      <c r="M219" s="57">
        <v>1.5</v>
      </c>
      <c r="N219" s="58">
        <v>15000</v>
      </c>
      <c r="O219" s="58">
        <v>0</v>
      </c>
      <c r="P219" s="59">
        <v>22500</v>
      </c>
      <c r="Q219" s="58">
        <v>0</v>
      </c>
      <c r="R219" s="55">
        <v>15000</v>
      </c>
      <c r="S219" s="55" t="s">
        <v>469</v>
      </c>
      <c r="T219" s="55" t="s">
        <v>495</v>
      </c>
      <c r="U219" s="55" t="s">
        <v>18</v>
      </c>
      <c r="V219" s="55" t="s">
        <v>470</v>
      </c>
      <c r="W219" s="42">
        <f>VLOOKUP(B219,'LW13'!$X$15:$Y$501,2,0)-M219</f>
        <v>0</v>
      </c>
    </row>
    <row r="220" spans="1:23" x14ac:dyDescent="0.2">
      <c r="A220" s="9" t="str">
        <f t="shared" si="10"/>
        <v>81NL300004</v>
      </c>
      <c r="B220" s="9" t="str">
        <f>COUNTIF($A$7:A220,A220)&amp;A220</f>
        <v>181NL300004</v>
      </c>
      <c r="C220" s="54">
        <v>46030</v>
      </c>
      <c r="D220" s="55" t="s">
        <v>294</v>
      </c>
      <c r="E220" s="56" t="s">
        <v>516</v>
      </c>
      <c r="F220" s="56" t="s">
        <v>295</v>
      </c>
      <c r="G220" s="55" t="s">
        <v>492</v>
      </c>
      <c r="H220" s="55" t="s">
        <v>493</v>
      </c>
      <c r="I220" s="55" t="s">
        <v>517</v>
      </c>
      <c r="J220" s="55" t="s">
        <v>86</v>
      </c>
      <c r="K220" s="55" t="s">
        <v>16</v>
      </c>
      <c r="L220" s="55" t="s">
        <v>92</v>
      </c>
      <c r="M220" s="57">
        <v>1</v>
      </c>
      <c r="N220" s="58">
        <v>19000</v>
      </c>
      <c r="O220" s="58">
        <v>0</v>
      </c>
      <c r="P220" s="59">
        <v>19000</v>
      </c>
      <c r="Q220" s="58">
        <v>0</v>
      </c>
      <c r="R220" s="55">
        <v>19000</v>
      </c>
      <c r="S220" s="55" t="s">
        <v>469</v>
      </c>
      <c r="T220" s="55" t="s">
        <v>495</v>
      </c>
      <c r="U220" s="55" t="s">
        <v>18</v>
      </c>
      <c r="V220" s="55" t="s">
        <v>470</v>
      </c>
      <c r="W220" s="42">
        <f>VLOOKUP(B220,'LW13'!$X$15:$Y$501,2,0)-M220</f>
        <v>0</v>
      </c>
    </row>
    <row r="221" spans="1:23" x14ac:dyDescent="0.2">
      <c r="A221" s="9" t="str">
        <f t="shared" si="10"/>
        <v>81NL300008</v>
      </c>
      <c r="B221" s="9" t="str">
        <f>COUNTIF($A$7:A221,A221)&amp;A221</f>
        <v>181NL300008</v>
      </c>
      <c r="C221" s="54">
        <v>46030</v>
      </c>
      <c r="D221" s="55" t="s">
        <v>294</v>
      </c>
      <c r="E221" s="56" t="s">
        <v>516</v>
      </c>
      <c r="F221" s="56" t="s">
        <v>295</v>
      </c>
      <c r="G221" s="55" t="s">
        <v>492</v>
      </c>
      <c r="H221" s="55" t="s">
        <v>493</v>
      </c>
      <c r="I221" s="55" t="s">
        <v>517</v>
      </c>
      <c r="J221" s="55" t="s">
        <v>93</v>
      </c>
      <c r="K221" s="55" t="s">
        <v>301</v>
      </c>
      <c r="L221" s="55" t="s">
        <v>92</v>
      </c>
      <c r="M221" s="57">
        <v>3.5</v>
      </c>
      <c r="N221" s="58">
        <v>40000</v>
      </c>
      <c r="O221" s="58">
        <v>0</v>
      </c>
      <c r="P221" s="59">
        <v>140000</v>
      </c>
      <c r="Q221" s="58">
        <v>0</v>
      </c>
      <c r="R221" s="55">
        <v>40000</v>
      </c>
      <c r="S221" s="55" t="s">
        <v>469</v>
      </c>
      <c r="T221" s="55" t="s">
        <v>495</v>
      </c>
      <c r="U221" s="55" t="s">
        <v>18</v>
      </c>
      <c r="V221" s="55" t="s">
        <v>470</v>
      </c>
      <c r="W221" s="42">
        <f>VLOOKUP(B221,'LW13'!$X$15:$Y$501,2,0)-M221</f>
        <v>0</v>
      </c>
    </row>
    <row r="222" spans="1:23" x14ac:dyDescent="0.2">
      <c r="A222" s="9" t="str">
        <f t="shared" si="10"/>
        <v>81NL300119</v>
      </c>
      <c r="B222" s="9" t="str">
        <f>COUNTIF($A$7:A222,A222)&amp;A222</f>
        <v>181NL300119</v>
      </c>
      <c r="C222" s="54">
        <v>46030</v>
      </c>
      <c r="D222" s="55" t="s">
        <v>294</v>
      </c>
      <c r="E222" s="56" t="s">
        <v>516</v>
      </c>
      <c r="F222" s="56" t="s">
        <v>295</v>
      </c>
      <c r="G222" s="55" t="s">
        <v>492</v>
      </c>
      <c r="H222" s="55" t="s">
        <v>493</v>
      </c>
      <c r="I222" s="55" t="s">
        <v>517</v>
      </c>
      <c r="J222" s="55" t="s">
        <v>242</v>
      </c>
      <c r="K222" s="55" t="s">
        <v>307</v>
      </c>
      <c r="L222" s="55" t="s">
        <v>92</v>
      </c>
      <c r="M222" s="57">
        <v>0.5</v>
      </c>
      <c r="N222" s="58">
        <v>21000</v>
      </c>
      <c r="O222" s="58">
        <v>0</v>
      </c>
      <c r="P222" s="59">
        <v>10500</v>
      </c>
      <c r="Q222" s="58">
        <v>0</v>
      </c>
      <c r="R222" s="55">
        <v>21000</v>
      </c>
      <c r="S222" s="55" t="s">
        <v>469</v>
      </c>
      <c r="T222" s="55" t="s">
        <v>495</v>
      </c>
      <c r="U222" s="55" t="s">
        <v>18</v>
      </c>
      <c r="V222" s="55" t="s">
        <v>470</v>
      </c>
      <c r="W222" s="42">
        <f>VLOOKUP(B222,'LW13'!$X$15:$Y$501,2,0)-M222</f>
        <v>0</v>
      </c>
    </row>
    <row r="223" spans="1:23" x14ac:dyDescent="0.2">
      <c r="A223" s="9" t="str">
        <f t="shared" si="10"/>
        <v>81NL300025</v>
      </c>
      <c r="B223" s="9" t="str">
        <f>COUNTIF($A$7:A223,A223)&amp;A223</f>
        <v>181NL300025</v>
      </c>
      <c r="C223" s="54">
        <v>46030</v>
      </c>
      <c r="D223" s="55" t="s">
        <v>294</v>
      </c>
      <c r="E223" s="56" t="s">
        <v>516</v>
      </c>
      <c r="F223" s="56" t="s">
        <v>295</v>
      </c>
      <c r="G223" s="55" t="s">
        <v>492</v>
      </c>
      <c r="H223" s="55" t="s">
        <v>493</v>
      </c>
      <c r="I223" s="55" t="s">
        <v>517</v>
      </c>
      <c r="J223" s="55" t="s">
        <v>117</v>
      </c>
      <c r="K223" s="55" t="s">
        <v>303</v>
      </c>
      <c r="L223" s="55" t="s">
        <v>92</v>
      </c>
      <c r="M223" s="57">
        <v>0.7</v>
      </c>
      <c r="N223" s="58">
        <v>44000</v>
      </c>
      <c r="O223" s="58">
        <v>0</v>
      </c>
      <c r="P223" s="59">
        <v>30800</v>
      </c>
      <c r="Q223" s="58">
        <v>0</v>
      </c>
      <c r="R223" s="55">
        <v>44000</v>
      </c>
      <c r="S223" s="55" t="s">
        <v>469</v>
      </c>
      <c r="T223" s="55" t="s">
        <v>495</v>
      </c>
      <c r="U223" s="55" t="s">
        <v>18</v>
      </c>
      <c r="V223" s="55" t="s">
        <v>470</v>
      </c>
      <c r="W223" s="42">
        <f>VLOOKUP(B223,'LW13'!$X$15:$Y$501,2,0)-M223</f>
        <v>0</v>
      </c>
    </row>
    <row r="224" spans="1:23" x14ac:dyDescent="0.2">
      <c r="A224" s="9" t="str">
        <f t="shared" si="10"/>
        <v>81NL300126</v>
      </c>
      <c r="B224" s="9" t="str">
        <f>COUNTIF($A$7:A224,A224)&amp;A224</f>
        <v>181NL300126</v>
      </c>
      <c r="C224" s="54">
        <v>46030</v>
      </c>
      <c r="D224" s="55" t="s">
        <v>294</v>
      </c>
      <c r="E224" s="56" t="s">
        <v>516</v>
      </c>
      <c r="F224" s="56" t="s">
        <v>295</v>
      </c>
      <c r="G224" s="55" t="s">
        <v>492</v>
      </c>
      <c r="H224" s="55" t="s">
        <v>493</v>
      </c>
      <c r="I224" s="55" t="s">
        <v>517</v>
      </c>
      <c r="J224" s="55" t="s">
        <v>206</v>
      </c>
      <c r="K224" s="55" t="s">
        <v>315</v>
      </c>
      <c r="L224" s="55" t="s">
        <v>92</v>
      </c>
      <c r="M224" s="57">
        <v>0.1</v>
      </c>
      <c r="N224" s="58">
        <v>70000</v>
      </c>
      <c r="O224" s="58">
        <v>0</v>
      </c>
      <c r="P224" s="59">
        <v>7000</v>
      </c>
      <c r="Q224" s="58">
        <v>0</v>
      </c>
      <c r="R224" s="55">
        <v>70000</v>
      </c>
      <c r="S224" s="55" t="s">
        <v>469</v>
      </c>
      <c r="T224" s="55" t="s">
        <v>495</v>
      </c>
      <c r="U224" s="55" t="s">
        <v>18</v>
      </c>
      <c r="V224" s="55" t="s">
        <v>470</v>
      </c>
      <c r="W224" s="42">
        <f>VLOOKUP(B224,'LW13'!$X$15:$Y$501,2,0)-M224</f>
        <v>0</v>
      </c>
    </row>
    <row r="225" spans="1:23" x14ac:dyDescent="0.2">
      <c r="A225" s="9" t="str">
        <f t="shared" si="10"/>
        <v>81NL300121</v>
      </c>
      <c r="B225" s="9" t="str">
        <f>COUNTIF($A$7:A225,A225)&amp;A225</f>
        <v>181NL300121</v>
      </c>
      <c r="C225" s="54">
        <v>46030</v>
      </c>
      <c r="D225" s="55" t="s">
        <v>294</v>
      </c>
      <c r="E225" s="56" t="s">
        <v>516</v>
      </c>
      <c r="F225" s="56" t="s">
        <v>295</v>
      </c>
      <c r="G225" s="55" t="s">
        <v>492</v>
      </c>
      <c r="H225" s="55" t="s">
        <v>493</v>
      </c>
      <c r="I225" s="55" t="s">
        <v>517</v>
      </c>
      <c r="J225" s="55" t="s">
        <v>231</v>
      </c>
      <c r="K225" s="55" t="s">
        <v>35</v>
      </c>
      <c r="L225" s="55" t="s">
        <v>92</v>
      </c>
      <c r="M225" s="57">
        <v>0.1</v>
      </c>
      <c r="N225" s="58">
        <v>22000</v>
      </c>
      <c r="O225" s="58">
        <v>0</v>
      </c>
      <c r="P225" s="59">
        <v>2200</v>
      </c>
      <c r="Q225" s="58">
        <v>0</v>
      </c>
      <c r="R225" s="55">
        <v>22000</v>
      </c>
      <c r="S225" s="55" t="s">
        <v>469</v>
      </c>
      <c r="T225" s="55" t="s">
        <v>495</v>
      </c>
      <c r="U225" s="55" t="s">
        <v>18</v>
      </c>
      <c r="V225" s="55" t="s">
        <v>470</v>
      </c>
      <c r="W225" s="42">
        <f>VLOOKUP(B225,'LW13'!$X$15:$Y$501,2,0)-M225</f>
        <v>0</v>
      </c>
    </row>
    <row r="226" spans="1:23" x14ac:dyDescent="0.2">
      <c r="A226" s="9" t="str">
        <f t="shared" si="10"/>
        <v>81NL300139</v>
      </c>
      <c r="B226" s="9" t="str">
        <f>COUNTIF($A$7:A226,A226)&amp;A226</f>
        <v>181NL300139</v>
      </c>
      <c r="C226" s="54">
        <v>46030</v>
      </c>
      <c r="D226" s="55" t="s">
        <v>294</v>
      </c>
      <c r="E226" s="56" t="s">
        <v>516</v>
      </c>
      <c r="F226" s="56" t="s">
        <v>295</v>
      </c>
      <c r="G226" s="55" t="s">
        <v>492</v>
      </c>
      <c r="H226" s="55" t="s">
        <v>493</v>
      </c>
      <c r="I226" s="55" t="s">
        <v>517</v>
      </c>
      <c r="J226" s="55" t="s">
        <v>249</v>
      </c>
      <c r="K226" s="55" t="s">
        <v>58</v>
      </c>
      <c r="L226" s="55" t="s">
        <v>92</v>
      </c>
      <c r="M226" s="57">
        <v>0.1</v>
      </c>
      <c r="N226" s="58">
        <v>42000</v>
      </c>
      <c r="O226" s="58">
        <v>0</v>
      </c>
      <c r="P226" s="59">
        <v>4200</v>
      </c>
      <c r="Q226" s="58">
        <v>0</v>
      </c>
      <c r="R226" s="55">
        <v>42000</v>
      </c>
      <c r="S226" s="55" t="s">
        <v>469</v>
      </c>
      <c r="T226" s="55" t="s">
        <v>495</v>
      </c>
      <c r="U226" s="55" t="s">
        <v>18</v>
      </c>
      <c r="V226" s="55" t="s">
        <v>470</v>
      </c>
      <c r="W226" s="42">
        <f>VLOOKUP(B226,'LW13'!$X$15:$Y$501,2,0)-M226</f>
        <v>0</v>
      </c>
    </row>
    <row r="227" spans="1:23" x14ac:dyDescent="0.2">
      <c r="A227" s="9" t="str">
        <f t="shared" si="10"/>
        <v>81NL300142</v>
      </c>
      <c r="B227" s="9" t="str">
        <f>COUNTIF($A$7:A227,A227)&amp;A227</f>
        <v>181NL300142</v>
      </c>
      <c r="C227" s="54">
        <v>46030</v>
      </c>
      <c r="D227" s="55" t="s">
        <v>294</v>
      </c>
      <c r="E227" s="56" t="s">
        <v>516</v>
      </c>
      <c r="F227" s="56" t="s">
        <v>295</v>
      </c>
      <c r="G227" s="55" t="s">
        <v>492</v>
      </c>
      <c r="H227" s="55" t="s">
        <v>493</v>
      </c>
      <c r="I227" s="55" t="s">
        <v>517</v>
      </c>
      <c r="J227" s="55" t="s">
        <v>259</v>
      </c>
      <c r="K227" s="55" t="s">
        <v>308</v>
      </c>
      <c r="L227" s="55" t="s">
        <v>92</v>
      </c>
      <c r="M227" s="57">
        <v>2.1</v>
      </c>
      <c r="N227" s="58">
        <v>50000</v>
      </c>
      <c r="O227" s="58">
        <v>0</v>
      </c>
      <c r="P227" s="59">
        <v>105000</v>
      </c>
      <c r="Q227" s="58">
        <v>0</v>
      </c>
      <c r="R227" s="55">
        <v>50000</v>
      </c>
      <c r="S227" s="55" t="s">
        <v>469</v>
      </c>
      <c r="T227" s="55" t="s">
        <v>495</v>
      </c>
      <c r="U227" s="55" t="s">
        <v>18</v>
      </c>
      <c r="V227" s="55" t="s">
        <v>470</v>
      </c>
      <c r="W227" s="42">
        <f>VLOOKUP(B227,'LW13'!$X$15:$Y$501,2,0)-M227</f>
        <v>0</v>
      </c>
    </row>
    <row r="228" spans="1:23" x14ac:dyDescent="0.2">
      <c r="A228" s="9" t="str">
        <f t="shared" si="10"/>
        <v>81NL100101</v>
      </c>
      <c r="B228" s="9" t="str">
        <f>COUNTIF($A$7:A228,A228)&amp;A228</f>
        <v>181NL100101</v>
      </c>
      <c r="C228" s="54">
        <v>46030</v>
      </c>
      <c r="D228" s="55" t="s">
        <v>294</v>
      </c>
      <c r="E228" s="56" t="s">
        <v>516</v>
      </c>
      <c r="F228" s="56" t="s">
        <v>295</v>
      </c>
      <c r="G228" s="55" t="s">
        <v>492</v>
      </c>
      <c r="H228" s="55" t="s">
        <v>493</v>
      </c>
      <c r="I228" s="55" t="s">
        <v>517</v>
      </c>
      <c r="J228" s="55" t="s">
        <v>263</v>
      </c>
      <c r="K228" s="111" t="s">
        <v>52</v>
      </c>
      <c r="L228" s="55" t="s">
        <v>318</v>
      </c>
      <c r="M228" s="57">
        <v>37</v>
      </c>
      <c r="N228" s="58">
        <v>5000</v>
      </c>
      <c r="O228" s="58">
        <v>0</v>
      </c>
      <c r="P228" s="59">
        <v>185000</v>
      </c>
      <c r="Q228" s="58">
        <v>0</v>
      </c>
      <c r="R228" s="55">
        <v>5000</v>
      </c>
      <c r="S228" s="55" t="s">
        <v>469</v>
      </c>
      <c r="T228" s="55" t="s">
        <v>495</v>
      </c>
      <c r="U228" s="55" t="s">
        <v>18</v>
      </c>
      <c r="V228" s="55" t="s">
        <v>470</v>
      </c>
      <c r="W228" s="42">
        <f>VLOOKUP(B228,'LW13'!$X$15:$Y$501,2,0)-M228</f>
        <v>0</v>
      </c>
    </row>
    <row r="229" spans="1:23" x14ac:dyDescent="0.2">
      <c r="A229" s="9" t="str">
        <f t="shared" si="10"/>
        <v>81NL300147</v>
      </c>
      <c r="B229" s="9" t="str">
        <f>COUNTIF($A$7:A229,A229)&amp;A229</f>
        <v>181NL300147</v>
      </c>
      <c r="C229" s="54">
        <v>46030</v>
      </c>
      <c r="D229" s="55" t="s">
        <v>294</v>
      </c>
      <c r="E229" s="56" t="s">
        <v>516</v>
      </c>
      <c r="F229" s="56" t="s">
        <v>295</v>
      </c>
      <c r="G229" s="55" t="s">
        <v>492</v>
      </c>
      <c r="H229" s="55" t="s">
        <v>493</v>
      </c>
      <c r="I229" s="55" t="s">
        <v>517</v>
      </c>
      <c r="J229" s="55" t="s">
        <v>270</v>
      </c>
      <c r="K229" s="55" t="s">
        <v>309</v>
      </c>
      <c r="L229" s="55" t="s">
        <v>92</v>
      </c>
      <c r="M229" s="57">
        <v>1.5</v>
      </c>
      <c r="N229" s="58">
        <v>62000</v>
      </c>
      <c r="O229" s="58">
        <v>0</v>
      </c>
      <c r="P229" s="59">
        <v>93000</v>
      </c>
      <c r="Q229" s="58">
        <v>0</v>
      </c>
      <c r="R229" s="55">
        <v>62000</v>
      </c>
      <c r="S229" s="55" t="s">
        <v>469</v>
      </c>
      <c r="T229" s="55" t="s">
        <v>495</v>
      </c>
      <c r="U229" s="55" t="s">
        <v>18</v>
      </c>
      <c r="V229" s="55" t="s">
        <v>470</v>
      </c>
      <c r="W229" s="42">
        <f>VLOOKUP(B229,'LW13'!$X$15:$Y$501,2,0)-M229</f>
        <v>0</v>
      </c>
    </row>
    <row r="230" spans="1:23" x14ac:dyDescent="0.2">
      <c r="A230" s="9" t="str">
        <f t="shared" si="10"/>
        <v>81NL300158</v>
      </c>
      <c r="B230" s="9" t="str">
        <f>COUNTIF($A$7:A230,A230)&amp;A230</f>
        <v>181NL300158</v>
      </c>
      <c r="C230" s="54">
        <v>46030</v>
      </c>
      <c r="D230" s="55" t="s">
        <v>294</v>
      </c>
      <c r="E230" s="56" t="s">
        <v>516</v>
      </c>
      <c r="F230" s="56" t="s">
        <v>295</v>
      </c>
      <c r="G230" s="55" t="s">
        <v>492</v>
      </c>
      <c r="H230" s="55" t="s">
        <v>493</v>
      </c>
      <c r="I230" s="55" t="s">
        <v>517</v>
      </c>
      <c r="J230" s="55" t="s">
        <v>198</v>
      </c>
      <c r="K230" s="55" t="s">
        <v>471</v>
      </c>
      <c r="L230" s="55" t="s">
        <v>92</v>
      </c>
      <c r="M230" s="57">
        <v>0.2</v>
      </c>
      <c r="N230" s="58">
        <v>250000</v>
      </c>
      <c r="O230" s="58">
        <v>0</v>
      </c>
      <c r="P230" s="59">
        <v>50000</v>
      </c>
      <c r="Q230" s="58">
        <v>0</v>
      </c>
      <c r="R230" s="55">
        <v>250000</v>
      </c>
      <c r="S230" s="55" t="s">
        <v>469</v>
      </c>
      <c r="T230" s="55" t="s">
        <v>495</v>
      </c>
      <c r="U230" s="55" t="s">
        <v>18</v>
      </c>
      <c r="V230" s="55" t="s">
        <v>470</v>
      </c>
      <c r="W230" s="42">
        <f>VLOOKUP(B230,'LW13'!$X$15:$Y$501,2,0)-M230</f>
        <v>0</v>
      </c>
    </row>
    <row r="231" spans="1:23" x14ac:dyDescent="0.2">
      <c r="A231" s="9" t="str">
        <f t="shared" si="10"/>
        <v>81NL300140</v>
      </c>
      <c r="B231" s="9" t="str">
        <f>COUNTIF($A$7:A231,A231)&amp;A231</f>
        <v>181NL300140</v>
      </c>
      <c r="C231" s="54">
        <v>46030</v>
      </c>
      <c r="D231" s="55" t="s">
        <v>294</v>
      </c>
      <c r="E231" s="56" t="s">
        <v>516</v>
      </c>
      <c r="F231" s="56" t="s">
        <v>295</v>
      </c>
      <c r="G231" s="55" t="s">
        <v>492</v>
      </c>
      <c r="H231" s="55" t="s">
        <v>493</v>
      </c>
      <c r="I231" s="55" t="s">
        <v>517</v>
      </c>
      <c r="J231" s="55" t="s">
        <v>233</v>
      </c>
      <c r="K231" s="55" t="s">
        <v>475</v>
      </c>
      <c r="L231" s="55" t="s">
        <v>92</v>
      </c>
      <c r="M231" s="57">
        <v>0.2</v>
      </c>
      <c r="N231" s="58">
        <v>36000</v>
      </c>
      <c r="O231" s="58">
        <v>0</v>
      </c>
      <c r="P231" s="59">
        <v>7200</v>
      </c>
      <c r="Q231" s="58">
        <v>0</v>
      </c>
      <c r="R231" s="55">
        <v>36000</v>
      </c>
      <c r="S231" s="55" t="s">
        <v>469</v>
      </c>
      <c r="T231" s="55" t="s">
        <v>495</v>
      </c>
      <c r="U231" s="55" t="s">
        <v>18</v>
      </c>
      <c r="V231" s="55" t="s">
        <v>470</v>
      </c>
      <c r="W231" s="42">
        <f>VLOOKUP(B231,'LW13'!$X$15:$Y$501,2,0)-M231</f>
        <v>0</v>
      </c>
    </row>
    <row r="232" spans="1:23" x14ac:dyDescent="0.2">
      <c r="A232" s="9" t="str">
        <f t="shared" si="10"/>
        <v>81NL100279</v>
      </c>
      <c r="B232" s="9" t="str">
        <f>COUNTIF($A$7:A232,A232)&amp;A232</f>
        <v>181NL100279</v>
      </c>
      <c r="C232" s="54">
        <v>46030</v>
      </c>
      <c r="D232" s="55" t="s">
        <v>294</v>
      </c>
      <c r="E232" s="56" t="s">
        <v>516</v>
      </c>
      <c r="F232" s="56" t="s">
        <v>295</v>
      </c>
      <c r="G232" s="55" t="s">
        <v>492</v>
      </c>
      <c r="H232" s="55" t="s">
        <v>493</v>
      </c>
      <c r="I232" s="55" t="s">
        <v>517</v>
      </c>
      <c r="J232" s="55" t="s">
        <v>473</v>
      </c>
      <c r="K232" s="55" t="s">
        <v>474</v>
      </c>
      <c r="L232" s="55" t="s">
        <v>53</v>
      </c>
      <c r="M232" s="57">
        <v>10</v>
      </c>
      <c r="N232" s="58">
        <v>9000</v>
      </c>
      <c r="O232" s="58">
        <v>0</v>
      </c>
      <c r="P232" s="59">
        <v>90000</v>
      </c>
      <c r="Q232" s="58">
        <v>0</v>
      </c>
      <c r="R232" s="55">
        <v>9000</v>
      </c>
      <c r="S232" s="55" t="s">
        <v>469</v>
      </c>
      <c r="T232" s="55" t="s">
        <v>495</v>
      </c>
      <c r="U232" s="55" t="s">
        <v>18</v>
      </c>
      <c r="V232" s="55" t="s">
        <v>470</v>
      </c>
      <c r="W232" s="42">
        <f>VLOOKUP(B232,'LW13'!$X$15:$Y$501,2,0)-M232</f>
        <v>0</v>
      </c>
    </row>
    <row r="233" spans="1:23" x14ac:dyDescent="0.2">
      <c r="A233" s="9" t="str">
        <f t="shared" si="10"/>
        <v>81NL300113</v>
      </c>
      <c r="B233" s="9" t="str">
        <f>COUNTIF($A$7:A233,A233)&amp;A233</f>
        <v>181NL300113</v>
      </c>
      <c r="C233" s="54">
        <v>46030</v>
      </c>
      <c r="D233" s="55" t="s">
        <v>294</v>
      </c>
      <c r="E233" s="56" t="s">
        <v>518</v>
      </c>
      <c r="F233" s="56" t="s">
        <v>295</v>
      </c>
      <c r="G233" s="55" t="s">
        <v>492</v>
      </c>
      <c r="H233" s="55" t="s">
        <v>493</v>
      </c>
      <c r="I233" s="55" t="s">
        <v>517</v>
      </c>
      <c r="J233" s="55" t="s">
        <v>216</v>
      </c>
      <c r="K233" s="55" t="s">
        <v>33</v>
      </c>
      <c r="L233" s="55" t="s">
        <v>92</v>
      </c>
      <c r="M233" s="57">
        <v>0.8</v>
      </c>
      <c r="N233" s="58">
        <v>145000</v>
      </c>
      <c r="O233" s="58">
        <v>0</v>
      </c>
      <c r="P233" s="59">
        <v>116000</v>
      </c>
      <c r="Q233" s="58">
        <v>0</v>
      </c>
      <c r="R233" s="55">
        <v>145000</v>
      </c>
      <c r="S233" s="55" t="s">
        <v>469</v>
      </c>
      <c r="T233" s="55" t="s">
        <v>495</v>
      </c>
      <c r="U233" s="55" t="s">
        <v>18</v>
      </c>
      <c r="V233" s="55" t="s">
        <v>470</v>
      </c>
      <c r="W233" s="42">
        <f>VLOOKUP(B233,'LW13'!$X$15:$Y$501,2,0)-M233</f>
        <v>0</v>
      </c>
    </row>
    <row r="234" spans="1:23" x14ac:dyDescent="0.2">
      <c r="A234" s="9" t="str">
        <f t="shared" si="10"/>
        <v>81NL600068</v>
      </c>
      <c r="B234" s="9" t="str">
        <f>COUNTIF($A$7:A234,A234)&amp;A234</f>
        <v>181NL600068</v>
      </c>
      <c r="C234" s="54">
        <v>46030</v>
      </c>
      <c r="D234" s="55" t="s">
        <v>294</v>
      </c>
      <c r="E234" s="56" t="s">
        <v>519</v>
      </c>
      <c r="F234" s="56" t="s">
        <v>295</v>
      </c>
      <c r="G234" s="55" t="s">
        <v>492</v>
      </c>
      <c r="H234" s="55" t="s">
        <v>493</v>
      </c>
      <c r="I234" s="55" t="s">
        <v>517</v>
      </c>
      <c r="J234" s="55" t="s">
        <v>123</v>
      </c>
      <c r="K234" s="55" t="s">
        <v>74</v>
      </c>
      <c r="L234" s="55" t="s">
        <v>92</v>
      </c>
      <c r="M234" s="57">
        <v>0.3</v>
      </c>
      <c r="N234" s="58">
        <v>95000</v>
      </c>
      <c r="O234" s="58">
        <v>0</v>
      </c>
      <c r="P234" s="59">
        <v>28500</v>
      </c>
      <c r="Q234" s="58">
        <v>0</v>
      </c>
      <c r="R234" s="55">
        <v>95000</v>
      </c>
      <c r="S234" s="55" t="s">
        <v>469</v>
      </c>
      <c r="T234" s="55" t="s">
        <v>495</v>
      </c>
      <c r="U234" s="55" t="s">
        <v>18</v>
      </c>
      <c r="V234" s="55" t="s">
        <v>470</v>
      </c>
      <c r="W234" s="42">
        <f>VLOOKUP(B234,'LW13'!$X$15:$Y$501,2,0)-M234</f>
        <v>0</v>
      </c>
    </row>
    <row r="235" spans="1:23" x14ac:dyDescent="0.2">
      <c r="A235" s="9" t="str">
        <f t="shared" si="10"/>
        <v>91NL300004</v>
      </c>
      <c r="B235" s="9" t="str">
        <f>COUNTIF($A$7:A235,A235)&amp;A235</f>
        <v>191NL300004</v>
      </c>
      <c r="C235" s="54">
        <v>46031</v>
      </c>
      <c r="D235" s="55" t="s">
        <v>294</v>
      </c>
      <c r="E235" s="56" t="s">
        <v>520</v>
      </c>
      <c r="F235" s="56" t="s">
        <v>295</v>
      </c>
      <c r="G235" s="55" t="s">
        <v>492</v>
      </c>
      <c r="H235" s="55" t="s">
        <v>493</v>
      </c>
      <c r="I235" s="55" t="s">
        <v>521</v>
      </c>
      <c r="J235" s="55" t="s">
        <v>86</v>
      </c>
      <c r="K235" s="55" t="s">
        <v>16</v>
      </c>
      <c r="L235" s="55" t="s">
        <v>92</v>
      </c>
      <c r="M235" s="57">
        <v>1.8</v>
      </c>
      <c r="N235" s="58">
        <v>19000</v>
      </c>
      <c r="O235" s="58">
        <v>0</v>
      </c>
      <c r="P235" s="59">
        <v>34200</v>
      </c>
      <c r="Q235" s="58">
        <v>0</v>
      </c>
      <c r="R235" s="55">
        <v>19000</v>
      </c>
      <c r="S235" s="55" t="s">
        <v>469</v>
      </c>
      <c r="T235" s="55" t="s">
        <v>495</v>
      </c>
      <c r="U235" s="55" t="s">
        <v>18</v>
      </c>
      <c r="V235" s="55" t="s">
        <v>470</v>
      </c>
      <c r="W235" s="42">
        <f>VLOOKUP(B235,'LW13'!$X$15:$Y$501,2,0)-M235</f>
        <v>0</v>
      </c>
    </row>
    <row r="236" spans="1:23" x14ac:dyDescent="0.2">
      <c r="A236" s="9" t="str">
        <f t="shared" si="10"/>
        <v>91NL300007</v>
      </c>
      <c r="B236" s="9" t="str">
        <f>COUNTIF($A$7:A236,A236)&amp;A236</f>
        <v>191NL300007</v>
      </c>
      <c r="C236" s="54">
        <v>46031</v>
      </c>
      <c r="D236" s="55" t="s">
        <v>294</v>
      </c>
      <c r="E236" s="56" t="s">
        <v>520</v>
      </c>
      <c r="F236" s="56" t="s">
        <v>295</v>
      </c>
      <c r="G236" s="55" t="s">
        <v>492</v>
      </c>
      <c r="H236" s="55" t="s">
        <v>493</v>
      </c>
      <c r="I236" s="55" t="s">
        <v>521</v>
      </c>
      <c r="J236" s="55" t="s">
        <v>90</v>
      </c>
      <c r="K236" s="55" t="s">
        <v>91</v>
      </c>
      <c r="L236" s="55" t="s">
        <v>92</v>
      </c>
      <c r="M236" s="57">
        <v>0.6</v>
      </c>
      <c r="N236" s="58">
        <v>30000</v>
      </c>
      <c r="O236" s="58">
        <v>0</v>
      </c>
      <c r="P236" s="59">
        <v>18000</v>
      </c>
      <c r="Q236" s="58">
        <v>0</v>
      </c>
      <c r="R236" s="55">
        <v>30000</v>
      </c>
      <c r="S236" s="55" t="s">
        <v>469</v>
      </c>
      <c r="T236" s="55" t="s">
        <v>495</v>
      </c>
      <c r="U236" s="55" t="s">
        <v>18</v>
      </c>
      <c r="V236" s="55" t="s">
        <v>470</v>
      </c>
      <c r="W236" s="42">
        <f>VLOOKUP(B236,'LW13'!$X$15:$Y$501,2,0)-M236</f>
        <v>0</v>
      </c>
    </row>
    <row r="237" spans="1:23" x14ac:dyDescent="0.2">
      <c r="A237" s="9" t="str">
        <f t="shared" si="10"/>
        <v>91NL300008</v>
      </c>
      <c r="B237" s="9" t="str">
        <f>COUNTIF($A$7:A237,A237)&amp;A237</f>
        <v>191NL300008</v>
      </c>
      <c r="C237" s="54">
        <v>46031</v>
      </c>
      <c r="D237" s="55" t="s">
        <v>294</v>
      </c>
      <c r="E237" s="56" t="s">
        <v>520</v>
      </c>
      <c r="F237" s="56" t="s">
        <v>295</v>
      </c>
      <c r="G237" s="55" t="s">
        <v>492</v>
      </c>
      <c r="H237" s="55" t="s">
        <v>493</v>
      </c>
      <c r="I237" s="55" t="s">
        <v>521</v>
      </c>
      <c r="J237" s="55" t="s">
        <v>93</v>
      </c>
      <c r="K237" s="55" t="s">
        <v>301</v>
      </c>
      <c r="L237" s="55" t="s">
        <v>92</v>
      </c>
      <c r="M237" s="57">
        <v>6</v>
      </c>
      <c r="N237" s="58">
        <v>40000</v>
      </c>
      <c r="O237" s="58">
        <v>0</v>
      </c>
      <c r="P237" s="59">
        <v>240000</v>
      </c>
      <c r="Q237" s="58">
        <v>0</v>
      </c>
      <c r="R237" s="55">
        <v>40000</v>
      </c>
      <c r="S237" s="55" t="s">
        <v>469</v>
      </c>
      <c r="T237" s="55" t="s">
        <v>495</v>
      </c>
      <c r="U237" s="55" t="s">
        <v>18</v>
      </c>
      <c r="V237" s="55" t="s">
        <v>470</v>
      </c>
      <c r="W237" s="42">
        <f>VLOOKUP(B237,'LW13'!$X$15:$Y$501,2,0)-M237</f>
        <v>0</v>
      </c>
    </row>
    <row r="238" spans="1:23" x14ac:dyDescent="0.2">
      <c r="A238" s="9" t="str">
        <f t="shared" si="10"/>
        <v>91NL300028</v>
      </c>
      <c r="B238" s="9" t="str">
        <f>COUNTIF($A$7:A238,A238)&amp;A238</f>
        <v>191NL300028</v>
      </c>
      <c r="C238" s="54">
        <v>46031</v>
      </c>
      <c r="D238" s="55" t="s">
        <v>294</v>
      </c>
      <c r="E238" s="56" t="s">
        <v>520</v>
      </c>
      <c r="F238" s="56" t="s">
        <v>295</v>
      </c>
      <c r="G238" s="55" t="s">
        <v>492</v>
      </c>
      <c r="H238" s="55" t="s">
        <v>493</v>
      </c>
      <c r="I238" s="55" t="s">
        <v>521</v>
      </c>
      <c r="J238" s="55" t="s">
        <v>107</v>
      </c>
      <c r="K238" s="55" t="s">
        <v>70</v>
      </c>
      <c r="L238" s="55" t="s">
        <v>92</v>
      </c>
      <c r="M238" s="57">
        <v>0.3</v>
      </c>
      <c r="N238" s="58">
        <v>75000</v>
      </c>
      <c r="O238" s="58">
        <v>0</v>
      </c>
      <c r="P238" s="59">
        <v>22500</v>
      </c>
      <c r="Q238" s="58">
        <v>0</v>
      </c>
      <c r="R238" s="55">
        <v>75000</v>
      </c>
      <c r="S238" s="55" t="s">
        <v>469</v>
      </c>
      <c r="T238" s="55" t="s">
        <v>495</v>
      </c>
      <c r="U238" s="55" t="s">
        <v>18</v>
      </c>
      <c r="V238" s="55" t="s">
        <v>470</v>
      </c>
      <c r="W238" s="42">
        <f>VLOOKUP(B238,'LW13'!$X$15:$Y$501,2,0)-M238</f>
        <v>0</v>
      </c>
    </row>
    <row r="239" spans="1:23" x14ac:dyDescent="0.2">
      <c r="A239" s="9" t="str">
        <f t="shared" si="10"/>
        <v>91NL300036</v>
      </c>
      <c r="B239" s="9" t="str">
        <f>COUNTIF($A$7:A239,A239)&amp;A239</f>
        <v>191NL300036</v>
      </c>
      <c r="C239" s="54">
        <v>46031</v>
      </c>
      <c r="D239" s="55" t="s">
        <v>294</v>
      </c>
      <c r="E239" s="56" t="s">
        <v>520</v>
      </c>
      <c r="F239" s="56" t="s">
        <v>295</v>
      </c>
      <c r="G239" s="55" t="s">
        <v>492</v>
      </c>
      <c r="H239" s="55" t="s">
        <v>493</v>
      </c>
      <c r="I239" s="55" t="s">
        <v>521</v>
      </c>
      <c r="J239" s="55" t="s">
        <v>131</v>
      </c>
      <c r="K239" s="55" t="s">
        <v>27</v>
      </c>
      <c r="L239" s="55" t="s">
        <v>92</v>
      </c>
      <c r="M239" s="57">
        <v>0.5</v>
      </c>
      <c r="N239" s="58">
        <v>47000</v>
      </c>
      <c r="O239" s="58">
        <v>0</v>
      </c>
      <c r="P239" s="59">
        <v>23500</v>
      </c>
      <c r="Q239" s="58">
        <v>0</v>
      </c>
      <c r="R239" s="55">
        <v>47000</v>
      </c>
      <c r="S239" s="55" t="s">
        <v>469</v>
      </c>
      <c r="T239" s="55" t="s">
        <v>495</v>
      </c>
      <c r="U239" s="55" t="s">
        <v>18</v>
      </c>
      <c r="V239" s="55" t="s">
        <v>470</v>
      </c>
      <c r="W239" s="42">
        <f>VLOOKUP(B239,'LW13'!$X$15:$Y$501,2,0)-M239</f>
        <v>0</v>
      </c>
    </row>
    <row r="240" spans="1:23" x14ac:dyDescent="0.2">
      <c r="A240" s="9" t="str">
        <f t="shared" si="10"/>
        <v>91NL300038</v>
      </c>
      <c r="B240" s="9" t="str">
        <f>COUNTIF($A$7:A240,A240)&amp;A240</f>
        <v>191NL300038</v>
      </c>
      <c r="C240" s="54">
        <v>46031</v>
      </c>
      <c r="D240" s="55" t="s">
        <v>294</v>
      </c>
      <c r="E240" s="56" t="s">
        <v>520</v>
      </c>
      <c r="F240" s="56" t="s">
        <v>295</v>
      </c>
      <c r="G240" s="55" t="s">
        <v>492</v>
      </c>
      <c r="H240" s="55" t="s">
        <v>493</v>
      </c>
      <c r="I240" s="55" t="s">
        <v>521</v>
      </c>
      <c r="J240" s="55" t="s">
        <v>132</v>
      </c>
      <c r="K240" s="55" t="s">
        <v>28</v>
      </c>
      <c r="L240" s="55" t="s">
        <v>92</v>
      </c>
      <c r="M240" s="57">
        <v>1.5</v>
      </c>
      <c r="N240" s="58">
        <v>32000</v>
      </c>
      <c r="O240" s="58">
        <v>0</v>
      </c>
      <c r="P240" s="59">
        <v>48000</v>
      </c>
      <c r="Q240" s="58">
        <v>0</v>
      </c>
      <c r="R240" s="55">
        <v>32000</v>
      </c>
      <c r="S240" s="55" t="s">
        <v>469</v>
      </c>
      <c r="T240" s="55" t="s">
        <v>495</v>
      </c>
      <c r="U240" s="55" t="s">
        <v>18</v>
      </c>
      <c r="V240" s="55" t="s">
        <v>470</v>
      </c>
      <c r="W240" s="42">
        <f>VLOOKUP(B240,'LW13'!$X$15:$Y$501,2,0)-M240</f>
        <v>0</v>
      </c>
    </row>
    <row r="241" spans="1:23" x14ac:dyDescent="0.2">
      <c r="A241" s="9" t="str">
        <f t="shared" si="10"/>
        <v>91NL300058</v>
      </c>
      <c r="B241" s="9" t="str">
        <f>COUNTIF($A$7:A241,A241)&amp;A241</f>
        <v>191NL300058</v>
      </c>
      <c r="C241" s="54">
        <v>46031</v>
      </c>
      <c r="D241" s="55" t="s">
        <v>294</v>
      </c>
      <c r="E241" s="56" t="s">
        <v>520</v>
      </c>
      <c r="F241" s="56" t="s">
        <v>295</v>
      </c>
      <c r="G241" s="55" t="s">
        <v>492</v>
      </c>
      <c r="H241" s="55" t="s">
        <v>493</v>
      </c>
      <c r="I241" s="55" t="s">
        <v>521</v>
      </c>
      <c r="J241" s="55" t="s">
        <v>147</v>
      </c>
      <c r="K241" s="55" t="s">
        <v>29</v>
      </c>
      <c r="L241" s="55" t="s">
        <v>92</v>
      </c>
      <c r="M241" s="57">
        <v>3</v>
      </c>
      <c r="N241" s="58">
        <v>55000</v>
      </c>
      <c r="O241" s="58">
        <v>0</v>
      </c>
      <c r="P241" s="59">
        <v>165000</v>
      </c>
      <c r="Q241" s="58">
        <v>0</v>
      </c>
      <c r="R241" s="55">
        <v>55000</v>
      </c>
      <c r="S241" s="55" t="s">
        <v>469</v>
      </c>
      <c r="T241" s="55" t="s">
        <v>495</v>
      </c>
      <c r="U241" s="55" t="s">
        <v>18</v>
      </c>
      <c r="V241" s="55" t="s">
        <v>470</v>
      </c>
      <c r="W241" s="42">
        <f>VLOOKUP(B241,'LW13'!$X$15:$Y$501,2,0)-M241</f>
        <v>0</v>
      </c>
    </row>
    <row r="242" spans="1:23" x14ac:dyDescent="0.2">
      <c r="A242" s="9" t="str">
        <f t="shared" si="10"/>
        <v>91NL300088</v>
      </c>
      <c r="B242" s="9" t="str">
        <f>COUNTIF($A$7:A242,A242)&amp;A242</f>
        <v>191NL300088</v>
      </c>
      <c r="C242" s="54">
        <v>46031</v>
      </c>
      <c r="D242" s="55" t="s">
        <v>294</v>
      </c>
      <c r="E242" s="56" t="s">
        <v>520</v>
      </c>
      <c r="F242" s="56" t="s">
        <v>295</v>
      </c>
      <c r="G242" s="55" t="s">
        <v>492</v>
      </c>
      <c r="H242" s="55" t="s">
        <v>493</v>
      </c>
      <c r="I242" s="55" t="s">
        <v>521</v>
      </c>
      <c r="J242" s="55" t="s">
        <v>185</v>
      </c>
      <c r="K242" s="111" t="s">
        <v>31</v>
      </c>
      <c r="L242" s="55" t="s">
        <v>92</v>
      </c>
      <c r="M242" s="57">
        <v>2.2000000000000002</v>
      </c>
      <c r="N242" s="58">
        <v>27000</v>
      </c>
      <c r="O242" s="58">
        <v>0</v>
      </c>
      <c r="P242" s="59">
        <v>59400</v>
      </c>
      <c r="Q242" s="58">
        <v>0</v>
      </c>
      <c r="R242" s="55">
        <v>27000</v>
      </c>
      <c r="S242" s="55" t="s">
        <v>469</v>
      </c>
      <c r="T242" s="55" t="s">
        <v>495</v>
      </c>
      <c r="U242" s="55" t="s">
        <v>18</v>
      </c>
      <c r="V242" s="55" t="s">
        <v>470</v>
      </c>
      <c r="W242" s="42">
        <f>VLOOKUP(B242,'LW13'!$X$15:$Y$501,2,0)-M242</f>
        <v>0</v>
      </c>
    </row>
    <row r="243" spans="1:23" x14ac:dyDescent="0.2">
      <c r="A243" s="9" t="str">
        <f t="shared" si="10"/>
        <v>91NL300107</v>
      </c>
      <c r="B243" s="9" t="str">
        <f>COUNTIF($A$7:A243,A243)&amp;A243</f>
        <v>191NL300107</v>
      </c>
      <c r="C243" s="54">
        <v>46031</v>
      </c>
      <c r="D243" s="55" t="s">
        <v>294</v>
      </c>
      <c r="E243" s="56" t="s">
        <v>520</v>
      </c>
      <c r="F243" s="56" t="s">
        <v>295</v>
      </c>
      <c r="G243" s="55" t="s">
        <v>492</v>
      </c>
      <c r="H243" s="55" t="s">
        <v>493</v>
      </c>
      <c r="I243" s="55" t="s">
        <v>521</v>
      </c>
      <c r="J243" s="55" t="s">
        <v>87</v>
      </c>
      <c r="K243" s="55" t="s">
        <v>299</v>
      </c>
      <c r="L243" s="55" t="s">
        <v>300</v>
      </c>
      <c r="M243" s="57">
        <v>3</v>
      </c>
      <c r="N243" s="58">
        <v>8500</v>
      </c>
      <c r="O243" s="58">
        <v>0</v>
      </c>
      <c r="P243" s="59">
        <v>25500</v>
      </c>
      <c r="Q243" s="58">
        <v>0</v>
      </c>
      <c r="R243" s="55">
        <v>8500</v>
      </c>
      <c r="S243" s="55" t="s">
        <v>469</v>
      </c>
      <c r="T243" s="55" t="s">
        <v>495</v>
      </c>
      <c r="U243" s="55" t="s">
        <v>18</v>
      </c>
      <c r="V243" s="55" t="s">
        <v>470</v>
      </c>
      <c r="W243" s="42">
        <f>VLOOKUP(B243,'LW13'!$X$15:$Y$501,2,0)-M243</f>
        <v>0</v>
      </c>
    </row>
    <row r="244" spans="1:23" x14ac:dyDescent="0.2">
      <c r="A244" s="9" t="str">
        <f t="shared" si="10"/>
        <v>91NL300137</v>
      </c>
      <c r="B244" s="9" t="str">
        <f>COUNTIF($A$7:A244,A244)&amp;A244</f>
        <v>191NL300137</v>
      </c>
      <c r="C244" s="54">
        <v>46031</v>
      </c>
      <c r="D244" s="55" t="s">
        <v>294</v>
      </c>
      <c r="E244" s="56" t="s">
        <v>520</v>
      </c>
      <c r="F244" s="56" t="s">
        <v>295</v>
      </c>
      <c r="G244" s="55" t="s">
        <v>492</v>
      </c>
      <c r="H244" s="55" t="s">
        <v>493</v>
      </c>
      <c r="I244" s="55" t="s">
        <v>521</v>
      </c>
      <c r="J244" s="55" t="s">
        <v>96</v>
      </c>
      <c r="K244" s="55" t="s">
        <v>397</v>
      </c>
      <c r="L244" s="55" t="s">
        <v>92</v>
      </c>
      <c r="M244" s="57">
        <v>2.4</v>
      </c>
      <c r="N244" s="58">
        <v>52000</v>
      </c>
      <c r="O244" s="58">
        <v>0</v>
      </c>
      <c r="P244" s="59">
        <v>124800</v>
      </c>
      <c r="Q244" s="58">
        <v>0</v>
      </c>
      <c r="R244" s="55">
        <v>52000</v>
      </c>
      <c r="S244" s="55" t="s">
        <v>469</v>
      </c>
      <c r="T244" s="55" t="s">
        <v>495</v>
      </c>
      <c r="U244" s="55" t="s">
        <v>18</v>
      </c>
      <c r="V244" s="55" t="s">
        <v>470</v>
      </c>
      <c r="W244" s="42">
        <f>VLOOKUP(B244,'LW13'!$X$15:$Y$501,2,0)-M244</f>
        <v>0</v>
      </c>
    </row>
    <row r="245" spans="1:23" x14ac:dyDescent="0.2">
      <c r="A245" s="9" t="str">
        <f t="shared" si="10"/>
        <v>91NL300025</v>
      </c>
      <c r="B245" s="9" t="str">
        <f>COUNTIF($A$7:A245,A245)&amp;A245</f>
        <v>191NL300025</v>
      </c>
      <c r="C245" s="54">
        <v>46031</v>
      </c>
      <c r="D245" s="55" t="s">
        <v>294</v>
      </c>
      <c r="E245" s="56" t="s">
        <v>520</v>
      </c>
      <c r="F245" s="56" t="s">
        <v>295</v>
      </c>
      <c r="G245" s="55" t="s">
        <v>492</v>
      </c>
      <c r="H245" s="55" t="s">
        <v>493</v>
      </c>
      <c r="I245" s="55" t="s">
        <v>521</v>
      </c>
      <c r="J245" s="55" t="s">
        <v>117</v>
      </c>
      <c r="K245" s="55" t="s">
        <v>303</v>
      </c>
      <c r="L245" s="55" t="s">
        <v>92</v>
      </c>
      <c r="M245" s="57">
        <v>0.7</v>
      </c>
      <c r="N245" s="58">
        <v>44000</v>
      </c>
      <c r="O245" s="58">
        <v>0</v>
      </c>
      <c r="P245" s="59">
        <v>30800</v>
      </c>
      <c r="Q245" s="58">
        <v>0</v>
      </c>
      <c r="R245" s="55">
        <v>44000</v>
      </c>
      <c r="S245" s="55" t="s">
        <v>469</v>
      </c>
      <c r="T245" s="55" t="s">
        <v>495</v>
      </c>
      <c r="U245" s="55" t="s">
        <v>18</v>
      </c>
      <c r="V245" s="55" t="s">
        <v>470</v>
      </c>
      <c r="W245" s="42">
        <f>VLOOKUP(B245,'LW13'!$X$15:$Y$501,2,0)-M245</f>
        <v>0</v>
      </c>
    </row>
    <row r="246" spans="1:23" x14ac:dyDescent="0.2">
      <c r="A246" s="9" t="str">
        <f t="shared" si="10"/>
        <v>91NL300132</v>
      </c>
      <c r="B246" s="9" t="str">
        <f>COUNTIF($A$7:A246,A246)&amp;A246</f>
        <v>191NL300132</v>
      </c>
      <c r="C246" s="54">
        <v>46031</v>
      </c>
      <c r="D246" s="55" t="s">
        <v>294</v>
      </c>
      <c r="E246" s="56" t="s">
        <v>520</v>
      </c>
      <c r="F246" s="56" t="s">
        <v>295</v>
      </c>
      <c r="G246" s="55" t="s">
        <v>492</v>
      </c>
      <c r="H246" s="55" t="s">
        <v>493</v>
      </c>
      <c r="I246" s="55" t="s">
        <v>521</v>
      </c>
      <c r="J246" s="55" t="s">
        <v>237</v>
      </c>
      <c r="K246" s="55" t="s">
        <v>36</v>
      </c>
      <c r="L246" s="55" t="s">
        <v>92</v>
      </c>
      <c r="M246" s="57">
        <v>1</v>
      </c>
      <c r="N246" s="58">
        <v>12000</v>
      </c>
      <c r="O246" s="58">
        <v>0</v>
      </c>
      <c r="P246" s="59">
        <v>12000</v>
      </c>
      <c r="Q246" s="58">
        <v>0</v>
      </c>
      <c r="R246" s="55">
        <v>12000</v>
      </c>
      <c r="S246" s="55" t="s">
        <v>469</v>
      </c>
      <c r="T246" s="55" t="s">
        <v>495</v>
      </c>
      <c r="U246" s="55" t="s">
        <v>18</v>
      </c>
      <c r="V246" s="55" t="s">
        <v>470</v>
      </c>
      <c r="W246" s="42">
        <f>VLOOKUP(B246,'LW13'!$X$15:$Y$501,2,0)-M246</f>
        <v>0</v>
      </c>
    </row>
    <row r="247" spans="1:23" x14ac:dyDescent="0.2">
      <c r="A247" s="9" t="str">
        <f t="shared" si="10"/>
        <v>91NL300147</v>
      </c>
      <c r="B247" s="9" t="str">
        <f>COUNTIF($A$7:A247,A247)&amp;A247</f>
        <v>191NL300147</v>
      </c>
      <c r="C247" s="54">
        <v>46031</v>
      </c>
      <c r="D247" s="55" t="s">
        <v>294</v>
      </c>
      <c r="E247" s="56" t="s">
        <v>520</v>
      </c>
      <c r="F247" s="56" t="s">
        <v>295</v>
      </c>
      <c r="G247" s="55" t="s">
        <v>492</v>
      </c>
      <c r="H247" s="55" t="s">
        <v>493</v>
      </c>
      <c r="I247" s="55" t="s">
        <v>521</v>
      </c>
      <c r="J247" s="55" t="s">
        <v>270</v>
      </c>
      <c r="K247" s="55" t="s">
        <v>309</v>
      </c>
      <c r="L247" s="55" t="s">
        <v>92</v>
      </c>
      <c r="M247" s="57">
        <v>2</v>
      </c>
      <c r="N247" s="58">
        <v>62000</v>
      </c>
      <c r="O247" s="58">
        <v>0</v>
      </c>
      <c r="P247" s="59">
        <v>124000</v>
      </c>
      <c r="Q247" s="58">
        <v>0</v>
      </c>
      <c r="R247" s="55">
        <v>62000</v>
      </c>
      <c r="S247" s="55" t="s">
        <v>469</v>
      </c>
      <c r="T247" s="55" t="s">
        <v>495</v>
      </c>
      <c r="U247" s="55" t="s">
        <v>18</v>
      </c>
      <c r="V247" s="55" t="s">
        <v>470</v>
      </c>
      <c r="W247" s="42">
        <f>VLOOKUP(B247,'LW13'!$X$15:$Y$501,2,0)-M247</f>
        <v>0</v>
      </c>
    </row>
    <row r="248" spans="1:23" x14ac:dyDescent="0.2">
      <c r="A248" s="9" t="str">
        <f t="shared" si="10"/>
        <v>91NL300090</v>
      </c>
      <c r="B248" s="9" t="str">
        <f>COUNTIF($A$7:A248,A248)&amp;A248</f>
        <v>191NL300090</v>
      </c>
      <c r="C248" s="54">
        <v>46031</v>
      </c>
      <c r="D248" s="55" t="s">
        <v>294</v>
      </c>
      <c r="E248" s="56" t="s">
        <v>520</v>
      </c>
      <c r="F248" s="56" t="s">
        <v>295</v>
      </c>
      <c r="G248" s="55" t="s">
        <v>492</v>
      </c>
      <c r="H248" s="55" t="s">
        <v>493</v>
      </c>
      <c r="I248" s="55" t="s">
        <v>521</v>
      </c>
      <c r="J248" s="55" t="s">
        <v>189</v>
      </c>
      <c r="K248" s="55" t="s">
        <v>39</v>
      </c>
      <c r="L248" s="55" t="s">
        <v>92</v>
      </c>
      <c r="M248" s="57">
        <v>2.5</v>
      </c>
      <c r="N248" s="58">
        <v>145000</v>
      </c>
      <c r="O248" s="58">
        <v>0</v>
      </c>
      <c r="P248" s="59">
        <v>362500</v>
      </c>
      <c r="Q248" s="58">
        <v>0</v>
      </c>
      <c r="R248" s="55">
        <v>145000</v>
      </c>
      <c r="S248" s="55" t="s">
        <v>469</v>
      </c>
      <c r="T248" s="55" t="s">
        <v>495</v>
      </c>
      <c r="U248" s="55" t="s">
        <v>18</v>
      </c>
      <c r="V248" s="55" t="s">
        <v>470</v>
      </c>
      <c r="W248" s="42">
        <f>VLOOKUP(B248,'LW13'!$X$15:$Y$501,2,0)-M248</f>
        <v>0</v>
      </c>
    </row>
    <row r="249" spans="1:23" x14ac:dyDescent="0.2">
      <c r="A249" s="9" t="str">
        <f t="shared" si="10"/>
        <v>91NL300092</v>
      </c>
      <c r="B249" s="9" t="str">
        <f>COUNTIF($A$7:A249,A249)&amp;A249</f>
        <v>191NL300092</v>
      </c>
      <c r="C249" s="54">
        <v>46031</v>
      </c>
      <c r="D249" s="55" t="s">
        <v>294</v>
      </c>
      <c r="E249" s="56" t="s">
        <v>520</v>
      </c>
      <c r="F249" s="56" t="s">
        <v>295</v>
      </c>
      <c r="G249" s="55" t="s">
        <v>492</v>
      </c>
      <c r="H249" s="55" t="s">
        <v>493</v>
      </c>
      <c r="I249" s="55" t="s">
        <v>521</v>
      </c>
      <c r="J249" s="55" t="s">
        <v>191</v>
      </c>
      <c r="K249" s="55" t="s">
        <v>43</v>
      </c>
      <c r="L249" s="55" t="s">
        <v>92</v>
      </c>
      <c r="M249" s="57">
        <v>2</v>
      </c>
      <c r="N249" s="58">
        <v>90000</v>
      </c>
      <c r="O249" s="58">
        <v>0</v>
      </c>
      <c r="P249" s="59">
        <v>180000</v>
      </c>
      <c r="Q249" s="58">
        <v>0</v>
      </c>
      <c r="R249" s="55">
        <v>90000</v>
      </c>
      <c r="S249" s="55" t="s">
        <v>469</v>
      </c>
      <c r="T249" s="55" t="s">
        <v>495</v>
      </c>
      <c r="U249" s="55" t="s">
        <v>18</v>
      </c>
      <c r="V249" s="55" t="s">
        <v>470</v>
      </c>
      <c r="W249" s="42">
        <f>VLOOKUP(B249,'LW13'!$X$15:$Y$501,2,0)-M249</f>
        <v>0</v>
      </c>
    </row>
    <row r="250" spans="1:23" x14ac:dyDescent="0.2">
      <c r="A250" s="9" t="str">
        <f t="shared" si="10"/>
        <v>91NL300096</v>
      </c>
      <c r="B250" s="9" t="str">
        <f>COUNTIF($A$7:A250,A250)&amp;A250</f>
        <v>191NL300096</v>
      </c>
      <c r="C250" s="54">
        <v>46031</v>
      </c>
      <c r="D250" s="55" t="s">
        <v>294</v>
      </c>
      <c r="E250" s="56" t="s">
        <v>520</v>
      </c>
      <c r="F250" s="56" t="s">
        <v>295</v>
      </c>
      <c r="G250" s="55" t="s">
        <v>492</v>
      </c>
      <c r="H250" s="55" t="s">
        <v>493</v>
      </c>
      <c r="I250" s="55" t="s">
        <v>521</v>
      </c>
      <c r="J250" s="55" t="s">
        <v>193</v>
      </c>
      <c r="K250" s="55" t="s">
        <v>41</v>
      </c>
      <c r="L250" s="55" t="s">
        <v>92</v>
      </c>
      <c r="M250" s="57">
        <v>3</v>
      </c>
      <c r="N250" s="58">
        <v>45000</v>
      </c>
      <c r="O250" s="58">
        <v>0</v>
      </c>
      <c r="P250" s="59">
        <v>135000</v>
      </c>
      <c r="Q250" s="58">
        <v>0</v>
      </c>
      <c r="R250" s="55">
        <v>45000</v>
      </c>
      <c r="S250" s="55" t="s">
        <v>469</v>
      </c>
      <c r="T250" s="55" t="s">
        <v>495</v>
      </c>
      <c r="U250" s="55" t="s">
        <v>18</v>
      </c>
      <c r="V250" s="55" t="s">
        <v>470</v>
      </c>
      <c r="W250" s="42">
        <f>VLOOKUP(B250,'LW13'!$X$15:$Y$501,2,0)-M250</f>
        <v>0</v>
      </c>
    </row>
    <row r="251" spans="1:23" x14ac:dyDescent="0.2">
      <c r="A251" s="9" t="str">
        <f t="shared" si="10"/>
        <v>91NL300029</v>
      </c>
      <c r="B251" s="9" t="str">
        <f>COUNTIF($A$7:A251,A251)&amp;A251</f>
        <v>191NL300029</v>
      </c>
      <c r="C251" s="54">
        <v>46031</v>
      </c>
      <c r="D251" s="55" t="s">
        <v>294</v>
      </c>
      <c r="E251" s="56" t="s">
        <v>520</v>
      </c>
      <c r="F251" s="56" t="s">
        <v>295</v>
      </c>
      <c r="G251" s="55" t="s">
        <v>492</v>
      </c>
      <c r="H251" s="55" t="s">
        <v>493</v>
      </c>
      <c r="I251" s="55" t="s">
        <v>521</v>
      </c>
      <c r="J251" s="55" t="s">
        <v>121</v>
      </c>
      <c r="K251" s="55" t="s">
        <v>298</v>
      </c>
      <c r="L251" s="55" t="s">
        <v>92</v>
      </c>
      <c r="M251" s="57">
        <v>1</v>
      </c>
      <c r="N251" s="58">
        <v>22000</v>
      </c>
      <c r="O251" s="58">
        <v>0</v>
      </c>
      <c r="P251" s="59">
        <v>22000</v>
      </c>
      <c r="Q251" s="58">
        <v>0</v>
      </c>
      <c r="R251" s="55">
        <v>22000</v>
      </c>
      <c r="S251" s="55" t="s">
        <v>469</v>
      </c>
      <c r="T251" s="55" t="s">
        <v>495</v>
      </c>
      <c r="U251" s="55" t="s">
        <v>18</v>
      </c>
      <c r="V251" s="55" t="s">
        <v>470</v>
      </c>
      <c r="W251" s="42">
        <f>VLOOKUP(B251,'LW13'!$X$15:$Y$501,2,0)-M251</f>
        <v>0</v>
      </c>
    </row>
    <row r="252" spans="1:23" x14ac:dyDescent="0.2">
      <c r="A252" s="9" t="str">
        <f t="shared" si="10"/>
        <v>91NL600004</v>
      </c>
      <c r="B252" s="9" t="str">
        <f>COUNTIF($A$7:A252,A252)&amp;A252</f>
        <v>191NL600004</v>
      </c>
      <c r="C252" s="54">
        <v>46031</v>
      </c>
      <c r="D252" s="55" t="s">
        <v>294</v>
      </c>
      <c r="E252" s="56" t="s">
        <v>520</v>
      </c>
      <c r="F252" s="56" t="s">
        <v>295</v>
      </c>
      <c r="G252" s="55" t="s">
        <v>492</v>
      </c>
      <c r="H252" s="55" t="s">
        <v>493</v>
      </c>
      <c r="I252" s="55" t="s">
        <v>521</v>
      </c>
      <c r="J252" s="55" t="s">
        <v>144</v>
      </c>
      <c r="K252" s="55" t="s">
        <v>47</v>
      </c>
      <c r="L252" s="55" t="s">
        <v>92</v>
      </c>
      <c r="M252" s="57">
        <v>1.5</v>
      </c>
      <c r="N252" s="58">
        <v>18000</v>
      </c>
      <c r="O252" s="58">
        <v>0</v>
      </c>
      <c r="P252" s="59">
        <v>27000</v>
      </c>
      <c r="Q252" s="58">
        <v>0</v>
      </c>
      <c r="R252" s="55">
        <v>18000</v>
      </c>
      <c r="S252" s="55" t="s">
        <v>469</v>
      </c>
      <c r="T252" s="55" t="s">
        <v>495</v>
      </c>
      <c r="U252" s="55" t="s">
        <v>18</v>
      </c>
      <c r="V252" s="55" t="s">
        <v>470</v>
      </c>
      <c r="W252" s="42">
        <f>VLOOKUP(B252,'LW13'!$X$15:$Y$501,2,0)-M252</f>
        <v>0</v>
      </c>
    </row>
    <row r="253" spans="1:23" x14ac:dyDescent="0.2">
      <c r="A253" s="9" t="str">
        <f t="shared" si="10"/>
        <v>91NL300054</v>
      </c>
      <c r="B253" s="9" t="str">
        <f>COUNTIF($A$7:A253,A253)&amp;A253</f>
        <v>191NL300054</v>
      </c>
      <c r="C253" s="54">
        <v>46031</v>
      </c>
      <c r="D253" s="55" t="s">
        <v>294</v>
      </c>
      <c r="E253" s="56" t="s">
        <v>522</v>
      </c>
      <c r="F253" s="56" t="s">
        <v>295</v>
      </c>
      <c r="G253" s="55" t="s">
        <v>492</v>
      </c>
      <c r="H253" s="55" t="s">
        <v>493</v>
      </c>
      <c r="I253" s="55" t="s">
        <v>521</v>
      </c>
      <c r="J253" s="55" t="s">
        <v>128</v>
      </c>
      <c r="K253" s="55" t="s">
        <v>314</v>
      </c>
      <c r="L253" s="55" t="s">
        <v>92</v>
      </c>
      <c r="M253" s="57">
        <v>2</v>
      </c>
      <c r="N253" s="58">
        <v>38000</v>
      </c>
      <c r="O253" s="58">
        <v>0</v>
      </c>
      <c r="P253" s="59">
        <v>76000</v>
      </c>
      <c r="Q253" s="58">
        <v>0</v>
      </c>
      <c r="R253" s="55">
        <v>38000</v>
      </c>
      <c r="S253" s="55" t="s">
        <v>469</v>
      </c>
      <c r="T253" s="55" t="s">
        <v>495</v>
      </c>
      <c r="U253" s="55" t="s">
        <v>18</v>
      </c>
      <c r="V253" s="55" t="s">
        <v>470</v>
      </c>
      <c r="W253" s="42">
        <f>VLOOKUP(B253,'LW13'!$X$15:$Y$501,2,0)-M253</f>
        <v>0</v>
      </c>
    </row>
    <row r="254" spans="1:23" x14ac:dyDescent="0.2">
      <c r="A254" s="9" t="str">
        <f t="shared" si="10"/>
        <v>91NL300091</v>
      </c>
      <c r="B254" s="9" t="str">
        <f>COUNTIF($A$7:A254,A254)&amp;A254</f>
        <v>191NL300091</v>
      </c>
      <c r="C254" s="54">
        <v>46031</v>
      </c>
      <c r="D254" s="55" t="s">
        <v>294</v>
      </c>
      <c r="E254" s="56" t="s">
        <v>522</v>
      </c>
      <c r="F254" s="56" t="s">
        <v>295</v>
      </c>
      <c r="G254" s="55" t="s">
        <v>492</v>
      </c>
      <c r="H254" s="55" t="s">
        <v>493</v>
      </c>
      <c r="I254" s="55" t="s">
        <v>521</v>
      </c>
      <c r="J254" s="55" t="s">
        <v>190</v>
      </c>
      <c r="K254" s="55" t="s">
        <v>40</v>
      </c>
      <c r="L254" s="55" t="s">
        <v>92</v>
      </c>
      <c r="M254" s="57">
        <v>1</v>
      </c>
      <c r="N254" s="58">
        <v>47000</v>
      </c>
      <c r="O254" s="58">
        <v>0</v>
      </c>
      <c r="P254" s="59">
        <v>47000</v>
      </c>
      <c r="Q254" s="58">
        <v>0</v>
      </c>
      <c r="R254" s="55">
        <v>47000</v>
      </c>
      <c r="S254" s="55" t="s">
        <v>469</v>
      </c>
      <c r="T254" s="55" t="s">
        <v>495</v>
      </c>
      <c r="U254" s="55" t="s">
        <v>18</v>
      </c>
      <c r="V254" s="55" t="s">
        <v>470</v>
      </c>
      <c r="W254" s="42">
        <f>VLOOKUP(B254,'LW13'!$X$15:$Y$501,2,0)-M254</f>
        <v>0</v>
      </c>
    </row>
    <row r="255" spans="1:23" x14ac:dyDescent="0.2">
      <c r="A255" s="9" t="str">
        <f t="shared" si="10"/>
        <v>91NL300094</v>
      </c>
      <c r="B255" s="9" t="str">
        <f>COUNTIF($A$7:A255,A255)&amp;A255</f>
        <v>191NL300094</v>
      </c>
      <c r="C255" s="54">
        <v>46031</v>
      </c>
      <c r="D255" s="55" t="s">
        <v>294</v>
      </c>
      <c r="E255" s="56" t="s">
        <v>522</v>
      </c>
      <c r="F255" s="56" t="s">
        <v>295</v>
      </c>
      <c r="G255" s="55" t="s">
        <v>492</v>
      </c>
      <c r="H255" s="55" t="s">
        <v>493</v>
      </c>
      <c r="I255" s="55" t="s">
        <v>521</v>
      </c>
      <c r="J255" s="55" t="s">
        <v>192</v>
      </c>
      <c r="K255" s="55" t="s">
        <v>312</v>
      </c>
      <c r="L255" s="55" t="s">
        <v>92</v>
      </c>
      <c r="M255" s="57">
        <v>1</v>
      </c>
      <c r="N255" s="58">
        <v>80000</v>
      </c>
      <c r="O255" s="58">
        <v>0</v>
      </c>
      <c r="P255" s="59">
        <v>80000</v>
      </c>
      <c r="Q255" s="58">
        <v>0</v>
      </c>
      <c r="R255" s="55">
        <v>80000</v>
      </c>
      <c r="S255" s="55" t="s">
        <v>469</v>
      </c>
      <c r="T255" s="55" t="s">
        <v>495</v>
      </c>
      <c r="U255" s="55" t="s">
        <v>18</v>
      </c>
      <c r="V255" s="55" t="s">
        <v>470</v>
      </c>
      <c r="W255" s="42">
        <f>VLOOKUP(B255,'LW13'!$X$15:$Y$501,2,0)-M255</f>
        <v>0</v>
      </c>
    </row>
    <row r="256" spans="1:23" x14ac:dyDescent="0.2">
      <c r="A256" s="9" t="str">
        <f t="shared" si="10"/>
        <v>91NL300142</v>
      </c>
      <c r="B256" s="9" t="str">
        <f>COUNTIF($A$7:A256,A256)&amp;A256</f>
        <v>191NL300142</v>
      </c>
      <c r="C256" s="54">
        <v>46031</v>
      </c>
      <c r="D256" s="55" t="s">
        <v>294</v>
      </c>
      <c r="E256" s="56" t="s">
        <v>522</v>
      </c>
      <c r="F256" s="56" t="s">
        <v>295</v>
      </c>
      <c r="G256" s="55" t="s">
        <v>492</v>
      </c>
      <c r="H256" s="55" t="s">
        <v>493</v>
      </c>
      <c r="I256" s="55" t="s">
        <v>521</v>
      </c>
      <c r="J256" s="55" t="s">
        <v>259</v>
      </c>
      <c r="K256" s="55" t="s">
        <v>308</v>
      </c>
      <c r="L256" s="55" t="s">
        <v>92</v>
      </c>
      <c r="M256" s="57">
        <v>1</v>
      </c>
      <c r="N256" s="58">
        <v>50000</v>
      </c>
      <c r="O256" s="58">
        <v>0</v>
      </c>
      <c r="P256" s="59">
        <v>50000</v>
      </c>
      <c r="Q256" s="58">
        <v>0</v>
      </c>
      <c r="R256" s="55">
        <v>50000</v>
      </c>
      <c r="S256" s="55" t="s">
        <v>469</v>
      </c>
      <c r="T256" s="55" t="s">
        <v>495</v>
      </c>
      <c r="U256" s="55" t="s">
        <v>18</v>
      </c>
      <c r="V256" s="55" t="s">
        <v>470</v>
      </c>
      <c r="W256" s="42">
        <f>VLOOKUP(B256,'LW13'!$X$15:$Y$501,2,0)-M256</f>
        <v>0</v>
      </c>
    </row>
    <row r="257" spans="1:23" x14ac:dyDescent="0.2">
      <c r="A257" s="9" t="str">
        <f t="shared" si="10"/>
        <v>91NL300189</v>
      </c>
      <c r="B257" s="9" t="str">
        <f>COUNTIF($A$7:A257,A257)&amp;A257</f>
        <v>191NL300189</v>
      </c>
      <c r="C257" s="54">
        <v>46031</v>
      </c>
      <c r="D257" s="55" t="s">
        <v>294</v>
      </c>
      <c r="E257" s="56" t="s">
        <v>522</v>
      </c>
      <c r="F257" s="56" t="s">
        <v>295</v>
      </c>
      <c r="G257" s="55" t="s">
        <v>492</v>
      </c>
      <c r="H257" s="55" t="s">
        <v>493</v>
      </c>
      <c r="I257" s="55" t="s">
        <v>521</v>
      </c>
      <c r="J257" s="55" t="s">
        <v>85</v>
      </c>
      <c r="K257" s="55" t="s">
        <v>54</v>
      </c>
      <c r="L257" s="55" t="s">
        <v>92</v>
      </c>
      <c r="M257" s="57">
        <v>1.5</v>
      </c>
      <c r="N257" s="58">
        <v>15000</v>
      </c>
      <c r="O257" s="58">
        <v>0</v>
      </c>
      <c r="P257" s="59">
        <v>22500</v>
      </c>
      <c r="Q257" s="58">
        <v>0</v>
      </c>
      <c r="R257" s="55">
        <v>15000</v>
      </c>
      <c r="S257" s="55" t="s">
        <v>469</v>
      </c>
      <c r="T257" s="55" t="s">
        <v>495</v>
      </c>
      <c r="U257" s="55" t="s">
        <v>18</v>
      </c>
      <c r="V257" s="55" t="s">
        <v>470</v>
      </c>
      <c r="W257" s="42">
        <f>VLOOKUP(B257,'LW13'!$X$15:$Y$501,2,0)-M257</f>
        <v>0</v>
      </c>
    </row>
    <row r="258" spans="1:23" x14ac:dyDescent="0.2">
      <c r="A258" s="9" t="str">
        <f t="shared" si="10"/>
        <v>101NL300189</v>
      </c>
      <c r="B258" s="9" t="str">
        <f>COUNTIF($A$7:A258,A258)&amp;A258</f>
        <v>1101NL300189</v>
      </c>
      <c r="C258" s="54">
        <v>46032</v>
      </c>
      <c r="D258" s="55" t="s">
        <v>294</v>
      </c>
      <c r="E258" s="56" t="s">
        <v>523</v>
      </c>
      <c r="F258" s="56" t="s">
        <v>295</v>
      </c>
      <c r="G258" s="55" t="s">
        <v>492</v>
      </c>
      <c r="H258" s="55" t="s">
        <v>493</v>
      </c>
      <c r="I258" s="55" t="s">
        <v>524</v>
      </c>
      <c r="J258" s="55" t="s">
        <v>85</v>
      </c>
      <c r="K258" s="55" t="s">
        <v>54</v>
      </c>
      <c r="L258" s="55" t="s">
        <v>92</v>
      </c>
      <c r="M258" s="57">
        <v>1.5</v>
      </c>
      <c r="N258" s="58">
        <v>15000</v>
      </c>
      <c r="O258" s="58">
        <v>0</v>
      </c>
      <c r="P258" s="59">
        <v>22500</v>
      </c>
      <c r="Q258" s="58">
        <v>0</v>
      </c>
      <c r="R258" s="55">
        <v>15000</v>
      </c>
      <c r="S258" s="55" t="s">
        <v>469</v>
      </c>
      <c r="T258" s="55" t="s">
        <v>495</v>
      </c>
      <c r="U258" s="55" t="s">
        <v>18</v>
      </c>
      <c r="V258" s="55" t="s">
        <v>470</v>
      </c>
      <c r="W258" s="42">
        <f>VLOOKUP(B258,'LW13'!$X$15:$Y$501,2,0)-M258</f>
        <v>0</v>
      </c>
    </row>
    <row r="259" spans="1:23" x14ac:dyDescent="0.2">
      <c r="A259" s="9" t="str">
        <f t="shared" si="10"/>
        <v>101NL300004</v>
      </c>
      <c r="B259" s="9" t="str">
        <f>COUNTIF($A$7:A259,A259)&amp;A259</f>
        <v>1101NL300004</v>
      </c>
      <c r="C259" s="54">
        <v>46032</v>
      </c>
      <c r="D259" s="55" t="s">
        <v>294</v>
      </c>
      <c r="E259" s="56" t="s">
        <v>523</v>
      </c>
      <c r="F259" s="56" t="s">
        <v>295</v>
      </c>
      <c r="G259" s="55" t="s">
        <v>492</v>
      </c>
      <c r="H259" s="55" t="s">
        <v>493</v>
      </c>
      <c r="I259" s="55" t="s">
        <v>524</v>
      </c>
      <c r="J259" s="55" t="s">
        <v>86</v>
      </c>
      <c r="K259" s="55" t="s">
        <v>16</v>
      </c>
      <c r="L259" s="55" t="s">
        <v>92</v>
      </c>
      <c r="M259" s="57">
        <v>1.5</v>
      </c>
      <c r="N259" s="58">
        <v>19000</v>
      </c>
      <c r="O259" s="58">
        <v>0</v>
      </c>
      <c r="P259" s="59">
        <v>28500</v>
      </c>
      <c r="Q259" s="58">
        <v>0</v>
      </c>
      <c r="R259" s="55">
        <v>19000</v>
      </c>
      <c r="S259" s="55" t="s">
        <v>469</v>
      </c>
      <c r="T259" s="55" t="s">
        <v>495</v>
      </c>
      <c r="U259" s="55" t="s">
        <v>18</v>
      </c>
      <c r="V259" s="55" t="s">
        <v>470</v>
      </c>
      <c r="W259" s="42">
        <f>VLOOKUP(B259,'LW13'!$X$15:$Y$501,2,0)-M259</f>
        <v>0</v>
      </c>
    </row>
    <row r="260" spans="1:23" x14ac:dyDescent="0.2">
      <c r="A260" s="9" t="str">
        <f t="shared" si="10"/>
        <v>101NL300007</v>
      </c>
      <c r="B260" s="9" t="str">
        <f>COUNTIF($A$7:A260,A260)&amp;A260</f>
        <v>1101NL300007</v>
      </c>
      <c r="C260" s="54">
        <v>46032</v>
      </c>
      <c r="D260" s="55" t="s">
        <v>294</v>
      </c>
      <c r="E260" s="56" t="s">
        <v>523</v>
      </c>
      <c r="F260" s="56" t="s">
        <v>295</v>
      </c>
      <c r="G260" s="55" t="s">
        <v>492</v>
      </c>
      <c r="H260" s="55" t="s">
        <v>493</v>
      </c>
      <c r="I260" s="55" t="s">
        <v>524</v>
      </c>
      <c r="J260" s="55" t="s">
        <v>90</v>
      </c>
      <c r="K260" s="55" t="s">
        <v>91</v>
      </c>
      <c r="L260" s="55" t="s">
        <v>92</v>
      </c>
      <c r="M260" s="57">
        <v>5</v>
      </c>
      <c r="N260" s="58">
        <v>30000</v>
      </c>
      <c r="O260" s="58">
        <v>0</v>
      </c>
      <c r="P260" s="59">
        <v>150000</v>
      </c>
      <c r="Q260" s="58">
        <v>0</v>
      </c>
      <c r="R260" s="55">
        <v>30000</v>
      </c>
      <c r="S260" s="55" t="s">
        <v>469</v>
      </c>
      <c r="T260" s="55" t="s">
        <v>495</v>
      </c>
      <c r="U260" s="55" t="s">
        <v>18</v>
      </c>
      <c r="V260" s="55" t="s">
        <v>470</v>
      </c>
      <c r="W260" s="42">
        <f>VLOOKUP(B260,'LW13'!$X$15:$Y$501,2,0)-M260</f>
        <v>0</v>
      </c>
    </row>
    <row r="261" spans="1:23" x14ac:dyDescent="0.2">
      <c r="A261" s="9" t="str">
        <f t="shared" si="10"/>
        <v>101NL300028</v>
      </c>
      <c r="B261" s="9" t="str">
        <f>COUNTIF($A$7:A261,A261)&amp;A261</f>
        <v>1101NL300028</v>
      </c>
      <c r="C261" s="54">
        <v>46032</v>
      </c>
      <c r="D261" s="55" t="s">
        <v>294</v>
      </c>
      <c r="E261" s="56" t="s">
        <v>523</v>
      </c>
      <c r="F261" s="56" t="s">
        <v>295</v>
      </c>
      <c r="G261" s="55" t="s">
        <v>492</v>
      </c>
      <c r="H261" s="55" t="s">
        <v>493</v>
      </c>
      <c r="I261" s="55" t="s">
        <v>524</v>
      </c>
      <c r="J261" s="55" t="s">
        <v>107</v>
      </c>
      <c r="K261" s="55" t="s">
        <v>70</v>
      </c>
      <c r="L261" s="55" t="s">
        <v>92</v>
      </c>
      <c r="M261" s="57">
        <v>0.5</v>
      </c>
      <c r="N261" s="58">
        <v>75000</v>
      </c>
      <c r="O261" s="58">
        <v>0</v>
      </c>
      <c r="P261" s="59">
        <v>37500</v>
      </c>
      <c r="Q261" s="58">
        <v>0</v>
      </c>
      <c r="R261" s="55">
        <v>75000</v>
      </c>
      <c r="S261" s="55" t="s">
        <v>469</v>
      </c>
      <c r="T261" s="55" t="s">
        <v>495</v>
      </c>
      <c r="U261" s="55" t="s">
        <v>18</v>
      </c>
      <c r="V261" s="55" t="s">
        <v>470</v>
      </c>
      <c r="W261" s="42">
        <f>VLOOKUP(B261,'LW13'!$X$15:$Y$501,2,0)-M261</f>
        <v>0</v>
      </c>
    </row>
    <row r="262" spans="1:23" x14ac:dyDescent="0.2">
      <c r="A262" s="9" t="str">
        <f t="shared" si="10"/>
        <v>101NL300035</v>
      </c>
      <c r="B262" s="9" t="str">
        <f>COUNTIF($A$7:A262,A262)&amp;A262</f>
        <v>1101NL300035</v>
      </c>
      <c r="C262" s="54">
        <v>46032</v>
      </c>
      <c r="D262" s="55" t="s">
        <v>294</v>
      </c>
      <c r="E262" s="56" t="s">
        <v>523</v>
      </c>
      <c r="F262" s="56" t="s">
        <v>295</v>
      </c>
      <c r="G262" s="55" t="s">
        <v>492</v>
      </c>
      <c r="H262" s="55" t="s">
        <v>493</v>
      </c>
      <c r="I262" s="55" t="s">
        <v>524</v>
      </c>
      <c r="J262" s="55" t="s">
        <v>129</v>
      </c>
      <c r="K262" s="55" t="s">
        <v>500</v>
      </c>
      <c r="L262" s="55" t="s">
        <v>92</v>
      </c>
      <c r="M262" s="57">
        <v>0.1</v>
      </c>
      <c r="N262" s="58">
        <v>25000</v>
      </c>
      <c r="O262" s="58">
        <v>0</v>
      </c>
      <c r="P262" s="59">
        <v>2500</v>
      </c>
      <c r="Q262" s="58">
        <v>0</v>
      </c>
      <c r="R262" s="55">
        <v>25000</v>
      </c>
      <c r="S262" s="55" t="s">
        <v>469</v>
      </c>
      <c r="T262" s="55" t="s">
        <v>495</v>
      </c>
      <c r="U262" s="55" t="s">
        <v>18</v>
      </c>
      <c r="V262" s="55" t="s">
        <v>470</v>
      </c>
      <c r="W262" s="42">
        <f>VLOOKUP(B262,'LW13'!$X$15:$Y$501,2,0)-M262</f>
        <v>0</v>
      </c>
    </row>
    <row r="263" spans="1:23" x14ac:dyDescent="0.2">
      <c r="A263" s="9" t="str">
        <f t="shared" si="10"/>
        <v>101NL300036</v>
      </c>
      <c r="B263" s="9" t="str">
        <f>COUNTIF($A$7:A263,A263)&amp;A263</f>
        <v>1101NL300036</v>
      </c>
      <c r="C263" s="54">
        <v>46032</v>
      </c>
      <c r="D263" s="55" t="s">
        <v>294</v>
      </c>
      <c r="E263" s="56" t="s">
        <v>523</v>
      </c>
      <c r="F263" s="56" t="s">
        <v>295</v>
      </c>
      <c r="G263" s="55" t="s">
        <v>492</v>
      </c>
      <c r="H263" s="55" t="s">
        <v>493</v>
      </c>
      <c r="I263" s="55" t="s">
        <v>524</v>
      </c>
      <c r="J263" s="55" t="s">
        <v>131</v>
      </c>
      <c r="K263" s="55" t="s">
        <v>27</v>
      </c>
      <c r="L263" s="55" t="s">
        <v>92</v>
      </c>
      <c r="M263" s="57">
        <v>0.6</v>
      </c>
      <c r="N263" s="58">
        <v>47000</v>
      </c>
      <c r="O263" s="58">
        <v>0</v>
      </c>
      <c r="P263" s="59">
        <v>28200</v>
      </c>
      <c r="Q263" s="58">
        <v>0</v>
      </c>
      <c r="R263" s="55">
        <v>47000</v>
      </c>
      <c r="S263" s="55" t="s">
        <v>469</v>
      </c>
      <c r="T263" s="55" t="s">
        <v>495</v>
      </c>
      <c r="U263" s="55" t="s">
        <v>18</v>
      </c>
      <c r="V263" s="55" t="s">
        <v>470</v>
      </c>
      <c r="W263" s="42">
        <f>VLOOKUP(B263,'LW13'!$X$15:$Y$501,2,0)-M263</f>
        <v>0</v>
      </c>
    </row>
    <row r="264" spans="1:23" x14ac:dyDescent="0.2">
      <c r="A264" s="9" t="str">
        <f t="shared" si="10"/>
        <v>101NL300041</v>
      </c>
      <c r="B264" s="9" t="str">
        <f>COUNTIF($A$7:A264,A264)&amp;A264</f>
        <v>1101NL300041</v>
      </c>
      <c r="C264" s="54">
        <v>46032</v>
      </c>
      <c r="D264" s="55" t="s">
        <v>294</v>
      </c>
      <c r="E264" s="56" t="s">
        <v>523</v>
      </c>
      <c r="F264" s="56" t="s">
        <v>295</v>
      </c>
      <c r="G264" s="55" t="s">
        <v>492</v>
      </c>
      <c r="H264" s="55" t="s">
        <v>493</v>
      </c>
      <c r="I264" s="55" t="s">
        <v>524</v>
      </c>
      <c r="J264" s="55" t="s">
        <v>140</v>
      </c>
      <c r="K264" s="55" t="s">
        <v>319</v>
      </c>
      <c r="L264" s="55" t="s">
        <v>300</v>
      </c>
      <c r="M264" s="57">
        <v>12</v>
      </c>
      <c r="N264" s="58">
        <v>15000</v>
      </c>
      <c r="O264" s="58">
        <v>0</v>
      </c>
      <c r="P264" s="59">
        <v>180000</v>
      </c>
      <c r="Q264" s="58">
        <v>0</v>
      </c>
      <c r="R264" s="55">
        <v>15000</v>
      </c>
      <c r="S264" s="55" t="s">
        <v>469</v>
      </c>
      <c r="T264" s="55" t="s">
        <v>495</v>
      </c>
      <c r="U264" s="55" t="s">
        <v>18</v>
      </c>
      <c r="V264" s="55" t="s">
        <v>470</v>
      </c>
      <c r="W264" s="42">
        <f>VLOOKUP(B264,'LW13'!$X$15:$Y$501,2,0)-M264</f>
        <v>0</v>
      </c>
    </row>
    <row r="265" spans="1:23" x14ac:dyDescent="0.2">
      <c r="A265" s="9" t="str">
        <f t="shared" si="10"/>
        <v>101NL300054</v>
      </c>
      <c r="B265" s="9" t="str">
        <f>COUNTIF($A$7:A265,A265)&amp;A265</f>
        <v>1101NL300054</v>
      </c>
      <c r="C265" s="54">
        <v>46032</v>
      </c>
      <c r="D265" s="55" t="s">
        <v>294</v>
      </c>
      <c r="E265" s="56" t="s">
        <v>523</v>
      </c>
      <c r="F265" s="56" t="s">
        <v>295</v>
      </c>
      <c r="G265" s="55" t="s">
        <v>492</v>
      </c>
      <c r="H265" s="55" t="s">
        <v>493</v>
      </c>
      <c r="I265" s="55" t="s">
        <v>524</v>
      </c>
      <c r="J265" s="55" t="s">
        <v>128</v>
      </c>
      <c r="K265" s="55" t="s">
        <v>314</v>
      </c>
      <c r="L265" s="55" t="s">
        <v>92</v>
      </c>
      <c r="M265" s="57">
        <v>1.8</v>
      </c>
      <c r="N265" s="58">
        <v>38000</v>
      </c>
      <c r="O265" s="58">
        <v>0</v>
      </c>
      <c r="P265" s="59">
        <v>68400</v>
      </c>
      <c r="Q265" s="58">
        <v>0</v>
      </c>
      <c r="R265" s="55">
        <v>38000</v>
      </c>
      <c r="S265" s="55" t="s">
        <v>469</v>
      </c>
      <c r="T265" s="55" t="s">
        <v>495</v>
      </c>
      <c r="U265" s="55" t="s">
        <v>18</v>
      </c>
      <c r="V265" s="55" t="s">
        <v>470</v>
      </c>
      <c r="W265" s="42">
        <f>VLOOKUP(B265,'LW13'!$X$15:$Y$501,2,0)-M265</f>
        <v>0</v>
      </c>
    </row>
    <row r="266" spans="1:23" x14ac:dyDescent="0.2">
      <c r="A266" s="9" t="str">
        <f t="shared" si="10"/>
        <v>101NL300055</v>
      </c>
      <c r="B266" s="9" t="str">
        <f>COUNTIF($A$7:A266,A266)&amp;A266</f>
        <v>1101NL300055</v>
      </c>
      <c r="C266" s="54">
        <v>46032</v>
      </c>
      <c r="D266" s="55" t="s">
        <v>294</v>
      </c>
      <c r="E266" s="56" t="s">
        <v>523</v>
      </c>
      <c r="F266" s="56" t="s">
        <v>295</v>
      </c>
      <c r="G266" s="55" t="s">
        <v>492</v>
      </c>
      <c r="H266" s="55" t="s">
        <v>493</v>
      </c>
      <c r="I266" s="55" t="s">
        <v>524</v>
      </c>
      <c r="J266" s="55" t="s">
        <v>152</v>
      </c>
      <c r="K266" s="55" t="s">
        <v>311</v>
      </c>
      <c r="L266" s="55" t="s">
        <v>92</v>
      </c>
      <c r="M266" s="57">
        <v>0.1</v>
      </c>
      <c r="N266" s="58">
        <v>80000</v>
      </c>
      <c r="O266" s="58">
        <v>0</v>
      </c>
      <c r="P266" s="59">
        <v>8000</v>
      </c>
      <c r="Q266" s="58">
        <v>0</v>
      </c>
      <c r="R266" s="55">
        <v>80000</v>
      </c>
      <c r="S266" s="55" t="s">
        <v>469</v>
      </c>
      <c r="T266" s="55" t="s">
        <v>495</v>
      </c>
      <c r="U266" s="55" t="s">
        <v>18</v>
      </c>
      <c r="V266" s="55" t="s">
        <v>470</v>
      </c>
      <c r="W266" s="42">
        <f>VLOOKUP(B266,'LW13'!$X$15:$Y$501,2,0)-M266</f>
        <v>0</v>
      </c>
    </row>
    <row r="267" spans="1:23" x14ac:dyDescent="0.2">
      <c r="A267" s="9" t="str">
        <f t="shared" si="10"/>
        <v>101NL300058</v>
      </c>
      <c r="B267" s="9" t="str">
        <f>COUNTIF($A$7:A267,A267)&amp;A267</f>
        <v>1101NL300058</v>
      </c>
      <c r="C267" s="54">
        <v>46032</v>
      </c>
      <c r="D267" s="55" t="s">
        <v>294</v>
      </c>
      <c r="E267" s="56" t="s">
        <v>523</v>
      </c>
      <c r="F267" s="56" t="s">
        <v>295</v>
      </c>
      <c r="G267" s="55" t="s">
        <v>492</v>
      </c>
      <c r="H267" s="55" t="s">
        <v>493</v>
      </c>
      <c r="I267" s="55" t="s">
        <v>524</v>
      </c>
      <c r="J267" s="55" t="s">
        <v>147</v>
      </c>
      <c r="K267" s="55" t="s">
        <v>29</v>
      </c>
      <c r="L267" s="55" t="s">
        <v>92</v>
      </c>
      <c r="M267" s="57">
        <v>6</v>
      </c>
      <c r="N267" s="58">
        <v>55000</v>
      </c>
      <c r="O267" s="58">
        <v>0</v>
      </c>
      <c r="P267" s="59">
        <v>330000</v>
      </c>
      <c r="Q267" s="58">
        <v>0</v>
      </c>
      <c r="R267" s="55">
        <v>55000</v>
      </c>
      <c r="S267" s="55" t="s">
        <v>469</v>
      </c>
      <c r="T267" s="55" t="s">
        <v>495</v>
      </c>
      <c r="U267" s="55" t="s">
        <v>18</v>
      </c>
      <c r="V267" s="55" t="s">
        <v>470</v>
      </c>
      <c r="W267" s="42">
        <f>VLOOKUP(B267,'LW13'!$X$15:$Y$501,2,0)-M267</f>
        <v>0</v>
      </c>
    </row>
    <row r="268" spans="1:23" x14ac:dyDescent="0.2">
      <c r="A268" s="9" t="str">
        <f t="shared" si="10"/>
        <v>101NL300070</v>
      </c>
      <c r="B268" s="9" t="str">
        <f>COUNTIF($A$7:A268,A268)&amp;A268</f>
        <v>1101NL300070</v>
      </c>
      <c r="C268" s="54">
        <v>46032</v>
      </c>
      <c r="D268" s="55" t="s">
        <v>294</v>
      </c>
      <c r="E268" s="56" t="s">
        <v>523</v>
      </c>
      <c r="F268" s="56" t="s">
        <v>295</v>
      </c>
      <c r="G268" s="55" t="s">
        <v>492</v>
      </c>
      <c r="H268" s="55" t="s">
        <v>493</v>
      </c>
      <c r="I268" s="55" t="s">
        <v>524</v>
      </c>
      <c r="J268" s="55" t="s">
        <v>162</v>
      </c>
      <c r="K268" s="55" t="s">
        <v>304</v>
      </c>
      <c r="L268" s="55" t="s">
        <v>92</v>
      </c>
      <c r="M268" s="57">
        <v>0.4</v>
      </c>
      <c r="N268" s="58">
        <v>23000</v>
      </c>
      <c r="O268" s="58">
        <v>0</v>
      </c>
      <c r="P268" s="59">
        <v>9200</v>
      </c>
      <c r="Q268" s="58">
        <v>0</v>
      </c>
      <c r="R268" s="55">
        <v>23000</v>
      </c>
      <c r="S268" s="55" t="s">
        <v>469</v>
      </c>
      <c r="T268" s="55" t="s">
        <v>495</v>
      </c>
      <c r="U268" s="55" t="s">
        <v>18</v>
      </c>
      <c r="V268" s="55" t="s">
        <v>470</v>
      </c>
      <c r="W268" s="42">
        <f>VLOOKUP(B268,'LW13'!$X$15:$Y$501,2,0)-M268</f>
        <v>0</v>
      </c>
    </row>
    <row r="269" spans="1:23" x14ac:dyDescent="0.2">
      <c r="A269" s="9" t="str">
        <f t="shared" si="10"/>
        <v>101NL300085</v>
      </c>
      <c r="B269" s="9" t="str">
        <f>COUNTIF($A$7:A269,A269)&amp;A269</f>
        <v>1101NL300085</v>
      </c>
      <c r="C269" s="54">
        <v>46032</v>
      </c>
      <c r="D269" s="55" t="s">
        <v>294</v>
      </c>
      <c r="E269" s="56" t="s">
        <v>523</v>
      </c>
      <c r="F269" s="56" t="s">
        <v>295</v>
      </c>
      <c r="G269" s="55" t="s">
        <v>492</v>
      </c>
      <c r="H269" s="55" t="s">
        <v>493</v>
      </c>
      <c r="I269" s="55" t="s">
        <v>524</v>
      </c>
      <c r="J269" s="55" t="s">
        <v>205</v>
      </c>
      <c r="K269" s="55" t="s">
        <v>306</v>
      </c>
      <c r="L269" s="55" t="s">
        <v>92</v>
      </c>
      <c r="M269" s="57">
        <v>5</v>
      </c>
      <c r="N269" s="58">
        <v>45000</v>
      </c>
      <c r="O269" s="58">
        <v>0</v>
      </c>
      <c r="P269" s="59">
        <v>225000</v>
      </c>
      <c r="Q269" s="58">
        <v>0</v>
      </c>
      <c r="R269" s="55">
        <v>45000</v>
      </c>
      <c r="S269" s="55" t="s">
        <v>469</v>
      </c>
      <c r="T269" s="55" t="s">
        <v>495</v>
      </c>
      <c r="U269" s="55" t="s">
        <v>18</v>
      </c>
      <c r="V269" s="55" t="s">
        <v>470</v>
      </c>
      <c r="W269" s="42">
        <f>VLOOKUP(B269,'LW13'!$X$15:$Y$501,2,0)-M269</f>
        <v>0</v>
      </c>
    </row>
    <row r="270" spans="1:23" x14ac:dyDescent="0.2">
      <c r="A270" s="9" t="str">
        <f t="shared" ref="A270:A333" si="11">DAY(C270)&amp;MONTH(C270)&amp;J270</f>
        <v>101NL300137</v>
      </c>
      <c r="B270" s="9" t="str">
        <f>COUNTIF($A$7:A270,A270)&amp;A270</f>
        <v>1101NL300137</v>
      </c>
      <c r="C270" s="54">
        <v>46032</v>
      </c>
      <c r="D270" s="55" t="s">
        <v>294</v>
      </c>
      <c r="E270" s="56" t="s">
        <v>523</v>
      </c>
      <c r="F270" s="56" t="s">
        <v>295</v>
      </c>
      <c r="G270" s="55" t="s">
        <v>492</v>
      </c>
      <c r="H270" s="55" t="s">
        <v>493</v>
      </c>
      <c r="I270" s="55" t="s">
        <v>524</v>
      </c>
      <c r="J270" s="55" t="s">
        <v>96</v>
      </c>
      <c r="K270" s="55" t="s">
        <v>397</v>
      </c>
      <c r="L270" s="55" t="s">
        <v>92</v>
      </c>
      <c r="M270" s="57">
        <v>4.5</v>
      </c>
      <c r="N270" s="58">
        <v>52000</v>
      </c>
      <c r="O270" s="58">
        <v>0</v>
      </c>
      <c r="P270" s="59">
        <v>234000</v>
      </c>
      <c r="Q270" s="58">
        <v>0</v>
      </c>
      <c r="R270" s="55">
        <v>52000</v>
      </c>
      <c r="S270" s="55" t="s">
        <v>469</v>
      </c>
      <c r="T270" s="55" t="s">
        <v>495</v>
      </c>
      <c r="U270" s="55" t="s">
        <v>18</v>
      </c>
      <c r="V270" s="55" t="s">
        <v>470</v>
      </c>
      <c r="W270" s="42">
        <f>VLOOKUP(B270,'LW13'!$X$15:$Y$501,2,0)-M270</f>
        <v>0</v>
      </c>
    </row>
    <row r="271" spans="1:23" x14ac:dyDescent="0.2">
      <c r="A271" s="9" t="str">
        <f t="shared" si="11"/>
        <v>101NL300116</v>
      </c>
      <c r="B271" s="9" t="str">
        <f>COUNTIF($A$7:A271,A271)&amp;A271</f>
        <v>1101NL300116</v>
      </c>
      <c r="C271" s="54">
        <v>46032</v>
      </c>
      <c r="D271" s="55" t="s">
        <v>294</v>
      </c>
      <c r="E271" s="56" t="s">
        <v>523</v>
      </c>
      <c r="F271" s="56" t="s">
        <v>295</v>
      </c>
      <c r="G271" s="55" t="s">
        <v>492</v>
      </c>
      <c r="H271" s="55" t="s">
        <v>493</v>
      </c>
      <c r="I271" s="55" t="s">
        <v>524</v>
      </c>
      <c r="J271" s="55" t="s">
        <v>217</v>
      </c>
      <c r="K271" s="55" t="s">
        <v>313</v>
      </c>
      <c r="L271" s="55" t="s">
        <v>92</v>
      </c>
      <c r="M271" s="57">
        <v>0.1</v>
      </c>
      <c r="N271" s="58">
        <v>148000</v>
      </c>
      <c r="O271" s="58">
        <v>0</v>
      </c>
      <c r="P271" s="59">
        <v>14800</v>
      </c>
      <c r="Q271" s="58">
        <v>0</v>
      </c>
      <c r="R271" s="55">
        <v>148000</v>
      </c>
      <c r="S271" s="55" t="s">
        <v>469</v>
      </c>
      <c r="T271" s="55" t="s">
        <v>495</v>
      </c>
      <c r="U271" s="55" t="s">
        <v>18</v>
      </c>
      <c r="V271" s="55" t="s">
        <v>470</v>
      </c>
      <c r="W271" s="42">
        <f>VLOOKUP(B271,'LW13'!$X$15:$Y$501,2,0)-M271</f>
        <v>0</v>
      </c>
    </row>
    <row r="272" spans="1:23" x14ac:dyDescent="0.2">
      <c r="A272" s="9" t="str">
        <f t="shared" si="11"/>
        <v>101NL300025</v>
      </c>
      <c r="B272" s="9" t="str">
        <f>COUNTIF($A$7:A272,A272)&amp;A272</f>
        <v>1101NL300025</v>
      </c>
      <c r="C272" s="54">
        <v>46032</v>
      </c>
      <c r="D272" s="55" t="s">
        <v>294</v>
      </c>
      <c r="E272" s="56" t="s">
        <v>523</v>
      </c>
      <c r="F272" s="56" t="s">
        <v>295</v>
      </c>
      <c r="G272" s="55" t="s">
        <v>492</v>
      </c>
      <c r="H272" s="55" t="s">
        <v>493</v>
      </c>
      <c r="I272" s="55" t="s">
        <v>524</v>
      </c>
      <c r="J272" s="55" t="s">
        <v>117</v>
      </c>
      <c r="K272" s="55" t="s">
        <v>303</v>
      </c>
      <c r="L272" s="55" t="s">
        <v>92</v>
      </c>
      <c r="M272" s="57">
        <v>0.8</v>
      </c>
      <c r="N272" s="58">
        <v>44000</v>
      </c>
      <c r="O272" s="58">
        <v>0</v>
      </c>
      <c r="P272" s="59">
        <v>35200</v>
      </c>
      <c r="Q272" s="58">
        <v>0</v>
      </c>
      <c r="R272" s="55">
        <v>44000</v>
      </c>
      <c r="S272" s="55" t="s">
        <v>469</v>
      </c>
      <c r="T272" s="55" t="s">
        <v>495</v>
      </c>
      <c r="U272" s="55" t="s">
        <v>18</v>
      </c>
      <c r="V272" s="55" t="s">
        <v>470</v>
      </c>
      <c r="W272" s="42">
        <f>VLOOKUP(B272,'LW13'!$X$15:$Y$501,2,0)-M272</f>
        <v>0</v>
      </c>
    </row>
    <row r="273" spans="1:23" x14ac:dyDescent="0.2">
      <c r="A273" s="9" t="str">
        <f t="shared" si="11"/>
        <v>101NL300126</v>
      </c>
      <c r="B273" s="9" t="str">
        <f>COUNTIF($A$7:A273,A273)&amp;A273</f>
        <v>1101NL300126</v>
      </c>
      <c r="C273" s="54">
        <v>46032</v>
      </c>
      <c r="D273" s="55" t="s">
        <v>294</v>
      </c>
      <c r="E273" s="56" t="s">
        <v>523</v>
      </c>
      <c r="F273" s="56" t="s">
        <v>295</v>
      </c>
      <c r="G273" s="55" t="s">
        <v>492</v>
      </c>
      <c r="H273" s="55" t="s">
        <v>493</v>
      </c>
      <c r="I273" s="55" t="s">
        <v>524</v>
      </c>
      <c r="J273" s="55" t="s">
        <v>206</v>
      </c>
      <c r="K273" s="55" t="s">
        <v>315</v>
      </c>
      <c r="L273" s="55" t="s">
        <v>92</v>
      </c>
      <c r="M273" s="57">
        <v>0.1</v>
      </c>
      <c r="N273" s="58">
        <v>70000</v>
      </c>
      <c r="O273" s="58">
        <v>0</v>
      </c>
      <c r="P273" s="59">
        <v>7000</v>
      </c>
      <c r="Q273" s="58">
        <v>0</v>
      </c>
      <c r="R273" s="55">
        <v>70000</v>
      </c>
      <c r="S273" s="55" t="s">
        <v>469</v>
      </c>
      <c r="T273" s="55" t="s">
        <v>495</v>
      </c>
      <c r="U273" s="55" t="s">
        <v>18</v>
      </c>
      <c r="V273" s="55" t="s">
        <v>470</v>
      </c>
      <c r="W273" s="42">
        <f>VLOOKUP(B273,'LW13'!$X$15:$Y$501,2,0)-M273</f>
        <v>0</v>
      </c>
    </row>
    <row r="274" spans="1:23" x14ac:dyDescent="0.2">
      <c r="A274" s="9" t="str">
        <f t="shared" si="11"/>
        <v>101NL300132</v>
      </c>
      <c r="B274" s="9" t="str">
        <f>COUNTIF($A$7:A274,A274)&amp;A274</f>
        <v>1101NL300132</v>
      </c>
      <c r="C274" s="54">
        <v>46032</v>
      </c>
      <c r="D274" s="55" t="s">
        <v>294</v>
      </c>
      <c r="E274" s="56" t="s">
        <v>523</v>
      </c>
      <c r="F274" s="56" t="s">
        <v>295</v>
      </c>
      <c r="G274" s="55" t="s">
        <v>492</v>
      </c>
      <c r="H274" s="55" t="s">
        <v>493</v>
      </c>
      <c r="I274" s="55" t="s">
        <v>524</v>
      </c>
      <c r="J274" s="55" t="s">
        <v>237</v>
      </c>
      <c r="K274" s="55" t="s">
        <v>36</v>
      </c>
      <c r="L274" s="55" t="s">
        <v>92</v>
      </c>
      <c r="M274" s="57">
        <v>2</v>
      </c>
      <c r="N274" s="58">
        <v>12000</v>
      </c>
      <c r="O274" s="58">
        <v>0</v>
      </c>
      <c r="P274" s="59">
        <v>24000</v>
      </c>
      <c r="Q274" s="58">
        <v>0</v>
      </c>
      <c r="R274" s="55">
        <v>12000</v>
      </c>
      <c r="S274" s="55" t="s">
        <v>469</v>
      </c>
      <c r="T274" s="55" t="s">
        <v>495</v>
      </c>
      <c r="U274" s="55" t="s">
        <v>18</v>
      </c>
      <c r="V274" s="55" t="s">
        <v>470</v>
      </c>
      <c r="W274" s="42">
        <f>VLOOKUP(B274,'LW13'!$X$15:$Y$501,2,0)-M274</f>
        <v>0</v>
      </c>
    </row>
    <row r="275" spans="1:23" x14ac:dyDescent="0.2">
      <c r="A275" s="9" t="str">
        <f t="shared" si="11"/>
        <v>101NL300139</v>
      </c>
      <c r="B275" s="9" t="str">
        <f>COUNTIF($A$7:A275,A275)&amp;A275</f>
        <v>1101NL300139</v>
      </c>
      <c r="C275" s="54">
        <v>46032</v>
      </c>
      <c r="D275" s="55" t="s">
        <v>294</v>
      </c>
      <c r="E275" s="56" t="s">
        <v>523</v>
      </c>
      <c r="F275" s="56" t="s">
        <v>295</v>
      </c>
      <c r="G275" s="55" t="s">
        <v>492</v>
      </c>
      <c r="H275" s="55" t="s">
        <v>493</v>
      </c>
      <c r="I275" s="55" t="s">
        <v>524</v>
      </c>
      <c r="J275" s="55" t="s">
        <v>249</v>
      </c>
      <c r="K275" s="55" t="s">
        <v>58</v>
      </c>
      <c r="L275" s="55" t="s">
        <v>92</v>
      </c>
      <c r="M275" s="57">
        <v>0.1</v>
      </c>
      <c r="N275" s="58">
        <v>42000</v>
      </c>
      <c r="O275" s="58">
        <v>0</v>
      </c>
      <c r="P275" s="59">
        <v>4200</v>
      </c>
      <c r="Q275" s="58">
        <v>0</v>
      </c>
      <c r="R275" s="55">
        <v>42000</v>
      </c>
      <c r="S275" s="55" t="s">
        <v>469</v>
      </c>
      <c r="T275" s="55" t="s">
        <v>495</v>
      </c>
      <c r="U275" s="55" t="s">
        <v>18</v>
      </c>
      <c r="V275" s="55" t="s">
        <v>470</v>
      </c>
      <c r="W275" s="42">
        <f>VLOOKUP(B275,'LW13'!$X$15:$Y$501,2,0)-M275</f>
        <v>0</v>
      </c>
    </row>
    <row r="276" spans="1:23" x14ac:dyDescent="0.2">
      <c r="A276" s="9" t="str">
        <f t="shared" si="11"/>
        <v>101NL300141</v>
      </c>
      <c r="B276" s="9" t="str">
        <f>COUNTIF($A$7:A276,A276)&amp;A276</f>
        <v>1101NL300141</v>
      </c>
      <c r="C276" s="54">
        <v>46032</v>
      </c>
      <c r="D276" s="55" t="s">
        <v>294</v>
      </c>
      <c r="E276" s="56" t="s">
        <v>523</v>
      </c>
      <c r="F276" s="56" t="s">
        <v>295</v>
      </c>
      <c r="G276" s="55" t="s">
        <v>492</v>
      </c>
      <c r="H276" s="55" t="s">
        <v>493</v>
      </c>
      <c r="I276" s="55" t="s">
        <v>524</v>
      </c>
      <c r="J276" s="55" t="s">
        <v>256</v>
      </c>
      <c r="K276" s="55" t="s">
        <v>501</v>
      </c>
      <c r="L276" s="55" t="s">
        <v>92</v>
      </c>
      <c r="M276" s="57">
        <v>0.2</v>
      </c>
      <c r="N276" s="58">
        <v>92000</v>
      </c>
      <c r="O276" s="58">
        <v>0</v>
      </c>
      <c r="P276" s="59">
        <v>18400</v>
      </c>
      <c r="Q276" s="58">
        <v>0</v>
      </c>
      <c r="R276" s="55">
        <v>92000</v>
      </c>
      <c r="S276" s="55" t="s">
        <v>469</v>
      </c>
      <c r="T276" s="55" t="s">
        <v>495</v>
      </c>
      <c r="U276" s="55" t="s">
        <v>18</v>
      </c>
      <c r="V276" s="55" t="s">
        <v>470</v>
      </c>
      <c r="W276" s="42">
        <f>VLOOKUP(B276,'LW13'!$X$15:$Y$501,2,0)-M276</f>
        <v>0</v>
      </c>
    </row>
    <row r="277" spans="1:23" x14ac:dyDescent="0.2">
      <c r="A277" s="9" t="str">
        <f t="shared" si="11"/>
        <v>101NL300142</v>
      </c>
      <c r="B277" s="9" t="str">
        <f>COUNTIF($A$7:A277,A277)&amp;A277</f>
        <v>1101NL300142</v>
      </c>
      <c r="C277" s="54">
        <v>46032</v>
      </c>
      <c r="D277" s="55" t="s">
        <v>294</v>
      </c>
      <c r="E277" s="56" t="s">
        <v>523</v>
      </c>
      <c r="F277" s="56" t="s">
        <v>295</v>
      </c>
      <c r="G277" s="55" t="s">
        <v>492</v>
      </c>
      <c r="H277" s="55" t="s">
        <v>493</v>
      </c>
      <c r="I277" s="55" t="s">
        <v>524</v>
      </c>
      <c r="J277" s="55" t="s">
        <v>259</v>
      </c>
      <c r="K277" s="55" t="s">
        <v>308</v>
      </c>
      <c r="L277" s="55" t="s">
        <v>92</v>
      </c>
      <c r="M277" s="57">
        <v>5</v>
      </c>
      <c r="N277" s="58">
        <v>50000</v>
      </c>
      <c r="O277" s="58">
        <v>0</v>
      </c>
      <c r="P277" s="59">
        <v>250000</v>
      </c>
      <c r="Q277" s="58">
        <v>0</v>
      </c>
      <c r="R277" s="55">
        <v>50000</v>
      </c>
      <c r="S277" s="55" t="s">
        <v>469</v>
      </c>
      <c r="T277" s="55" t="s">
        <v>495</v>
      </c>
      <c r="U277" s="55" t="s">
        <v>18</v>
      </c>
      <c r="V277" s="55" t="s">
        <v>470</v>
      </c>
      <c r="W277" s="42">
        <f>VLOOKUP(B277,'LW13'!$X$15:$Y$501,2,0)-M277</f>
        <v>0</v>
      </c>
    </row>
    <row r="278" spans="1:23" x14ac:dyDescent="0.2">
      <c r="A278" s="9" t="str">
        <f t="shared" si="11"/>
        <v>101NL100101</v>
      </c>
      <c r="B278" s="9" t="str">
        <f>COUNTIF($A$7:A278,A278)&amp;A278</f>
        <v>1101NL100101</v>
      </c>
      <c r="C278" s="54">
        <v>46032</v>
      </c>
      <c r="D278" s="55" t="s">
        <v>294</v>
      </c>
      <c r="E278" s="56" t="s">
        <v>523</v>
      </c>
      <c r="F278" s="56" t="s">
        <v>295</v>
      </c>
      <c r="G278" s="55" t="s">
        <v>492</v>
      </c>
      <c r="H278" s="55" t="s">
        <v>493</v>
      </c>
      <c r="I278" s="55" t="s">
        <v>524</v>
      </c>
      <c r="J278" s="55" t="s">
        <v>263</v>
      </c>
      <c r="K278" s="55" t="s">
        <v>52</v>
      </c>
      <c r="L278" s="55" t="s">
        <v>318</v>
      </c>
      <c r="M278" s="57">
        <v>45</v>
      </c>
      <c r="N278" s="58">
        <v>5000</v>
      </c>
      <c r="O278" s="58">
        <v>0</v>
      </c>
      <c r="P278" s="59">
        <v>225000</v>
      </c>
      <c r="Q278" s="58">
        <v>0</v>
      </c>
      <c r="R278" s="55">
        <v>5000</v>
      </c>
      <c r="S278" s="55" t="s">
        <v>469</v>
      </c>
      <c r="T278" s="55" t="s">
        <v>495</v>
      </c>
      <c r="U278" s="55" t="s">
        <v>18</v>
      </c>
      <c r="V278" s="55" t="s">
        <v>470</v>
      </c>
      <c r="W278" s="42">
        <f>VLOOKUP(B278,'LW13'!$X$15:$Y$501,2,0)-M278</f>
        <v>0</v>
      </c>
    </row>
    <row r="279" spans="1:23" x14ac:dyDescent="0.2">
      <c r="A279" s="9" t="str">
        <f t="shared" si="11"/>
        <v>101NL300140</v>
      </c>
      <c r="B279" s="9" t="str">
        <f>COUNTIF($A$7:A279,A279)&amp;A279</f>
        <v>1101NL300140</v>
      </c>
      <c r="C279" s="54">
        <v>46032</v>
      </c>
      <c r="D279" s="55" t="s">
        <v>294</v>
      </c>
      <c r="E279" s="56" t="s">
        <v>523</v>
      </c>
      <c r="F279" s="56" t="s">
        <v>295</v>
      </c>
      <c r="G279" s="55" t="s">
        <v>492</v>
      </c>
      <c r="H279" s="55" t="s">
        <v>493</v>
      </c>
      <c r="I279" s="55" t="s">
        <v>524</v>
      </c>
      <c r="J279" s="55" t="s">
        <v>233</v>
      </c>
      <c r="K279" s="55" t="s">
        <v>475</v>
      </c>
      <c r="L279" s="55" t="s">
        <v>92</v>
      </c>
      <c r="M279" s="57">
        <v>0.3</v>
      </c>
      <c r="N279" s="58">
        <v>36000</v>
      </c>
      <c r="O279" s="58">
        <v>0</v>
      </c>
      <c r="P279" s="59">
        <v>10800</v>
      </c>
      <c r="Q279" s="58">
        <v>0</v>
      </c>
      <c r="R279" s="55">
        <v>36000</v>
      </c>
      <c r="S279" s="55" t="s">
        <v>469</v>
      </c>
      <c r="T279" s="55" t="s">
        <v>495</v>
      </c>
      <c r="U279" s="55" t="s">
        <v>18</v>
      </c>
      <c r="V279" s="55" t="s">
        <v>470</v>
      </c>
      <c r="W279" s="42">
        <f>VLOOKUP(B279,'LW13'!$X$15:$Y$501,2,0)-M279</f>
        <v>0</v>
      </c>
    </row>
    <row r="280" spans="1:23" x14ac:dyDescent="0.2">
      <c r="A280" s="9" t="str">
        <f t="shared" si="11"/>
        <v>101NL300147</v>
      </c>
      <c r="B280" s="9" t="str">
        <f>COUNTIF($A$7:A280,A280)&amp;A280</f>
        <v>1101NL300147</v>
      </c>
      <c r="C280" s="54">
        <v>46032</v>
      </c>
      <c r="D280" s="55" t="s">
        <v>294</v>
      </c>
      <c r="E280" s="56" t="s">
        <v>523</v>
      </c>
      <c r="F280" s="56" t="s">
        <v>295</v>
      </c>
      <c r="G280" s="55" t="s">
        <v>492</v>
      </c>
      <c r="H280" s="55" t="s">
        <v>493</v>
      </c>
      <c r="I280" s="55" t="s">
        <v>524</v>
      </c>
      <c r="J280" s="55" t="s">
        <v>270</v>
      </c>
      <c r="K280" s="55" t="s">
        <v>309</v>
      </c>
      <c r="L280" s="55" t="s">
        <v>92</v>
      </c>
      <c r="M280" s="57">
        <v>6</v>
      </c>
      <c r="N280" s="58">
        <v>62000</v>
      </c>
      <c r="O280" s="58">
        <v>0</v>
      </c>
      <c r="P280" s="59">
        <v>372000</v>
      </c>
      <c r="Q280" s="58">
        <v>0</v>
      </c>
      <c r="R280" s="55">
        <v>62000</v>
      </c>
      <c r="S280" s="55" t="s">
        <v>469</v>
      </c>
      <c r="T280" s="55" t="s">
        <v>495</v>
      </c>
      <c r="U280" s="55" t="s">
        <v>18</v>
      </c>
      <c r="V280" s="55" t="s">
        <v>470</v>
      </c>
      <c r="W280" s="42">
        <f>VLOOKUP(B280,'LW13'!$X$15:$Y$501,2,0)-M280</f>
        <v>0</v>
      </c>
    </row>
    <row r="281" spans="1:23" x14ac:dyDescent="0.2">
      <c r="A281" s="9" t="str">
        <f t="shared" si="11"/>
        <v>101NL300091</v>
      </c>
      <c r="B281" s="9" t="str">
        <f>COUNTIF($A$7:A281,A281)&amp;A281</f>
        <v>1101NL300091</v>
      </c>
      <c r="C281" s="54">
        <v>46032</v>
      </c>
      <c r="D281" s="55" t="s">
        <v>294</v>
      </c>
      <c r="E281" s="56" t="s">
        <v>523</v>
      </c>
      <c r="F281" s="56" t="s">
        <v>295</v>
      </c>
      <c r="G281" s="55" t="s">
        <v>492</v>
      </c>
      <c r="H281" s="55" t="s">
        <v>493</v>
      </c>
      <c r="I281" s="55" t="s">
        <v>524</v>
      </c>
      <c r="J281" s="55" t="s">
        <v>190</v>
      </c>
      <c r="K281" s="55" t="s">
        <v>40</v>
      </c>
      <c r="L281" s="55" t="s">
        <v>92</v>
      </c>
      <c r="M281" s="57">
        <v>2</v>
      </c>
      <c r="N281" s="58">
        <v>47000</v>
      </c>
      <c r="O281" s="58">
        <v>0</v>
      </c>
      <c r="P281" s="59">
        <v>94000</v>
      </c>
      <c r="Q281" s="58">
        <v>0</v>
      </c>
      <c r="R281" s="55">
        <v>47000</v>
      </c>
      <c r="S281" s="55" t="s">
        <v>469</v>
      </c>
      <c r="T281" s="55" t="s">
        <v>495</v>
      </c>
      <c r="U281" s="55" t="s">
        <v>18</v>
      </c>
      <c r="V281" s="55" t="s">
        <v>470</v>
      </c>
      <c r="W281" s="42">
        <f>VLOOKUP(B281,'LW13'!$X$15:$Y$501,2,0)-M281</f>
        <v>0</v>
      </c>
    </row>
    <row r="282" spans="1:23" x14ac:dyDescent="0.2">
      <c r="A282" s="9" t="str">
        <f t="shared" si="11"/>
        <v>101NL300092</v>
      </c>
      <c r="B282" s="9" t="str">
        <f>COUNTIF($A$7:A282,A282)&amp;A282</f>
        <v>1101NL300092</v>
      </c>
      <c r="C282" s="54">
        <v>46032</v>
      </c>
      <c r="D282" s="55" t="s">
        <v>294</v>
      </c>
      <c r="E282" s="56" t="s">
        <v>523</v>
      </c>
      <c r="F282" s="56" t="s">
        <v>295</v>
      </c>
      <c r="G282" s="55" t="s">
        <v>492</v>
      </c>
      <c r="H282" s="55" t="s">
        <v>493</v>
      </c>
      <c r="I282" s="55" t="s">
        <v>524</v>
      </c>
      <c r="J282" s="55" t="s">
        <v>191</v>
      </c>
      <c r="K282" s="55" t="s">
        <v>43</v>
      </c>
      <c r="L282" s="55" t="s">
        <v>92</v>
      </c>
      <c r="M282" s="57">
        <v>1.8</v>
      </c>
      <c r="N282" s="58">
        <v>90000</v>
      </c>
      <c r="O282" s="58">
        <v>0</v>
      </c>
      <c r="P282" s="59">
        <v>162000</v>
      </c>
      <c r="Q282" s="58">
        <v>0</v>
      </c>
      <c r="R282" s="55">
        <v>90000</v>
      </c>
      <c r="S282" s="55" t="s">
        <v>469</v>
      </c>
      <c r="T282" s="55" t="s">
        <v>495</v>
      </c>
      <c r="U282" s="55" t="s">
        <v>18</v>
      </c>
      <c r="V282" s="55" t="s">
        <v>470</v>
      </c>
      <c r="W282" s="42">
        <f>VLOOKUP(B282,'LW13'!$X$15:$Y$501,2,0)-M282</f>
        <v>0</v>
      </c>
    </row>
    <row r="283" spans="1:23" x14ac:dyDescent="0.2">
      <c r="A283" s="9" t="str">
        <f t="shared" si="11"/>
        <v>101NL300094</v>
      </c>
      <c r="B283" s="9" t="str">
        <f>COUNTIF($A$7:A283,A283)&amp;A283</f>
        <v>1101NL300094</v>
      </c>
      <c r="C283" s="54">
        <v>46032</v>
      </c>
      <c r="D283" s="55" t="s">
        <v>294</v>
      </c>
      <c r="E283" s="56" t="s">
        <v>523</v>
      </c>
      <c r="F283" s="56" t="s">
        <v>295</v>
      </c>
      <c r="G283" s="55" t="s">
        <v>492</v>
      </c>
      <c r="H283" s="55" t="s">
        <v>493</v>
      </c>
      <c r="I283" s="55" t="s">
        <v>524</v>
      </c>
      <c r="J283" s="55" t="s">
        <v>192</v>
      </c>
      <c r="K283" s="55" t="s">
        <v>312</v>
      </c>
      <c r="L283" s="55" t="s">
        <v>92</v>
      </c>
      <c r="M283" s="57">
        <v>1</v>
      </c>
      <c r="N283" s="58">
        <v>80000</v>
      </c>
      <c r="O283" s="58">
        <v>0</v>
      </c>
      <c r="P283" s="59">
        <v>80000</v>
      </c>
      <c r="Q283" s="58">
        <v>0</v>
      </c>
      <c r="R283" s="55">
        <v>80000</v>
      </c>
      <c r="S283" s="55" t="s">
        <v>469</v>
      </c>
      <c r="T283" s="55" t="s">
        <v>495</v>
      </c>
      <c r="U283" s="55" t="s">
        <v>18</v>
      </c>
      <c r="V283" s="55" t="s">
        <v>470</v>
      </c>
      <c r="W283" s="42">
        <f>VLOOKUP(B283,'LW13'!$X$15:$Y$501,2,0)-M283</f>
        <v>0</v>
      </c>
    </row>
    <row r="284" spans="1:23" x14ac:dyDescent="0.2">
      <c r="A284" s="9" t="str">
        <f t="shared" si="11"/>
        <v>101NL300097</v>
      </c>
      <c r="B284" s="9" t="str">
        <f>COUNTIF($A$7:A284,A284)&amp;A284</f>
        <v>1101NL300097</v>
      </c>
      <c r="C284" s="54">
        <v>46032</v>
      </c>
      <c r="D284" s="55" t="s">
        <v>294</v>
      </c>
      <c r="E284" s="56" t="s">
        <v>523</v>
      </c>
      <c r="F284" s="56" t="s">
        <v>295</v>
      </c>
      <c r="G284" s="55" t="s">
        <v>492</v>
      </c>
      <c r="H284" s="55" t="s">
        <v>493</v>
      </c>
      <c r="I284" s="55" t="s">
        <v>524</v>
      </c>
      <c r="J284" s="55" t="s">
        <v>194</v>
      </c>
      <c r="K284" s="55" t="s">
        <v>317</v>
      </c>
      <c r="L284" s="55" t="s">
        <v>92</v>
      </c>
      <c r="M284" s="57">
        <v>1</v>
      </c>
      <c r="N284" s="58">
        <v>90000</v>
      </c>
      <c r="O284" s="58">
        <v>0</v>
      </c>
      <c r="P284" s="59">
        <v>90000</v>
      </c>
      <c r="Q284" s="58">
        <v>0</v>
      </c>
      <c r="R284" s="55">
        <v>90000</v>
      </c>
      <c r="S284" s="55" t="s">
        <v>469</v>
      </c>
      <c r="T284" s="55" t="s">
        <v>495</v>
      </c>
      <c r="U284" s="55" t="s">
        <v>18</v>
      </c>
      <c r="V284" s="55" t="s">
        <v>470</v>
      </c>
      <c r="W284" s="42">
        <f>VLOOKUP(B284,'LW13'!$X$15:$Y$501,2,0)-M284</f>
        <v>0</v>
      </c>
    </row>
    <row r="285" spans="1:23" x14ac:dyDescent="0.2">
      <c r="A285" s="9" t="str">
        <f t="shared" si="11"/>
        <v>101NL300062</v>
      </c>
      <c r="B285" s="9" t="str">
        <f>COUNTIF($A$7:A285,A285)&amp;A285</f>
        <v>1101NL300062</v>
      </c>
      <c r="C285" s="54">
        <v>46032</v>
      </c>
      <c r="D285" s="55" t="s">
        <v>294</v>
      </c>
      <c r="E285" s="56" t="s">
        <v>523</v>
      </c>
      <c r="F285" s="56" t="s">
        <v>295</v>
      </c>
      <c r="G285" s="55" t="s">
        <v>492</v>
      </c>
      <c r="H285" s="55" t="s">
        <v>493</v>
      </c>
      <c r="I285" s="55" t="s">
        <v>524</v>
      </c>
      <c r="J285" s="55" t="s">
        <v>159</v>
      </c>
      <c r="K285" s="55" t="s">
        <v>316</v>
      </c>
      <c r="L285" s="55" t="s">
        <v>92</v>
      </c>
      <c r="M285" s="57">
        <v>0.3</v>
      </c>
      <c r="N285" s="58">
        <v>65000</v>
      </c>
      <c r="O285" s="58">
        <v>0</v>
      </c>
      <c r="P285" s="59">
        <v>19500</v>
      </c>
      <c r="Q285" s="58">
        <v>0</v>
      </c>
      <c r="R285" s="55">
        <v>65000</v>
      </c>
      <c r="S285" s="55" t="s">
        <v>469</v>
      </c>
      <c r="T285" s="55" t="s">
        <v>495</v>
      </c>
      <c r="U285" s="55" t="s">
        <v>18</v>
      </c>
      <c r="V285" s="55" t="s">
        <v>470</v>
      </c>
      <c r="W285" s="42">
        <f>VLOOKUP(B285,'LW13'!$X$15:$Y$501,2,0)-M285</f>
        <v>0</v>
      </c>
    </row>
    <row r="286" spans="1:23" x14ac:dyDescent="0.2">
      <c r="A286" s="9" t="str">
        <f t="shared" si="11"/>
        <v>101NL600004</v>
      </c>
      <c r="B286" s="9" t="str">
        <f>COUNTIF($A$7:A286,A286)&amp;A286</f>
        <v>1101NL600004</v>
      </c>
      <c r="C286" s="54">
        <v>46032</v>
      </c>
      <c r="D286" s="55" t="s">
        <v>294</v>
      </c>
      <c r="E286" s="56" t="s">
        <v>523</v>
      </c>
      <c r="F286" s="56" t="s">
        <v>295</v>
      </c>
      <c r="G286" s="55" t="s">
        <v>492</v>
      </c>
      <c r="H286" s="55" t="s">
        <v>493</v>
      </c>
      <c r="I286" s="55" t="s">
        <v>524</v>
      </c>
      <c r="J286" s="55" t="s">
        <v>144</v>
      </c>
      <c r="K286" s="55" t="s">
        <v>47</v>
      </c>
      <c r="L286" s="55" t="s">
        <v>92</v>
      </c>
      <c r="M286" s="57">
        <v>27.5</v>
      </c>
      <c r="N286" s="58">
        <v>18000</v>
      </c>
      <c r="O286" s="58">
        <v>0</v>
      </c>
      <c r="P286" s="59">
        <v>495000</v>
      </c>
      <c r="Q286" s="58">
        <v>0</v>
      </c>
      <c r="R286" s="55">
        <v>18000</v>
      </c>
      <c r="S286" s="55" t="s">
        <v>469</v>
      </c>
      <c r="T286" s="55" t="s">
        <v>495</v>
      </c>
      <c r="U286" s="55" t="s">
        <v>18</v>
      </c>
      <c r="V286" s="55" t="s">
        <v>470</v>
      </c>
      <c r="W286" s="42">
        <f>VLOOKUP(B286,'LW13'!$X$15:$Y$501,2,0)-M286</f>
        <v>0</v>
      </c>
    </row>
    <row r="287" spans="1:23" x14ac:dyDescent="0.2">
      <c r="A287" s="9" t="str">
        <f t="shared" si="11"/>
        <v>101NL300125</v>
      </c>
      <c r="B287" s="9" t="str">
        <f>COUNTIF($A$7:A287,A287)&amp;A287</f>
        <v>1101NL300125</v>
      </c>
      <c r="C287" s="54">
        <v>46032</v>
      </c>
      <c r="D287" s="55" t="s">
        <v>294</v>
      </c>
      <c r="E287" s="56" t="s">
        <v>523</v>
      </c>
      <c r="F287" s="56" t="s">
        <v>295</v>
      </c>
      <c r="G287" s="55" t="s">
        <v>492</v>
      </c>
      <c r="H287" s="55" t="s">
        <v>493</v>
      </c>
      <c r="I287" s="55" t="s">
        <v>524</v>
      </c>
      <c r="J287" s="55" t="s">
        <v>228</v>
      </c>
      <c r="K287" s="55" t="s">
        <v>227</v>
      </c>
      <c r="L287" s="55" t="s">
        <v>92</v>
      </c>
      <c r="M287" s="57">
        <v>1</v>
      </c>
      <c r="N287" s="58">
        <v>42000</v>
      </c>
      <c r="O287" s="58">
        <v>0</v>
      </c>
      <c r="P287" s="59">
        <v>42000</v>
      </c>
      <c r="Q287" s="58">
        <v>0</v>
      </c>
      <c r="R287" s="55">
        <v>42000</v>
      </c>
      <c r="S287" s="55" t="s">
        <v>469</v>
      </c>
      <c r="T287" s="55" t="s">
        <v>495</v>
      </c>
      <c r="U287" s="55" t="s">
        <v>18</v>
      </c>
      <c r="V287" s="55" t="s">
        <v>470</v>
      </c>
      <c r="W287" s="42">
        <f>VLOOKUP(B287,'LW13'!$X$15:$Y$501,2,0)-M287</f>
        <v>0</v>
      </c>
    </row>
    <row r="288" spans="1:23" x14ac:dyDescent="0.2">
      <c r="A288" s="9" t="str">
        <f t="shared" si="11"/>
        <v>101NL300113</v>
      </c>
      <c r="B288" s="9" t="str">
        <f>COUNTIF($A$7:A288,A288)&amp;A288</f>
        <v>1101NL300113</v>
      </c>
      <c r="C288" s="54">
        <v>46032</v>
      </c>
      <c r="D288" s="55" t="s">
        <v>294</v>
      </c>
      <c r="E288" s="56" t="s">
        <v>525</v>
      </c>
      <c r="F288" s="56" t="s">
        <v>295</v>
      </c>
      <c r="G288" s="55" t="s">
        <v>492</v>
      </c>
      <c r="H288" s="55" t="s">
        <v>493</v>
      </c>
      <c r="I288" s="55" t="s">
        <v>524</v>
      </c>
      <c r="J288" s="55" t="s">
        <v>216</v>
      </c>
      <c r="K288" s="55" t="s">
        <v>33</v>
      </c>
      <c r="L288" s="55" t="s">
        <v>92</v>
      </c>
      <c r="M288" s="57">
        <v>1</v>
      </c>
      <c r="N288" s="58">
        <v>145000</v>
      </c>
      <c r="O288" s="58">
        <v>0</v>
      </c>
      <c r="P288" s="59">
        <v>145000</v>
      </c>
      <c r="Q288" s="58">
        <v>0</v>
      </c>
      <c r="R288" s="55">
        <v>145000</v>
      </c>
      <c r="S288" s="55" t="s">
        <v>469</v>
      </c>
      <c r="T288" s="55" t="s">
        <v>495</v>
      </c>
      <c r="U288" s="55" t="s">
        <v>18</v>
      </c>
      <c r="V288" s="55" t="s">
        <v>470</v>
      </c>
      <c r="W288" s="42">
        <f>VLOOKUP(B288,'LW13'!$X$15:$Y$501,2,0)-M288</f>
        <v>0</v>
      </c>
    </row>
    <row r="289" spans="1:23" x14ac:dyDescent="0.2">
      <c r="A289" s="9" t="str">
        <f t="shared" si="11"/>
        <v>101NL300119</v>
      </c>
      <c r="B289" s="9" t="str">
        <f>COUNTIF($A$7:A289,A289)&amp;A289</f>
        <v>1101NL300119</v>
      </c>
      <c r="C289" s="54">
        <v>46032</v>
      </c>
      <c r="D289" s="55" t="s">
        <v>294</v>
      </c>
      <c r="E289" s="56" t="s">
        <v>525</v>
      </c>
      <c r="F289" s="56" t="s">
        <v>295</v>
      </c>
      <c r="G289" s="55" t="s">
        <v>492</v>
      </c>
      <c r="H289" s="55" t="s">
        <v>493</v>
      </c>
      <c r="I289" s="55" t="s">
        <v>524</v>
      </c>
      <c r="J289" s="55" t="s">
        <v>242</v>
      </c>
      <c r="K289" s="55" t="s">
        <v>307</v>
      </c>
      <c r="L289" s="55" t="s">
        <v>92</v>
      </c>
      <c r="M289" s="57">
        <v>2</v>
      </c>
      <c r="N289" s="58">
        <v>21000</v>
      </c>
      <c r="O289" s="58">
        <v>0</v>
      </c>
      <c r="P289" s="59">
        <v>42000</v>
      </c>
      <c r="Q289" s="58">
        <v>0</v>
      </c>
      <c r="R289" s="55">
        <v>21000</v>
      </c>
      <c r="S289" s="55" t="s">
        <v>469</v>
      </c>
      <c r="T289" s="55" t="s">
        <v>495</v>
      </c>
      <c r="U289" s="55" t="s">
        <v>18</v>
      </c>
      <c r="V289" s="55" t="s">
        <v>470</v>
      </c>
      <c r="W289" s="42">
        <f>VLOOKUP(B289,'LW13'!$X$15:$Y$501,2,0)-M289</f>
        <v>0</v>
      </c>
    </row>
    <row r="290" spans="1:23" x14ac:dyDescent="0.2">
      <c r="A290" s="9" t="str">
        <f t="shared" si="11"/>
        <v>101NL300061</v>
      </c>
      <c r="B290" s="9" t="str">
        <f>COUNTIF($A$7:A290,A290)&amp;A290</f>
        <v>1101NL300061</v>
      </c>
      <c r="C290" s="54">
        <v>46032</v>
      </c>
      <c r="D290" s="55" t="s">
        <v>294</v>
      </c>
      <c r="E290" s="56" t="s">
        <v>525</v>
      </c>
      <c r="F290" s="56" t="s">
        <v>295</v>
      </c>
      <c r="G290" s="55" t="s">
        <v>492</v>
      </c>
      <c r="H290" s="55" t="s">
        <v>493</v>
      </c>
      <c r="I290" s="55" t="s">
        <v>524</v>
      </c>
      <c r="J290" s="55" t="s">
        <v>148</v>
      </c>
      <c r="K290" s="55" t="s">
        <v>403</v>
      </c>
      <c r="L290" s="55" t="s">
        <v>92</v>
      </c>
      <c r="M290" s="57">
        <v>0.5</v>
      </c>
      <c r="N290" s="58">
        <v>38000</v>
      </c>
      <c r="O290" s="58">
        <v>0</v>
      </c>
      <c r="P290" s="59">
        <v>19000</v>
      </c>
      <c r="Q290" s="58">
        <v>0</v>
      </c>
      <c r="R290" s="55">
        <v>38000</v>
      </c>
      <c r="S290" s="55" t="s">
        <v>469</v>
      </c>
      <c r="T290" s="55" t="s">
        <v>495</v>
      </c>
      <c r="U290" s="55" t="s">
        <v>18</v>
      </c>
      <c r="V290" s="55" t="s">
        <v>470</v>
      </c>
      <c r="W290" s="42">
        <f>VLOOKUP(B290,'LW13'!$X$15:$Y$501,2,0)-M290</f>
        <v>0</v>
      </c>
    </row>
    <row r="291" spans="1:23" x14ac:dyDescent="0.2">
      <c r="A291" s="9" t="str">
        <f t="shared" si="11"/>
        <v>101NL100279</v>
      </c>
      <c r="B291" s="9" t="str">
        <f>COUNTIF($A$7:A291,A291)&amp;A291</f>
        <v>1101NL100279</v>
      </c>
      <c r="C291" s="54">
        <v>46032</v>
      </c>
      <c r="D291" s="55" t="s">
        <v>294</v>
      </c>
      <c r="E291" s="56" t="s">
        <v>525</v>
      </c>
      <c r="F291" s="56" t="s">
        <v>295</v>
      </c>
      <c r="G291" s="55" t="s">
        <v>492</v>
      </c>
      <c r="H291" s="55" t="s">
        <v>493</v>
      </c>
      <c r="I291" s="55" t="s">
        <v>524</v>
      </c>
      <c r="J291" s="55" t="s">
        <v>473</v>
      </c>
      <c r="K291" s="55" t="s">
        <v>474</v>
      </c>
      <c r="L291" s="55" t="s">
        <v>53</v>
      </c>
      <c r="M291" s="57">
        <v>20</v>
      </c>
      <c r="N291" s="58">
        <v>9000</v>
      </c>
      <c r="O291" s="58">
        <v>0</v>
      </c>
      <c r="P291" s="59">
        <v>180000</v>
      </c>
      <c r="Q291" s="58">
        <v>0</v>
      </c>
      <c r="R291" s="55">
        <v>9000</v>
      </c>
      <c r="S291" s="55" t="s">
        <v>469</v>
      </c>
      <c r="T291" s="55" t="s">
        <v>495</v>
      </c>
      <c r="U291" s="55" t="s">
        <v>18</v>
      </c>
      <c r="V291" s="55" t="s">
        <v>470</v>
      </c>
      <c r="W291" s="42">
        <f>VLOOKUP(B291,'LW13'!$X$15:$Y$501,2,0)-M291</f>
        <v>0</v>
      </c>
    </row>
    <row r="292" spans="1:23" x14ac:dyDescent="0.2">
      <c r="A292" s="9" t="str">
        <f t="shared" si="11"/>
        <v>101NL300008</v>
      </c>
      <c r="B292" s="9" t="str">
        <f>COUNTIF($A$7:A292,A292)&amp;A292</f>
        <v>1101NL300008</v>
      </c>
      <c r="C292" s="54">
        <v>46032</v>
      </c>
      <c r="D292" s="55" t="s">
        <v>294</v>
      </c>
      <c r="E292" s="56" t="s">
        <v>525</v>
      </c>
      <c r="F292" s="56" t="s">
        <v>295</v>
      </c>
      <c r="G292" s="55" t="s">
        <v>492</v>
      </c>
      <c r="H292" s="55" t="s">
        <v>493</v>
      </c>
      <c r="I292" s="55" t="s">
        <v>524</v>
      </c>
      <c r="J292" s="55" t="s">
        <v>93</v>
      </c>
      <c r="K292" s="55" t="s">
        <v>301</v>
      </c>
      <c r="L292" s="55" t="s">
        <v>92</v>
      </c>
      <c r="M292" s="57">
        <v>15</v>
      </c>
      <c r="N292" s="58">
        <v>40000</v>
      </c>
      <c r="O292" s="58">
        <v>0</v>
      </c>
      <c r="P292" s="59">
        <v>600000</v>
      </c>
      <c r="Q292" s="58">
        <v>0</v>
      </c>
      <c r="R292" s="55">
        <v>40000</v>
      </c>
      <c r="S292" s="55" t="s">
        <v>469</v>
      </c>
      <c r="T292" s="55" t="s">
        <v>495</v>
      </c>
      <c r="U292" s="55" t="s">
        <v>18</v>
      </c>
      <c r="V292" s="55" t="s">
        <v>470</v>
      </c>
      <c r="W292" s="42">
        <f>VLOOKUP(B292,'LW13'!$X$15:$Y$501,2,0)-M292</f>
        <v>0</v>
      </c>
    </row>
    <row r="293" spans="1:23" x14ac:dyDescent="0.2">
      <c r="A293" s="9" t="str">
        <f t="shared" si="11"/>
        <v>101NL300020</v>
      </c>
      <c r="B293" s="9" t="str">
        <f>COUNTIF($A$7:A293,A293)&amp;A293</f>
        <v>1101NL300020</v>
      </c>
      <c r="C293" s="54">
        <v>46032</v>
      </c>
      <c r="D293" s="55" t="s">
        <v>294</v>
      </c>
      <c r="E293" s="56" t="s">
        <v>525</v>
      </c>
      <c r="F293" s="56" t="s">
        <v>295</v>
      </c>
      <c r="G293" s="55" t="s">
        <v>492</v>
      </c>
      <c r="H293" s="55" t="s">
        <v>493</v>
      </c>
      <c r="I293" s="55" t="s">
        <v>524</v>
      </c>
      <c r="J293" s="55" t="s">
        <v>110</v>
      </c>
      <c r="K293" s="55" t="s">
        <v>302</v>
      </c>
      <c r="L293" s="55" t="s">
        <v>92</v>
      </c>
      <c r="M293" s="57">
        <v>2</v>
      </c>
      <c r="N293" s="58">
        <v>30000</v>
      </c>
      <c r="O293" s="58">
        <v>0</v>
      </c>
      <c r="P293" s="59">
        <v>60000</v>
      </c>
      <c r="Q293" s="58">
        <v>0</v>
      </c>
      <c r="R293" s="55">
        <v>30000</v>
      </c>
      <c r="S293" s="55" t="s">
        <v>469</v>
      </c>
      <c r="T293" s="55" t="s">
        <v>495</v>
      </c>
      <c r="U293" s="55" t="s">
        <v>18</v>
      </c>
      <c r="V293" s="55" t="s">
        <v>470</v>
      </c>
      <c r="W293" s="42">
        <f>VLOOKUP(B293,'LW13'!$X$15:$Y$501,2,0)-M293</f>
        <v>0</v>
      </c>
    </row>
    <row r="294" spans="1:23" x14ac:dyDescent="0.2">
      <c r="A294" s="9" t="str">
        <f t="shared" si="11"/>
        <v>101NL300038</v>
      </c>
      <c r="B294" s="9" t="str">
        <f>COUNTIF($A$7:A294,A294)&amp;A294</f>
        <v>1101NL300038</v>
      </c>
      <c r="C294" s="54">
        <v>46032</v>
      </c>
      <c r="D294" s="55" t="s">
        <v>294</v>
      </c>
      <c r="E294" s="56" t="s">
        <v>525</v>
      </c>
      <c r="F294" s="56" t="s">
        <v>295</v>
      </c>
      <c r="G294" s="55" t="s">
        <v>492</v>
      </c>
      <c r="H294" s="55" t="s">
        <v>493</v>
      </c>
      <c r="I294" s="55" t="s">
        <v>524</v>
      </c>
      <c r="J294" s="55" t="s">
        <v>132</v>
      </c>
      <c r="K294" s="55" t="s">
        <v>28</v>
      </c>
      <c r="L294" s="55" t="s">
        <v>92</v>
      </c>
      <c r="M294" s="57">
        <v>3</v>
      </c>
      <c r="N294" s="58">
        <v>32000</v>
      </c>
      <c r="O294" s="58">
        <v>0</v>
      </c>
      <c r="P294" s="59">
        <v>96000</v>
      </c>
      <c r="Q294" s="58">
        <v>0</v>
      </c>
      <c r="R294" s="55">
        <v>32000</v>
      </c>
      <c r="S294" s="55" t="s">
        <v>469</v>
      </c>
      <c r="T294" s="55" t="s">
        <v>495</v>
      </c>
      <c r="U294" s="55" t="s">
        <v>18</v>
      </c>
      <c r="V294" s="55" t="s">
        <v>470</v>
      </c>
      <c r="W294" s="42">
        <f>VLOOKUP(B294,'LW13'!$X$15:$Y$501,2,0)-M294</f>
        <v>0</v>
      </c>
    </row>
    <row r="295" spans="1:23" x14ac:dyDescent="0.2">
      <c r="A295" s="9" t="str">
        <f t="shared" si="11"/>
        <v>101NL300088</v>
      </c>
      <c r="B295" s="9" t="str">
        <f>COUNTIF($A$7:A295,A295)&amp;A295</f>
        <v>1101NL300088</v>
      </c>
      <c r="C295" s="54">
        <v>46032</v>
      </c>
      <c r="D295" s="55" t="s">
        <v>294</v>
      </c>
      <c r="E295" s="56" t="s">
        <v>525</v>
      </c>
      <c r="F295" s="56" t="s">
        <v>295</v>
      </c>
      <c r="G295" s="55" t="s">
        <v>492</v>
      </c>
      <c r="H295" s="55" t="s">
        <v>493</v>
      </c>
      <c r="I295" s="55" t="s">
        <v>524</v>
      </c>
      <c r="J295" s="55" t="s">
        <v>185</v>
      </c>
      <c r="K295" s="55" t="s">
        <v>31</v>
      </c>
      <c r="L295" s="55" t="s">
        <v>92</v>
      </c>
      <c r="M295" s="57">
        <v>5</v>
      </c>
      <c r="N295" s="58">
        <v>27000</v>
      </c>
      <c r="O295" s="58">
        <v>0</v>
      </c>
      <c r="P295" s="59">
        <v>135000</v>
      </c>
      <c r="Q295" s="58">
        <v>0</v>
      </c>
      <c r="R295" s="55">
        <v>27000</v>
      </c>
      <c r="S295" s="55" t="s">
        <v>469</v>
      </c>
      <c r="T295" s="55" t="s">
        <v>495</v>
      </c>
      <c r="U295" s="55" t="s">
        <v>18</v>
      </c>
      <c r="V295" s="55" t="s">
        <v>470</v>
      </c>
      <c r="W295" s="42">
        <f>VLOOKUP(B295,'LW13'!$X$15:$Y$501,2,0)-M295</f>
        <v>0</v>
      </c>
    </row>
    <row r="296" spans="1:23" x14ac:dyDescent="0.2">
      <c r="A296" s="9" t="str">
        <f t="shared" si="11"/>
        <v>101NL300090</v>
      </c>
      <c r="B296" s="9" t="str">
        <f>COUNTIF($A$7:A296,A296)&amp;A296</f>
        <v>1101NL300090</v>
      </c>
      <c r="C296" s="54">
        <v>46032</v>
      </c>
      <c r="D296" s="55" t="s">
        <v>294</v>
      </c>
      <c r="E296" s="56" t="s">
        <v>525</v>
      </c>
      <c r="F296" s="56" t="s">
        <v>295</v>
      </c>
      <c r="G296" s="55" t="s">
        <v>492</v>
      </c>
      <c r="H296" s="55" t="s">
        <v>493</v>
      </c>
      <c r="I296" s="55" t="s">
        <v>524</v>
      </c>
      <c r="J296" s="55" t="s">
        <v>189</v>
      </c>
      <c r="K296" s="55" t="s">
        <v>39</v>
      </c>
      <c r="L296" s="55" t="s">
        <v>92</v>
      </c>
      <c r="M296" s="57">
        <v>4</v>
      </c>
      <c r="N296" s="58">
        <v>145000</v>
      </c>
      <c r="O296" s="58">
        <v>0</v>
      </c>
      <c r="P296" s="59">
        <v>580000</v>
      </c>
      <c r="Q296" s="58">
        <v>0</v>
      </c>
      <c r="R296" s="55">
        <v>145000</v>
      </c>
      <c r="S296" s="55" t="s">
        <v>469</v>
      </c>
      <c r="T296" s="55" t="s">
        <v>495</v>
      </c>
      <c r="U296" s="55" t="s">
        <v>18</v>
      </c>
      <c r="V296" s="55" t="s">
        <v>470</v>
      </c>
      <c r="W296" s="42">
        <f>VLOOKUP(B296,'LW13'!$X$15:$Y$501,2,0)-M296</f>
        <v>0</v>
      </c>
    </row>
    <row r="297" spans="1:23" x14ac:dyDescent="0.2">
      <c r="A297" s="9" t="str">
        <f t="shared" si="11"/>
        <v>101NL300096</v>
      </c>
      <c r="B297" s="9" t="str">
        <f>COUNTIF($A$7:A297,A297)&amp;A297</f>
        <v>1101NL300096</v>
      </c>
      <c r="C297" s="54">
        <v>46032</v>
      </c>
      <c r="D297" s="55" t="s">
        <v>294</v>
      </c>
      <c r="E297" s="56" t="s">
        <v>525</v>
      </c>
      <c r="F297" s="56" t="s">
        <v>295</v>
      </c>
      <c r="G297" s="55" t="s">
        <v>492</v>
      </c>
      <c r="H297" s="55" t="s">
        <v>493</v>
      </c>
      <c r="I297" s="55" t="s">
        <v>524</v>
      </c>
      <c r="J297" s="55" t="s">
        <v>193</v>
      </c>
      <c r="K297" s="55" t="s">
        <v>41</v>
      </c>
      <c r="L297" s="55" t="s">
        <v>92</v>
      </c>
      <c r="M297" s="57">
        <v>7.5</v>
      </c>
      <c r="N297" s="58">
        <v>45000</v>
      </c>
      <c r="O297" s="58">
        <v>0</v>
      </c>
      <c r="P297" s="59">
        <v>337500</v>
      </c>
      <c r="Q297" s="58">
        <v>0</v>
      </c>
      <c r="R297" s="55">
        <v>45000</v>
      </c>
      <c r="S297" s="55" t="s">
        <v>469</v>
      </c>
      <c r="T297" s="55" t="s">
        <v>495</v>
      </c>
      <c r="U297" s="55" t="s">
        <v>18</v>
      </c>
      <c r="V297" s="55" t="s">
        <v>470</v>
      </c>
      <c r="W297" s="42">
        <f>VLOOKUP(B297,'LW13'!$X$15:$Y$501,2,0)-M297</f>
        <v>0</v>
      </c>
    </row>
    <row r="298" spans="1:23" x14ac:dyDescent="0.2">
      <c r="A298" s="9" t="str">
        <f t="shared" si="11"/>
        <v>101NL300107</v>
      </c>
      <c r="B298" s="9" t="str">
        <f>COUNTIF($A$7:A298,A298)&amp;A298</f>
        <v>1101NL300107</v>
      </c>
      <c r="C298" s="54">
        <v>46032</v>
      </c>
      <c r="D298" s="55" t="s">
        <v>294</v>
      </c>
      <c r="E298" s="56" t="s">
        <v>525</v>
      </c>
      <c r="F298" s="56" t="s">
        <v>295</v>
      </c>
      <c r="G298" s="55" t="s">
        <v>492</v>
      </c>
      <c r="H298" s="55" t="s">
        <v>493</v>
      </c>
      <c r="I298" s="55" t="s">
        <v>524</v>
      </c>
      <c r="J298" s="55" t="s">
        <v>87</v>
      </c>
      <c r="K298" s="55" t="s">
        <v>299</v>
      </c>
      <c r="L298" s="55" t="s">
        <v>300</v>
      </c>
      <c r="M298" s="57">
        <v>20</v>
      </c>
      <c r="N298" s="58">
        <v>8500</v>
      </c>
      <c r="O298" s="58">
        <v>0</v>
      </c>
      <c r="P298" s="59">
        <v>170000</v>
      </c>
      <c r="Q298" s="58">
        <v>0</v>
      </c>
      <c r="R298" s="55">
        <v>8500</v>
      </c>
      <c r="S298" s="55" t="s">
        <v>469</v>
      </c>
      <c r="T298" s="55" t="s">
        <v>495</v>
      </c>
      <c r="U298" s="55" t="s">
        <v>18</v>
      </c>
      <c r="V298" s="55" t="s">
        <v>470</v>
      </c>
      <c r="W298" s="42">
        <f>VLOOKUP(B298,'LW13'!$X$15:$Y$501,2,0)-M298</f>
        <v>0</v>
      </c>
    </row>
    <row r="299" spans="1:23" x14ac:dyDescent="0.2">
      <c r="A299" s="9" t="str">
        <f t="shared" si="11"/>
        <v>111NL300004</v>
      </c>
      <c r="B299" s="9" t="str">
        <f>COUNTIF($A$7:A299,A299)&amp;A299</f>
        <v>1111NL300004</v>
      </c>
      <c r="C299" s="54">
        <v>46033</v>
      </c>
      <c r="D299" s="55" t="s">
        <v>294</v>
      </c>
      <c r="E299" s="56" t="s">
        <v>526</v>
      </c>
      <c r="F299" s="56" t="s">
        <v>295</v>
      </c>
      <c r="G299" s="55" t="s">
        <v>492</v>
      </c>
      <c r="H299" s="55" t="s">
        <v>493</v>
      </c>
      <c r="I299" s="55" t="s">
        <v>527</v>
      </c>
      <c r="J299" s="55" t="s">
        <v>86</v>
      </c>
      <c r="K299" s="55" t="s">
        <v>16</v>
      </c>
      <c r="L299" s="55" t="s">
        <v>92</v>
      </c>
      <c r="M299" s="57">
        <v>2</v>
      </c>
      <c r="N299" s="58">
        <v>19000</v>
      </c>
      <c r="O299" s="58">
        <v>0</v>
      </c>
      <c r="P299" s="59">
        <v>38000</v>
      </c>
      <c r="Q299" s="58">
        <v>0</v>
      </c>
      <c r="R299" s="55">
        <v>19000</v>
      </c>
      <c r="S299" s="55" t="s">
        <v>469</v>
      </c>
      <c r="T299" s="55" t="s">
        <v>495</v>
      </c>
      <c r="U299" s="55" t="s">
        <v>18</v>
      </c>
      <c r="V299" s="55" t="s">
        <v>470</v>
      </c>
      <c r="W299" s="42">
        <f>VLOOKUP(B299,'LW13'!$X$15:$Y$501,2,0)-M299</f>
        <v>0</v>
      </c>
    </row>
    <row r="300" spans="1:23" x14ac:dyDescent="0.2">
      <c r="A300" s="9" t="str">
        <f t="shared" si="11"/>
        <v>111NL300007</v>
      </c>
      <c r="B300" s="9" t="str">
        <f>COUNTIF($A$7:A300,A300)&amp;A300</f>
        <v>1111NL300007</v>
      </c>
      <c r="C300" s="54">
        <v>46033</v>
      </c>
      <c r="D300" s="55" t="s">
        <v>294</v>
      </c>
      <c r="E300" s="56" t="s">
        <v>526</v>
      </c>
      <c r="F300" s="56" t="s">
        <v>295</v>
      </c>
      <c r="G300" s="55" t="s">
        <v>492</v>
      </c>
      <c r="H300" s="55" t="s">
        <v>493</v>
      </c>
      <c r="I300" s="55" t="s">
        <v>527</v>
      </c>
      <c r="J300" s="55" t="s">
        <v>90</v>
      </c>
      <c r="K300" s="55" t="s">
        <v>91</v>
      </c>
      <c r="L300" s="55" t="s">
        <v>92</v>
      </c>
      <c r="M300" s="57">
        <v>3</v>
      </c>
      <c r="N300" s="58">
        <v>30000</v>
      </c>
      <c r="O300" s="58">
        <v>0</v>
      </c>
      <c r="P300" s="59">
        <v>90000</v>
      </c>
      <c r="Q300" s="58">
        <v>0</v>
      </c>
      <c r="R300" s="55">
        <v>30000</v>
      </c>
      <c r="S300" s="55" t="s">
        <v>469</v>
      </c>
      <c r="T300" s="55" t="s">
        <v>495</v>
      </c>
      <c r="U300" s="55" t="s">
        <v>18</v>
      </c>
      <c r="V300" s="55" t="s">
        <v>470</v>
      </c>
      <c r="W300" s="42">
        <f>VLOOKUP(B300,'LW13'!$X$15:$Y$501,2,0)-M300</f>
        <v>0</v>
      </c>
    </row>
    <row r="301" spans="1:23" x14ac:dyDescent="0.2">
      <c r="A301" s="9" t="str">
        <f t="shared" si="11"/>
        <v>111NL300008</v>
      </c>
      <c r="B301" s="9" t="str">
        <f>COUNTIF($A$7:A301,A301)&amp;A301</f>
        <v>1111NL300008</v>
      </c>
      <c r="C301" s="54">
        <v>46033</v>
      </c>
      <c r="D301" s="55" t="s">
        <v>294</v>
      </c>
      <c r="E301" s="56" t="s">
        <v>526</v>
      </c>
      <c r="F301" s="56" t="s">
        <v>295</v>
      </c>
      <c r="G301" s="55" t="s">
        <v>492</v>
      </c>
      <c r="H301" s="55" t="s">
        <v>493</v>
      </c>
      <c r="I301" s="55" t="s">
        <v>527</v>
      </c>
      <c r="J301" s="55" t="s">
        <v>93</v>
      </c>
      <c r="K301" s="55" t="s">
        <v>301</v>
      </c>
      <c r="L301" s="55" t="s">
        <v>92</v>
      </c>
      <c r="M301" s="57">
        <v>8</v>
      </c>
      <c r="N301" s="58">
        <v>40000</v>
      </c>
      <c r="O301" s="58">
        <v>0</v>
      </c>
      <c r="P301" s="59">
        <v>320000</v>
      </c>
      <c r="Q301" s="58">
        <v>0</v>
      </c>
      <c r="R301" s="55">
        <v>40000</v>
      </c>
      <c r="S301" s="55" t="s">
        <v>469</v>
      </c>
      <c r="T301" s="55" t="s">
        <v>495</v>
      </c>
      <c r="U301" s="55" t="s">
        <v>18</v>
      </c>
      <c r="V301" s="55" t="s">
        <v>470</v>
      </c>
      <c r="W301" s="42">
        <f>VLOOKUP(B301,'LW13'!$X$15:$Y$501,2,0)-M301</f>
        <v>0</v>
      </c>
    </row>
    <row r="302" spans="1:23" x14ac:dyDescent="0.2">
      <c r="A302" s="9" t="str">
        <f t="shared" si="11"/>
        <v>111NL300020</v>
      </c>
      <c r="B302" s="9" t="str">
        <f>COUNTIF($A$7:A302,A302)&amp;A302</f>
        <v>1111NL300020</v>
      </c>
      <c r="C302" s="54">
        <v>46033</v>
      </c>
      <c r="D302" s="55" t="s">
        <v>294</v>
      </c>
      <c r="E302" s="56" t="s">
        <v>526</v>
      </c>
      <c r="F302" s="56" t="s">
        <v>295</v>
      </c>
      <c r="G302" s="55" t="s">
        <v>492</v>
      </c>
      <c r="H302" s="55" t="s">
        <v>493</v>
      </c>
      <c r="I302" s="55" t="s">
        <v>527</v>
      </c>
      <c r="J302" s="55" t="s">
        <v>110</v>
      </c>
      <c r="K302" s="55" t="s">
        <v>302</v>
      </c>
      <c r="L302" s="55" t="s">
        <v>92</v>
      </c>
      <c r="M302" s="57">
        <v>2</v>
      </c>
      <c r="N302" s="58">
        <v>30000</v>
      </c>
      <c r="O302" s="58">
        <v>0</v>
      </c>
      <c r="P302" s="59">
        <v>60000</v>
      </c>
      <c r="Q302" s="58">
        <v>0</v>
      </c>
      <c r="R302" s="55">
        <v>30000</v>
      </c>
      <c r="S302" s="55" t="s">
        <v>469</v>
      </c>
      <c r="T302" s="55" t="s">
        <v>495</v>
      </c>
      <c r="U302" s="55" t="s">
        <v>18</v>
      </c>
      <c r="V302" s="55" t="s">
        <v>470</v>
      </c>
      <c r="W302" s="42">
        <f>VLOOKUP(B302,'LW13'!$X$15:$Y$501,2,0)-M302</f>
        <v>0</v>
      </c>
    </row>
    <row r="303" spans="1:23" x14ac:dyDescent="0.2">
      <c r="A303" s="9" t="str">
        <f t="shared" si="11"/>
        <v>111NL300036</v>
      </c>
      <c r="B303" s="9" t="str">
        <f>COUNTIF($A$7:A303,A303)&amp;A303</f>
        <v>1111NL300036</v>
      </c>
      <c r="C303" s="54">
        <v>46033</v>
      </c>
      <c r="D303" s="55" t="s">
        <v>294</v>
      </c>
      <c r="E303" s="56" t="s">
        <v>526</v>
      </c>
      <c r="F303" s="56" t="s">
        <v>295</v>
      </c>
      <c r="G303" s="55" t="s">
        <v>492</v>
      </c>
      <c r="H303" s="55" t="s">
        <v>493</v>
      </c>
      <c r="I303" s="55" t="s">
        <v>527</v>
      </c>
      <c r="J303" s="55" t="s">
        <v>131</v>
      </c>
      <c r="K303" s="55" t="s">
        <v>27</v>
      </c>
      <c r="L303" s="55" t="s">
        <v>92</v>
      </c>
      <c r="M303" s="57">
        <v>0.5</v>
      </c>
      <c r="N303" s="58">
        <v>47000</v>
      </c>
      <c r="O303" s="58">
        <v>0</v>
      </c>
      <c r="P303" s="59">
        <v>23500</v>
      </c>
      <c r="Q303" s="58">
        <v>0</v>
      </c>
      <c r="R303" s="55">
        <v>47000</v>
      </c>
      <c r="S303" s="55" t="s">
        <v>469</v>
      </c>
      <c r="T303" s="55" t="s">
        <v>495</v>
      </c>
      <c r="U303" s="55" t="s">
        <v>18</v>
      </c>
      <c r="V303" s="55" t="s">
        <v>470</v>
      </c>
      <c r="W303" s="42">
        <f>VLOOKUP(B303,'LW13'!$X$15:$Y$501,2,0)-M303</f>
        <v>0</v>
      </c>
    </row>
    <row r="304" spans="1:23" x14ac:dyDescent="0.2">
      <c r="A304" s="9" t="str">
        <f t="shared" si="11"/>
        <v>111NL300058</v>
      </c>
      <c r="B304" s="9" t="str">
        <f>COUNTIF($A$7:A304,A304)&amp;A304</f>
        <v>1111NL300058</v>
      </c>
      <c r="C304" s="54">
        <v>46033</v>
      </c>
      <c r="D304" s="55" t="s">
        <v>294</v>
      </c>
      <c r="E304" s="56" t="s">
        <v>526</v>
      </c>
      <c r="F304" s="56" t="s">
        <v>295</v>
      </c>
      <c r="G304" s="55" t="s">
        <v>492</v>
      </c>
      <c r="H304" s="55" t="s">
        <v>493</v>
      </c>
      <c r="I304" s="55" t="s">
        <v>527</v>
      </c>
      <c r="J304" s="55" t="s">
        <v>147</v>
      </c>
      <c r="K304" s="55" t="s">
        <v>29</v>
      </c>
      <c r="L304" s="55" t="s">
        <v>92</v>
      </c>
      <c r="M304" s="57">
        <v>2.5</v>
      </c>
      <c r="N304" s="58">
        <v>55000</v>
      </c>
      <c r="O304" s="58">
        <v>0</v>
      </c>
      <c r="P304" s="59">
        <v>137500</v>
      </c>
      <c r="Q304" s="58">
        <v>0</v>
      </c>
      <c r="R304" s="55">
        <v>55000</v>
      </c>
      <c r="S304" s="55" t="s">
        <v>469</v>
      </c>
      <c r="T304" s="55" t="s">
        <v>495</v>
      </c>
      <c r="U304" s="55" t="s">
        <v>18</v>
      </c>
      <c r="V304" s="55" t="s">
        <v>470</v>
      </c>
      <c r="W304" s="42">
        <f>VLOOKUP(B304,'LW13'!$X$15:$Y$501,2,0)-M304</f>
        <v>0</v>
      </c>
    </row>
    <row r="305" spans="1:23" x14ac:dyDescent="0.2">
      <c r="A305" s="9" t="str">
        <f t="shared" si="11"/>
        <v>111NL300085</v>
      </c>
      <c r="B305" s="9" t="str">
        <f>COUNTIF($A$7:A305,A305)&amp;A305</f>
        <v>1111NL300085</v>
      </c>
      <c r="C305" s="54">
        <v>46033</v>
      </c>
      <c r="D305" s="55" t="s">
        <v>294</v>
      </c>
      <c r="E305" s="56" t="s">
        <v>526</v>
      </c>
      <c r="F305" s="56" t="s">
        <v>295</v>
      </c>
      <c r="G305" s="55" t="s">
        <v>492</v>
      </c>
      <c r="H305" s="55" t="s">
        <v>493</v>
      </c>
      <c r="I305" s="55" t="s">
        <v>527</v>
      </c>
      <c r="J305" s="55" t="s">
        <v>205</v>
      </c>
      <c r="K305" s="55" t="s">
        <v>306</v>
      </c>
      <c r="L305" s="55" t="s">
        <v>92</v>
      </c>
      <c r="M305" s="57">
        <v>2</v>
      </c>
      <c r="N305" s="58">
        <v>45000</v>
      </c>
      <c r="O305" s="58">
        <v>0</v>
      </c>
      <c r="P305" s="59">
        <v>90000</v>
      </c>
      <c r="Q305" s="58">
        <v>0</v>
      </c>
      <c r="R305" s="55">
        <v>45000</v>
      </c>
      <c r="S305" s="55" t="s">
        <v>469</v>
      </c>
      <c r="T305" s="55" t="s">
        <v>495</v>
      </c>
      <c r="U305" s="55" t="s">
        <v>18</v>
      </c>
      <c r="V305" s="55" t="s">
        <v>470</v>
      </c>
      <c r="W305" s="42">
        <f>VLOOKUP(B305,'LW13'!$X$15:$Y$501,2,0)-M305</f>
        <v>0</v>
      </c>
    </row>
    <row r="306" spans="1:23" x14ac:dyDescent="0.2">
      <c r="A306" s="9" t="str">
        <f t="shared" si="11"/>
        <v>111NL300107</v>
      </c>
      <c r="B306" s="9" t="str">
        <f>COUNTIF($A$7:A306,A306)&amp;A306</f>
        <v>1111NL300107</v>
      </c>
      <c r="C306" s="54">
        <v>46033</v>
      </c>
      <c r="D306" s="55" t="s">
        <v>294</v>
      </c>
      <c r="E306" s="56" t="s">
        <v>526</v>
      </c>
      <c r="F306" s="56" t="s">
        <v>295</v>
      </c>
      <c r="G306" s="55" t="s">
        <v>492</v>
      </c>
      <c r="H306" s="55" t="s">
        <v>493</v>
      </c>
      <c r="I306" s="55" t="s">
        <v>527</v>
      </c>
      <c r="J306" s="55" t="s">
        <v>87</v>
      </c>
      <c r="K306" s="55" t="s">
        <v>299</v>
      </c>
      <c r="L306" s="55" t="s">
        <v>300</v>
      </c>
      <c r="M306" s="57">
        <v>8</v>
      </c>
      <c r="N306" s="58">
        <v>8500</v>
      </c>
      <c r="O306" s="58">
        <v>0</v>
      </c>
      <c r="P306" s="59">
        <v>68000</v>
      </c>
      <c r="Q306" s="58">
        <v>0</v>
      </c>
      <c r="R306" s="55">
        <v>8500</v>
      </c>
      <c r="S306" s="55" t="s">
        <v>469</v>
      </c>
      <c r="T306" s="55" t="s">
        <v>495</v>
      </c>
      <c r="U306" s="55" t="s">
        <v>18</v>
      </c>
      <c r="V306" s="55" t="s">
        <v>470</v>
      </c>
      <c r="W306" s="42">
        <f>VLOOKUP(B306,'LW13'!$X$15:$Y$501,2,0)-M306</f>
        <v>0</v>
      </c>
    </row>
    <row r="307" spans="1:23" x14ac:dyDescent="0.2">
      <c r="A307" s="9" t="str">
        <f t="shared" si="11"/>
        <v>111NL300113</v>
      </c>
      <c r="B307" s="9" t="str">
        <f>COUNTIF($A$7:A307,A307)&amp;A307</f>
        <v>1111NL300113</v>
      </c>
      <c r="C307" s="54">
        <v>46033</v>
      </c>
      <c r="D307" s="55" t="s">
        <v>294</v>
      </c>
      <c r="E307" s="56" t="s">
        <v>526</v>
      </c>
      <c r="F307" s="56" t="s">
        <v>295</v>
      </c>
      <c r="G307" s="55" t="s">
        <v>492</v>
      </c>
      <c r="H307" s="55" t="s">
        <v>493</v>
      </c>
      <c r="I307" s="55" t="s">
        <v>527</v>
      </c>
      <c r="J307" s="55" t="s">
        <v>216</v>
      </c>
      <c r="K307" s="55" t="s">
        <v>33</v>
      </c>
      <c r="L307" s="55" t="s">
        <v>92</v>
      </c>
      <c r="M307" s="57">
        <v>1</v>
      </c>
      <c r="N307" s="58">
        <v>145000</v>
      </c>
      <c r="O307" s="58">
        <v>0</v>
      </c>
      <c r="P307" s="59">
        <v>145000</v>
      </c>
      <c r="Q307" s="58">
        <v>0</v>
      </c>
      <c r="R307" s="55">
        <v>145000</v>
      </c>
      <c r="S307" s="55" t="s">
        <v>469</v>
      </c>
      <c r="T307" s="55" t="s">
        <v>495</v>
      </c>
      <c r="U307" s="55" t="s">
        <v>18</v>
      </c>
      <c r="V307" s="55" t="s">
        <v>470</v>
      </c>
      <c r="W307" s="42">
        <f>VLOOKUP(B307,'LW13'!$X$15:$Y$501,2,0)-M307</f>
        <v>0</v>
      </c>
    </row>
    <row r="308" spans="1:23" x14ac:dyDescent="0.2">
      <c r="A308" s="9" t="str">
        <f t="shared" si="11"/>
        <v>111NL300137</v>
      </c>
      <c r="B308" s="9" t="str">
        <f>COUNTIF($A$7:A308,A308)&amp;A308</f>
        <v>1111NL300137</v>
      </c>
      <c r="C308" s="54">
        <v>46033</v>
      </c>
      <c r="D308" s="55" t="s">
        <v>294</v>
      </c>
      <c r="E308" s="56" t="s">
        <v>526</v>
      </c>
      <c r="F308" s="56" t="s">
        <v>295</v>
      </c>
      <c r="G308" s="55" t="s">
        <v>492</v>
      </c>
      <c r="H308" s="55" t="s">
        <v>493</v>
      </c>
      <c r="I308" s="55" t="s">
        <v>527</v>
      </c>
      <c r="J308" s="55" t="s">
        <v>96</v>
      </c>
      <c r="K308" s="55" t="s">
        <v>397</v>
      </c>
      <c r="L308" s="55" t="s">
        <v>92</v>
      </c>
      <c r="M308" s="57">
        <v>2</v>
      </c>
      <c r="N308" s="58">
        <v>52000</v>
      </c>
      <c r="O308" s="58">
        <v>0</v>
      </c>
      <c r="P308" s="59">
        <v>104000</v>
      </c>
      <c r="Q308" s="58">
        <v>0</v>
      </c>
      <c r="R308" s="55">
        <v>52000</v>
      </c>
      <c r="S308" s="55" t="s">
        <v>469</v>
      </c>
      <c r="T308" s="55" t="s">
        <v>495</v>
      </c>
      <c r="U308" s="55" t="s">
        <v>18</v>
      </c>
      <c r="V308" s="55" t="s">
        <v>470</v>
      </c>
      <c r="W308" s="42">
        <f>VLOOKUP(B308,'LW13'!$X$15:$Y$501,2,0)-M308</f>
        <v>0</v>
      </c>
    </row>
    <row r="309" spans="1:23" x14ac:dyDescent="0.2">
      <c r="A309" s="9" t="str">
        <f t="shared" si="11"/>
        <v>111NL300116</v>
      </c>
      <c r="B309" s="9" t="str">
        <f>COUNTIF($A$7:A309,A309)&amp;A309</f>
        <v>1111NL300116</v>
      </c>
      <c r="C309" s="54">
        <v>46033</v>
      </c>
      <c r="D309" s="55" t="s">
        <v>294</v>
      </c>
      <c r="E309" s="56" t="s">
        <v>526</v>
      </c>
      <c r="F309" s="56" t="s">
        <v>295</v>
      </c>
      <c r="G309" s="55" t="s">
        <v>492</v>
      </c>
      <c r="H309" s="55" t="s">
        <v>493</v>
      </c>
      <c r="I309" s="55" t="s">
        <v>527</v>
      </c>
      <c r="J309" s="55" t="s">
        <v>217</v>
      </c>
      <c r="K309" s="55" t="s">
        <v>313</v>
      </c>
      <c r="L309" s="55" t="s">
        <v>92</v>
      </c>
      <c r="M309" s="57">
        <v>0.2</v>
      </c>
      <c r="N309" s="58">
        <v>148000</v>
      </c>
      <c r="O309" s="58">
        <v>0</v>
      </c>
      <c r="P309" s="59">
        <v>29600</v>
      </c>
      <c r="Q309" s="58">
        <v>0</v>
      </c>
      <c r="R309" s="55">
        <v>148000</v>
      </c>
      <c r="S309" s="55" t="s">
        <v>469</v>
      </c>
      <c r="T309" s="55" t="s">
        <v>495</v>
      </c>
      <c r="U309" s="55" t="s">
        <v>18</v>
      </c>
      <c r="V309" s="55" t="s">
        <v>470</v>
      </c>
      <c r="W309" s="42">
        <f>VLOOKUP(B309,'LW13'!$X$15:$Y$501,2,0)-M309</f>
        <v>0</v>
      </c>
    </row>
    <row r="310" spans="1:23" x14ac:dyDescent="0.2">
      <c r="A310" s="9" t="str">
        <f t="shared" si="11"/>
        <v>111NL300119</v>
      </c>
      <c r="B310" s="9" t="str">
        <f>COUNTIF($A$7:A310,A310)&amp;A310</f>
        <v>1111NL300119</v>
      </c>
      <c r="C310" s="54">
        <v>46033</v>
      </c>
      <c r="D310" s="55" t="s">
        <v>294</v>
      </c>
      <c r="E310" s="56" t="s">
        <v>526</v>
      </c>
      <c r="F310" s="56" t="s">
        <v>295</v>
      </c>
      <c r="G310" s="55" t="s">
        <v>492</v>
      </c>
      <c r="H310" s="55" t="s">
        <v>493</v>
      </c>
      <c r="I310" s="55" t="s">
        <v>527</v>
      </c>
      <c r="J310" s="55" t="s">
        <v>242</v>
      </c>
      <c r="K310" s="55" t="s">
        <v>307</v>
      </c>
      <c r="L310" s="55" t="s">
        <v>92</v>
      </c>
      <c r="M310" s="57">
        <v>1</v>
      </c>
      <c r="N310" s="58">
        <v>21000</v>
      </c>
      <c r="O310" s="58">
        <v>0</v>
      </c>
      <c r="P310" s="59">
        <v>21000</v>
      </c>
      <c r="Q310" s="58">
        <v>0</v>
      </c>
      <c r="R310" s="55">
        <v>21000</v>
      </c>
      <c r="S310" s="55" t="s">
        <v>469</v>
      </c>
      <c r="T310" s="55" t="s">
        <v>495</v>
      </c>
      <c r="U310" s="55" t="s">
        <v>18</v>
      </c>
      <c r="V310" s="55" t="s">
        <v>470</v>
      </c>
      <c r="W310" s="42">
        <f>VLOOKUP(B310,'LW13'!$X$15:$Y$501,2,0)-M310</f>
        <v>0</v>
      </c>
    </row>
    <row r="311" spans="1:23" x14ac:dyDescent="0.2">
      <c r="A311" s="9" t="str">
        <f t="shared" si="11"/>
        <v>111NL300025</v>
      </c>
      <c r="B311" s="9" t="str">
        <f>COUNTIF($A$7:A311,A311)&amp;A311</f>
        <v>1111NL300025</v>
      </c>
      <c r="C311" s="54">
        <v>46033</v>
      </c>
      <c r="D311" s="55" t="s">
        <v>294</v>
      </c>
      <c r="E311" s="56" t="s">
        <v>526</v>
      </c>
      <c r="F311" s="56" t="s">
        <v>295</v>
      </c>
      <c r="G311" s="55" t="s">
        <v>492</v>
      </c>
      <c r="H311" s="55" t="s">
        <v>493</v>
      </c>
      <c r="I311" s="55" t="s">
        <v>527</v>
      </c>
      <c r="J311" s="55" t="s">
        <v>117</v>
      </c>
      <c r="K311" s="55" t="s">
        <v>303</v>
      </c>
      <c r="L311" s="55" t="s">
        <v>92</v>
      </c>
      <c r="M311" s="57">
        <v>0.5</v>
      </c>
      <c r="N311" s="58">
        <v>44000</v>
      </c>
      <c r="O311" s="58">
        <v>0</v>
      </c>
      <c r="P311" s="59">
        <v>22000</v>
      </c>
      <c r="Q311" s="58">
        <v>0</v>
      </c>
      <c r="R311" s="55">
        <v>44000</v>
      </c>
      <c r="S311" s="55" t="s">
        <v>469</v>
      </c>
      <c r="T311" s="55" t="s">
        <v>495</v>
      </c>
      <c r="U311" s="55" t="s">
        <v>18</v>
      </c>
      <c r="V311" s="55" t="s">
        <v>470</v>
      </c>
      <c r="W311" s="42">
        <f>VLOOKUP(B311,'LW13'!$X$15:$Y$501,2,0)-M311</f>
        <v>0</v>
      </c>
    </row>
    <row r="312" spans="1:23" x14ac:dyDescent="0.2">
      <c r="A312" s="9" t="str">
        <f t="shared" si="11"/>
        <v>111NL300126</v>
      </c>
      <c r="B312" s="9" t="str">
        <f>COUNTIF($A$7:A312,A312)&amp;A312</f>
        <v>1111NL300126</v>
      </c>
      <c r="C312" s="54">
        <v>46033</v>
      </c>
      <c r="D312" s="55" t="s">
        <v>294</v>
      </c>
      <c r="E312" s="56" t="s">
        <v>526</v>
      </c>
      <c r="F312" s="56" t="s">
        <v>295</v>
      </c>
      <c r="G312" s="55" t="s">
        <v>492</v>
      </c>
      <c r="H312" s="55" t="s">
        <v>493</v>
      </c>
      <c r="I312" s="55" t="s">
        <v>527</v>
      </c>
      <c r="J312" s="55" t="s">
        <v>206</v>
      </c>
      <c r="K312" s="55" t="s">
        <v>315</v>
      </c>
      <c r="L312" s="55" t="s">
        <v>92</v>
      </c>
      <c r="M312" s="57">
        <v>0.2</v>
      </c>
      <c r="N312" s="58">
        <v>70000</v>
      </c>
      <c r="O312" s="58">
        <v>0</v>
      </c>
      <c r="P312" s="59">
        <v>14000</v>
      </c>
      <c r="Q312" s="58">
        <v>0</v>
      </c>
      <c r="R312" s="55">
        <v>70000</v>
      </c>
      <c r="S312" s="55" t="s">
        <v>469</v>
      </c>
      <c r="T312" s="55" t="s">
        <v>495</v>
      </c>
      <c r="U312" s="55" t="s">
        <v>18</v>
      </c>
      <c r="V312" s="55" t="s">
        <v>470</v>
      </c>
      <c r="W312" s="42">
        <f>VLOOKUP(B312,'LW13'!$X$15:$Y$501,2,0)-M312</f>
        <v>0</v>
      </c>
    </row>
    <row r="313" spans="1:23" x14ac:dyDescent="0.2">
      <c r="A313" s="9" t="str">
        <f t="shared" si="11"/>
        <v>111NL300121</v>
      </c>
      <c r="B313" s="9" t="str">
        <f>COUNTIF($A$7:A313,A313)&amp;A313</f>
        <v>1111NL300121</v>
      </c>
      <c r="C313" s="54">
        <v>46033</v>
      </c>
      <c r="D313" s="55" t="s">
        <v>294</v>
      </c>
      <c r="E313" s="56" t="s">
        <v>526</v>
      </c>
      <c r="F313" s="56" t="s">
        <v>295</v>
      </c>
      <c r="G313" s="55" t="s">
        <v>492</v>
      </c>
      <c r="H313" s="55" t="s">
        <v>493</v>
      </c>
      <c r="I313" s="55" t="s">
        <v>527</v>
      </c>
      <c r="J313" s="55" t="s">
        <v>231</v>
      </c>
      <c r="K313" s="55" t="s">
        <v>35</v>
      </c>
      <c r="L313" s="55" t="s">
        <v>92</v>
      </c>
      <c r="M313" s="57">
        <v>0.2</v>
      </c>
      <c r="N313" s="58">
        <v>22000</v>
      </c>
      <c r="O313" s="58">
        <v>0</v>
      </c>
      <c r="P313" s="59">
        <v>4400</v>
      </c>
      <c r="Q313" s="58">
        <v>0</v>
      </c>
      <c r="R313" s="55">
        <v>22000</v>
      </c>
      <c r="S313" s="55" t="s">
        <v>469</v>
      </c>
      <c r="T313" s="55" t="s">
        <v>495</v>
      </c>
      <c r="U313" s="55" t="s">
        <v>18</v>
      </c>
      <c r="V313" s="55" t="s">
        <v>470</v>
      </c>
      <c r="W313" s="42">
        <f>VLOOKUP(B313,'LW13'!$X$15:$Y$501,2,0)-M313</f>
        <v>0</v>
      </c>
    </row>
    <row r="314" spans="1:23" x14ac:dyDescent="0.2">
      <c r="A314" s="9" t="str">
        <f t="shared" si="11"/>
        <v>111NL100101</v>
      </c>
      <c r="B314" s="9" t="str">
        <f>COUNTIF($A$7:A314,A314)&amp;A314</f>
        <v>1111NL100101</v>
      </c>
      <c r="C314" s="54">
        <v>46033</v>
      </c>
      <c r="D314" s="55" t="s">
        <v>294</v>
      </c>
      <c r="E314" s="56" t="s">
        <v>526</v>
      </c>
      <c r="F314" s="56" t="s">
        <v>295</v>
      </c>
      <c r="G314" s="55" t="s">
        <v>492</v>
      </c>
      <c r="H314" s="55" t="s">
        <v>493</v>
      </c>
      <c r="I314" s="55" t="s">
        <v>527</v>
      </c>
      <c r="J314" s="55" t="s">
        <v>263</v>
      </c>
      <c r="K314" s="55" t="s">
        <v>52</v>
      </c>
      <c r="L314" s="55" t="s">
        <v>318</v>
      </c>
      <c r="M314" s="57">
        <v>30</v>
      </c>
      <c r="N314" s="58">
        <v>5000</v>
      </c>
      <c r="O314" s="58">
        <v>0</v>
      </c>
      <c r="P314" s="59">
        <v>150000</v>
      </c>
      <c r="Q314" s="58">
        <v>0</v>
      </c>
      <c r="R314" s="55">
        <v>5000</v>
      </c>
      <c r="S314" s="55" t="s">
        <v>469</v>
      </c>
      <c r="T314" s="55" t="s">
        <v>495</v>
      </c>
      <c r="U314" s="55" t="s">
        <v>18</v>
      </c>
      <c r="V314" s="55" t="s">
        <v>470</v>
      </c>
      <c r="W314" s="42">
        <f>VLOOKUP(B314,'LW13'!$X$15:$Y$501,2,0)-M314</f>
        <v>0</v>
      </c>
    </row>
    <row r="315" spans="1:23" x14ac:dyDescent="0.2">
      <c r="A315" s="9" t="str">
        <f t="shared" si="11"/>
        <v>111NL300140</v>
      </c>
      <c r="B315" s="9" t="str">
        <f>COUNTIF($A$7:A315,A315)&amp;A315</f>
        <v>1111NL300140</v>
      </c>
      <c r="C315" s="54">
        <v>46033</v>
      </c>
      <c r="D315" s="55" t="s">
        <v>294</v>
      </c>
      <c r="E315" s="56" t="s">
        <v>526</v>
      </c>
      <c r="F315" s="56" t="s">
        <v>295</v>
      </c>
      <c r="G315" s="55" t="s">
        <v>492</v>
      </c>
      <c r="H315" s="55" t="s">
        <v>493</v>
      </c>
      <c r="I315" s="55" t="s">
        <v>527</v>
      </c>
      <c r="J315" s="55" t="s">
        <v>233</v>
      </c>
      <c r="K315" s="55" t="s">
        <v>475</v>
      </c>
      <c r="L315" s="55" t="s">
        <v>92</v>
      </c>
      <c r="M315" s="57">
        <v>0.3</v>
      </c>
      <c r="N315" s="58">
        <v>36000</v>
      </c>
      <c r="O315" s="58">
        <v>0</v>
      </c>
      <c r="P315" s="59">
        <v>10800</v>
      </c>
      <c r="Q315" s="58">
        <v>0</v>
      </c>
      <c r="R315" s="55">
        <v>36000</v>
      </c>
      <c r="S315" s="55" t="s">
        <v>469</v>
      </c>
      <c r="T315" s="55" t="s">
        <v>495</v>
      </c>
      <c r="U315" s="55" t="s">
        <v>18</v>
      </c>
      <c r="V315" s="55" t="s">
        <v>470</v>
      </c>
      <c r="W315" s="42">
        <f>VLOOKUP(B315,'LW13'!$X$15:$Y$501,2,0)-M315</f>
        <v>0</v>
      </c>
    </row>
    <row r="316" spans="1:23" x14ac:dyDescent="0.2">
      <c r="A316" s="9" t="str">
        <f t="shared" si="11"/>
        <v>111NL300147</v>
      </c>
      <c r="B316" s="9" t="str">
        <f>COUNTIF($A$7:A316,A316)&amp;A316</f>
        <v>1111NL300147</v>
      </c>
      <c r="C316" s="54">
        <v>46033</v>
      </c>
      <c r="D316" s="55" t="s">
        <v>294</v>
      </c>
      <c r="E316" s="56" t="s">
        <v>526</v>
      </c>
      <c r="F316" s="56" t="s">
        <v>295</v>
      </c>
      <c r="G316" s="55" t="s">
        <v>492</v>
      </c>
      <c r="H316" s="55" t="s">
        <v>493</v>
      </c>
      <c r="I316" s="55" t="s">
        <v>527</v>
      </c>
      <c r="J316" s="55" t="s">
        <v>270</v>
      </c>
      <c r="K316" s="55" t="s">
        <v>309</v>
      </c>
      <c r="L316" s="55" t="s">
        <v>92</v>
      </c>
      <c r="M316" s="57">
        <v>4</v>
      </c>
      <c r="N316" s="58">
        <v>62000</v>
      </c>
      <c r="O316" s="58">
        <v>0</v>
      </c>
      <c r="P316" s="59">
        <v>248000</v>
      </c>
      <c r="Q316" s="58">
        <v>0</v>
      </c>
      <c r="R316" s="55">
        <v>62000</v>
      </c>
      <c r="S316" s="55" t="s">
        <v>469</v>
      </c>
      <c r="T316" s="55" t="s">
        <v>495</v>
      </c>
      <c r="U316" s="55" t="s">
        <v>18</v>
      </c>
      <c r="V316" s="55" t="s">
        <v>470</v>
      </c>
      <c r="W316" s="42">
        <f>VLOOKUP(B316,'LW13'!$X$15:$Y$501,2,0)-M316</f>
        <v>0</v>
      </c>
    </row>
    <row r="317" spans="1:23" x14ac:dyDescent="0.2">
      <c r="A317" s="9" t="str">
        <f t="shared" si="11"/>
        <v>111NL300090</v>
      </c>
      <c r="B317" s="9" t="str">
        <f>COUNTIF($A$7:A317,A317)&amp;A317</f>
        <v>1111NL300090</v>
      </c>
      <c r="C317" s="54">
        <v>46033</v>
      </c>
      <c r="D317" s="55" t="s">
        <v>294</v>
      </c>
      <c r="E317" s="56" t="s">
        <v>526</v>
      </c>
      <c r="F317" s="56" t="s">
        <v>295</v>
      </c>
      <c r="G317" s="55" t="s">
        <v>492</v>
      </c>
      <c r="H317" s="55" t="s">
        <v>493</v>
      </c>
      <c r="I317" s="55" t="s">
        <v>527</v>
      </c>
      <c r="J317" s="55" t="s">
        <v>189</v>
      </c>
      <c r="K317" s="55" t="s">
        <v>39</v>
      </c>
      <c r="L317" s="55" t="s">
        <v>92</v>
      </c>
      <c r="M317" s="57">
        <v>2</v>
      </c>
      <c r="N317" s="58">
        <v>145000</v>
      </c>
      <c r="O317" s="58">
        <v>0</v>
      </c>
      <c r="P317" s="59">
        <v>290000</v>
      </c>
      <c r="Q317" s="58">
        <v>0</v>
      </c>
      <c r="R317" s="55">
        <v>145000</v>
      </c>
      <c r="S317" s="55" t="s">
        <v>469</v>
      </c>
      <c r="T317" s="55" t="s">
        <v>495</v>
      </c>
      <c r="U317" s="55" t="s">
        <v>18</v>
      </c>
      <c r="V317" s="55" t="s">
        <v>470</v>
      </c>
      <c r="W317" s="42">
        <f>VLOOKUP(B317,'LW13'!$X$15:$Y$501,2,0)-M317</f>
        <v>0</v>
      </c>
    </row>
    <row r="318" spans="1:23" x14ac:dyDescent="0.2">
      <c r="A318" s="9" t="str">
        <f t="shared" si="11"/>
        <v>111NL300091</v>
      </c>
      <c r="B318" s="9" t="str">
        <f>COUNTIF($A$7:A318,A318)&amp;A318</f>
        <v>1111NL300091</v>
      </c>
      <c r="C318" s="54">
        <v>46033</v>
      </c>
      <c r="D318" s="55" t="s">
        <v>294</v>
      </c>
      <c r="E318" s="56" t="s">
        <v>526</v>
      </c>
      <c r="F318" s="56" t="s">
        <v>295</v>
      </c>
      <c r="G318" s="55" t="s">
        <v>492</v>
      </c>
      <c r="H318" s="55" t="s">
        <v>493</v>
      </c>
      <c r="I318" s="55" t="s">
        <v>527</v>
      </c>
      <c r="J318" s="55" t="s">
        <v>190</v>
      </c>
      <c r="K318" s="55" t="s">
        <v>40</v>
      </c>
      <c r="L318" s="55" t="s">
        <v>92</v>
      </c>
      <c r="M318" s="57">
        <v>1</v>
      </c>
      <c r="N318" s="58">
        <v>47000</v>
      </c>
      <c r="O318" s="58">
        <v>0</v>
      </c>
      <c r="P318" s="59">
        <v>47000</v>
      </c>
      <c r="Q318" s="58">
        <v>0</v>
      </c>
      <c r="R318" s="55">
        <v>47000</v>
      </c>
      <c r="S318" s="55" t="s">
        <v>469</v>
      </c>
      <c r="T318" s="55" t="s">
        <v>495</v>
      </c>
      <c r="U318" s="55" t="s">
        <v>18</v>
      </c>
      <c r="V318" s="55" t="s">
        <v>470</v>
      </c>
      <c r="W318" s="42">
        <f>VLOOKUP(B318,'LW13'!$X$15:$Y$501,2,0)-M318</f>
        <v>0</v>
      </c>
    </row>
    <row r="319" spans="1:23" x14ac:dyDescent="0.2">
      <c r="A319" s="9" t="str">
        <f t="shared" si="11"/>
        <v>111NL300101</v>
      </c>
      <c r="B319" s="9" t="str">
        <f>COUNTIF($A$7:A319,A319)&amp;A319</f>
        <v>1111NL300101</v>
      </c>
      <c r="C319" s="54">
        <v>46033</v>
      </c>
      <c r="D319" s="55" t="s">
        <v>294</v>
      </c>
      <c r="E319" s="56" t="s">
        <v>526</v>
      </c>
      <c r="F319" s="56" t="s">
        <v>295</v>
      </c>
      <c r="G319" s="55" t="s">
        <v>492</v>
      </c>
      <c r="H319" s="55" t="s">
        <v>493</v>
      </c>
      <c r="I319" s="55" t="s">
        <v>527</v>
      </c>
      <c r="J319" s="55" t="s">
        <v>200</v>
      </c>
      <c r="K319" s="55" t="s">
        <v>305</v>
      </c>
      <c r="L319" s="55" t="s">
        <v>92</v>
      </c>
      <c r="M319" s="57">
        <v>0.5</v>
      </c>
      <c r="N319" s="58">
        <v>195000</v>
      </c>
      <c r="O319" s="58">
        <v>0</v>
      </c>
      <c r="P319" s="59">
        <v>97500</v>
      </c>
      <c r="Q319" s="58">
        <v>0</v>
      </c>
      <c r="R319" s="55">
        <v>195000</v>
      </c>
      <c r="S319" s="55" t="s">
        <v>469</v>
      </c>
      <c r="T319" s="55" t="s">
        <v>495</v>
      </c>
      <c r="U319" s="55" t="s">
        <v>18</v>
      </c>
      <c r="V319" s="55" t="s">
        <v>470</v>
      </c>
      <c r="W319" s="42">
        <f>VLOOKUP(B319,'LW13'!$X$15:$Y$501,2,0)-M319</f>
        <v>0</v>
      </c>
    </row>
    <row r="320" spans="1:23" x14ac:dyDescent="0.2">
      <c r="A320" s="9" t="str">
        <f t="shared" si="11"/>
        <v>111NL300184</v>
      </c>
      <c r="B320" s="9" t="str">
        <f>COUNTIF($A$7:A320,A320)&amp;A320</f>
        <v>1111NL300184</v>
      </c>
      <c r="C320" s="54">
        <v>46033</v>
      </c>
      <c r="D320" s="55" t="s">
        <v>294</v>
      </c>
      <c r="E320" s="56" t="s">
        <v>526</v>
      </c>
      <c r="F320" s="56" t="s">
        <v>295</v>
      </c>
      <c r="G320" s="55" t="s">
        <v>492</v>
      </c>
      <c r="H320" s="55" t="s">
        <v>493</v>
      </c>
      <c r="I320" s="55" t="s">
        <v>527</v>
      </c>
      <c r="J320" s="55" t="s">
        <v>172</v>
      </c>
      <c r="K320" s="55" t="s">
        <v>496</v>
      </c>
      <c r="L320" s="55" t="s">
        <v>92</v>
      </c>
      <c r="M320" s="57">
        <v>1</v>
      </c>
      <c r="N320" s="58">
        <v>18000</v>
      </c>
      <c r="O320" s="58">
        <v>0</v>
      </c>
      <c r="P320" s="59">
        <v>18000</v>
      </c>
      <c r="Q320" s="58">
        <v>0</v>
      </c>
      <c r="R320" s="55">
        <v>18000</v>
      </c>
      <c r="S320" s="55" t="s">
        <v>469</v>
      </c>
      <c r="T320" s="55" t="s">
        <v>495</v>
      </c>
      <c r="U320" s="55" t="s">
        <v>18</v>
      </c>
      <c r="V320" s="55" t="s">
        <v>470</v>
      </c>
      <c r="W320" s="42">
        <f>VLOOKUP(B320,'LW13'!$X$15:$Y$501,2,0)-M320</f>
        <v>0</v>
      </c>
    </row>
    <row r="321" spans="1:23" x14ac:dyDescent="0.2">
      <c r="A321" s="9" t="str">
        <f t="shared" si="11"/>
        <v>111NL300029</v>
      </c>
      <c r="B321" s="9" t="str">
        <f>COUNTIF($A$7:A321,A321)&amp;A321</f>
        <v>1111NL300029</v>
      </c>
      <c r="C321" s="54">
        <v>46033</v>
      </c>
      <c r="D321" s="55" t="s">
        <v>294</v>
      </c>
      <c r="E321" s="56" t="s">
        <v>526</v>
      </c>
      <c r="F321" s="56" t="s">
        <v>295</v>
      </c>
      <c r="G321" s="55" t="s">
        <v>492</v>
      </c>
      <c r="H321" s="55" t="s">
        <v>493</v>
      </c>
      <c r="I321" s="55" t="s">
        <v>527</v>
      </c>
      <c r="J321" s="55" t="s">
        <v>121</v>
      </c>
      <c r="K321" s="55" t="s">
        <v>298</v>
      </c>
      <c r="L321" s="55" t="s">
        <v>92</v>
      </c>
      <c r="M321" s="57">
        <v>1</v>
      </c>
      <c r="N321" s="58">
        <v>22000</v>
      </c>
      <c r="O321" s="58">
        <v>0</v>
      </c>
      <c r="P321" s="59">
        <v>22000</v>
      </c>
      <c r="Q321" s="58">
        <v>0</v>
      </c>
      <c r="R321" s="55">
        <v>22000</v>
      </c>
      <c r="S321" s="55" t="s">
        <v>469</v>
      </c>
      <c r="T321" s="55" t="s">
        <v>495</v>
      </c>
      <c r="U321" s="55" t="s">
        <v>18</v>
      </c>
      <c r="V321" s="55" t="s">
        <v>470</v>
      </c>
      <c r="W321" s="42">
        <f>VLOOKUP(B321,'LW13'!$X$15:$Y$501,2,0)-M321</f>
        <v>0</v>
      </c>
    </row>
    <row r="322" spans="1:23" x14ac:dyDescent="0.2">
      <c r="A322" s="9" t="str">
        <f t="shared" si="11"/>
        <v>111NL600067</v>
      </c>
      <c r="B322" s="9" t="str">
        <f>COUNTIF($A$7:A322,A322)&amp;A322</f>
        <v>1111NL600067</v>
      </c>
      <c r="C322" s="54">
        <v>46033</v>
      </c>
      <c r="D322" s="55" t="s">
        <v>294</v>
      </c>
      <c r="E322" s="56" t="s">
        <v>526</v>
      </c>
      <c r="F322" s="56" t="s">
        <v>295</v>
      </c>
      <c r="G322" s="55" t="s">
        <v>492</v>
      </c>
      <c r="H322" s="55" t="s">
        <v>493</v>
      </c>
      <c r="I322" s="55" t="s">
        <v>527</v>
      </c>
      <c r="J322" s="55" t="s">
        <v>115</v>
      </c>
      <c r="K322" s="55" t="s">
        <v>72</v>
      </c>
      <c r="L322" s="55" t="s">
        <v>92</v>
      </c>
      <c r="M322" s="57">
        <v>0.3</v>
      </c>
      <c r="N322" s="58">
        <v>75000</v>
      </c>
      <c r="O322" s="58">
        <v>0</v>
      </c>
      <c r="P322" s="59">
        <v>22500</v>
      </c>
      <c r="Q322" s="58">
        <v>0</v>
      </c>
      <c r="R322" s="55">
        <v>75000</v>
      </c>
      <c r="S322" s="55" t="s">
        <v>469</v>
      </c>
      <c r="T322" s="55" t="s">
        <v>495</v>
      </c>
      <c r="U322" s="55" t="s">
        <v>18</v>
      </c>
      <c r="V322" s="55" t="s">
        <v>470</v>
      </c>
      <c r="W322" s="42">
        <f>VLOOKUP(B322,'LW13'!$X$15:$Y$501,2,0)-M322</f>
        <v>0</v>
      </c>
    </row>
    <row r="323" spans="1:23" x14ac:dyDescent="0.2">
      <c r="A323" s="9" t="str">
        <f t="shared" si="11"/>
        <v>111NL300030</v>
      </c>
      <c r="B323" s="9" t="str">
        <f>COUNTIF($A$7:A323,A323)&amp;A323</f>
        <v>1111NL300030</v>
      </c>
      <c r="C323" s="54">
        <v>46033</v>
      </c>
      <c r="D323" s="55" t="s">
        <v>294</v>
      </c>
      <c r="E323" s="56" t="s">
        <v>526</v>
      </c>
      <c r="F323" s="56" t="s">
        <v>295</v>
      </c>
      <c r="G323" s="55" t="s">
        <v>492</v>
      </c>
      <c r="H323" s="55" t="s">
        <v>493</v>
      </c>
      <c r="I323" s="55" t="s">
        <v>527</v>
      </c>
      <c r="J323" s="55" t="s">
        <v>120</v>
      </c>
      <c r="K323" s="55" t="s">
        <v>310</v>
      </c>
      <c r="L323" s="55" t="s">
        <v>92</v>
      </c>
      <c r="M323" s="57">
        <v>0.5</v>
      </c>
      <c r="N323" s="58">
        <v>34000</v>
      </c>
      <c r="O323" s="58">
        <v>0</v>
      </c>
      <c r="P323" s="59">
        <v>17000</v>
      </c>
      <c r="Q323" s="58">
        <v>0</v>
      </c>
      <c r="R323" s="55">
        <v>34000</v>
      </c>
      <c r="S323" s="55" t="s">
        <v>469</v>
      </c>
      <c r="T323" s="55" t="s">
        <v>495</v>
      </c>
      <c r="U323" s="55" t="s">
        <v>18</v>
      </c>
      <c r="V323" s="55" t="s">
        <v>470</v>
      </c>
      <c r="W323" s="42">
        <f>VLOOKUP(B323,'LW13'!$X$15:$Y$501,2,0)-M323</f>
        <v>0</v>
      </c>
    </row>
    <row r="324" spans="1:23" x14ac:dyDescent="0.2">
      <c r="A324" s="9" t="str">
        <f t="shared" si="11"/>
        <v>111NL600068</v>
      </c>
      <c r="B324" s="9" t="str">
        <f>COUNTIF($A$7:A324,A324)&amp;A324</f>
        <v>1111NL600068</v>
      </c>
      <c r="C324" s="54">
        <v>46033</v>
      </c>
      <c r="D324" s="55" t="s">
        <v>294</v>
      </c>
      <c r="E324" s="56" t="s">
        <v>526</v>
      </c>
      <c r="F324" s="56" t="s">
        <v>295</v>
      </c>
      <c r="G324" s="55" t="s">
        <v>492</v>
      </c>
      <c r="H324" s="55" t="s">
        <v>493</v>
      </c>
      <c r="I324" s="55" t="s">
        <v>527</v>
      </c>
      <c r="J324" s="55" t="s">
        <v>123</v>
      </c>
      <c r="K324" s="55" t="s">
        <v>74</v>
      </c>
      <c r="L324" s="55" t="s">
        <v>92</v>
      </c>
      <c r="M324" s="57">
        <v>0.3</v>
      </c>
      <c r="N324" s="58">
        <v>95000</v>
      </c>
      <c r="O324" s="58">
        <v>0</v>
      </c>
      <c r="P324" s="59">
        <v>28500</v>
      </c>
      <c r="Q324" s="58">
        <v>0</v>
      </c>
      <c r="R324" s="55">
        <v>95000</v>
      </c>
      <c r="S324" s="55" t="s">
        <v>469</v>
      </c>
      <c r="T324" s="55" t="s">
        <v>495</v>
      </c>
      <c r="U324" s="55" t="s">
        <v>18</v>
      </c>
      <c r="V324" s="55" t="s">
        <v>470</v>
      </c>
      <c r="W324" s="42">
        <f>VLOOKUP(B324,'LW13'!$X$15:$Y$501,2,0)-M324</f>
        <v>0</v>
      </c>
    </row>
    <row r="325" spans="1:23" x14ac:dyDescent="0.2">
      <c r="A325" s="9" t="str">
        <f t="shared" si="11"/>
        <v>111NL600004</v>
      </c>
      <c r="B325" s="9" t="str">
        <f>COUNTIF($A$7:A325,A325)&amp;A325</f>
        <v>1111NL600004</v>
      </c>
      <c r="C325" s="54">
        <v>46033</v>
      </c>
      <c r="D325" s="55" t="s">
        <v>294</v>
      </c>
      <c r="E325" s="56" t="s">
        <v>526</v>
      </c>
      <c r="F325" s="56" t="s">
        <v>295</v>
      </c>
      <c r="G325" s="55" t="s">
        <v>492</v>
      </c>
      <c r="H325" s="55" t="s">
        <v>493</v>
      </c>
      <c r="I325" s="55" t="s">
        <v>527</v>
      </c>
      <c r="J325" s="55" t="s">
        <v>144</v>
      </c>
      <c r="K325" s="55" t="s">
        <v>47</v>
      </c>
      <c r="L325" s="55" t="s">
        <v>92</v>
      </c>
      <c r="M325" s="57">
        <v>53</v>
      </c>
      <c r="N325" s="58">
        <v>18000</v>
      </c>
      <c r="O325" s="58">
        <v>0</v>
      </c>
      <c r="P325" s="59">
        <v>954000</v>
      </c>
      <c r="Q325" s="58">
        <v>0</v>
      </c>
      <c r="R325" s="55">
        <v>18000</v>
      </c>
      <c r="S325" s="55" t="s">
        <v>469</v>
      </c>
      <c r="T325" s="55" t="s">
        <v>495</v>
      </c>
      <c r="U325" s="55" t="s">
        <v>18</v>
      </c>
      <c r="V325" s="55" t="s">
        <v>470</v>
      </c>
      <c r="W325" s="42">
        <f>VLOOKUP(B325,'LW13'!$X$15:$Y$501,2,0)-M325</f>
        <v>0</v>
      </c>
    </row>
    <row r="326" spans="1:23" x14ac:dyDescent="0.2">
      <c r="A326" s="9" t="str">
        <f t="shared" si="11"/>
        <v>111NL300125</v>
      </c>
      <c r="B326" s="9" t="str">
        <f>COUNTIF($A$7:A326,A326)&amp;A326</f>
        <v>1111NL300125</v>
      </c>
      <c r="C326" s="54">
        <v>46033</v>
      </c>
      <c r="D326" s="55" t="s">
        <v>294</v>
      </c>
      <c r="E326" s="56" t="s">
        <v>526</v>
      </c>
      <c r="F326" s="56" t="s">
        <v>295</v>
      </c>
      <c r="G326" s="55" t="s">
        <v>492</v>
      </c>
      <c r="H326" s="55" t="s">
        <v>493</v>
      </c>
      <c r="I326" s="55" t="s">
        <v>527</v>
      </c>
      <c r="J326" s="55" t="s">
        <v>228</v>
      </c>
      <c r="K326" s="55" t="s">
        <v>227</v>
      </c>
      <c r="L326" s="55" t="s">
        <v>92</v>
      </c>
      <c r="M326" s="57">
        <v>1</v>
      </c>
      <c r="N326" s="58">
        <v>42000</v>
      </c>
      <c r="O326" s="58">
        <v>0</v>
      </c>
      <c r="P326" s="59">
        <v>42000</v>
      </c>
      <c r="Q326" s="58">
        <v>0</v>
      </c>
      <c r="R326" s="55">
        <v>42000</v>
      </c>
      <c r="S326" s="55" t="s">
        <v>469</v>
      </c>
      <c r="T326" s="55" t="s">
        <v>495</v>
      </c>
      <c r="U326" s="55" t="s">
        <v>18</v>
      </c>
      <c r="V326" s="55" t="s">
        <v>470</v>
      </c>
      <c r="W326" s="42">
        <f>VLOOKUP(B326,'LW13'!$X$15:$Y$501,2,0)-M326</f>
        <v>0</v>
      </c>
    </row>
    <row r="327" spans="1:23" x14ac:dyDescent="0.2">
      <c r="A327" s="9" t="str">
        <f t="shared" si="11"/>
        <v>111NL300091</v>
      </c>
      <c r="B327" s="9" t="str">
        <f>COUNTIF($A$7:A327,A327)&amp;A327</f>
        <v>2111NL300091</v>
      </c>
      <c r="C327" s="54">
        <v>46033</v>
      </c>
      <c r="D327" s="55" t="s">
        <v>294</v>
      </c>
      <c r="E327" s="56" t="s">
        <v>528</v>
      </c>
      <c r="F327" s="56" t="s">
        <v>295</v>
      </c>
      <c r="G327" s="55" t="s">
        <v>492</v>
      </c>
      <c r="H327" s="55" t="s">
        <v>493</v>
      </c>
      <c r="I327" s="55" t="s">
        <v>527</v>
      </c>
      <c r="J327" s="55" t="s">
        <v>190</v>
      </c>
      <c r="K327" s="55" t="s">
        <v>40</v>
      </c>
      <c r="L327" s="55" t="s">
        <v>92</v>
      </c>
      <c r="M327" s="57">
        <v>2</v>
      </c>
      <c r="N327" s="58">
        <v>47000</v>
      </c>
      <c r="O327" s="58">
        <v>0</v>
      </c>
      <c r="P327" s="59">
        <v>94000</v>
      </c>
      <c r="Q327" s="58">
        <v>0</v>
      </c>
      <c r="R327" s="55">
        <v>47000</v>
      </c>
      <c r="S327" s="55" t="s">
        <v>469</v>
      </c>
      <c r="T327" s="55" t="s">
        <v>495</v>
      </c>
      <c r="U327" s="55" t="s">
        <v>18</v>
      </c>
      <c r="V327" s="55" t="s">
        <v>470</v>
      </c>
      <c r="W327" s="42">
        <f>VLOOKUP(B327,'LW13'!$X$15:$Y$501,2,0)-M327</f>
        <v>0</v>
      </c>
    </row>
    <row r="328" spans="1:23" x14ac:dyDescent="0.2">
      <c r="A328" s="9" t="str">
        <f t="shared" si="11"/>
        <v>111NL300096</v>
      </c>
      <c r="B328" s="9" t="str">
        <f>COUNTIF($A$7:A328,A328)&amp;A328</f>
        <v>1111NL300096</v>
      </c>
      <c r="C328" s="54">
        <v>46033</v>
      </c>
      <c r="D328" s="55" t="s">
        <v>294</v>
      </c>
      <c r="E328" s="56" t="s">
        <v>528</v>
      </c>
      <c r="F328" s="56" t="s">
        <v>295</v>
      </c>
      <c r="G328" s="55" t="s">
        <v>492</v>
      </c>
      <c r="H328" s="55" t="s">
        <v>493</v>
      </c>
      <c r="I328" s="55" t="s">
        <v>527</v>
      </c>
      <c r="J328" s="55" t="s">
        <v>193</v>
      </c>
      <c r="K328" s="55" t="s">
        <v>41</v>
      </c>
      <c r="L328" s="55" t="s">
        <v>92</v>
      </c>
      <c r="M328" s="57">
        <v>1</v>
      </c>
      <c r="N328" s="58">
        <v>45000</v>
      </c>
      <c r="O328" s="58">
        <v>0</v>
      </c>
      <c r="P328" s="59">
        <v>45000</v>
      </c>
      <c r="Q328" s="58">
        <v>0</v>
      </c>
      <c r="R328" s="55">
        <v>45000</v>
      </c>
      <c r="S328" s="55" t="s">
        <v>469</v>
      </c>
      <c r="T328" s="55" t="s">
        <v>495</v>
      </c>
      <c r="U328" s="55" t="s">
        <v>18</v>
      </c>
      <c r="V328" s="55" t="s">
        <v>470</v>
      </c>
      <c r="W328" s="42">
        <f>VLOOKUP(B328,'LW13'!$X$15:$Y$501,2,0)-M328</f>
        <v>0</v>
      </c>
    </row>
    <row r="329" spans="1:23" x14ac:dyDescent="0.2">
      <c r="A329" s="9" t="str">
        <f t="shared" si="11"/>
        <v>111NL300119</v>
      </c>
      <c r="B329" s="9" t="str">
        <f>COUNTIF($A$7:A329,A329)&amp;A329</f>
        <v>2111NL300119</v>
      </c>
      <c r="C329" s="54">
        <v>46033</v>
      </c>
      <c r="D329" s="55" t="s">
        <v>294</v>
      </c>
      <c r="E329" s="56" t="s">
        <v>528</v>
      </c>
      <c r="F329" s="56" t="s">
        <v>295</v>
      </c>
      <c r="G329" s="55" t="s">
        <v>492</v>
      </c>
      <c r="H329" s="55" t="s">
        <v>493</v>
      </c>
      <c r="I329" s="55" t="s">
        <v>527</v>
      </c>
      <c r="J329" s="55" t="s">
        <v>242</v>
      </c>
      <c r="K329" s="55" t="s">
        <v>307</v>
      </c>
      <c r="L329" s="55" t="s">
        <v>92</v>
      </c>
      <c r="M329" s="57">
        <v>1</v>
      </c>
      <c r="N329" s="58">
        <v>21000</v>
      </c>
      <c r="O329" s="58">
        <v>0</v>
      </c>
      <c r="P329" s="59">
        <v>21000</v>
      </c>
      <c r="Q329" s="58">
        <v>0</v>
      </c>
      <c r="R329" s="55">
        <v>21000</v>
      </c>
      <c r="S329" s="55" t="s">
        <v>469</v>
      </c>
      <c r="T329" s="55" t="s">
        <v>495</v>
      </c>
      <c r="U329" s="55" t="s">
        <v>18</v>
      </c>
      <c r="V329" s="55" t="s">
        <v>470</v>
      </c>
      <c r="W329" s="42">
        <f>VLOOKUP(B329,'LW13'!$X$15:$Y$501,2,0)-M329</f>
        <v>0</v>
      </c>
    </row>
    <row r="330" spans="1:23" x14ac:dyDescent="0.2">
      <c r="A330" s="9" t="str">
        <f t="shared" si="11"/>
        <v>111NL300020</v>
      </c>
      <c r="B330" s="9" t="str">
        <f>COUNTIF($A$7:A330,A330)&amp;A330</f>
        <v>2111NL300020</v>
      </c>
      <c r="C330" s="54">
        <v>46033</v>
      </c>
      <c r="D330" s="55" t="s">
        <v>294</v>
      </c>
      <c r="E330" s="56" t="s">
        <v>528</v>
      </c>
      <c r="F330" s="56" t="s">
        <v>295</v>
      </c>
      <c r="G330" s="55" t="s">
        <v>492</v>
      </c>
      <c r="H330" s="55" t="s">
        <v>493</v>
      </c>
      <c r="I330" s="55" t="s">
        <v>527</v>
      </c>
      <c r="J330" s="55" t="s">
        <v>110</v>
      </c>
      <c r="K330" s="55" t="s">
        <v>302</v>
      </c>
      <c r="L330" s="55" t="s">
        <v>92</v>
      </c>
      <c r="M330" s="57">
        <v>2</v>
      </c>
      <c r="N330" s="58">
        <v>30000</v>
      </c>
      <c r="O330" s="58">
        <v>0</v>
      </c>
      <c r="P330" s="59">
        <v>60000</v>
      </c>
      <c r="Q330" s="58">
        <v>0</v>
      </c>
      <c r="R330" s="55">
        <v>30000</v>
      </c>
      <c r="S330" s="55" t="s">
        <v>469</v>
      </c>
      <c r="T330" s="55" t="s">
        <v>495</v>
      </c>
      <c r="U330" s="55" t="s">
        <v>18</v>
      </c>
      <c r="V330" s="55" t="s">
        <v>470</v>
      </c>
      <c r="W330" s="42">
        <f>VLOOKUP(B330,'LW13'!$X$15:$Y$501,2,0)-M330</f>
        <v>0</v>
      </c>
    </row>
    <row r="331" spans="1:23" x14ac:dyDescent="0.2">
      <c r="A331" s="9" t="str">
        <f t="shared" si="11"/>
        <v>121NL300189</v>
      </c>
      <c r="B331" s="9" t="str">
        <f>COUNTIF($A$7:A331,A331)&amp;A331</f>
        <v>1121NL300189</v>
      </c>
      <c r="C331" s="54">
        <v>46034</v>
      </c>
      <c r="D331" s="55" t="s">
        <v>294</v>
      </c>
      <c r="E331" s="56" t="s">
        <v>529</v>
      </c>
      <c r="F331" s="56" t="s">
        <v>295</v>
      </c>
      <c r="G331" s="55" t="s">
        <v>492</v>
      </c>
      <c r="H331" s="55" t="s">
        <v>493</v>
      </c>
      <c r="I331" s="55" t="s">
        <v>530</v>
      </c>
      <c r="J331" s="55" t="s">
        <v>85</v>
      </c>
      <c r="K331" s="55" t="s">
        <v>54</v>
      </c>
      <c r="L331" s="55" t="s">
        <v>92</v>
      </c>
      <c r="M331" s="57">
        <v>1.5</v>
      </c>
      <c r="N331" s="58">
        <v>15000</v>
      </c>
      <c r="O331" s="58">
        <v>0</v>
      </c>
      <c r="P331" s="59">
        <v>22500</v>
      </c>
      <c r="Q331" s="58">
        <v>0</v>
      </c>
      <c r="R331" s="55">
        <v>15000</v>
      </c>
      <c r="S331" s="55" t="s">
        <v>469</v>
      </c>
      <c r="T331" s="55" t="s">
        <v>495</v>
      </c>
      <c r="U331" s="55" t="s">
        <v>18</v>
      </c>
      <c r="V331" s="55" t="s">
        <v>470</v>
      </c>
      <c r="W331" s="42">
        <f>VLOOKUP(B331,'LW13'!$X$15:$Y$501,2,0)-M331</f>
        <v>0</v>
      </c>
    </row>
    <row r="332" spans="1:23" x14ac:dyDescent="0.2">
      <c r="A332" s="9" t="str">
        <f t="shared" si="11"/>
        <v>121NL300004</v>
      </c>
      <c r="B332" s="9" t="str">
        <f>COUNTIF($A$7:A332,A332)&amp;A332</f>
        <v>1121NL300004</v>
      </c>
      <c r="C332" s="54">
        <v>46034</v>
      </c>
      <c r="D332" s="55" t="s">
        <v>294</v>
      </c>
      <c r="E332" s="56" t="s">
        <v>529</v>
      </c>
      <c r="F332" s="56" t="s">
        <v>295</v>
      </c>
      <c r="G332" s="55" t="s">
        <v>492</v>
      </c>
      <c r="H332" s="55" t="s">
        <v>493</v>
      </c>
      <c r="I332" s="55" t="s">
        <v>530</v>
      </c>
      <c r="J332" s="55" t="s">
        <v>86</v>
      </c>
      <c r="K332" s="55" t="s">
        <v>16</v>
      </c>
      <c r="L332" s="55" t="s">
        <v>92</v>
      </c>
      <c r="M332" s="57">
        <v>1.5</v>
      </c>
      <c r="N332" s="58">
        <v>19000</v>
      </c>
      <c r="O332" s="58">
        <v>0</v>
      </c>
      <c r="P332" s="59">
        <v>28500</v>
      </c>
      <c r="Q332" s="58">
        <v>0</v>
      </c>
      <c r="R332" s="55">
        <v>19000</v>
      </c>
      <c r="S332" s="55" t="s">
        <v>469</v>
      </c>
      <c r="T332" s="55" t="s">
        <v>495</v>
      </c>
      <c r="U332" s="55" t="s">
        <v>18</v>
      </c>
      <c r="V332" s="55" t="s">
        <v>470</v>
      </c>
      <c r="W332" s="42">
        <f>VLOOKUP(B332,'LW13'!$X$15:$Y$501,2,0)-M332</f>
        <v>0</v>
      </c>
    </row>
    <row r="333" spans="1:23" x14ac:dyDescent="0.2">
      <c r="A333" s="9" t="str">
        <f t="shared" si="11"/>
        <v>121NL300008</v>
      </c>
      <c r="B333" s="9" t="str">
        <f>COUNTIF($A$7:A333,A333)&amp;A333</f>
        <v>1121NL300008</v>
      </c>
      <c r="C333" s="54">
        <v>46034</v>
      </c>
      <c r="D333" s="55" t="s">
        <v>294</v>
      </c>
      <c r="E333" s="56" t="s">
        <v>529</v>
      </c>
      <c r="F333" s="56" t="s">
        <v>295</v>
      </c>
      <c r="G333" s="55" t="s">
        <v>492</v>
      </c>
      <c r="H333" s="55" t="s">
        <v>493</v>
      </c>
      <c r="I333" s="55" t="s">
        <v>530</v>
      </c>
      <c r="J333" s="55" t="s">
        <v>93</v>
      </c>
      <c r="K333" s="55" t="s">
        <v>301</v>
      </c>
      <c r="L333" s="55" t="s">
        <v>92</v>
      </c>
      <c r="M333" s="57">
        <v>5</v>
      </c>
      <c r="N333" s="58">
        <v>40000</v>
      </c>
      <c r="O333" s="58">
        <v>0</v>
      </c>
      <c r="P333" s="59">
        <v>200000</v>
      </c>
      <c r="Q333" s="58">
        <v>0</v>
      </c>
      <c r="R333" s="55">
        <v>40000</v>
      </c>
      <c r="S333" s="55" t="s">
        <v>469</v>
      </c>
      <c r="T333" s="55" t="s">
        <v>495</v>
      </c>
      <c r="U333" s="55" t="s">
        <v>18</v>
      </c>
      <c r="V333" s="55" t="s">
        <v>470</v>
      </c>
      <c r="W333" s="42">
        <f>VLOOKUP(B333,'LW13'!$X$15:$Y$501,2,0)-M333</f>
        <v>0</v>
      </c>
    </row>
    <row r="334" spans="1:23" x14ac:dyDescent="0.2">
      <c r="A334" s="9" t="str">
        <f t="shared" ref="A334:A397" si="12">DAY(C334)&amp;MONTH(C334)&amp;J334</f>
        <v>121NL300028</v>
      </c>
      <c r="B334" s="9" t="str">
        <f>COUNTIF($A$7:A334,A334)&amp;A334</f>
        <v>1121NL300028</v>
      </c>
      <c r="C334" s="54">
        <v>46034</v>
      </c>
      <c r="D334" s="55" t="s">
        <v>294</v>
      </c>
      <c r="E334" s="56" t="s">
        <v>529</v>
      </c>
      <c r="F334" s="56" t="s">
        <v>295</v>
      </c>
      <c r="G334" s="55" t="s">
        <v>492</v>
      </c>
      <c r="H334" s="55" t="s">
        <v>493</v>
      </c>
      <c r="I334" s="55" t="s">
        <v>530</v>
      </c>
      <c r="J334" s="55" t="s">
        <v>107</v>
      </c>
      <c r="K334" s="55" t="s">
        <v>70</v>
      </c>
      <c r="L334" s="55" t="s">
        <v>92</v>
      </c>
      <c r="M334" s="57">
        <v>0.5</v>
      </c>
      <c r="N334" s="58">
        <v>75000</v>
      </c>
      <c r="O334" s="58">
        <v>0</v>
      </c>
      <c r="P334" s="59">
        <v>37500</v>
      </c>
      <c r="Q334" s="58">
        <v>0</v>
      </c>
      <c r="R334" s="55">
        <v>75000</v>
      </c>
      <c r="S334" s="55" t="s">
        <v>469</v>
      </c>
      <c r="T334" s="55" t="s">
        <v>495</v>
      </c>
      <c r="U334" s="55" t="s">
        <v>18</v>
      </c>
      <c r="V334" s="55" t="s">
        <v>470</v>
      </c>
      <c r="W334" s="42">
        <f>VLOOKUP(B334,'LW13'!$X$15:$Y$501,2,0)-M334</f>
        <v>0</v>
      </c>
    </row>
    <row r="335" spans="1:23" x14ac:dyDescent="0.2">
      <c r="A335" s="9" t="str">
        <f t="shared" si="12"/>
        <v>121NL300035</v>
      </c>
      <c r="B335" s="9" t="str">
        <f>COUNTIF($A$7:A335,A335)&amp;A335</f>
        <v>1121NL300035</v>
      </c>
      <c r="C335" s="54">
        <v>46034</v>
      </c>
      <c r="D335" s="55" t="s">
        <v>294</v>
      </c>
      <c r="E335" s="56" t="s">
        <v>529</v>
      </c>
      <c r="F335" s="56" t="s">
        <v>295</v>
      </c>
      <c r="G335" s="55" t="s">
        <v>492</v>
      </c>
      <c r="H335" s="55" t="s">
        <v>493</v>
      </c>
      <c r="I335" s="55" t="s">
        <v>530</v>
      </c>
      <c r="J335" s="55" t="s">
        <v>129</v>
      </c>
      <c r="K335" s="55" t="s">
        <v>500</v>
      </c>
      <c r="L335" s="55" t="s">
        <v>92</v>
      </c>
      <c r="M335" s="57">
        <v>0.2</v>
      </c>
      <c r="N335" s="58">
        <v>25000</v>
      </c>
      <c r="O335" s="58">
        <v>0</v>
      </c>
      <c r="P335" s="59">
        <v>5000</v>
      </c>
      <c r="Q335" s="58">
        <v>0</v>
      </c>
      <c r="R335" s="55">
        <v>25000</v>
      </c>
      <c r="S335" s="55" t="s">
        <v>469</v>
      </c>
      <c r="T335" s="55" t="s">
        <v>495</v>
      </c>
      <c r="U335" s="55" t="s">
        <v>18</v>
      </c>
      <c r="V335" s="55" t="s">
        <v>470</v>
      </c>
      <c r="W335" s="42">
        <f>VLOOKUP(B335,'LW13'!$X$15:$Y$501,2,0)-M335</f>
        <v>0</v>
      </c>
    </row>
    <row r="336" spans="1:23" x14ac:dyDescent="0.2">
      <c r="A336" s="9" t="str">
        <f t="shared" si="12"/>
        <v>121NL300036</v>
      </c>
      <c r="B336" s="9" t="str">
        <f>COUNTIF($A$7:A336,A336)&amp;A336</f>
        <v>1121NL300036</v>
      </c>
      <c r="C336" s="54">
        <v>46034</v>
      </c>
      <c r="D336" s="55" t="s">
        <v>294</v>
      </c>
      <c r="E336" s="56" t="s">
        <v>529</v>
      </c>
      <c r="F336" s="56" t="s">
        <v>295</v>
      </c>
      <c r="G336" s="55" t="s">
        <v>492</v>
      </c>
      <c r="H336" s="55" t="s">
        <v>493</v>
      </c>
      <c r="I336" s="55" t="s">
        <v>530</v>
      </c>
      <c r="J336" s="55" t="s">
        <v>131</v>
      </c>
      <c r="K336" s="55" t="s">
        <v>27</v>
      </c>
      <c r="L336" s="55" t="s">
        <v>92</v>
      </c>
      <c r="M336" s="57">
        <v>0.5</v>
      </c>
      <c r="N336" s="58">
        <v>47000</v>
      </c>
      <c r="O336" s="58">
        <v>0</v>
      </c>
      <c r="P336" s="59">
        <v>23500</v>
      </c>
      <c r="Q336" s="58">
        <v>0</v>
      </c>
      <c r="R336" s="55">
        <v>47000</v>
      </c>
      <c r="S336" s="55" t="s">
        <v>469</v>
      </c>
      <c r="T336" s="55" t="s">
        <v>495</v>
      </c>
      <c r="U336" s="55" t="s">
        <v>18</v>
      </c>
      <c r="V336" s="55" t="s">
        <v>470</v>
      </c>
      <c r="W336" s="42">
        <f>VLOOKUP(B336,'LW13'!$X$15:$Y$501,2,0)-M336</f>
        <v>0</v>
      </c>
    </row>
    <row r="337" spans="1:23" x14ac:dyDescent="0.2">
      <c r="A337" s="9" t="str">
        <f t="shared" si="12"/>
        <v>121NL300038</v>
      </c>
      <c r="B337" s="9" t="str">
        <f>COUNTIF($A$7:A337,A337)&amp;A337</f>
        <v>1121NL300038</v>
      </c>
      <c r="C337" s="54">
        <v>46034</v>
      </c>
      <c r="D337" s="55" t="s">
        <v>294</v>
      </c>
      <c r="E337" s="56" t="s">
        <v>529</v>
      </c>
      <c r="F337" s="56" t="s">
        <v>295</v>
      </c>
      <c r="G337" s="55" t="s">
        <v>492</v>
      </c>
      <c r="H337" s="55" t="s">
        <v>493</v>
      </c>
      <c r="I337" s="55" t="s">
        <v>530</v>
      </c>
      <c r="J337" s="55" t="s">
        <v>132</v>
      </c>
      <c r="K337" s="55" t="s">
        <v>28</v>
      </c>
      <c r="L337" s="55" t="s">
        <v>92</v>
      </c>
      <c r="M337" s="57">
        <v>1.5</v>
      </c>
      <c r="N337" s="58">
        <v>32000</v>
      </c>
      <c r="O337" s="58">
        <v>0</v>
      </c>
      <c r="P337" s="59">
        <v>48000</v>
      </c>
      <c r="Q337" s="58">
        <v>0</v>
      </c>
      <c r="R337" s="55">
        <v>32000</v>
      </c>
      <c r="S337" s="55" t="s">
        <v>469</v>
      </c>
      <c r="T337" s="55" t="s">
        <v>495</v>
      </c>
      <c r="U337" s="55" t="s">
        <v>18</v>
      </c>
      <c r="V337" s="55" t="s">
        <v>470</v>
      </c>
      <c r="W337" s="42">
        <f>VLOOKUP(B337,'LW13'!$X$15:$Y$501,2,0)-M337</f>
        <v>0</v>
      </c>
    </row>
    <row r="338" spans="1:23" x14ac:dyDescent="0.2">
      <c r="A338" s="9" t="str">
        <f t="shared" si="12"/>
        <v>121NL300054</v>
      </c>
      <c r="B338" s="9" t="str">
        <f>COUNTIF($A$7:A338,A338)&amp;A338</f>
        <v>1121NL300054</v>
      </c>
      <c r="C338" s="54">
        <v>46034</v>
      </c>
      <c r="D338" s="55" t="s">
        <v>294</v>
      </c>
      <c r="E338" s="56" t="s">
        <v>529</v>
      </c>
      <c r="F338" s="56" t="s">
        <v>295</v>
      </c>
      <c r="G338" s="55" t="s">
        <v>492</v>
      </c>
      <c r="H338" s="55" t="s">
        <v>493</v>
      </c>
      <c r="I338" s="55" t="s">
        <v>530</v>
      </c>
      <c r="J338" s="55" t="s">
        <v>128</v>
      </c>
      <c r="K338" s="55" t="s">
        <v>314</v>
      </c>
      <c r="L338" s="55" t="s">
        <v>92</v>
      </c>
      <c r="M338" s="57">
        <v>1.1000000000000001</v>
      </c>
      <c r="N338" s="58">
        <v>38000</v>
      </c>
      <c r="O338" s="58">
        <v>0</v>
      </c>
      <c r="P338" s="59">
        <v>41800</v>
      </c>
      <c r="Q338" s="58">
        <v>0</v>
      </c>
      <c r="R338" s="55">
        <v>38000</v>
      </c>
      <c r="S338" s="55" t="s">
        <v>469</v>
      </c>
      <c r="T338" s="55" t="s">
        <v>495</v>
      </c>
      <c r="U338" s="55" t="s">
        <v>18</v>
      </c>
      <c r="V338" s="55" t="s">
        <v>470</v>
      </c>
      <c r="W338" s="42">
        <f>VLOOKUP(B338,'LW13'!$X$15:$Y$501,2,0)-M338</f>
        <v>0</v>
      </c>
    </row>
    <row r="339" spans="1:23" x14ac:dyDescent="0.2">
      <c r="A339" s="9" t="str">
        <f t="shared" si="12"/>
        <v>121NL300058</v>
      </c>
      <c r="B339" s="9" t="str">
        <f>COUNTIF($A$7:A339,A339)&amp;A339</f>
        <v>1121NL300058</v>
      </c>
      <c r="C339" s="54">
        <v>46034</v>
      </c>
      <c r="D339" s="55" t="s">
        <v>294</v>
      </c>
      <c r="E339" s="56" t="s">
        <v>529</v>
      </c>
      <c r="F339" s="56" t="s">
        <v>295</v>
      </c>
      <c r="G339" s="55" t="s">
        <v>492</v>
      </c>
      <c r="H339" s="55" t="s">
        <v>493</v>
      </c>
      <c r="I339" s="55" t="s">
        <v>530</v>
      </c>
      <c r="J339" s="55" t="s">
        <v>147</v>
      </c>
      <c r="K339" s="55" t="s">
        <v>29</v>
      </c>
      <c r="L339" s="55" t="s">
        <v>92</v>
      </c>
      <c r="M339" s="57">
        <v>1.5</v>
      </c>
      <c r="N339" s="58">
        <v>55000</v>
      </c>
      <c r="O339" s="58">
        <v>0</v>
      </c>
      <c r="P339" s="59">
        <v>82500</v>
      </c>
      <c r="Q339" s="58">
        <v>0</v>
      </c>
      <c r="R339" s="55">
        <v>55000</v>
      </c>
      <c r="S339" s="55" t="s">
        <v>469</v>
      </c>
      <c r="T339" s="55" t="s">
        <v>495</v>
      </c>
      <c r="U339" s="55" t="s">
        <v>18</v>
      </c>
      <c r="V339" s="55" t="s">
        <v>470</v>
      </c>
      <c r="W339" s="42">
        <f>VLOOKUP(B339,'LW13'!$X$15:$Y$501,2,0)-M339</f>
        <v>0</v>
      </c>
    </row>
    <row r="340" spans="1:23" x14ac:dyDescent="0.2">
      <c r="A340" s="9" t="str">
        <f t="shared" si="12"/>
        <v>121NL300070</v>
      </c>
      <c r="B340" s="9" t="str">
        <f>COUNTIF($A$7:A340,A340)&amp;A340</f>
        <v>1121NL300070</v>
      </c>
      <c r="C340" s="54">
        <v>46034</v>
      </c>
      <c r="D340" s="55" t="s">
        <v>294</v>
      </c>
      <c r="E340" s="56" t="s">
        <v>529</v>
      </c>
      <c r="F340" s="56" t="s">
        <v>295</v>
      </c>
      <c r="G340" s="55" t="s">
        <v>492</v>
      </c>
      <c r="H340" s="55" t="s">
        <v>493</v>
      </c>
      <c r="I340" s="55" t="s">
        <v>530</v>
      </c>
      <c r="J340" s="55" t="s">
        <v>162</v>
      </c>
      <c r="K340" s="55" t="s">
        <v>304</v>
      </c>
      <c r="L340" s="55" t="s">
        <v>92</v>
      </c>
      <c r="M340" s="57">
        <v>0.7</v>
      </c>
      <c r="N340" s="58">
        <v>23000</v>
      </c>
      <c r="O340" s="58">
        <v>0</v>
      </c>
      <c r="P340" s="59">
        <v>16100</v>
      </c>
      <c r="Q340" s="58">
        <v>0</v>
      </c>
      <c r="R340" s="55">
        <v>23000</v>
      </c>
      <c r="S340" s="55" t="s">
        <v>469</v>
      </c>
      <c r="T340" s="55" t="s">
        <v>495</v>
      </c>
      <c r="U340" s="55" t="s">
        <v>18</v>
      </c>
      <c r="V340" s="55" t="s">
        <v>470</v>
      </c>
      <c r="W340" s="42">
        <f>VLOOKUP(B340,'LW13'!$X$15:$Y$501,2,0)-M340</f>
        <v>0</v>
      </c>
    </row>
    <row r="341" spans="1:23" x14ac:dyDescent="0.2">
      <c r="A341" s="9" t="str">
        <f t="shared" si="12"/>
        <v>121NL300088</v>
      </c>
      <c r="B341" s="9" t="str">
        <f>COUNTIF($A$7:A341,A341)&amp;A341</f>
        <v>1121NL300088</v>
      </c>
      <c r="C341" s="54">
        <v>46034</v>
      </c>
      <c r="D341" s="55" t="s">
        <v>294</v>
      </c>
      <c r="E341" s="56" t="s">
        <v>529</v>
      </c>
      <c r="F341" s="56" t="s">
        <v>295</v>
      </c>
      <c r="G341" s="55" t="s">
        <v>492</v>
      </c>
      <c r="H341" s="55" t="s">
        <v>493</v>
      </c>
      <c r="I341" s="55" t="s">
        <v>530</v>
      </c>
      <c r="J341" s="55" t="s">
        <v>185</v>
      </c>
      <c r="K341" s="55" t="s">
        <v>31</v>
      </c>
      <c r="L341" s="55" t="s">
        <v>92</v>
      </c>
      <c r="M341" s="57">
        <v>3</v>
      </c>
      <c r="N341" s="58">
        <v>27000</v>
      </c>
      <c r="O341" s="58">
        <v>0</v>
      </c>
      <c r="P341" s="59">
        <v>81000</v>
      </c>
      <c r="Q341" s="58">
        <v>0</v>
      </c>
      <c r="R341" s="55">
        <v>27000</v>
      </c>
      <c r="S341" s="55" t="s">
        <v>469</v>
      </c>
      <c r="T341" s="55" t="s">
        <v>495</v>
      </c>
      <c r="U341" s="55" t="s">
        <v>18</v>
      </c>
      <c r="V341" s="55" t="s">
        <v>470</v>
      </c>
      <c r="W341" s="42">
        <f>VLOOKUP(B341,'LW13'!$X$15:$Y$501,2,0)-M341</f>
        <v>0</v>
      </c>
    </row>
    <row r="342" spans="1:23" x14ac:dyDescent="0.2">
      <c r="A342" s="9" t="str">
        <f t="shared" si="12"/>
        <v>121NL300107</v>
      </c>
      <c r="B342" s="9" t="str">
        <f>COUNTIF($A$7:A342,A342)&amp;A342</f>
        <v>1121NL300107</v>
      </c>
      <c r="C342" s="54">
        <v>46034</v>
      </c>
      <c r="D342" s="55" t="s">
        <v>294</v>
      </c>
      <c r="E342" s="56" t="s">
        <v>529</v>
      </c>
      <c r="F342" s="56" t="s">
        <v>295</v>
      </c>
      <c r="G342" s="55" t="s">
        <v>492</v>
      </c>
      <c r="H342" s="55" t="s">
        <v>493</v>
      </c>
      <c r="I342" s="55" t="s">
        <v>530</v>
      </c>
      <c r="J342" s="55" t="s">
        <v>87</v>
      </c>
      <c r="K342" s="55" t="s">
        <v>299</v>
      </c>
      <c r="L342" s="55" t="s">
        <v>300</v>
      </c>
      <c r="M342" s="57">
        <v>8</v>
      </c>
      <c r="N342" s="58">
        <v>8500</v>
      </c>
      <c r="O342" s="58">
        <v>0</v>
      </c>
      <c r="P342" s="59">
        <v>68000</v>
      </c>
      <c r="Q342" s="58">
        <v>0</v>
      </c>
      <c r="R342" s="55">
        <v>8500</v>
      </c>
      <c r="S342" s="55" t="s">
        <v>469</v>
      </c>
      <c r="T342" s="55" t="s">
        <v>495</v>
      </c>
      <c r="U342" s="55" t="s">
        <v>18</v>
      </c>
      <c r="V342" s="55" t="s">
        <v>470</v>
      </c>
      <c r="W342" s="42">
        <f>VLOOKUP(B342,'LW13'!$X$15:$Y$501,2,0)-M342</f>
        <v>0</v>
      </c>
    </row>
    <row r="343" spans="1:23" x14ac:dyDescent="0.2">
      <c r="A343" s="9" t="str">
        <f t="shared" si="12"/>
        <v>121NL300113</v>
      </c>
      <c r="B343" s="9" t="str">
        <f>COUNTIF($A$7:A343,A343)&amp;A343</f>
        <v>1121NL300113</v>
      </c>
      <c r="C343" s="54">
        <v>46034</v>
      </c>
      <c r="D343" s="55" t="s">
        <v>294</v>
      </c>
      <c r="E343" s="56" t="s">
        <v>529</v>
      </c>
      <c r="F343" s="56" t="s">
        <v>295</v>
      </c>
      <c r="G343" s="55" t="s">
        <v>492</v>
      </c>
      <c r="H343" s="55" t="s">
        <v>493</v>
      </c>
      <c r="I343" s="55" t="s">
        <v>530</v>
      </c>
      <c r="J343" s="55" t="s">
        <v>216</v>
      </c>
      <c r="K343" s="55" t="s">
        <v>33</v>
      </c>
      <c r="L343" s="55" t="s">
        <v>92</v>
      </c>
      <c r="M343" s="57">
        <v>1</v>
      </c>
      <c r="N343" s="58">
        <v>145000</v>
      </c>
      <c r="O343" s="58">
        <v>0</v>
      </c>
      <c r="P343" s="59">
        <v>145000</v>
      </c>
      <c r="Q343" s="58">
        <v>0</v>
      </c>
      <c r="R343" s="55">
        <v>145000</v>
      </c>
      <c r="S343" s="55" t="s">
        <v>469</v>
      </c>
      <c r="T343" s="55" t="s">
        <v>495</v>
      </c>
      <c r="U343" s="55" t="s">
        <v>18</v>
      </c>
      <c r="V343" s="55" t="s">
        <v>470</v>
      </c>
      <c r="W343" s="42">
        <f>VLOOKUP(B343,'LW13'!$X$15:$Y$501,2,0)-M343</f>
        <v>0</v>
      </c>
    </row>
    <row r="344" spans="1:23" x14ac:dyDescent="0.2">
      <c r="A344" s="9" t="str">
        <f t="shared" si="12"/>
        <v>121NL300137</v>
      </c>
      <c r="B344" s="9" t="str">
        <f>COUNTIF($A$7:A344,A344)&amp;A344</f>
        <v>1121NL300137</v>
      </c>
      <c r="C344" s="54">
        <v>46034</v>
      </c>
      <c r="D344" s="55" t="s">
        <v>294</v>
      </c>
      <c r="E344" s="56" t="s">
        <v>529</v>
      </c>
      <c r="F344" s="56" t="s">
        <v>295</v>
      </c>
      <c r="G344" s="55" t="s">
        <v>492</v>
      </c>
      <c r="H344" s="55" t="s">
        <v>493</v>
      </c>
      <c r="I344" s="55" t="s">
        <v>530</v>
      </c>
      <c r="J344" s="55" t="s">
        <v>96</v>
      </c>
      <c r="K344" s="55" t="s">
        <v>397</v>
      </c>
      <c r="L344" s="55" t="s">
        <v>92</v>
      </c>
      <c r="M344" s="57">
        <v>2</v>
      </c>
      <c r="N344" s="58">
        <v>52000</v>
      </c>
      <c r="O344" s="58">
        <v>0</v>
      </c>
      <c r="P344" s="59">
        <v>104000</v>
      </c>
      <c r="Q344" s="58">
        <v>0</v>
      </c>
      <c r="R344" s="55">
        <v>52000</v>
      </c>
      <c r="S344" s="55" t="s">
        <v>469</v>
      </c>
      <c r="T344" s="55" t="s">
        <v>495</v>
      </c>
      <c r="U344" s="55" t="s">
        <v>18</v>
      </c>
      <c r="V344" s="55" t="s">
        <v>470</v>
      </c>
      <c r="W344" s="42">
        <f>VLOOKUP(B344,'LW13'!$X$15:$Y$501,2,0)-M344</f>
        <v>0</v>
      </c>
    </row>
    <row r="345" spans="1:23" x14ac:dyDescent="0.2">
      <c r="A345" s="9" t="str">
        <f t="shared" si="12"/>
        <v>121NL300119</v>
      </c>
      <c r="B345" s="9" t="str">
        <f>COUNTIF($A$7:A345,A345)&amp;A345</f>
        <v>1121NL300119</v>
      </c>
      <c r="C345" s="54">
        <v>46034</v>
      </c>
      <c r="D345" s="55" t="s">
        <v>294</v>
      </c>
      <c r="E345" s="56" t="s">
        <v>529</v>
      </c>
      <c r="F345" s="56" t="s">
        <v>295</v>
      </c>
      <c r="G345" s="55" t="s">
        <v>492</v>
      </c>
      <c r="H345" s="55" t="s">
        <v>493</v>
      </c>
      <c r="I345" s="55" t="s">
        <v>530</v>
      </c>
      <c r="J345" s="55" t="s">
        <v>242</v>
      </c>
      <c r="K345" s="55" t="s">
        <v>307</v>
      </c>
      <c r="L345" s="55" t="s">
        <v>92</v>
      </c>
      <c r="M345" s="57">
        <v>1</v>
      </c>
      <c r="N345" s="58">
        <v>21000</v>
      </c>
      <c r="O345" s="58">
        <v>0</v>
      </c>
      <c r="P345" s="59">
        <v>21000</v>
      </c>
      <c r="Q345" s="58">
        <v>0</v>
      </c>
      <c r="R345" s="55">
        <v>21000</v>
      </c>
      <c r="S345" s="55" t="s">
        <v>469</v>
      </c>
      <c r="T345" s="55" t="s">
        <v>495</v>
      </c>
      <c r="U345" s="55" t="s">
        <v>18</v>
      </c>
      <c r="V345" s="55" t="s">
        <v>470</v>
      </c>
      <c r="W345" s="42">
        <f>VLOOKUP(B345,'LW13'!$X$15:$Y$501,2,0)-M345</f>
        <v>0</v>
      </c>
    </row>
    <row r="346" spans="1:23" x14ac:dyDescent="0.2">
      <c r="A346" s="9" t="str">
        <f t="shared" si="12"/>
        <v>121NL300025</v>
      </c>
      <c r="B346" s="9" t="str">
        <f>COUNTIF($A$7:A346,A346)&amp;A346</f>
        <v>1121NL300025</v>
      </c>
      <c r="C346" s="54">
        <v>46034</v>
      </c>
      <c r="D346" s="55" t="s">
        <v>294</v>
      </c>
      <c r="E346" s="56" t="s">
        <v>529</v>
      </c>
      <c r="F346" s="56" t="s">
        <v>295</v>
      </c>
      <c r="G346" s="55" t="s">
        <v>492</v>
      </c>
      <c r="H346" s="55" t="s">
        <v>493</v>
      </c>
      <c r="I346" s="55" t="s">
        <v>530</v>
      </c>
      <c r="J346" s="55" t="s">
        <v>117</v>
      </c>
      <c r="K346" s="55" t="s">
        <v>303</v>
      </c>
      <c r="L346" s="55" t="s">
        <v>92</v>
      </c>
      <c r="M346" s="57">
        <v>0.9</v>
      </c>
      <c r="N346" s="58">
        <v>44000</v>
      </c>
      <c r="O346" s="58">
        <v>0</v>
      </c>
      <c r="P346" s="59">
        <v>39600</v>
      </c>
      <c r="Q346" s="58">
        <v>0</v>
      </c>
      <c r="R346" s="55">
        <v>44000</v>
      </c>
      <c r="S346" s="55" t="s">
        <v>469</v>
      </c>
      <c r="T346" s="55" t="s">
        <v>495</v>
      </c>
      <c r="U346" s="55" t="s">
        <v>18</v>
      </c>
      <c r="V346" s="55" t="s">
        <v>470</v>
      </c>
      <c r="W346" s="42">
        <f>VLOOKUP(B346,'LW13'!$X$15:$Y$501,2,0)-M346</f>
        <v>0</v>
      </c>
    </row>
    <row r="347" spans="1:23" x14ac:dyDescent="0.2">
      <c r="A347" s="9" t="str">
        <f t="shared" si="12"/>
        <v>121NL300121</v>
      </c>
      <c r="B347" s="9" t="str">
        <f>COUNTIF($A$7:A347,A347)&amp;A347</f>
        <v>1121NL300121</v>
      </c>
      <c r="C347" s="54">
        <v>46034</v>
      </c>
      <c r="D347" s="55" t="s">
        <v>294</v>
      </c>
      <c r="E347" s="56" t="s">
        <v>529</v>
      </c>
      <c r="F347" s="56" t="s">
        <v>295</v>
      </c>
      <c r="G347" s="55" t="s">
        <v>492</v>
      </c>
      <c r="H347" s="55" t="s">
        <v>493</v>
      </c>
      <c r="I347" s="55" t="s">
        <v>530</v>
      </c>
      <c r="J347" s="55" t="s">
        <v>231</v>
      </c>
      <c r="K347" s="55" t="s">
        <v>35</v>
      </c>
      <c r="L347" s="55" t="s">
        <v>92</v>
      </c>
      <c r="M347" s="57">
        <v>0.1</v>
      </c>
      <c r="N347" s="58">
        <v>22000</v>
      </c>
      <c r="O347" s="58">
        <v>0</v>
      </c>
      <c r="P347" s="59">
        <v>2200</v>
      </c>
      <c r="Q347" s="58">
        <v>0</v>
      </c>
      <c r="R347" s="55">
        <v>22000</v>
      </c>
      <c r="S347" s="55" t="s">
        <v>469</v>
      </c>
      <c r="T347" s="55" t="s">
        <v>495</v>
      </c>
      <c r="U347" s="55" t="s">
        <v>18</v>
      </c>
      <c r="V347" s="55" t="s">
        <v>470</v>
      </c>
      <c r="W347" s="42">
        <f>VLOOKUP(B347,'LW13'!$X$15:$Y$501,2,0)-M347</f>
        <v>0</v>
      </c>
    </row>
    <row r="348" spans="1:23" x14ac:dyDescent="0.2">
      <c r="A348" s="9" t="str">
        <f t="shared" si="12"/>
        <v>121NL300139</v>
      </c>
      <c r="B348" s="9" t="str">
        <f>COUNTIF($A$7:A348,A348)&amp;A348</f>
        <v>1121NL300139</v>
      </c>
      <c r="C348" s="54">
        <v>46034</v>
      </c>
      <c r="D348" s="55" t="s">
        <v>294</v>
      </c>
      <c r="E348" s="56" t="s">
        <v>529</v>
      </c>
      <c r="F348" s="56" t="s">
        <v>295</v>
      </c>
      <c r="G348" s="55" t="s">
        <v>492</v>
      </c>
      <c r="H348" s="55" t="s">
        <v>493</v>
      </c>
      <c r="I348" s="55" t="s">
        <v>530</v>
      </c>
      <c r="J348" s="55" t="s">
        <v>249</v>
      </c>
      <c r="K348" s="55" t="s">
        <v>58</v>
      </c>
      <c r="L348" s="55" t="s">
        <v>92</v>
      </c>
      <c r="M348" s="57">
        <v>0.1</v>
      </c>
      <c r="N348" s="58">
        <v>42000</v>
      </c>
      <c r="O348" s="58">
        <v>0</v>
      </c>
      <c r="P348" s="59">
        <v>4200</v>
      </c>
      <c r="Q348" s="58">
        <v>0</v>
      </c>
      <c r="R348" s="55">
        <v>42000</v>
      </c>
      <c r="S348" s="55" t="s">
        <v>469</v>
      </c>
      <c r="T348" s="55" t="s">
        <v>495</v>
      </c>
      <c r="U348" s="55" t="s">
        <v>18</v>
      </c>
      <c r="V348" s="55" t="s">
        <v>470</v>
      </c>
      <c r="W348" s="42">
        <f>VLOOKUP(B348,'LW13'!$X$15:$Y$501,2,0)-M348</f>
        <v>0</v>
      </c>
    </row>
    <row r="349" spans="1:23" x14ac:dyDescent="0.2">
      <c r="A349" s="9" t="str">
        <f t="shared" si="12"/>
        <v>121NL100101</v>
      </c>
      <c r="B349" s="9" t="str">
        <f>COUNTIF($A$7:A349,A349)&amp;A349</f>
        <v>1121NL100101</v>
      </c>
      <c r="C349" s="54">
        <v>46034</v>
      </c>
      <c r="D349" s="55" t="s">
        <v>294</v>
      </c>
      <c r="E349" s="56" t="s">
        <v>529</v>
      </c>
      <c r="F349" s="56" t="s">
        <v>295</v>
      </c>
      <c r="G349" s="55" t="s">
        <v>492</v>
      </c>
      <c r="H349" s="55" t="s">
        <v>493</v>
      </c>
      <c r="I349" s="55" t="s">
        <v>530</v>
      </c>
      <c r="J349" s="55" t="s">
        <v>263</v>
      </c>
      <c r="K349" s="55" t="s">
        <v>52</v>
      </c>
      <c r="L349" s="55" t="s">
        <v>318</v>
      </c>
      <c r="M349" s="57">
        <v>28</v>
      </c>
      <c r="N349" s="58">
        <v>5000</v>
      </c>
      <c r="O349" s="58">
        <v>0</v>
      </c>
      <c r="P349" s="59">
        <v>140000</v>
      </c>
      <c r="Q349" s="58">
        <v>0</v>
      </c>
      <c r="R349" s="55">
        <v>5000</v>
      </c>
      <c r="S349" s="55" t="s">
        <v>469</v>
      </c>
      <c r="T349" s="55" t="s">
        <v>495</v>
      </c>
      <c r="U349" s="55" t="s">
        <v>18</v>
      </c>
      <c r="V349" s="55" t="s">
        <v>470</v>
      </c>
      <c r="W349" s="42">
        <f>VLOOKUP(B349,'LW13'!$X$15:$Y$501,2,0)-M349</f>
        <v>0</v>
      </c>
    </row>
    <row r="350" spans="1:23" x14ac:dyDescent="0.2">
      <c r="A350" s="9" t="str">
        <f t="shared" si="12"/>
        <v>121NL300147</v>
      </c>
      <c r="B350" s="9" t="str">
        <f>COUNTIF($A$7:A350,A350)&amp;A350</f>
        <v>1121NL300147</v>
      </c>
      <c r="C350" s="54">
        <v>46034</v>
      </c>
      <c r="D350" s="55" t="s">
        <v>294</v>
      </c>
      <c r="E350" s="56" t="s">
        <v>529</v>
      </c>
      <c r="F350" s="56" t="s">
        <v>295</v>
      </c>
      <c r="G350" s="55" t="s">
        <v>492</v>
      </c>
      <c r="H350" s="55" t="s">
        <v>493</v>
      </c>
      <c r="I350" s="55" t="s">
        <v>530</v>
      </c>
      <c r="J350" s="55" t="s">
        <v>270</v>
      </c>
      <c r="K350" s="55" t="s">
        <v>309</v>
      </c>
      <c r="L350" s="55" t="s">
        <v>92</v>
      </c>
      <c r="M350" s="57">
        <v>2</v>
      </c>
      <c r="N350" s="58">
        <v>62000</v>
      </c>
      <c r="O350" s="58">
        <v>0</v>
      </c>
      <c r="P350" s="59">
        <v>124000</v>
      </c>
      <c r="Q350" s="58">
        <v>0</v>
      </c>
      <c r="R350" s="55">
        <v>62000</v>
      </c>
      <c r="S350" s="55" t="s">
        <v>469</v>
      </c>
      <c r="T350" s="55" t="s">
        <v>495</v>
      </c>
      <c r="U350" s="55" t="s">
        <v>18</v>
      </c>
      <c r="V350" s="55" t="s">
        <v>470</v>
      </c>
      <c r="W350" s="42">
        <f>VLOOKUP(B350,'LW13'!$X$15:$Y$501,2,0)-M350</f>
        <v>0</v>
      </c>
    </row>
    <row r="351" spans="1:23" x14ac:dyDescent="0.2">
      <c r="A351" s="9" t="str">
        <f t="shared" si="12"/>
        <v>121NL300091</v>
      </c>
      <c r="B351" s="9" t="str">
        <f>COUNTIF($A$7:A351,A351)&amp;A351</f>
        <v>1121NL300091</v>
      </c>
      <c r="C351" s="54">
        <v>46034</v>
      </c>
      <c r="D351" s="55" t="s">
        <v>294</v>
      </c>
      <c r="E351" s="56" t="s">
        <v>529</v>
      </c>
      <c r="F351" s="56" t="s">
        <v>295</v>
      </c>
      <c r="G351" s="55" t="s">
        <v>492</v>
      </c>
      <c r="H351" s="55" t="s">
        <v>493</v>
      </c>
      <c r="I351" s="55" t="s">
        <v>530</v>
      </c>
      <c r="J351" s="55" t="s">
        <v>190</v>
      </c>
      <c r="K351" s="55" t="s">
        <v>40</v>
      </c>
      <c r="L351" s="55" t="s">
        <v>92</v>
      </c>
      <c r="M351" s="57">
        <v>1</v>
      </c>
      <c r="N351" s="58">
        <v>47000</v>
      </c>
      <c r="O351" s="58">
        <v>0</v>
      </c>
      <c r="P351" s="59">
        <v>47000</v>
      </c>
      <c r="Q351" s="58">
        <v>0</v>
      </c>
      <c r="R351" s="55">
        <v>47000</v>
      </c>
      <c r="S351" s="55" t="s">
        <v>469</v>
      </c>
      <c r="T351" s="55" t="s">
        <v>495</v>
      </c>
      <c r="U351" s="55" t="s">
        <v>18</v>
      </c>
      <c r="V351" s="55" t="s">
        <v>470</v>
      </c>
      <c r="W351" s="42">
        <f>VLOOKUP(B351,'LW13'!$X$15:$Y$501,2,0)-M351</f>
        <v>0</v>
      </c>
    </row>
    <row r="352" spans="1:23" x14ac:dyDescent="0.2">
      <c r="A352" s="9" t="str">
        <f t="shared" si="12"/>
        <v>121NL300092</v>
      </c>
      <c r="B352" s="9" t="str">
        <f>COUNTIF($A$7:A352,A352)&amp;A352</f>
        <v>1121NL300092</v>
      </c>
      <c r="C352" s="54">
        <v>46034</v>
      </c>
      <c r="D352" s="55" t="s">
        <v>294</v>
      </c>
      <c r="E352" s="56" t="s">
        <v>529</v>
      </c>
      <c r="F352" s="56" t="s">
        <v>295</v>
      </c>
      <c r="G352" s="55" t="s">
        <v>492</v>
      </c>
      <c r="H352" s="55" t="s">
        <v>493</v>
      </c>
      <c r="I352" s="55" t="s">
        <v>530</v>
      </c>
      <c r="J352" s="55" t="s">
        <v>191</v>
      </c>
      <c r="K352" s="55" t="s">
        <v>43</v>
      </c>
      <c r="L352" s="55" t="s">
        <v>92</v>
      </c>
      <c r="M352" s="57">
        <v>2</v>
      </c>
      <c r="N352" s="58">
        <v>90000</v>
      </c>
      <c r="O352" s="58">
        <v>0</v>
      </c>
      <c r="P352" s="59">
        <v>180000</v>
      </c>
      <c r="Q352" s="58">
        <v>0</v>
      </c>
      <c r="R352" s="55">
        <v>90000</v>
      </c>
      <c r="S352" s="55" t="s">
        <v>469</v>
      </c>
      <c r="T352" s="55" t="s">
        <v>495</v>
      </c>
      <c r="U352" s="55" t="s">
        <v>18</v>
      </c>
      <c r="V352" s="55" t="s">
        <v>470</v>
      </c>
      <c r="W352" s="42">
        <f>VLOOKUP(B352,'LW13'!$X$15:$Y$501,2,0)-M352</f>
        <v>0</v>
      </c>
    </row>
    <row r="353" spans="1:23" x14ac:dyDescent="0.2">
      <c r="A353" s="9" t="str">
        <f t="shared" si="12"/>
        <v>121NL300094</v>
      </c>
      <c r="B353" s="9" t="str">
        <f>COUNTIF($A$7:A353,A353)&amp;A353</f>
        <v>1121NL300094</v>
      </c>
      <c r="C353" s="54">
        <v>46034</v>
      </c>
      <c r="D353" s="55" t="s">
        <v>294</v>
      </c>
      <c r="E353" s="56" t="s">
        <v>529</v>
      </c>
      <c r="F353" s="56" t="s">
        <v>295</v>
      </c>
      <c r="G353" s="55" t="s">
        <v>492</v>
      </c>
      <c r="H353" s="55" t="s">
        <v>493</v>
      </c>
      <c r="I353" s="55" t="s">
        <v>530</v>
      </c>
      <c r="J353" s="55" t="s">
        <v>192</v>
      </c>
      <c r="K353" s="55" t="s">
        <v>312</v>
      </c>
      <c r="L353" s="55" t="s">
        <v>92</v>
      </c>
      <c r="M353" s="57">
        <v>1</v>
      </c>
      <c r="N353" s="58">
        <v>80000</v>
      </c>
      <c r="O353" s="58">
        <v>0</v>
      </c>
      <c r="P353" s="59">
        <v>80000</v>
      </c>
      <c r="Q353" s="58">
        <v>0</v>
      </c>
      <c r="R353" s="55">
        <v>80000</v>
      </c>
      <c r="S353" s="55" t="s">
        <v>469</v>
      </c>
      <c r="T353" s="55" t="s">
        <v>495</v>
      </c>
      <c r="U353" s="55" t="s">
        <v>18</v>
      </c>
      <c r="V353" s="55" t="s">
        <v>470</v>
      </c>
      <c r="W353" s="42">
        <f>VLOOKUP(B353,'LW13'!$X$15:$Y$501,2,0)-M353</f>
        <v>0</v>
      </c>
    </row>
    <row r="354" spans="1:23" x14ac:dyDescent="0.2">
      <c r="A354" s="9" t="str">
        <f t="shared" si="12"/>
        <v>121NL300096</v>
      </c>
      <c r="B354" s="9" t="str">
        <f>COUNTIF($A$7:A354,A354)&amp;A354</f>
        <v>1121NL300096</v>
      </c>
      <c r="C354" s="54">
        <v>46034</v>
      </c>
      <c r="D354" s="55" t="s">
        <v>294</v>
      </c>
      <c r="E354" s="56" t="s">
        <v>529</v>
      </c>
      <c r="F354" s="56" t="s">
        <v>295</v>
      </c>
      <c r="G354" s="55" t="s">
        <v>492</v>
      </c>
      <c r="H354" s="55" t="s">
        <v>493</v>
      </c>
      <c r="I354" s="55" t="s">
        <v>530</v>
      </c>
      <c r="J354" s="55" t="s">
        <v>193</v>
      </c>
      <c r="K354" s="55" t="s">
        <v>41</v>
      </c>
      <c r="L354" s="55" t="s">
        <v>92</v>
      </c>
      <c r="M354" s="57">
        <v>2.5</v>
      </c>
      <c r="N354" s="58">
        <v>45000</v>
      </c>
      <c r="O354" s="58">
        <v>0</v>
      </c>
      <c r="P354" s="59">
        <v>112500</v>
      </c>
      <c r="Q354" s="58">
        <v>0</v>
      </c>
      <c r="R354" s="55">
        <v>45000</v>
      </c>
      <c r="S354" s="55" t="s">
        <v>469</v>
      </c>
      <c r="T354" s="55" t="s">
        <v>495</v>
      </c>
      <c r="U354" s="55" t="s">
        <v>18</v>
      </c>
      <c r="V354" s="55" t="s">
        <v>470</v>
      </c>
      <c r="W354" s="42">
        <f>VLOOKUP(B354,'LW13'!$X$15:$Y$501,2,0)-M354</f>
        <v>0</v>
      </c>
    </row>
    <row r="355" spans="1:23" x14ac:dyDescent="0.2">
      <c r="A355" s="9" t="str">
        <f t="shared" si="12"/>
        <v>121NL300097</v>
      </c>
      <c r="B355" s="9" t="str">
        <f>COUNTIF($A$7:A355,A355)&amp;A355</f>
        <v>1121NL300097</v>
      </c>
      <c r="C355" s="54">
        <v>46034</v>
      </c>
      <c r="D355" s="55" t="s">
        <v>294</v>
      </c>
      <c r="E355" s="56" t="s">
        <v>529</v>
      </c>
      <c r="F355" s="56" t="s">
        <v>295</v>
      </c>
      <c r="G355" s="55" t="s">
        <v>492</v>
      </c>
      <c r="H355" s="55" t="s">
        <v>493</v>
      </c>
      <c r="I355" s="55" t="s">
        <v>530</v>
      </c>
      <c r="J355" s="55" t="s">
        <v>194</v>
      </c>
      <c r="K355" s="55" t="s">
        <v>317</v>
      </c>
      <c r="L355" s="55" t="s">
        <v>92</v>
      </c>
      <c r="M355" s="57">
        <v>1</v>
      </c>
      <c r="N355" s="58">
        <v>90000</v>
      </c>
      <c r="O355" s="58">
        <v>0</v>
      </c>
      <c r="P355" s="59">
        <v>90000</v>
      </c>
      <c r="Q355" s="58">
        <v>0</v>
      </c>
      <c r="R355" s="55">
        <v>90000</v>
      </c>
      <c r="S355" s="55" t="s">
        <v>469</v>
      </c>
      <c r="T355" s="55" t="s">
        <v>495</v>
      </c>
      <c r="U355" s="55" t="s">
        <v>18</v>
      </c>
      <c r="V355" s="55" t="s">
        <v>470</v>
      </c>
      <c r="W355" s="42">
        <f>VLOOKUP(B355,'LW13'!$X$15:$Y$501,2,0)-M355</f>
        <v>0</v>
      </c>
    </row>
    <row r="356" spans="1:23" x14ac:dyDescent="0.2">
      <c r="A356" s="9" t="str">
        <f t="shared" si="12"/>
        <v>121NL600004</v>
      </c>
      <c r="B356" s="9" t="str">
        <f>COUNTIF($A$7:A356,A356)&amp;A356</f>
        <v>1121NL600004</v>
      </c>
      <c r="C356" s="54">
        <v>46034</v>
      </c>
      <c r="D356" s="55" t="s">
        <v>294</v>
      </c>
      <c r="E356" s="56" t="s">
        <v>529</v>
      </c>
      <c r="F356" s="56" t="s">
        <v>295</v>
      </c>
      <c r="G356" s="55" t="s">
        <v>492</v>
      </c>
      <c r="H356" s="55" t="s">
        <v>493</v>
      </c>
      <c r="I356" s="55" t="s">
        <v>530</v>
      </c>
      <c r="J356" s="55" t="s">
        <v>144</v>
      </c>
      <c r="K356" s="55" t="s">
        <v>47</v>
      </c>
      <c r="L356" s="55" t="s">
        <v>92</v>
      </c>
      <c r="M356" s="57">
        <v>13</v>
      </c>
      <c r="N356" s="58">
        <v>18000</v>
      </c>
      <c r="O356" s="58">
        <v>0</v>
      </c>
      <c r="P356" s="59">
        <v>234000</v>
      </c>
      <c r="Q356" s="58">
        <v>0</v>
      </c>
      <c r="R356" s="55">
        <v>18000</v>
      </c>
      <c r="S356" s="55" t="s">
        <v>469</v>
      </c>
      <c r="T356" s="55" t="s">
        <v>495</v>
      </c>
      <c r="U356" s="55" t="s">
        <v>18</v>
      </c>
      <c r="V356" s="55" t="s">
        <v>470</v>
      </c>
      <c r="W356" s="42">
        <f>VLOOKUP(B356,'LW13'!$X$15:$Y$501,2,0)-M356</f>
        <v>0</v>
      </c>
    </row>
    <row r="357" spans="1:23" x14ac:dyDescent="0.2">
      <c r="A357" s="9" t="str">
        <f t="shared" si="12"/>
        <v>121NL300131</v>
      </c>
      <c r="B357" s="9" t="str">
        <f>COUNTIF($A$7:A357,A357)&amp;A357</f>
        <v>1121NL300131</v>
      </c>
      <c r="C357" s="54">
        <v>46034</v>
      </c>
      <c r="D357" s="55" t="s">
        <v>294</v>
      </c>
      <c r="E357" s="56" t="s">
        <v>529</v>
      </c>
      <c r="F357" s="56" t="s">
        <v>295</v>
      </c>
      <c r="G357" s="55" t="s">
        <v>492</v>
      </c>
      <c r="H357" s="55" t="s">
        <v>493</v>
      </c>
      <c r="I357" s="55" t="s">
        <v>530</v>
      </c>
      <c r="J357" s="55" t="s">
        <v>269</v>
      </c>
      <c r="K357" s="55" t="s">
        <v>62</v>
      </c>
      <c r="L357" s="55" t="s">
        <v>92</v>
      </c>
      <c r="M357" s="57">
        <v>0.3</v>
      </c>
      <c r="N357" s="58">
        <v>220000</v>
      </c>
      <c r="O357" s="58">
        <v>0</v>
      </c>
      <c r="P357" s="59">
        <v>66000</v>
      </c>
      <c r="Q357" s="58">
        <v>0</v>
      </c>
      <c r="R357" s="55">
        <v>220000</v>
      </c>
      <c r="S357" s="55" t="s">
        <v>469</v>
      </c>
      <c r="T357" s="55" t="s">
        <v>495</v>
      </c>
      <c r="U357" s="55" t="s">
        <v>18</v>
      </c>
      <c r="V357" s="55" t="s">
        <v>470</v>
      </c>
      <c r="W357" s="42">
        <f>VLOOKUP(B357,'LW13'!$X$15:$Y$501,2,0)-M357</f>
        <v>0</v>
      </c>
    </row>
    <row r="358" spans="1:23" x14ac:dyDescent="0.2">
      <c r="A358" s="9" t="str">
        <f t="shared" si="12"/>
        <v>121NL300007</v>
      </c>
      <c r="B358" s="9" t="str">
        <f>COUNTIF($A$7:A358,A358)&amp;A358</f>
        <v>1121NL300007</v>
      </c>
      <c r="C358" s="54">
        <v>46034</v>
      </c>
      <c r="D358" s="55" t="s">
        <v>294</v>
      </c>
      <c r="E358" s="56" t="s">
        <v>529</v>
      </c>
      <c r="F358" s="56" t="s">
        <v>295</v>
      </c>
      <c r="G358" s="55" t="s">
        <v>492</v>
      </c>
      <c r="H358" s="55" t="s">
        <v>493</v>
      </c>
      <c r="I358" s="55" t="s">
        <v>530</v>
      </c>
      <c r="J358" s="55" t="s">
        <v>90</v>
      </c>
      <c r="K358" s="55" t="s">
        <v>91</v>
      </c>
      <c r="L358" s="55" t="s">
        <v>92</v>
      </c>
      <c r="M358" s="57">
        <v>3</v>
      </c>
      <c r="N358" s="58">
        <v>30000</v>
      </c>
      <c r="O358" s="58">
        <v>0</v>
      </c>
      <c r="P358" s="59">
        <v>90000</v>
      </c>
      <c r="Q358" s="58">
        <v>0</v>
      </c>
      <c r="R358" s="55">
        <v>30000</v>
      </c>
      <c r="S358" s="55" t="s">
        <v>469</v>
      </c>
      <c r="T358" s="55" t="s">
        <v>495</v>
      </c>
      <c r="U358" s="55" t="s">
        <v>18</v>
      </c>
      <c r="V358" s="55" t="s">
        <v>470</v>
      </c>
      <c r="W358" s="42">
        <f>VLOOKUP(B358,'LW13'!$X$15:$Y$501,2,0)-M358</f>
        <v>0</v>
      </c>
    </row>
    <row r="359" spans="1:23" x14ac:dyDescent="0.2">
      <c r="A359" s="9" t="str">
        <f t="shared" si="12"/>
        <v>121NL300020</v>
      </c>
      <c r="B359" s="9" t="str">
        <f>COUNTIF($A$7:A359,A359)&amp;A359</f>
        <v>1121NL300020</v>
      </c>
      <c r="C359" s="54">
        <v>46034</v>
      </c>
      <c r="D359" s="55" t="s">
        <v>294</v>
      </c>
      <c r="E359" s="56" t="s">
        <v>529</v>
      </c>
      <c r="F359" s="56" t="s">
        <v>295</v>
      </c>
      <c r="G359" s="55" t="s">
        <v>492</v>
      </c>
      <c r="H359" s="55" t="s">
        <v>493</v>
      </c>
      <c r="I359" s="55" t="s">
        <v>530</v>
      </c>
      <c r="J359" s="55" t="s">
        <v>110</v>
      </c>
      <c r="K359" s="55" t="s">
        <v>302</v>
      </c>
      <c r="L359" s="55" t="s">
        <v>92</v>
      </c>
      <c r="M359" s="57">
        <v>1</v>
      </c>
      <c r="N359" s="58">
        <v>30000</v>
      </c>
      <c r="O359" s="58">
        <v>0</v>
      </c>
      <c r="P359" s="59">
        <v>30000</v>
      </c>
      <c r="Q359" s="58">
        <v>0</v>
      </c>
      <c r="R359" s="55">
        <v>30000</v>
      </c>
      <c r="S359" s="55" t="s">
        <v>469</v>
      </c>
      <c r="T359" s="55" t="s">
        <v>495</v>
      </c>
      <c r="U359" s="55" t="s">
        <v>18</v>
      </c>
      <c r="V359" s="55" t="s">
        <v>470</v>
      </c>
      <c r="W359" s="42">
        <f>VLOOKUP(B359,'LW13'!$X$15:$Y$501,2,0)-M359</f>
        <v>0</v>
      </c>
    </row>
    <row r="360" spans="1:23" x14ac:dyDescent="0.2">
      <c r="A360" s="9" t="str">
        <f t="shared" si="12"/>
        <v>121NL300101</v>
      </c>
      <c r="B360" s="9" t="str">
        <f>COUNTIF($A$7:A360,A360)&amp;A360</f>
        <v>1121NL300101</v>
      </c>
      <c r="C360" s="54">
        <v>46034</v>
      </c>
      <c r="D360" s="55" t="s">
        <v>294</v>
      </c>
      <c r="E360" s="56" t="s">
        <v>529</v>
      </c>
      <c r="F360" s="56" t="s">
        <v>295</v>
      </c>
      <c r="G360" s="55" t="s">
        <v>492</v>
      </c>
      <c r="H360" s="55" t="s">
        <v>493</v>
      </c>
      <c r="I360" s="55" t="s">
        <v>530</v>
      </c>
      <c r="J360" s="55" t="s">
        <v>200</v>
      </c>
      <c r="K360" s="55" t="s">
        <v>305</v>
      </c>
      <c r="L360" s="55" t="s">
        <v>92</v>
      </c>
      <c r="M360" s="57">
        <v>0.5</v>
      </c>
      <c r="N360" s="58">
        <v>195000</v>
      </c>
      <c r="O360" s="58">
        <v>0</v>
      </c>
      <c r="P360" s="59">
        <v>97500</v>
      </c>
      <c r="Q360" s="58">
        <v>0</v>
      </c>
      <c r="R360" s="55">
        <v>195000</v>
      </c>
      <c r="S360" s="55" t="s">
        <v>469</v>
      </c>
      <c r="T360" s="55" t="s">
        <v>495</v>
      </c>
      <c r="U360" s="55" t="s">
        <v>18</v>
      </c>
      <c r="V360" s="55" t="s">
        <v>470</v>
      </c>
      <c r="W360" s="42">
        <f>VLOOKUP(B360,'LW13'!$X$15:$Y$501,2,0)-M360</f>
        <v>0</v>
      </c>
    </row>
    <row r="361" spans="1:23" x14ac:dyDescent="0.2">
      <c r="A361" s="9" t="str">
        <f t="shared" si="12"/>
        <v>121NL300132</v>
      </c>
      <c r="B361" s="9" t="str">
        <f>COUNTIF($A$7:A361,A361)&amp;A361</f>
        <v>1121NL300132</v>
      </c>
      <c r="C361" s="54">
        <v>46034</v>
      </c>
      <c r="D361" s="55" t="s">
        <v>294</v>
      </c>
      <c r="E361" s="56" t="s">
        <v>529</v>
      </c>
      <c r="F361" s="56" t="s">
        <v>295</v>
      </c>
      <c r="G361" s="55" t="s">
        <v>492</v>
      </c>
      <c r="H361" s="55" t="s">
        <v>493</v>
      </c>
      <c r="I361" s="55" t="s">
        <v>530</v>
      </c>
      <c r="J361" s="55" t="s">
        <v>237</v>
      </c>
      <c r="K361" s="55" t="s">
        <v>36</v>
      </c>
      <c r="L361" s="55" t="s">
        <v>92</v>
      </c>
      <c r="M361" s="57">
        <v>1</v>
      </c>
      <c r="N361" s="58">
        <v>12000</v>
      </c>
      <c r="O361" s="58">
        <v>0</v>
      </c>
      <c r="P361" s="59">
        <v>12000</v>
      </c>
      <c r="Q361" s="58">
        <v>0</v>
      </c>
      <c r="R361" s="55">
        <v>12000</v>
      </c>
      <c r="S361" s="55" t="s">
        <v>469</v>
      </c>
      <c r="T361" s="55" t="s">
        <v>495</v>
      </c>
      <c r="U361" s="55" t="s">
        <v>18</v>
      </c>
      <c r="V361" s="55" t="s">
        <v>470</v>
      </c>
      <c r="W361" s="42">
        <f>VLOOKUP(B361,'LW13'!$X$15:$Y$501,2,0)-M361</f>
        <v>0</v>
      </c>
    </row>
    <row r="362" spans="1:23" x14ac:dyDescent="0.2">
      <c r="A362" s="9" t="str">
        <f t="shared" si="12"/>
        <v>121NL300142</v>
      </c>
      <c r="B362" s="9" t="str">
        <f>COUNTIF($A$7:A362,A362)&amp;A362</f>
        <v>1121NL300142</v>
      </c>
      <c r="C362" s="54">
        <v>46034</v>
      </c>
      <c r="D362" s="55" t="s">
        <v>294</v>
      </c>
      <c r="E362" s="56" t="s">
        <v>529</v>
      </c>
      <c r="F362" s="56" t="s">
        <v>295</v>
      </c>
      <c r="G362" s="55" t="s">
        <v>492</v>
      </c>
      <c r="H362" s="55" t="s">
        <v>493</v>
      </c>
      <c r="I362" s="55" t="s">
        <v>530</v>
      </c>
      <c r="J362" s="55" t="s">
        <v>259</v>
      </c>
      <c r="K362" s="55" t="s">
        <v>308</v>
      </c>
      <c r="L362" s="55" t="s">
        <v>92</v>
      </c>
      <c r="M362" s="57">
        <v>2</v>
      </c>
      <c r="N362" s="58">
        <v>50000</v>
      </c>
      <c r="O362" s="58">
        <v>0</v>
      </c>
      <c r="P362" s="59">
        <v>100000</v>
      </c>
      <c r="Q362" s="58">
        <v>0</v>
      </c>
      <c r="R362" s="55">
        <v>50000</v>
      </c>
      <c r="S362" s="55" t="s">
        <v>469</v>
      </c>
      <c r="T362" s="55" t="s">
        <v>495</v>
      </c>
      <c r="U362" s="55" t="s">
        <v>18</v>
      </c>
      <c r="V362" s="55" t="s">
        <v>470</v>
      </c>
      <c r="W362" s="42">
        <f>VLOOKUP(B362,'LW13'!$X$15:$Y$501,2,0)-M362</f>
        <v>0</v>
      </c>
    </row>
    <row r="363" spans="1:23" x14ac:dyDescent="0.2">
      <c r="A363" s="9" t="str">
        <f t="shared" si="12"/>
        <v>121NL300140</v>
      </c>
      <c r="B363" s="9" t="str">
        <f>COUNTIF($A$7:A363,A363)&amp;A363</f>
        <v>1121NL300140</v>
      </c>
      <c r="C363" s="54">
        <v>46034</v>
      </c>
      <c r="D363" s="55" t="s">
        <v>294</v>
      </c>
      <c r="E363" s="56" t="s">
        <v>529</v>
      </c>
      <c r="F363" s="56" t="s">
        <v>295</v>
      </c>
      <c r="G363" s="55" t="s">
        <v>492</v>
      </c>
      <c r="H363" s="55" t="s">
        <v>493</v>
      </c>
      <c r="I363" s="55" t="s">
        <v>530</v>
      </c>
      <c r="J363" s="55" t="s">
        <v>233</v>
      </c>
      <c r="K363" s="55" t="s">
        <v>475</v>
      </c>
      <c r="L363" s="55" t="s">
        <v>92</v>
      </c>
      <c r="M363" s="57">
        <v>0.2</v>
      </c>
      <c r="N363" s="58">
        <v>36000</v>
      </c>
      <c r="O363" s="58">
        <v>0</v>
      </c>
      <c r="P363" s="59">
        <v>7200</v>
      </c>
      <c r="Q363" s="58">
        <v>0</v>
      </c>
      <c r="R363" s="55">
        <v>36000</v>
      </c>
      <c r="S363" s="55" t="s">
        <v>469</v>
      </c>
      <c r="T363" s="55" t="s">
        <v>495</v>
      </c>
      <c r="U363" s="55" t="s">
        <v>18</v>
      </c>
      <c r="V363" s="55" t="s">
        <v>470</v>
      </c>
      <c r="W363" s="42">
        <f>VLOOKUP(B363,'LW13'!$X$15:$Y$501,2,0)-M363</f>
        <v>0</v>
      </c>
    </row>
    <row r="364" spans="1:23" x14ac:dyDescent="0.2">
      <c r="A364" s="9" t="str">
        <f t="shared" si="12"/>
        <v>121NL300007</v>
      </c>
      <c r="B364" s="9" t="str">
        <f>COUNTIF($A$7:A364,A364)&amp;A364</f>
        <v>2121NL300007</v>
      </c>
      <c r="C364" s="54">
        <v>46034</v>
      </c>
      <c r="D364" s="55" t="s">
        <v>294</v>
      </c>
      <c r="E364" s="56" t="s">
        <v>531</v>
      </c>
      <c r="F364" s="56" t="s">
        <v>295</v>
      </c>
      <c r="G364" s="55" t="s">
        <v>492</v>
      </c>
      <c r="H364" s="55" t="s">
        <v>493</v>
      </c>
      <c r="I364" s="55" t="s">
        <v>530</v>
      </c>
      <c r="J364" s="55" t="s">
        <v>90</v>
      </c>
      <c r="K364" s="55" t="s">
        <v>91</v>
      </c>
      <c r="L364" s="55" t="s">
        <v>92</v>
      </c>
      <c r="M364" s="57">
        <v>1</v>
      </c>
      <c r="N364" s="58">
        <v>30000</v>
      </c>
      <c r="O364" s="58">
        <v>0</v>
      </c>
      <c r="P364" s="59">
        <v>30000</v>
      </c>
      <c r="Q364" s="58">
        <v>0</v>
      </c>
      <c r="R364" s="55">
        <v>30000</v>
      </c>
      <c r="S364" s="55" t="s">
        <v>469</v>
      </c>
      <c r="T364" s="55" t="s">
        <v>495</v>
      </c>
      <c r="U364" s="55" t="s">
        <v>18</v>
      </c>
      <c r="V364" s="55" t="s">
        <v>470</v>
      </c>
      <c r="W364" s="42">
        <f>VLOOKUP(B364,'LW13'!$X$15:$Y$501,2,0)-M364</f>
        <v>0</v>
      </c>
    </row>
    <row r="365" spans="1:23" x14ac:dyDescent="0.2">
      <c r="A365" s="9" t="str">
        <f t="shared" si="12"/>
        <v>121NL300090</v>
      </c>
      <c r="B365" s="9" t="str">
        <f>COUNTIF($A$7:A365,A365)&amp;A365</f>
        <v>1121NL300090</v>
      </c>
      <c r="C365" s="54">
        <v>46034</v>
      </c>
      <c r="D365" s="55" t="s">
        <v>294</v>
      </c>
      <c r="E365" s="56" t="s">
        <v>531</v>
      </c>
      <c r="F365" s="56" t="s">
        <v>295</v>
      </c>
      <c r="G365" s="55" t="s">
        <v>492</v>
      </c>
      <c r="H365" s="55" t="s">
        <v>493</v>
      </c>
      <c r="I365" s="55" t="s">
        <v>530</v>
      </c>
      <c r="J365" s="55" t="s">
        <v>189</v>
      </c>
      <c r="K365" s="55" t="s">
        <v>39</v>
      </c>
      <c r="L365" s="55" t="s">
        <v>92</v>
      </c>
      <c r="M365" s="57">
        <v>2.5</v>
      </c>
      <c r="N365" s="58">
        <v>145000</v>
      </c>
      <c r="O365" s="58">
        <v>0</v>
      </c>
      <c r="P365" s="59">
        <v>362500</v>
      </c>
      <c r="Q365" s="58">
        <v>0</v>
      </c>
      <c r="R365" s="55">
        <v>145000</v>
      </c>
      <c r="S365" s="55" t="s">
        <v>469</v>
      </c>
      <c r="T365" s="55" t="s">
        <v>495</v>
      </c>
      <c r="U365" s="55" t="s">
        <v>18</v>
      </c>
      <c r="V365" s="55" t="s">
        <v>470</v>
      </c>
      <c r="W365" s="42">
        <f>VLOOKUP(B365,'LW13'!$X$15:$Y$501,2,0)-M365</f>
        <v>0</v>
      </c>
    </row>
    <row r="366" spans="1:23" x14ac:dyDescent="0.2">
      <c r="A366" s="9" t="str">
        <f t="shared" si="12"/>
        <v>121NL300096</v>
      </c>
      <c r="B366" s="9" t="str">
        <f>COUNTIF($A$7:A366,A366)&amp;A366</f>
        <v>2121NL300096</v>
      </c>
      <c r="C366" s="54">
        <v>46034</v>
      </c>
      <c r="D366" s="55" t="s">
        <v>294</v>
      </c>
      <c r="E366" s="56" t="s">
        <v>531</v>
      </c>
      <c r="F366" s="56" t="s">
        <v>295</v>
      </c>
      <c r="G366" s="55" t="s">
        <v>492</v>
      </c>
      <c r="H366" s="55" t="s">
        <v>493</v>
      </c>
      <c r="I366" s="55" t="s">
        <v>530</v>
      </c>
      <c r="J366" s="55" t="s">
        <v>193</v>
      </c>
      <c r="K366" s="55" t="s">
        <v>41</v>
      </c>
      <c r="L366" s="55" t="s">
        <v>92</v>
      </c>
      <c r="M366" s="57">
        <v>1</v>
      </c>
      <c r="N366" s="58">
        <v>45000</v>
      </c>
      <c r="O366" s="58">
        <v>0</v>
      </c>
      <c r="P366" s="59">
        <v>45000</v>
      </c>
      <c r="Q366" s="58">
        <v>0</v>
      </c>
      <c r="R366" s="55">
        <v>45000</v>
      </c>
      <c r="S366" s="55" t="s">
        <v>469</v>
      </c>
      <c r="T366" s="55" t="s">
        <v>495</v>
      </c>
      <c r="U366" s="55" t="s">
        <v>18</v>
      </c>
      <c r="V366" s="55" t="s">
        <v>470</v>
      </c>
      <c r="W366" s="42">
        <f>VLOOKUP(B366,'LW13'!$X$15:$Y$501,2,0)-M366</f>
        <v>0</v>
      </c>
    </row>
    <row r="367" spans="1:23" x14ac:dyDescent="0.2">
      <c r="A367" s="9" t="str">
        <f t="shared" si="12"/>
        <v>131NL300189</v>
      </c>
      <c r="B367" s="9" t="str">
        <f>COUNTIF($A$7:A367,A367)&amp;A367</f>
        <v>1131NL300189</v>
      </c>
      <c r="C367" s="54">
        <v>46035</v>
      </c>
      <c r="D367" s="55" t="s">
        <v>294</v>
      </c>
      <c r="E367" s="56" t="s">
        <v>532</v>
      </c>
      <c r="F367" s="56" t="s">
        <v>295</v>
      </c>
      <c r="G367" s="55" t="s">
        <v>492</v>
      </c>
      <c r="H367" s="55" t="s">
        <v>493</v>
      </c>
      <c r="I367" s="55" t="s">
        <v>533</v>
      </c>
      <c r="J367" s="55" t="s">
        <v>85</v>
      </c>
      <c r="K367" s="55" t="s">
        <v>54</v>
      </c>
      <c r="L367" s="55" t="s">
        <v>92</v>
      </c>
      <c r="M367" s="57">
        <v>1.5</v>
      </c>
      <c r="N367" s="58">
        <v>15000</v>
      </c>
      <c r="O367" s="58">
        <v>0</v>
      </c>
      <c r="P367" s="59">
        <v>22500</v>
      </c>
      <c r="Q367" s="58">
        <v>0</v>
      </c>
      <c r="R367" s="55">
        <v>15000</v>
      </c>
      <c r="S367" s="55" t="s">
        <v>469</v>
      </c>
      <c r="T367" s="55" t="s">
        <v>495</v>
      </c>
      <c r="U367" s="55" t="s">
        <v>18</v>
      </c>
      <c r="V367" s="55" t="s">
        <v>470</v>
      </c>
      <c r="W367" s="42">
        <f>VLOOKUP(B367,'LW13'!$X$15:$Y$501,2,0)-M367</f>
        <v>0</v>
      </c>
    </row>
    <row r="368" spans="1:23" x14ac:dyDescent="0.2">
      <c r="A368" s="9" t="str">
        <f t="shared" si="12"/>
        <v>131NL300004</v>
      </c>
      <c r="B368" s="9" t="str">
        <f>COUNTIF($A$7:A368,A368)&amp;A368</f>
        <v>1131NL300004</v>
      </c>
      <c r="C368" s="54">
        <v>46035</v>
      </c>
      <c r="D368" s="55" t="s">
        <v>294</v>
      </c>
      <c r="E368" s="56" t="s">
        <v>532</v>
      </c>
      <c r="F368" s="56" t="s">
        <v>295</v>
      </c>
      <c r="G368" s="55" t="s">
        <v>492</v>
      </c>
      <c r="H368" s="55" t="s">
        <v>493</v>
      </c>
      <c r="I368" s="55" t="s">
        <v>533</v>
      </c>
      <c r="J368" s="55" t="s">
        <v>86</v>
      </c>
      <c r="K368" s="55" t="s">
        <v>16</v>
      </c>
      <c r="L368" s="55" t="s">
        <v>92</v>
      </c>
      <c r="M368" s="57">
        <v>2</v>
      </c>
      <c r="N368" s="58">
        <v>19000</v>
      </c>
      <c r="O368" s="58">
        <v>0</v>
      </c>
      <c r="P368" s="59">
        <v>38000</v>
      </c>
      <c r="Q368" s="58">
        <v>0</v>
      </c>
      <c r="R368" s="55">
        <v>19000</v>
      </c>
      <c r="S368" s="55" t="s">
        <v>469</v>
      </c>
      <c r="T368" s="55" t="s">
        <v>495</v>
      </c>
      <c r="U368" s="55" t="s">
        <v>18</v>
      </c>
      <c r="V368" s="55" t="s">
        <v>470</v>
      </c>
      <c r="W368" s="42">
        <f>VLOOKUP(B368,'LW13'!$X$15:$Y$501,2,0)-M368</f>
        <v>0</v>
      </c>
    </row>
    <row r="369" spans="1:23" x14ac:dyDescent="0.2">
      <c r="A369" s="9" t="str">
        <f t="shared" si="12"/>
        <v>131NL300007</v>
      </c>
      <c r="B369" s="9" t="str">
        <f>COUNTIF($A$7:A369,A369)&amp;A369</f>
        <v>1131NL300007</v>
      </c>
      <c r="C369" s="54">
        <v>46035</v>
      </c>
      <c r="D369" s="55" t="s">
        <v>294</v>
      </c>
      <c r="E369" s="56" t="s">
        <v>532</v>
      </c>
      <c r="F369" s="56" t="s">
        <v>295</v>
      </c>
      <c r="G369" s="55" t="s">
        <v>492</v>
      </c>
      <c r="H369" s="55" t="s">
        <v>493</v>
      </c>
      <c r="I369" s="55" t="s">
        <v>533</v>
      </c>
      <c r="J369" s="55" t="s">
        <v>90</v>
      </c>
      <c r="K369" s="55" t="s">
        <v>91</v>
      </c>
      <c r="L369" s="55" t="s">
        <v>92</v>
      </c>
      <c r="M369" s="57">
        <v>2.2999999999999998</v>
      </c>
      <c r="N369" s="58">
        <v>30000</v>
      </c>
      <c r="O369" s="58">
        <v>0</v>
      </c>
      <c r="P369" s="59">
        <v>69000</v>
      </c>
      <c r="Q369" s="58">
        <v>0</v>
      </c>
      <c r="R369" s="55">
        <v>30000</v>
      </c>
      <c r="S369" s="55" t="s">
        <v>469</v>
      </c>
      <c r="T369" s="55" t="s">
        <v>495</v>
      </c>
      <c r="U369" s="55" t="s">
        <v>18</v>
      </c>
      <c r="V369" s="55" t="s">
        <v>470</v>
      </c>
      <c r="W369" s="42">
        <f>VLOOKUP(B369,'LW13'!$X$15:$Y$501,2,0)-M369</f>
        <v>0</v>
      </c>
    </row>
    <row r="370" spans="1:23" x14ac:dyDescent="0.2">
      <c r="A370" s="9" t="str">
        <f t="shared" si="12"/>
        <v>131NL300008</v>
      </c>
      <c r="B370" s="9" t="str">
        <f>COUNTIF($A$7:A370,A370)&amp;A370</f>
        <v>1131NL300008</v>
      </c>
      <c r="C370" s="54">
        <v>46035</v>
      </c>
      <c r="D370" s="55" t="s">
        <v>294</v>
      </c>
      <c r="E370" s="56" t="s">
        <v>532</v>
      </c>
      <c r="F370" s="56" t="s">
        <v>295</v>
      </c>
      <c r="G370" s="55" t="s">
        <v>492</v>
      </c>
      <c r="H370" s="55" t="s">
        <v>493</v>
      </c>
      <c r="I370" s="55" t="s">
        <v>533</v>
      </c>
      <c r="J370" s="55" t="s">
        <v>93</v>
      </c>
      <c r="K370" s="55" t="s">
        <v>301</v>
      </c>
      <c r="L370" s="55" t="s">
        <v>92</v>
      </c>
      <c r="M370" s="57">
        <v>5</v>
      </c>
      <c r="N370" s="58">
        <v>40000</v>
      </c>
      <c r="O370" s="58">
        <v>0</v>
      </c>
      <c r="P370" s="59">
        <v>200000</v>
      </c>
      <c r="Q370" s="58">
        <v>0</v>
      </c>
      <c r="R370" s="55">
        <v>40000</v>
      </c>
      <c r="S370" s="55" t="s">
        <v>469</v>
      </c>
      <c r="T370" s="55" t="s">
        <v>495</v>
      </c>
      <c r="U370" s="55" t="s">
        <v>18</v>
      </c>
      <c r="V370" s="55" t="s">
        <v>470</v>
      </c>
      <c r="W370" s="42">
        <f>VLOOKUP(B370,'LW13'!$X$15:$Y$501,2,0)-M370</f>
        <v>0</v>
      </c>
    </row>
    <row r="371" spans="1:23" x14ac:dyDescent="0.2">
      <c r="A371" s="9" t="str">
        <f t="shared" si="12"/>
        <v>131NL300035</v>
      </c>
      <c r="B371" s="9" t="str">
        <f>COUNTIF($A$7:A371,A371)&amp;A371</f>
        <v>1131NL300035</v>
      </c>
      <c r="C371" s="54">
        <v>46035</v>
      </c>
      <c r="D371" s="55" t="s">
        <v>294</v>
      </c>
      <c r="E371" s="56" t="s">
        <v>532</v>
      </c>
      <c r="F371" s="56" t="s">
        <v>295</v>
      </c>
      <c r="G371" s="55" t="s">
        <v>492</v>
      </c>
      <c r="H371" s="55" t="s">
        <v>493</v>
      </c>
      <c r="I371" s="55" t="s">
        <v>533</v>
      </c>
      <c r="J371" s="55" t="s">
        <v>129</v>
      </c>
      <c r="K371" s="55" t="s">
        <v>500</v>
      </c>
      <c r="L371" s="55" t="s">
        <v>92</v>
      </c>
      <c r="M371" s="57">
        <v>0.13</v>
      </c>
      <c r="N371" s="58">
        <v>25000</v>
      </c>
      <c r="O371" s="58">
        <v>0</v>
      </c>
      <c r="P371" s="59">
        <v>3250</v>
      </c>
      <c r="Q371" s="58">
        <v>0</v>
      </c>
      <c r="R371" s="55">
        <v>25000</v>
      </c>
      <c r="S371" s="55" t="s">
        <v>469</v>
      </c>
      <c r="T371" s="55" t="s">
        <v>495</v>
      </c>
      <c r="U371" s="55" t="s">
        <v>18</v>
      </c>
      <c r="V371" s="55" t="s">
        <v>470</v>
      </c>
      <c r="W371" s="42">
        <f>VLOOKUP(B371,'LW13'!$X$15:$Y$501,2,0)-M371</f>
        <v>0</v>
      </c>
    </row>
    <row r="372" spans="1:23" x14ac:dyDescent="0.2">
      <c r="A372" s="9" t="str">
        <f t="shared" si="12"/>
        <v>131NL300036</v>
      </c>
      <c r="B372" s="9" t="str">
        <f>COUNTIF($A$7:A372,A372)&amp;A372</f>
        <v>1131NL300036</v>
      </c>
      <c r="C372" s="54">
        <v>46035</v>
      </c>
      <c r="D372" s="55" t="s">
        <v>294</v>
      </c>
      <c r="E372" s="56" t="s">
        <v>532</v>
      </c>
      <c r="F372" s="56" t="s">
        <v>295</v>
      </c>
      <c r="G372" s="55" t="s">
        <v>492</v>
      </c>
      <c r="H372" s="55" t="s">
        <v>493</v>
      </c>
      <c r="I372" s="55" t="s">
        <v>533</v>
      </c>
      <c r="J372" s="55" t="s">
        <v>131</v>
      </c>
      <c r="K372" s="55" t="s">
        <v>27</v>
      </c>
      <c r="L372" s="55" t="s">
        <v>92</v>
      </c>
      <c r="M372" s="57">
        <v>0.7</v>
      </c>
      <c r="N372" s="58">
        <v>47000</v>
      </c>
      <c r="O372" s="58">
        <v>0</v>
      </c>
      <c r="P372" s="59">
        <v>32900</v>
      </c>
      <c r="Q372" s="58">
        <v>0</v>
      </c>
      <c r="R372" s="55">
        <v>47000</v>
      </c>
      <c r="S372" s="55" t="s">
        <v>469</v>
      </c>
      <c r="T372" s="55" t="s">
        <v>495</v>
      </c>
      <c r="U372" s="55" t="s">
        <v>18</v>
      </c>
      <c r="V372" s="55" t="s">
        <v>470</v>
      </c>
      <c r="W372" s="42">
        <f>VLOOKUP(B372,'LW13'!$X$15:$Y$501,2,0)-M372</f>
        <v>0</v>
      </c>
    </row>
    <row r="373" spans="1:23" x14ac:dyDescent="0.2">
      <c r="A373" s="9" t="str">
        <f t="shared" si="12"/>
        <v>131NL300038</v>
      </c>
      <c r="B373" s="9" t="str">
        <f>COUNTIF($A$7:A373,A373)&amp;A373</f>
        <v>1131NL300038</v>
      </c>
      <c r="C373" s="54">
        <v>46035</v>
      </c>
      <c r="D373" s="55" t="s">
        <v>294</v>
      </c>
      <c r="E373" s="56" t="s">
        <v>532</v>
      </c>
      <c r="F373" s="56" t="s">
        <v>295</v>
      </c>
      <c r="G373" s="55" t="s">
        <v>492</v>
      </c>
      <c r="H373" s="55" t="s">
        <v>493</v>
      </c>
      <c r="I373" s="55" t="s">
        <v>533</v>
      </c>
      <c r="J373" s="55" t="s">
        <v>132</v>
      </c>
      <c r="K373" s="55" t="s">
        <v>28</v>
      </c>
      <c r="L373" s="55" t="s">
        <v>92</v>
      </c>
      <c r="M373" s="57">
        <v>2</v>
      </c>
      <c r="N373" s="58">
        <v>32000</v>
      </c>
      <c r="O373" s="58">
        <v>0</v>
      </c>
      <c r="P373" s="59">
        <v>64000</v>
      </c>
      <c r="Q373" s="58">
        <v>0</v>
      </c>
      <c r="R373" s="55">
        <v>32000</v>
      </c>
      <c r="S373" s="55" t="s">
        <v>469</v>
      </c>
      <c r="T373" s="55" t="s">
        <v>495</v>
      </c>
      <c r="U373" s="55" t="s">
        <v>18</v>
      </c>
      <c r="V373" s="55" t="s">
        <v>470</v>
      </c>
      <c r="W373" s="42">
        <f>VLOOKUP(B373,'LW13'!$X$15:$Y$501,2,0)-M373</f>
        <v>0</v>
      </c>
    </row>
    <row r="374" spans="1:23" x14ac:dyDescent="0.2">
      <c r="A374" s="9" t="str">
        <f t="shared" si="12"/>
        <v>131NL300054</v>
      </c>
      <c r="B374" s="9" t="str">
        <f>COUNTIF($A$7:A374,A374)&amp;A374</f>
        <v>1131NL300054</v>
      </c>
      <c r="C374" s="54">
        <v>46035</v>
      </c>
      <c r="D374" s="55" t="s">
        <v>294</v>
      </c>
      <c r="E374" s="56" t="s">
        <v>532</v>
      </c>
      <c r="F374" s="56" t="s">
        <v>295</v>
      </c>
      <c r="G374" s="55" t="s">
        <v>492</v>
      </c>
      <c r="H374" s="55" t="s">
        <v>493</v>
      </c>
      <c r="I374" s="55" t="s">
        <v>533</v>
      </c>
      <c r="J374" s="55" t="s">
        <v>128</v>
      </c>
      <c r="K374" s="55" t="s">
        <v>314</v>
      </c>
      <c r="L374" s="55" t="s">
        <v>92</v>
      </c>
      <c r="M374" s="57">
        <v>1.1000000000000001</v>
      </c>
      <c r="N374" s="58">
        <v>38000</v>
      </c>
      <c r="O374" s="58">
        <v>0</v>
      </c>
      <c r="P374" s="59">
        <v>41800</v>
      </c>
      <c r="Q374" s="58">
        <v>0</v>
      </c>
      <c r="R374" s="55">
        <v>38000</v>
      </c>
      <c r="S374" s="55" t="s">
        <v>469</v>
      </c>
      <c r="T374" s="55" t="s">
        <v>495</v>
      </c>
      <c r="U374" s="55" t="s">
        <v>18</v>
      </c>
      <c r="V374" s="55" t="s">
        <v>470</v>
      </c>
      <c r="W374" s="42">
        <f>VLOOKUP(B374,'LW13'!$X$15:$Y$501,2,0)-M374</f>
        <v>0</v>
      </c>
    </row>
    <row r="375" spans="1:23" x14ac:dyDescent="0.2">
      <c r="A375" s="9" t="str">
        <f t="shared" si="12"/>
        <v>131NL300088</v>
      </c>
      <c r="B375" s="9" t="str">
        <f>COUNTIF($A$7:A375,A375)&amp;A375</f>
        <v>1131NL300088</v>
      </c>
      <c r="C375" s="54">
        <v>46035</v>
      </c>
      <c r="D375" s="55" t="s">
        <v>294</v>
      </c>
      <c r="E375" s="56" t="s">
        <v>532</v>
      </c>
      <c r="F375" s="56" t="s">
        <v>295</v>
      </c>
      <c r="G375" s="55" t="s">
        <v>492</v>
      </c>
      <c r="H375" s="55" t="s">
        <v>493</v>
      </c>
      <c r="I375" s="55" t="s">
        <v>533</v>
      </c>
      <c r="J375" s="55" t="s">
        <v>185</v>
      </c>
      <c r="K375" s="55" t="s">
        <v>31</v>
      </c>
      <c r="L375" s="55" t="s">
        <v>92</v>
      </c>
      <c r="M375" s="57">
        <v>2.5</v>
      </c>
      <c r="N375" s="58">
        <v>27000</v>
      </c>
      <c r="O375" s="58">
        <v>0</v>
      </c>
      <c r="P375" s="59">
        <v>67500</v>
      </c>
      <c r="Q375" s="58">
        <v>0</v>
      </c>
      <c r="R375" s="55">
        <v>27000</v>
      </c>
      <c r="S375" s="55" t="s">
        <v>469</v>
      </c>
      <c r="T375" s="55" t="s">
        <v>495</v>
      </c>
      <c r="U375" s="55" t="s">
        <v>18</v>
      </c>
      <c r="V375" s="55" t="s">
        <v>470</v>
      </c>
      <c r="W375" s="42">
        <f>VLOOKUP(B375,'LW13'!$X$15:$Y$501,2,0)-M375</f>
        <v>0</v>
      </c>
    </row>
    <row r="376" spans="1:23" x14ac:dyDescent="0.2">
      <c r="A376" s="9" t="str">
        <f t="shared" si="12"/>
        <v>131NL300107</v>
      </c>
      <c r="B376" s="9" t="str">
        <f>COUNTIF($A$7:A376,A376)&amp;A376</f>
        <v>1131NL300107</v>
      </c>
      <c r="C376" s="54">
        <v>46035</v>
      </c>
      <c r="D376" s="55" t="s">
        <v>294</v>
      </c>
      <c r="E376" s="56" t="s">
        <v>532</v>
      </c>
      <c r="F376" s="56" t="s">
        <v>295</v>
      </c>
      <c r="G376" s="55" t="s">
        <v>492</v>
      </c>
      <c r="H376" s="55" t="s">
        <v>493</v>
      </c>
      <c r="I376" s="55" t="s">
        <v>533</v>
      </c>
      <c r="J376" s="55" t="s">
        <v>87</v>
      </c>
      <c r="K376" s="55" t="s">
        <v>299</v>
      </c>
      <c r="L376" s="55" t="s">
        <v>300</v>
      </c>
      <c r="M376" s="57">
        <v>6</v>
      </c>
      <c r="N376" s="58">
        <v>8500</v>
      </c>
      <c r="O376" s="58">
        <v>0</v>
      </c>
      <c r="P376" s="59">
        <v>51000</v>
      </c>
      <c r="Q376" s="58">
        <v>0</v>
      </c>
      <c r="R376" s="55">
        <v>8500</v>
      </c>
      <c r="S376" s="55" t="s">
        <v>469</v>
      </c>
      <c r="T376" s="55" t="s">
        <v>495</v>
      </c>
      <c r="U376" s="55" t="s">
        <v>18</v>
      </c>
      <c r="V376" s="55" t="s">
        <v>470</v>
      </c>
      <c r="W376" s="42">
        <f>VLOOKUP(B376,'LW13'!$X$15:$Y$501,2,0)-M376</f>
        <v>0</v>
      </c>
    </row>
    <row r="377" spans="1:23" x14ac:dyDescent="0.2">
      <c r="A377" s="9" t="str">
        <f t="shared" si="12"/>
        <v>131NL300137</v>
      </c>
      <c r="B377" s="9" t="str">
        <f>COUNTIF($A$7:A377,A377)&amp;A377</f>
        <v>1131NL300137</v>
      </c>
      <c r="C377" s="54">
        <v>46035</v>
      </c>
      <c r="D377" s="55" t="s">
        <v>294</v>
      </c>
      <c r="E377" s="56" t="s">
        <v>532</v>
      </c>
      <c r="F377" s="56" t="s">
        <v>295</v>
      </c>
      <c r="G377" s="55" t="s">
        <v>492</v>
      </c>
      <c r="H377" s="55" t="s">
        <v>493</v>
      </c>
      <c r="I377" s="55" t="s">
        <v>533</v>
      </c>
      <c r="J377" s="55" t="s">
        <v>96</v>
      </c>
      <c r="K377" s="55" t="s">
        <v>397</v>
      </c>
      <c r="L377" s="55" t="s">
        <v>92</v>
      </c>
      <c r="M377" s="57">
        <v>1.9</v>
      </c>
      <c r="N377" s="58">
        <v>52000</v>
      </c>
      <c r="O377" s="58">
        <v>0</v>
      </c>
      <c r="P377" s="59">
        <v>98800</v>
      </c>
      <c r="Q377" s="58">
        <v>0</v>
      </c>
      <c r="R377" s="55">
        <v>52000</v>
      </c>
      <c r="S377" s="55" t="s">
        <v>469</v>
      </c>
      <c r="T377" s="55" t="s">
        <v>495</v>
      </c>
      <c r="U377" s="55" t="s">
        <v>18</v>
      </c>
      <c r="V377" s="55" t="s">
        <v>470</v>
      </c>
      <c r="W377" s="42">
        <f>VLOOKUP(B377,'LW13'!$X$15:$Y$501,2,0)-M377</f>
        <v>0</v>
      </c>
    </row>
    <row r="378" spans="1:23" x14ac:dyDescent="0.2">
      <c r="A378" s="9" t="str">
        <f t="shared" si="12"/>
        <v>131NL300116</v>
      </c>
      <c r="B378" s="9" t="str">
        <f>COUNTIF($A$7:A378,A378)&amp;A378</f>
        <v>1131NL300116</v>
      </c>
      <c r="C378" s="54">
        <v>46035</v>
      </c>
      <c r="D378" s="55" t="s">
        <v>294</v>
      </c>
      <c r="E378" s="56" t="s">
        <v>532</v>
      </c>
      <c r="F378" s="56" t="s">
        <v>295</v>
      </c>
      <c r="G378" s="55" t="s">
        <v>492</v>
      </c>
      <c r="H378" s="55" t="s">
        <v>493</v>
      </c>
      <c r="I378" s="55" t="s">
        <v>533</v>
      </c>
      <c r="J378" s="55" t="s">
        <v>217</v>
      </c>
      <c r="K378" s="55" t="s">
        <v>313</v>
      </c>
      <c r="L378" s="55" t="s">
        <v>92</v>
      </c>
      <c r="M378" s="57">
        <v>0.5</v>
      </c>
      <c r="N378" s="58">
        <v>148000</v>
      </c>
      <c r="O378" s="58">
        <v>0</v>
      </c>
      <c r="P378" s="59">
        <v>74000</v>
      </c>
      <c r="Q378" s="58">
        <v>0</v>
      </c>
      <c r="R378" s="55">
        <v>148000</v>
      </c>
      <c r="S378" s="55" t="s">
        <v>469</v>
      </c>
      <c r="T378" s="55" t="s">
        <v>495</v>
      </c>
      <c r="U378" s="55" t="s">
        <v>18</v>
      </c>
      <c r="V378" s="55" t="s">
        <v>470</v>
      </c>
      <c r="W378" s="42">
        <f>VLOOKUP(B378,'LW13'!$X$15:$Y$501,2,0)-M378</f>
        <v>0</v>
      </c>
    </row>
    <row r="379" spans="1:23" x14ac:dyDescent="0.2">
      <c r="A379" s="9" t="str">
        <f t="shared" si="12"/>
        <v>131NL300119</v>
      </c>
      <c r="B379" s="9" t="str">
        <f>COUNTIF($A$7:A379,A379)&amp;A379</f>
        <v>1131NL300119</v>
      </c>
      <c r="C379" s="54">
        <v>46035</v>
      </c>
      <c r="D379" s="55" t="s">
        <v>294</v>
      </c>
      <c r="E379" s="56" t="s">
        <v>532</v>
      </c>
      <c r="F379" s="56" t="s">
        <v>295</v>
      </c>
      <c r="G379" s="55" t="s">
        <v>492</v>
      </c>
      <c r="H379" s="55" t="s">
        <v>493</v>
      </c>
      <c r="I379" s="55" t="s">
        <v>533</v>
      </c>
      <c r="J379" s="55" t="s">
        <v>242</v>
      </c>
      <c r="K379" s="55" t="s">
        <v>307</v>
      </c>
      <c r="L379" s="55" t="s">
        <v>92</v>
      </c>
      <c r="M379" s="57">
        <v>0.7</v>
      </c>
      <c r="N379" s="58">
        <v>21000</v>
      </c>
      <c r="O379" s="58">
        <v>0</v>
      </c>
      <c r="P379" s="59">
        <v>14700</v>
      </c>
      <c r="Q379" s="58">
        <v>0</v>
      </c>
      <c r="R379" s="55">
        <v>21000</v>
      </c>
      <c r="S379" s="55" t="s">
        <v>469</v>
      </c>
      <c r="T379" s="55" t="s">
        <v>495</v>
      </c>
      <c r="U379" s="55" t="s">
        <v>18</v>
      </c>
      <c r="V379" s="55" t="s">
        <v>470</v>
      </c>
      <c r="W379" s="42">
        <f>VLOOKUP(B379,'LW13'!$X$15:$Y$501,2,0)-M379</f>
        <v>0</v>
      </c>
    </row>
    <row r="380" spans="1:23" x14ac:dyDescent="0.2">
      <c r="A380" s="9" t="str">
        <f t="shared" si="12"/>
        <v>131NL300025</v>
      </c>
      <c r="B380" s="9" t="str">
        <f>COUNTIF($A$7:A380,A380)&amp;A380</f>
        <v>1131NL300025</v>
      </c>
      <c r="C380" s="54">
        <v>46035</v>
      </c>
      <c r="D380" s="55" t="s">
        <v>294</v>
      </c>
      <c r="E380" s="56" t="s">
        <v>532</v>
      </c>
      <c r="F380" s="56" t="s">
        <v>295</v>
      </c>
      <c r="G380" s="55" t="s">
        <v>492</v>
      </c>
      <c r="H380" s="55" t="s">
        <v>493</v>
      </c>
      <c r="I380" s="55" t="s">
        <v>533</v>
      </c>
      <c r="J380" s="55" t="s">
        <v>117</v>
      </c>
      <c r="K380" s="55" t="s">
        <v>303</v>
      </c>
      <c r="L380" s="55" t="s">
        <v>92</v>
      </c>
      <c r="M380" s="57">
        <v>0.9</v>
      </c>
      <c r="N380" s="58">
        <v>44000</v>
      </c>
      <c r="O380" s="58">
        <v>0</v>
      </c>
      <c r="P380" s="59">
        <v>39600</v>
      </c>
      <c r="Q380" s="58">
        <v>0</v>
      </c>
      <c r="R380" s="55">
        <v>44000</v>
      </c>
      <c r="S380" s="55" t="s">
        <v>469</v>
      </c>
      <c r="T380" s="55" t="s">
        <v>495</v>
      </c>
      <c r="U380" s="55" t="s">
        <v>18</v>
      </c>
      <c r="V380" s="55" t="s">
        <v>470</v>
      </c>
      <c r="W380" s="42">
        <f>VLOOKUP(B380,'LW13'!$X$15:$Y$501,2,0)-M380</f>
        <v>0</v>
      </c>
    </row>
    <row r="381" spans="1:23" x14ac:dyDescent="0.2">
      <c r="A381" s="9" t="str">
        <f t="shared" si="12"/>
        <v>131NL100101</v>
      </c>
      <c r="B381" s="9" t="str">
        <f>COUNTIF($A$7:A381,A381)&amp;A381</f>
        <v>1131NL100101</v>
      </c>
      <c r="C381" s="54">
        <v>46035</v>
      </c>
      <c r="D381" s="55" t="s">
        <v>294</v>
      </c>
      <c r="E381" s="56" t="s">
        <v>532</v>
      </c>
      <c r="F381" s="56" t="s">
        <v>295</v>
      </c>
      <c r="G381" s="55" t="s">
        <v>492</v>
      </c>
      <c r="H381" s="55" t="s">
        <v>493</v>
      </c>
      <c r="I381" s="55" t="s">
        <v>533</v>
      </c>
      <c r="J381" s="55" t="s">
        <v>263</v>
      </c>
      <c r="K381" s="55" t="s">
        <v>52</v>
      </c>
      <c r="L381" s="55" t="s">
        <v>318</v>
      </c>
      <c r="M381" s="57">
        <v>28</v>
      </c>
      <c r="N381" s="58">
        <v>5000</v>
      </c>
      <c r="O381" s="58">
        <v>0</v>
      </c>
      <c r="P381" s="59">
        <v>140000</v>
      </c>
      <c r="Q381" s="58">
        <v>0</v>
      </c>
      <c r="R381" s="55">
        <v>5000</v>
      </c>
      <c r="S381" s="55" t="s">
        <v>469</v>
      </c>
      <c r="T381" s="55" t="s">
        <v>495</v>
      </c>
      <c r="U381" s="55" t="s">
        <v>18</v>
      </c>
      <c r="V381" s="55" t="s">
        <v>470</v>
      </c>
      <c r="W381" s="42">
        <f>VLOOKUP(B381,'LW13'!$X$15:$Y$501,2,0)-M381</f>
        <v>0</v>
      </c>
    </row>
    <row r="382" spans="1:23" x14ac:dyDescent="0.2">
      <c r="A382" s="9" t="str">
        <f t="shared" si="12"/>
        <v>131NL300147</v>
      </c>
      <c r="B382" s="9" t="str">
        <f>COUNTIF($A$7:A382,A382)&amp;A382</f>
        <v>1131NL300147</v>
      </c>
      <c r="C382" s="54">
        <v>46035</v>
      </c>
      <c r="D382" s="55" t="s">
        <v>294</v>
      </c>
      <c r="E382" s="56" t="s">
        <v>532</v>
      </c>
      <c r="F382" s="56" t="s">
        <v>295</v>
      </c>
      <c r="G382" s="55" t="s">
        <v>492</v>
      </c>
      <c r="H382" s="55" t="s">
        <v>493</v>
      </c>
      <c r="I382" s="55" t="s">
        <v>533</v>
      </c>
      <c r="J382" s="55" t="s">
        <v>270</v>
      </c>
      <c r="K382" s="55" t="s">
        <v>309</v>
      </c>
      <c r="L382" s="55" t="s">
        <v>92</v>
      </c>
      <c r="M382" s="57">
        <v>2</v>
      </c>
      <c r="N382" s="58">
        <v>62000</v>
      </c>
      <c r="O382" s="58">
        <v>0</v>
      </c>
      <c r="P382" s="59">
        <v>124000</v>
      </c>
      <c r="Q382" s="58">
        <v>0</v>
      </c>
      <c r="R382" s="55">
        <v>62000</v>
      </c>
      <c r="S382" s="55" t="s">
        <v>469</v>
      </c>
      <c r="T382" s="55" t="s">
        <v>495</v>
      </c>
      <c r="U382" s="55" t="s">
        <v>18</v>
      </c>
      <c r="V382" s="55" t="s">
        <v>470</v>
      </c>
      <c r="W382" s="42">
        <f>VLOOKUP(B382,'LW13'!$X$15:$Y$501,2,0)-M382</f>
        <v>0</v>
      </c>
    </row>
    <row r="383" spans="1:23" x14ac:dyDescent="0.2">
      <c r="A383" s="9" t="str">
        <f t="shared" si="12"/>
        <v>131NL300096</v>
      </c>
      <c r="B383" s="9" t="str">
        <f>COUNTIF($A$7:A383,A383)&amp;A383</f>
        <v>1131NL300096</v>
      </c>
      <c r="C383" s="54">
        <v>46035</v>
      </c>
      <c r="D383" s="55" t="s">
        <v>294</v>
      </c>
      <c r="E383" s="56" t="s">
        <v>532</v>
      </c>
      <c r="F383" s="56" t="s">
        <v>295</v>
      </c>
      <c r="G383" s="55" t="s">
        <v>492</v>
      </c>
      <c r="H383" s="55" t="s">
        <v>493</v>
      </c>
      <c r="I383" s="55" t="s">
        <v>533</v>
      </c>
      <c r="J383" s="55" t="s">
        <v>193</v>
      </c>
      <c r="K383" s="55" t="s">
        <v>41</v>
      </c>
      <c r="L383" s="55" t="s">
        <v>92</v>
      </c>
      <c r="M383" s="57">
        <v>2</v>
      </c>
      <c r="N383" s="58">
        <v>45000</v>
      </c>
      <c r="O383" s="58">
        <v>0</v>
      </c>
      <c r="P383" s="59">
        <v>90000</v>
      </c>
      <c r="Q383" s="58">
        <v>0</v>
      </c>
      <c r="R383" s="55">
        <v>45000</v>
      </c>
      <c r="S383" s="55" t="s">
        <v>469</v>
      </c>
      <c r="T383" s="55" t="s">
        <v>495</v>
      </c>
      <c r="U383" s="55" t="s">
        <v>18</v>
      </c>
      <c r="V383" s="55" t="s">
        <v>470</v>
      </c>
      <c r="W383" s="42">
        <f>VLOOKUP(B383,'LW13'!$X$15:$Y$501,2,0)-M383</f>
        <v>0</v>
      </c>
    </row>
    <row r="384" spans="1:23" x14ac:dyDescent="0.2">
      <c r="A384" s="9" t="str">
        <f t="shared" si="12"/>
        <v>131NL300097</v>
      </c>
      <c r="B384" s="9" t="str">
        <f>COUNTIF($A$7:A384,A384)&amp;A384</f>
        <v>1131NL300097</v>
      </c>
      <c r="C384" s="54">
        <v>46035</v>
      </c>
      <c r="D384" s="55" t="s">
        <v>294</v>
      </c>
      <c r="E384" s="56" t="s">
        <v>532</v>
      </c>
      <c r="F384" s="56" t="s">
        <v>295</v>
      </c>
      <c r="G384" s="55" t="s">
        <v>492</v>
      </c>
      <c r="H384" s="55" t="s">
        <v>493</v>
      </c>
      <c r="I384" s="55" t="s">
        <v>533</v>
      </c>
      <c r="J384" s="55" t="s">
        <v>194</v>
      </c>
      <c r="K384" s="55" t="s">
        <v>317</v>
      </c>
      <c r="L384" s="55" t="s">
        <v>92</v>
      </c>
      <c r="M384" s="57">
        <v>1</v>
      </c>
      <c r="N384" s="58">
        <v>90000</v>
      </c>
      <c r="O384" s="58">
        <v>0</v>
      </c>
      <c r="P384" s="59">
        <v>90000</v>
      </c>
      <c r="Q384" s="58">
        <v>0</v>
      </c>
      <c r="R384" s="55">
        <v>90000</v>
      </c>
      <c r="S384" s="55" t="s">
        <v>469</v>
      </c>
      <c r="T384" s="55" t="s">
        <v>495</v>
      </c>
      <c r="U384" s="55" t="s">
        <v>18</v>
      </c>
      <c r="V384" s="55" t="s">
        <v>470</v>
      </c>
      <c r="W384" s="42">
        <f>VLOOKUP(B384,'LW13'!$X$15:$Y$501,2,0)-M384</f>
        <v>0</v>
      </c>
    </row>
    <row r="385" spans="1:23" x14ac:dyDescent="0.2">
      <c r="A385" s="9" t="str">
        <f t="shared" si="12"/>
        <v>131NL600067</v>
      </c>
      <c r="B385" s="9" t="str">
        <f>COUNTIF($A$7:A385,A385)&amp;A385</f>
        <v>1131NL600067</v>
      </c>
      <c r="C385" s="54">
        <v>46035</v>
      </c>
      <c r="D385" s="55" t="s">
        <v>294</v>
      </c>
      <c r="E385" s="56" t="s">
        <v>532</v>
      </c>
      <c r="F385" s="56" t="s">
        <v>295</v>
      </c>
      <c r="G385" s="55" t="s">
        <v>492</v>
      </c>
      <c r="H385" s="55" t="s">
        <v>493</v>
      </c>
      <c r="I385" s="55" t="s">
        <v>533</v>
      </c>
      <c r="J385" s="55" t="s">
        <v>115</v>
      </c>
      <c r="K385" s="55" t="s">
        <v>72</v>
      </c>
      <c r="L385" s="55" t="s">
        <v>92</v>
      </c>
      <c r="M385" s="57">
        <v>0.3</v>
      </c>
      <c r="N385" s="58">
        <v>75000</v>
      </c>
      <c r="O385" s="58">
        <v>0</v>
      </c>
      <c r="P385" s="59">
        <v>22500</v>
      </c>
      <c r="Q385" s="58">
        <v>0</v>
      </c>
      <c r="R385" s="55">
        <v>75000</v>
      </c>
      <c r="S385" s="55" t="s">
        <v>469</v>
      </c>
      <c r="T385" s="55" t="s">
        <v>495</v>
      </c>
      <c r="U385" s="55" t="s">
        <v>18</v>
      </c>
      <c r="V385" s="55" t="s">
        <v>470</v>
      </c>
      <c r="W385" s="42">
        <f>VLOOKUP(B385,'LW13'!$X$15:$Y$501,2,0)-M385</f>
        <v>0</v>
      </c>
    </row>
    <row r="386" spans="1:23" x14ac:dyDescent="0.2">
      <c r="A386" s="9" t="str">
        <f t="shared" si="12"/>
        <v>131NL300030</v>
      </c>
      <c r="B386" s="9" t="str">
        <f>COUNTIF($A$7:A386,A386)&amp;A386</f>
        <v>1131NL300030</v>
      </c>
      <c r="C386" s="54">
        <v>46035</v>
      </c>
      <c r="D386" s="55" t="s">
        <v>294</v>
      </c>
      <c r="E386" s="56" t="s">
        <v>532</v>
      </c>
      <c r="F386" s="56" t="s">
        <v>295</v>
      </c>
      <c r="G386" s="55" t="s">
        <v>492</v>
      </c>
      <c r="H386" s="55" t="s">
        <v>493</v>
      </c>
      <c r="I386" s="55" t="s">
        <v>533</v>
      </c>
      <c r="J386" s="55" t="s">
        <v>120</v>
      </c>
      <c r="K386" s="55" t="s">
        <v>310</v>
      </c>
      <c r="L386" s="55" t="s">
        <v>92</v>
      </c>
      <c r="M386" s="57">
        <v>0.7</v>
      </c>
      <c r="N386" s="58">
        <v>34000</v>
      </c>
      <c r="O386" s="58">
        <v>0</v>
      </c>
      <c r="P386" s="59">
        <v>23800</v>
      </c>
      <c r="Q386" s="58">
        <v>0</v>
      </c>
      <c r="R386" s="55">
        <v>34000</v>
      </c>
      <c r="S386" s="55" t="s">
        <v>469</v>
      </c>
      <c r="T386" s="55" t="s">
        <v>495</v>
      </c>
      <c r="U386" s="55" t="s">
        <v>18</v>
      </c>
      <c r="V386" s="55" t="s">
        <v>470</v>
      </c>
      <c r="W386" s="42">
        <f>VLOOKUP(B386,'LW13'!$X$15:$Y$501,2,0)-M386</f>
        <v>0</v>
      </c>
    </row>
    <row r="387" spans="1:23" x14ac:dyDescent="0.2">
      <c r="A387" s="9" t="str">
        <f t="shared" si="12"/>
        <v>131NL600068</v>
      </c>
      <c r="B387" s="9" t="str">
        <f>COUNTIF($A$7:A387,A387)&amp;A387</f>
        <v>1131NL600068</v>
      </c>
      <c r="C387" s="54">
        <v>46035</v>
      </c>
      <c r="D387" s="55" t="s">
        <v>294</v>
      </c>
      <c r="E387" s="56" t="s">
        <v>532</v>
      </c>
      <c r="F387" s="56" t="s">
        <v>295</v>
      </c>
      <c r="G387" s="55" t="s">
        <v>492</v>
      </c>
      <c r="H387" s="55" t="s">
        <v>493</v>
      </c>
      <c r="I387" s="55" t="s">
        <v>533</v>
      </c>
      <c r="J387" s="55" t="s">
        <v>123</v>
      </c>
      <c r="K387" s="55" t="s">
        <v>74</v>
      </c>
      <c r="L387" s="55" t="s">
        <v>92</v>
      </c>
      <c r="M387" s="57">
        <v>0.3</v>
      </c>
      <c r="N387" s="58">
        <v>95000</v>
      </c>
      <c r="O387" s="58">
        <v>0</v>
      </c>
      <c r="P387" s="59">
        <v>28500</v>
      </c>
      <c r="Q387" s="58">
        <v>0</v>
      </c>
      <c r="R387" s="55">
        <v>95000</v>
      </c>
      <c r="S387" s="55" t="s">
        <v>469</v>
      </c>
      <c r="T387" s="55" t="s">
        <v>495</v>
      </c>
      <c r="U387" s="55" t="s">
        <v>18</v>
      </c>
      <c r="V387" s="55" t="s">
        <v>470</v>
      </c>
      <c r="W387" s="42">
        <f>VLOOKUP(B387,'LW13'!$X$15:$Y$501,2,0)-M387</f>
        <v>0</v>
      </c>
    </row>
    <row r="388" spans="1:23" x14ac:dyDescent="0.2">
      <c r="A388" s="9" t="str">
        <f t="shared" si="12"/>
        <v>131NL600004</v>
      </c>
      <c r="B388" s="9" t="str">
        <f>COUNTIF($A$7:A388,A388)&amp;A388</f>
        <v>1131NL600004</v>
      </c>
      <c r="C388" s="54">
        <v>46035</v>
      </c>
      <c r="D388" s="55" t="s">
        <v>294</v>
      </c>
      <c r="E388" s="56" t="s">
        <v>532</v>
      </c>
      <c r="F388" s="56" t="s">
        <v>295</v>
      </c>
      <c r="G388" s="55" t="s">
        <v>492</v>
      </c>
      <c r="H388" s="55" t="s">
        <v>493</v>
      </c>
      <c r="I388" s="55" t="s">
        <v>533</v>
      </c>
      <c r="J388" s="55" t="s">
        <v>144</v>
      </c>
      <c r="K388" s="55" t="s">
        <v>47</v>
      </c>
      <c r="L388" s="55" t="s">
        <v>92</v>
      </c>
      <c r="M388" s="57">
        <v>22</v>
      </c>
      <c r="N388" s="58">
        <v>18000</v>
      </c>
      <c r="O388" s="58">
        <v>0</v>
      </c>
      <c r="P388" s="59">
        <v>396000</v>
      </c>
      <c r="Q388" s="58">
        <v>0</v>
      </c>
      <c r="R388" s="55">
        <v>18000</v>
      </c>
      <c r="S388" s="55" t="s">
        <v>469</v>
      </c>
      <c r="T388" s="55" t="s">
        <v>495</v>
      </c>
      <c r="U388" s="55" t="s">
        <v>18</v>
      </c>
      <c r="V388" s="55" t="s">
        <v>470</v>
      </c>
      <c r="W388" s="42">
        <f>VLOOKUP(B388,'LW13'!$X$15:$Y$501,2,0)-M388</f>
        <v>0</v>
      </c>
    </row>
    <row r="389" spans="1:23" x14ac:dyDescent="0.2">
      <c r="A389" s="9" t="str">
        <f t="shared" si="12"/>
        <v>131NL300061</v>
      </c>
      <c r="B389" s="9" t="str">
        <f>COUNTIF($A$7:A389,A389)&amp;A389</f>
        <v>1131NL300061</v>
      </c>
      <c r="C389" s="54">
        <v>46035</v>
      </c>
      <c r="D389" s="55" t="s">
        <v>294</v>
      </c>
      <c r="E389" s="56" t="s">
        <v>534</v>
      </c>
      <c r="F389" s="56" t="s">
        <v>295</v>
      </c>
      <c r="G389" s="55" t="s">
        <v>492</v>
      </c>
      <c r="H389" s="55" t="s">
        <v>493</v>
      </c>
      <c r="I389" s="55" t="s">
        <v>533</v>
      </c>
      <c r="J389" s="55" t="s">
        <v>148</v>
      </c>
      <c r="K389" s="55" t="s">
        <v>403</v>
      </c>
      <c r="L389" s="55" t="s">
        <v>92</v>
      </c>
      <c r="M389" s="57">
        <v>0.6</v>
      </c>
      <c r="N389" s="58">
        <v>38000</v>
      </c>
      <c r="O389" s="58">
        <v>0</v>
      </c>
      <c r="P389" s="59">
        <v>22800</v>
      </c>
      <c r="Q389" s="58">
        <v>0</v>
      </c>
      <c r="R389" s="55">
        <v>38000</v>
      </c>
      <c r="S389" s="55" t="s">
        <v>469</v>
      </c>
      <c r="T389" s="55" t="s">
        <v>495</v>
      </c>
      <c r="U389" s="55" t="s">
        <v>18</v>
      </c>
      <c r="V389" s="55" t="s">
        <v>470</v>
      </c>
      <c r="W389" s="42">
        <f>VLOOKUP(B389,'LW13'!$X$15:$Y$501,2,0)-M389</f>
        <v>0</v>
      </c>
    </row>
    <row r="390" spans="1:23" x14ac:dyDescent="0.2">
      <c r="A390" s="9" t="str">
        <f t="shared" si="12"/>
        <v>131NL300029</v>
      </c>
      <c r="B390" s="9" t="str">
        <f>COUNTIF($A$7:A390,A390)&amp;A390</f>
        <v>1131NL300029</v>
      </c>
      <c r="C390" s="54">
        <v>46035</v>
      </c>
      <c r="D390" s="55" t="s">
        <v>294</v>
      </c>
      <c r="E390" s="56" t="s">
        <v>534</v>
      </c>
      <c r="F390" s="56" t="s">
        <v>295</v>
      </c>
      <c r="G390" s="55" t="s">
        <v>492</v>
      </c>
      <c r="H390" s="55" t="s">
        <v>493</v>
      </c>
      <c r="I390" s="55" t="s">
        <v>533</v>
      </c>
      <c r="J390" s="55" t="s">
        <v>121</v>
      </c>
      <c r="K390" s="55" t="s">
        <v>298</v>
      </c>
      <c r="L390" s="55" t="s">
        <v>92</v>
      </c>
      <c r="M390" s="57">
        <v>1</v>
      </c>
      <c r="N390" s="58">
        <v>22000</v>
      </c>
      <c r="O390" s="58">
        <v>0</v>
      </c>
      <c r="P390" s="59">
        <v>22000</v>
      </c>
      <c r="Q390" s="58">
        <v>0</v>
      </c>
      <c r="R390" s="55">
        <v>22000</v>
      </c>
      <c r="S390" s="55" t="s">
        <v>469</v>
      </c>
      <c r="T390" s="55" t="s">
        <v>495</v>
      </c>
      <c r="U390" s="55" t="s">
        <v>18</v>
      </c>
      <c r="V390" s="55" t="s">
        <v>470</v>
      </c>
      <c r="W390" s="42">
        <f>VLOOKUP(B390,'LW13'!$X$15:$Y$501,2,0)-M390</f>
        <v>0</v>
      </c>
    </row>
    <row r="391" spans="1:23" x14ac:dyDescent="0.2">
      <c r="A391" s="9" t="str">
        <f t="shared" si="12"/>
        <v>131NL300020</v>
      </c>
      <c r="B391" s="9" t="str">
        <f>COUNTIF($A$7:A391,A391)&amp;A391</f>
        <v>1131NL300020</v>
      </c>
      <c r="C391" s="54">
        <v>46035</v>
      </c>
      <c r="D391" s="55" t="s">
        <v>294</v>
      </c>
      <c r="E391" s="56" t="s">
        <v>535</v>
      </c>
      <c r="F391" s="56" t="s">
        <v>295</v>
      </c>
      <c r="G391" s="55" t="s">
        <v>492</v>
      </c>
      <c r="H391" s="55" t="s">
        <v>493</v>
      </c>
      <c r="I391" s="55" t="s">
        <v>533</v>
      </c>
      <c r="J391" s="55" t="s">
        <v>110</v>
      </c>
      <c r="K391" s="55" t="s">
        <v>302</v>
      </c>
      <c r="L391" s="55" t="s">
        <v>92</v>
      </c>
      <c r="M391" s="57">
        <v>1</v>
      </c>
      <c r="N391" s="58">
        <v>30000</v>
      </c>
      <c r="O391" s="58">
        <v>0</v>
      </c>
      <c r="P391" s="59">
        <v>30000</v>
      </c>
      <c r="Q391" s="58">
        <v>0</v>
      </c>
      <c r="R391" s="55">
        <v>30000</v>
      </c>
      <c r="S391" s="55" t="s">
        <v>469</v>
      </c>
      <c r="T391" s="55" t="s">
        <v>495</v>
      </c>
      <c r="U391" s="55" t="s">
        <v>18</v>
      </c>
      <c r="V391" s="55" t="s">
        <v>470</v>
      </c>
      <c r="W391" s="42">
        <f>VLOOKUP(B391,'LW13'!$X$15:$Y$501,2,0)-M391</f>
        <v>0</v>
      </c>
    </row>
    <row r="392" spans="1:23" x14ac:dyDescent="0.2">
      <c r="A392" s="9" t="str">
        <f t="shared" si="12"/>
        <v>131NL300055</v>
      </c>
      <c r="B392" s="9" t="str">
        <f>COUNTIF($A$7:A392,A392)&amp;A392</f>
        <v>1131NL300055</v>
      </c>
      <c r="C392" s="54">
        <v>46035</v>
      </c>
      <c r="D392" s="55" t="s">
        <v>294</v>
      </c>
      <c r="E392" s="56" t="s">
        <v>535</v>
      </c>
      <c r="F392" s="56" t="s">
        <v>295</v>
      </c>
      <c r="G392" s="55" t="s">
        <v>492</v>
      </c>
      <c r="H392" s="55" t="s">
        <v>493</v>
      </c>
      <c r="I392" s="55" t="s">
        <v>533</v>
      </c>
      <c r="J392" s="55" t="s">
        <v>152</v>
      </c>
      <c r="K392" s="55" t="s">
        <v>311</v>
      </c>
      <c r="L392" s="55" t="s">
        <v>92</v>
      </c>
      <c r="M392" s="57">
        <v>0.2</v>
      </c>
      <c r="N392" s="58">
        <v>80000</v>
      </c>
      <c r="O392" s="58">
        <v>0</v>
      </c>
      <c r="P392" s="59">
        <v>16000</v>
      </c>
      <c r="Q392" s="58">
        <v>0</v>
      </c>
      <c r="R392" s="55">
        <v>80000</v>
      </c>
      <c r="S392" s="55" t="s">
        <v>469</v>
      </c>
      <c r="T392" s="55" t="s">
        <v>495</v>
      </c>
      <c r="U392" s="55" t="s">
        <v>18</v>
      </c>
      <c r="V392" s="55" t="s">
        <v>470</v>
      </c>
      <c r="W392" s="42">
        <f>VLOOKUP(B392,'LW13'!$X$15:$Y$501,2,0)-M392</f>
        <v>0</v>
      </c>
    </row>
    <row r="393" spans="1:23" x14ac:dyDescent="0.2">
      <c r="A393" s="9" t="str">
        <f t="shared" si="12"/>
        <v>131NL300090</v>
      </c>
      <c r="B393" s="9" t="str">
        <f>COUNTIF($A$7:A393,A393)&amp;A393</f>
        <v>1131NL300090</v>
      </c>
      <c r="C393" s="54">
        <v>46035</v>
      </c>
      <c r="D393" s="55" t="s">
        <v>294</v>
      </c>
      <c r="E393" s="56" t="s">
        <v>535</v>
      </c>
      <c r="F393" s="56" t="s">
        <v>295</v>
      </c>
      <c r="G393" s="55" t="s">
        <v>492</v>
      </c>
      <c r="H393" s="55" t="s">
        <v>493</v>
      </c>
      <c r="I393" s="55" t="s">
        <v>533</v>
      </c>
      <c r="J393" s="55" t="s">
        <v>189</v>
      </c>
      <c r="K393" s="55" t="s">
        <v>39</v>
      </c>
      <c r="L393" s="55" t="s">
        <v>92</v>
      </c>
      <c r="M393" s="57">
        <v>2.9</v>
      </c>
      <c r="N393" s="58">
        <v>145000</v>
      </c>
      <c r="O393" s="58">
        <v>0</v>
      </c>
      <c r="P393" s="59">
        <v>420500</v>
      </c>
      <c r="Q393" s="58">
        <v>0</v>
      </c>
      <c r="R393" s="55">
        <v>145000</v>
      </c>
      <c r="S393" s="55" t="s">
        <v>469</v>
      </c>
      <c r="T393" s="55" t="s">
        <v>495</v>
      </c>
      <c r="U393" s="55" t="s">
        <v>18</v>
      </c>
      <c r="V393" s="55" t="s">
        <v>470</v>
      </c>
      <c r="W393" s="42">
        <f>VLOOKUP(B393,'LW13'!$X$15:$Y$501,2,0)-M393</f>
        <v>0</v>
      </c>
    </row>
    <row r="394" spans="1:23" x14ac:dyDescent="0.2">
      <c r="A394" s="9" t="str">
        <f t="shared" si="12"/>
        <v>131NL300092</v>
      </c>
      <c r="B394" s="9" t="str">
        <f>COUNTIF($A$7:A394,A394)&amp;A394</f>
        <v>1131NL300092</v>
      </c>
      <c r="C394" s="54">
        <v>46035</v>
      </c>
      <c r="D394" s="55" t="s">
        <v>294</v>
      </c>
      <c r="E394" s="56" t="s">
        <v>535</v>
      </c>
      <c r="F394" s="56" t="s">
        <v>295</v>
      </c>
      <c r="G394" s="55" t="s">
        <v>492</v>
      </c>
      <c r="H394" s="55" t="s">
        <v>493</v>
      </c>
      <c r="I394" s="55" t="s">
        <v>533</v>
      </c>
      <c r="J394" s="55" t="s">
        <v>191</v>
      </c>
      <c r="K394" s="55" t="s">
        <v>43</v>
      </c>
      <c r="L394" s="55" t="s">
        <v>92</v>
      </c>
      <c r="M394" s="57">
        <v>0.8</v>
      </c>
      <c r="N394" s="58">
        <v>90000</v>
      </c>
      <c r="O394" s="58">
        <v>0</v>
      </c>
      <c r="P394" s="59">
        <v>72000</v>
      </c>
      <c r="Q394" s="58">
        <v>0</v>
      </c>
      <c r="R394" s="55">
        <v>90000</v>
      </c>
      <c r="S394" s="55" t="s">
        <v>469</v>
      </c>
      <c r="T394" s="55" t="s">
        <v>495</v>
      </c>
      <c r="U394" s="55" t="s">
        <v>18</v>
      </c>
      <c r="V394" s="55" t="s">
        <v>470</v>
      </c>
      <c r="W394" s="42">
        <f>VLOOKUP(B394,'LW13'!$X$15:$Y$501,2,0)-M394</f>
        <v>0</v>
      </c>
    </row>
    <row r="395" spans="1:23" x14ac:dyDescent="0.2">
      <c r="A395" s="9" t="str">
        <f t="shared" si="12"/>
        <v>141NL300189</v>
      </c>
      <c r="B395" s="9" t="str">
        <f>COUNTIF($A$7:A395,A395)&amp;A395</f>
        <v>1141NL300189</v>
      </c>
      <c r="C395" s="54">
        <v>46036</v>
      </c>
      <c r="D395" s="55" t="s">
        <v>294</v>
      </c>
      <c r="E395" s="56" t="s">
        <v>536</v>
      </c>
      <c r="F395" s="56" t="s">
        <v>295</v>
      </c>
      <c r="G395" s="55" t="s">
        <v>492</v>
      </c>
      <c r="H395" s="55" t="s">
        <v>493</v>
      </c>
      <c r="I395" s="55" t="s">
        <v>537</v>
      </c>
      <c r="J395" s="55" t="s">
        <v>85</v>
      </c>
      <c r="K395" s="55" t="s">
        <v>54</v>
      </c>
      <c r="L395" s="55" t="s">
        <v>92</v>
      </c>
      <c r="M395" s="57">
        <v>1.5</v>
      </c>
      <c r="N395" s="58">
        <v>15000</v>
      </c>
      <c r="O395" s="58">
        <v>0</v>
      </c>
      <c r="P395" s="59">
        <v>22500</v>
      </c>
      <c r="Q395" s="58">
        <v>0</v>
      </c>
      <c r="R395" s="55">
        <v>15000</v>
      </c>
      <c r="S395" s="55" t="s">
        <v>469</v>
      </c>
      <c r="T395" s="55" t="s">
        <v>495</v>
      </c>
      <c r="U395" s="55" t="s">
        <v>18</v>
      </c>
      <c r="V395" s="55" t="s">
        <v>470</v>
      </c>
      <c r="W395" s="42">
        <f>VLOOKUP(B395,'LW13'!$X$15:$Y$501,2,0)-M395</f>
        <v>0</v>
      </c>
    </row>
    <row r="396" spans="1:23" x14ac:dyDescent="0.2">
      <c r="A396" s="9" t="str">
        <f t="shared" si="12"/>
        <v>141NL300004</v>
      </c>
      <c r="B396" s="9" t="str">
        <f>COUNTIF($A$7:A396,A396)&amp;A396</f>
        <v>1141NL300004</v>
      </c>
      <c r="C396" s="54">
        <v>46036</v>
      </c>
      <c r="D396" s="55" t="s">
        <v>294</v>
      </c>
      <c r="E396" s="56" t="s">
        <v>536</v>
      </c>
      <c r="F396" s="56" t="s">
        <v>295</v>
      </c>
      <c r="G396" s="55" t="s">
        <v>492</v>
      </c>
      <c r="H396" s="55" t="s">
        <v>493</v>
      </c>
      <c r="I396" s="55" t="s">
        <v>537</v>
      </c>
      <c r="J396" s="55" t="s">
        <v>86</v>
      </c>
      <c r="K396" s="55" t="s">
        <v>16</v>
      </c>
      <c r="L396" s="55" t="s">
        <v>92</v>
      </c>
      <c r="M396" s="57">
        <v>1.3</v>
      </c>
      <c r="N396" s="58">
        <v>19000</v>
      </c>
      <c r="O396" s="58">
        <v>0</v>
      </c>
      <c r="P396" s="59">
        <v>24700</v>
      </c>
      <c r="Q396" s="58">
        <v>0</v>
      </c>
      <c r="R396" s="55">
        <v>19000</v>
      </c>
      <c r="S396" s="55" t="s">
        <v>469</v>
      </c>
      <c r="T396" s="55" t="s">
        <v>495</v>
      </c>
      <c r="U396" s="55" t="s">
        <v>18</v>
      </c>
      <c r="V396" s="55" t="s">
        <v>470</v>
      </c>
      <c r="W396" s="42">
        <f>VLOOKUP(B396,'LW13'!$X$15:$Y$501,2,0)-M396</f>
        <v>0</v>
      </c>
    </row>
    <row r="397" spans="1:23" x14ac:dyDescent="0.2">
      <c r="A397" s="9" t="str">
        <f t="shared" si="12"/>
        <v>141NL300008</v>
      </c>
      <c r="B397" s="9" t="str">
        <f>COUNTIF($A$7:A397,A397)&amp;A397</f>
        <v>1141NL300008</v>
      </c>
      <c r="C397" s="54">
        <v>46036</v>
      </c>
      <c r="D397" s="55" t="s">
        <v>294</v>
      </c>
      <c r="E397" s="56" t="s">
        <v>536</v>
      </c>
      <c r="F397" s="56" t="s">
        <v>295</v>
      </c>
      <c r="G397" s="55" t="s">
        <v>492</v>
      </c>
      <c r="H397" s="55" t="s">
        <v>493</v>
      </c>
      <c r="I397" s="55" t="s">
        <v>537</v>
      </c>
      <c r="J397" s="55" t="s">
        <v>93</v>
      </c>
      <c r="K397" s="55" t="s">
        <v>301</v>
      </c>
      <c r="L397" s="55" t="s">
        <v>92</v>
      </c>
      <c r="M397" s="57">
        <v>1.5</v>
      </c>
      <c r="N397" s="58">
        <v>40000</v>
      </c>
      <c r="O397" s="58">
        <v>0</v>
      </c>
      <c r="P397" s="59">
        <v>60000</v>
      </c>
      <c r="Q397" s="58">
        <v>0</v>
      </c>
      <c r="R397" s="55">
        <v>40000</v>
      </c>
      <c r="S397" s="55" t="s">
        <v>469</v>
      </c>
      <c r="T397" s="55" t="s">
        <v>495</v>
      </c>
      <c r="U397" s="55" t="s">
        <v>18</v>
      </c>
      <c r="V397" s="55" t="s">
        <v>470</v>
      </c>
      <c r="W397" s="42">
        <f>VLOOKUP(B397,'LW13'!$X$15:$Y$501,2,0)-M397</f>
        <v>0</v>
      </c>
    </row>
    <row r="398" spans="1:23" x14ac:dyDescent="0.2">
      <c r="A398" s="9" t="str">
        <f t="shared" ref="A398:A445" si="13">DAY(C398)&amp;MONTH(C398)&amp;J398</f>
        <v>141NL300020</v>
      </c>
      <c r="B398" s="9" t="str">
        <f>COUNTIF($A$7:A398,A398)&amp;A398</f>
        <v>1141NL300020</v>
      </c>
      <c r="C398" s="54">
        <v>46036</v>
      </c>
      <c r="D398" s="55" t="s">
        <v>294</v>
      </c>
      <c r="E398" s="56" t="s">
        <v>536</v>
      </c>
      <c r="F398" s="56" t="s">
        <v>295</v>
      </c>
      <c r="G398" s="55" t="s">
        <v>492</v>
      </c>
      <c r="H398" s="55" t="s">
        <v>493</v>
      </c>
      <c r="I398" s="55" t="s">
        <v>537</v>
      </c>
      <c r="J398" s="55" t="s">
        <v>110</v>
      </c>
      <c r="K398" s="55" t="s">
        <v>302</v>
      </c>
      <c r="L398" s="55" t="s">
        <v>92</v>
      </c>
      <c r="M398" s="57">
        <v>1</v>
      </c>
      <c r="N398" s="58">
        <v>30000</v>
      </c>
      <c r="O398" s="58">
        <v>0</v>
      </c>
      <c r="P398" s="59">
        <v>30000</v>
      </c>
      <c r="Q398" s="58">
        <v>0</v>
      </c>
      <c r="R398" s="55">
        <v>30000</v>
      </c>
      <c r="S398" s="55" t="s">
        <v>469</v>
      </c>
      <c r="T398" s="55" t="s">
        <v>495</v>
      </c>
      <c r="U398" s="55" t="s">
        <v>18</v>
      </c>
      <c r="V398" s="55" t="s">
        <v>470</v>
      </c>
      <c r="W398" s="42">
        <f>VLOOKUP(B398,'LW13'!$X$15:$Y$501,2,0)-M398</f>
        <v>0</v>
      </c>
    </row>
    <row r="399" spans="1:23" x14ac:dyDescent="0.2">
      <c r="A399" s="9" t="str">
        <f t="shared" si="13"/>
        <v>141NL300038</v>
      </c>
      <c r="B399" s="9" t="str">
        <f>COUNTIF($A$7:A399,A399)&amp;A399</f>
        <v>1141NL300038</v>
      </c>
      <c r="C399" s="54">
        <v>46036</v>
      </c>
      <c r="D399" s="55" t="s">
        <v>294</v>
      </c>
      <c r="E399" s="56" t="s">
        <v>536</v>
      </c>
      <c r="F399" s="56" t="s">
        <v>295</v>
      </c>
      <c r="G399" s="55" t="s">
        <v>492</v>
      </c>
      <c r="H399" s="55" t="s">
        <v>493</v>
      </c>
      <c r="I399" s="55" t="s">
        <v>537</v>
      </c>
      <c r="J399" s="55" t="s">
        <v>132</v>
      </c>
      <c r="K399" s="55" t="s">
        <v>28</v>
      </c>
      <c r="L399" s="55" t="s">
        <v>92</v>
      </c>
      <c r="M399" s="57">
        <v>1.5</v>
      </c>
      <c r="N399" s="58">
        <v>32000</v>
      </c>
      <c r="O399" s="58">
        <v>0</v>
      </c>
      <c r="P399" s="59">
        <v>48000</v>
      </c>
      <c r="Q399" s="58">
        <v>0</v>
      </c>
      <c r="R399" s="55">
        <v>32000</v>
      </c>
      <c r="S399" s="55" t="s">
        <v>469</v>
      </c>
      <c r="T399" s="55" t="s">
        <v>495</v>
      </c>
      <c r="U399" s="55" t="s">
        <v>18</v>
      </c>
      <c r="V399" s="55" t="s">
        <v>470</v>
      </c>
      <c r="W399" s="42">
        <f>VLOOKUP(B399,'LW13'!$X$15:$Y$501,2,0)-M399</f>
        <v>0</v>
      </c>
    </row>
    <row r="400" spans="1:23" x14ac:dyDescent="0.2">
      <c r="A400" s="9" t="str">
        <f t="shared" si="13"/>
        <v>141NL300054</v>
      </c>
      <c r="B400" s="9" t="str">
        <f>COUNTIF($A$7:A400,A400)&amp;A400</f>
        <v>1141NL300054</v>
      </c>
      <c r="C400" s="54">
        <v>46036</v>
      </c>
      <c r="D400" s="55" t="s">
        <v>294</v>
      </c>
      <c r="E400" s="56" t="s">
        <v>536</v>
      </c>
      <c r="F400" s="56" t="s">
        <v>295</v>
      </c>
      <c r="G400" s="55" t="s">
        <v>492</v>
      </c>
      <c r="H400" s="55" t="s">
        <v>493</v>
      </c>
      <c r="I400" s="55" t="s">
        <v>537</v>
      </c>
      <c r="J400" s="55" t="s">
        <v>128</v>
      </c>
      <c r="K400" s="55" t="s">
        <v>314</v>
      </c>
      <c r="L400" s="55" t="s">
        <v>92</v>
      </c>
      <c r="M400" s="57">
        <v>0.9</v>
      </c>
      <c r="N400" s="58">
        <v>38000</v>
      </c>
      <c r="O400" s="58">
        <v>0</v>
      </c>
      <c r="P400" s="59">
        <v>34200</v>
      </c>
      <c r="Q400" s="58">
        <v>0</v>
      </c>
      <c r="R400" s="55">
        <v>38000</v>
      </c>
      <c r="S400" s="55" t="s">
        <v>469</v>
      </c>
      <c r="T400" s="55" t="s">
        <v>495</v>
      </c>
      <c r="U400" s="55" t="s">
        <v>18</v>
      </c>
      <c r="V400" s="55" t="s">
        <v>470</v>
      </c>
      <c r="W400" s="42">
        <f>VLOOKUP(B400,'LW13'!$X$15:$Y$501,2,0)-M400</f>
        <v>0</v>
      </c>
    </row>
    <row r="401" spans="1:23" x14ac:dyDescent="0.2">
      <c r="A401" s="9" t="str">
        <f t="shared" si="13"/>
        <v>141NL300058</v>
      </c>
      <c r="B401" s="9" t="str">
        <f>COUNTIF($A$7:A401,A401)&amp;A401</f>
        <v>1141NL300058</v>
      </c>
      <c r="C401" s="54">
        <v>46036</v>
      </c>
      <c r="D401" s="55" t="s">
        <v>294</v>
      </c>
      <c r="E401" s="56" t="s">
        <v>536</v>
      </c>
      <c r="F401" s="56" t="s">
        <v>295</v>
      </c>
      <c r="G401" s="55" t="s">
        <v>492</v>
      </c>
      <c r="H401" s="55" t="s">
        <v>493</v>
      </c>
      <c r="I401" s="55" t="s">
        <v>537</v>
      </c>
      <c r="J401" s="55" t="s">
        <v>147</v>
      </c>
      <c r="K401" s="55" t="s">
        <v>29</v>
      </c>
      <c r="L401" s="55" t="s">
        <v>92</v>
      </c>
      <c r="M401" s="57">
        <v>1.2</v>
      </c>
      <c r="N401" s="58">
        <v>55000</v>
      </c>
      <c r="O401" s="58">
        <v>0</v>
      </c>
      <c r="P401" s="59">
        <v>66000</v>
      </c>
      <c r="Q401" s="58">
        <v>0</v>
      </c>
      <c r="R401" s="55">
        <v>55000</v>
      </c>
      <c r="S401" s="55" t="s">
        <v>469</v>
      </c>
      <c r="T401" s="55" t="s">
        <v>495</v>
      </c>
      <c r="U401" s="55" t="s">
        <v>18</v>
      </c>
      <c r="V401" s="55" t="s">
        <v>470</v>
      </c>
      <c r="W401" s="42">
        <f>VLOOKUP(B401,'LW13'!$X$15:$Y$501,2,0)-M401</f>
        <v>0</v>
      </c>
    </row>
    <row r="402" spans="1:23" x14ac:dyDescent="0.2">
      <c r="A402" s="9" t="str">
        <f t="shared" si="13"/>
        <v>141NL300085</v>
      </c>
      <c r="B402" s="9" t="str">
        <f>COUNTIF($A$7:A402,A402)&amp;A402</f>
        <v>1141NL300085</v>
      </c>
      <c r="C402" s="54">
        <v>46036</v>
      </c>
      <c r="D402" s="55" t="s">
        <v>294</v>
      </c>
      <c r="E402" s="56" t="s">
        <v>536</v>
      </c>
      <c r="F402" s="56" t="s">
        <v>295</v>
      </c>
      <c r="G402" s="55" t="s">
        <v>492</v>
      </c>
      <c r="H402" s="55" t="s">
        <v>493</v>
      </c>
      <c r="I402" s="55" t="s">
        <v>537</v>
      </c>
      <c r="J402" s="55" t="s">
        <v>205</v>
      </c>
      <c r="K402" s="55" t="s">
        <v>306</v>
      </c>
      <c r="L402" s="55" t="s">
        <v>92</v>
      </c>
      <c r="M402" s="57">
        <v>2</v>
      </c>
      <c r="N402" s="58">
        <v>45000</v>
      </c>
      <c r="O402" s="58">
        <v>0</v>
      </c>
      <c r="P402" s="59">
        <v>90000</v>
      </c>
      <c r="Q402" s="58">
        <v>0</v>
      </c>
      <c r="R402" s="55">
        <v>45000</v>
      </c>
      <c r="S402" s="55" t="s">
        <v>469</v>
      </c>
      <c r="T402" s="55" t="s">
        <v>495</v>
      </c>
      <c r="U402" s="55" t="s">
        <v>18</v>
      </c>
      <c r="V402" s="55" t="s">
        <v>470</v>
      </c>
      <c r="W402" s="42">
        <f>VLOOKUP(B402,'LW13'!$X$15:$Y$501,2,0)-M402</f>
        <v>0</v>
      </c>
    </row>
    <row r="403" spans="1:23" x14ac:dyDescent="0.2">
      <c r="A403" s="9" t="str">
        <f t="shared" si="13"/>
        <v>141NL300088</v>
      </c>
      <c r="B403" s="9" t="str">
        <f>COUNTIF($A$7:A403,A403)&amp;A403</f>
        <v>1141NL300088</v>
      </c>
      <c r="C403" s="54">
        <v>46036</v>
      </c>
      <c r="D403" s="55" t="s">
        <v>294</v>
      </c>
      <c r="E403" s="56" t="s">
        <v>536</v>
      </c>
      <c r="F403" s="56" t="s">
        <v>295</v>
      </c>
      <c r="G403" s="55" t="s">
        <v>492</v>
      </c>
      <c r="H403" s="55" t="s">
        <v>493</v>
      </c>
      <c r="I403" s="55" t="s">
        <v>537</v>
      </c>
      <c r="J403" s="55" t="s">
        <v>185</v>
      </c>
      <c r="K403" s="55" t="s">
        <v>31</v>
      </c>
      <c r="L403" s="55" t="s">
        <v>92</v>
      </c>
      <c r="M403" s="57">
        <v>1.9</v>
      </c>
      <c r="N403" s="58">
        <v>27000</v>
      </c>
      <c r="O403" s="58">
        <v>0</v>
      </c>
      <c r="P403" s="59">
        <v>51300</v>
      </c>
      <c r="Q403" s="58">
        <v>0</v>
      </c>
      <c r="R403" s="55">
        <v>27000</v>
      </c>
      <c r="S403" s="55" t="s">
        <v>469</v>
      </c>
      <c r="T403" s="55" t="s">
        <v>495</v>
      </c>
      <c r="U403" s="55" t="s">
        <v>18</v>
      </c>
      <c r="V403" s="55" t="s">
        <v>470</v>
      </c>
      <c r="W403" s="42">
        <f>VLOOKUP(B403,'LW13'!$X$15:$Y$501,2,0)-M403</f>
        <v>0</v>
      </c>
    </row>
    <row r="404" spans="1:23" x14ac:dyDescent="0.2">
      <c r="A404" s="9" t="str">
        <f t="shared" si="13"/>
        <v>141NL300107</v>
      </c>
      <c r="B404" s="9" t="str">
        <f>COUNTIF($A$7:A404,A404)&amp;A404</f>
        <v>1141NL300107</v>
      </c>
      <c r="C404" s="54">
        <v>46036</v>
      </c>
      <c r="D404" s="55" t="s">
        <v>294</v>
      </c>
      <c r="E404" s="56" t="s">
        <v>536</v>
      </c>
      <c r="F404" s="56" t="s">
        <v>295</v>
      </c>
      <c r="G404" s="55" t="s">
        <v>492</v>
      </c>
      <c r="H404" s="55" t="s">
        <v>493</v>
      </c>
      <c r="I404" s="55" t="s">
        <v>537</v>
      </c>
      <c r="J404" s="55" t="s">
        <v>87</v>
      </c>
      <c r="K404" s="55" t="s">
        <v>299</v>
      </c>
      <c r="L404" s="55" t="s">
        <v>300</v>
      </c>
      <c r="M404" s="57">
        <v>8</v>
      </c>
      <c r="N404" s="58">
        <v>8500</v>
      </c>
      <c r="O404" s="58">
        <v>0</v>
      </c>
      <c r="P404" s="59">
        <v>68000</v>
      </c>
      <c r="Q404" s="58">
        <v>0</v>
      </c>
      <c r="R404" s="55">
        <v>8500</v>
      </c>
      <c r="S404" s="55" t="s">
        <v>469</v>
      </c>
      <c r="T404" s="55" t="s">
        <v>495</v>
      </c>
      <c r="U404" s="55" t="s">
        <v>18</v>
      </c>
      <c r="V404" s="55" t="s">
        <v>470</v>
      </c>
      <c r="W404" s="42">
        <f>VLOOKUP(B404,'LW13'!$X$15:$Y$501,2,0)-M404</f>
        <v>0</v>
      </c>
    </row>
    <row r="405" spans="1:23" x14ac:dyDescent="0.2">
      <c r="A405" s="9" t="str">
        <f t="shared" si="13"/>
        <v>141NL300113</v>
      </c>
      <c r="B405" s="9" t="str">
        <f>COUNTIF($A$7:A405,A405)&amp;A405</f>
        <v>1141NL300113</v>
      </c>
      <c r="C405" s="54">
        <v>46036</v>
      </c>
      <c r="D405" s="55" t="s">
        <v>294</v>
      </c>
      <c r="E405" s="56" t="s">
        <v>536</v>
      </c>
      <c r="F405" s="56" t="s">
        <v>295</v>
      </c>
      <c r="G405" s="55" t="s">
        <v>492</v>
      </c>
      <c r="H405" s="55" t="s">
        <v>493</v>
      </c>
      <c r="I405" s="55" t="s">
        <v>537</v>
      </c>
      <c r="J405" s="55" t="s">
        <v>216</v>
      </c>
      <c r="K405" s="55" t="s">
        <v>33</v>
      </c>
      <c r="L405" s="55" t="s">
        <v>92</v>
      </c>
      <c r="M405" s="57">
        <v>1</v>
      </c>
      <c r="N405" s="58">
        <v>145000</v>
      </c>
      <c r="O405" s="58">
        <v>0</v>
      </c>
      <c r="P405" s="59">
        <v>145000</v>
      </c>
      <c r="Q405" s="58">
        <v>0</v>
      </c>
      <c r="R405" s="55">
        <v>145000</v>
      </c>
      <c r="S405" s="55" t="s">
        <v>469</v>
      </c>
      <c r="T405" s="55" t="s">
        <v>495</v>
      </c>
      <c r="U405" s="55" t="s">
        <v>18</v>
      </c>
      <c r="V405" s="55" t="s">
        <v>470</v>
      </c>
      <c r="W405" s="42">
        <f>VLOOKUP(B405,'LW13'!$X$15:$Y$501,2,0)-M405</f>
        <v>0</v>
      </c>
    </row>
    <row r="406" spans="1:23" x14ac:dyDescent="0.2">
      <c r="A406" s="9" t="str">
        <f t="shared" si="13"/>
        <v>141NL300137</v>
      </c>
      <c r="B406" s="9" t="str">
        <f>COUNTIF($A$7:A406,A406)&amp;A406</f>
        <v>1141NL300137</v>
      </c>
      <c r="C406" s="54">
        <v>46036</v>
      </c>
      <c r="D406" s="55" t="s">
        <v>294</v>
      </c>
      <c r="E406" s="56" t="s">
        <v>536</v>
      </c>
      <c r="F406" s="56" t="s">
        <v>295</v>
      </c>
      <c r="G406" s="55" t="s">
        <v>492</v>
      </c>
      <c r="H406" s="55" t="s">
        <v>493</v>
      </c>
      <c r="I406" s="55" t="s">
        <v>537</v>
      </c>
      <c r="J406" s="55" t="s">
        <v>96</v>
      </c>
      <c r="K406" s="55" t="s">
        <v>397</v>
      </c>
      <c r="L406" s="55" t="s">
        <v>92</v>
      </c>
      <c r="M406" s="57">
        <v>2</v>
      </c>
      <c r="N406" s="58">
        <v>52000</v>
      </c>
      <c r="O406" s="58">
        <v>0</v>
      </c>
      <c r="P406" s="59">
        <v>104000</v>
      </c>
      <c r="Q406" s="58">
        <v>0</v>
      </c>
      <c r="R406" s="55">
        <v>52000</v>
      </c>
      <c r="S406" s="55" t="s">
        <v>469</v>
      </c>
      <c r="T406" s="55" t="s">
        <v>495</v>
      </c>
      <c r="U406" s="55" t="s">
        <v>18</v>
      </c>
      <c r="V406" s="55" t="s">
        <v>470</v>
      </c>
      <c r="W406" s="42">
        <f>VLOOKUP(B406,'LW13'!$X$15:$Y$501,2,0)-M406</f>
        <v>0</v>
      </c>
    </row>
    <row r="407" spans="1:23" x14ac:dyDescent="0.2">
      <c r="A407" s="9" t="str">
        <f t="shared" si="13"/>
        <v>141NL300119</v>
      </c>
      <c r="B407" s="9" t="str">
        <f>COUNTIF($A$7:A407,A407)&amp;A407</f>
        <v>1141NL300119</v>
      </c>
      <c r="C407" s="54">
        <v>46036</v>
      </c>
      <c r="D407" s="55" t="s">
        <v>294</v>
      </c>
      <c r="E407" s="56" t="s">
        <v>536</v>
      </c>
      <c r="F407" s="56" t="s">
        <v>295</v>
      </c>
      <c r="G407" s="55" t="s">
        <v>492</v>
      </c>
      <c r="H407" s="55" t="s">
        <v>493</v>
      </c>
      <c r="I407" s="55" t="s">
        <v>537</v>
      </c>
      <c r="J407" s="55" t="s">
        <v>242</v>
      </c>
      <c r="K407" s="55" t="s">
        <v>307</v>
      </c>
      <c r="L407" s="55" t="s">
        <v>92</v>
      </c>
      <c r="M407" s="57">
        <v>0.5</v>
      </c>
      <c r="N407" s="58">
        <v>21000</v>
      </c>
      <c r="O407" s="58">
        <v>0</v>
      </c>
      <c r="P407" s="59">
        <v>10500</v>
      </c>
      <c r="Q407" s="58">
        <v>0</v>
      </c>
      <c r="R407" s="55">
        <v>21000</v>
      </c>
      <c r="S407" s="55" t="s">
        <v>469</v>
      </c>
      <c r="T407" s="55" t="s">
        <v>495</v>
      </c>
      <c r="U407" s="55" t="s">
        <v>18</v>
      </c>
      <c r="V407" s="55" t="s">
        <v>470</v>
      </c>
      <c r="W407" s="42">
        <f>VLOOKUP(B407,'LW13'!$X$15:$Y$501,2,0)-M407</f>
        <v>0</v>
      </c>
    </row>
    <row r="408" spans="1:23" x14ac:dyDescent="0.2">
      <c r="A408" s="9" t="str">
        <f t="shared" si="13"/>
        <v>141NL300132</v>
      </c>
      <c r="B408" s="9" t="str">
        <f>COUNTIF($A$7:A408,A408)&amp;A408</f>
        <v>1141NL300132</v>
      </c>
      <c r="C408" s="54">
        <v>46036</v>
      </c>
      <c r="D408" s="55" t="s">
        <v>294</v>
      </c>
      <c r="E408" s="56" t="s">
        <v>536</v>
      </c>
      <c r="F408" s="56" t="s">
        <v>295</v>
      </c>
      <c r="G408" s="55" t="s">
        <v>492</v>
      </c>
      <c r="H408" s="55" t="s">
        <v>493</v>
      </c>
      <c r="I408" s="55" t="s">
        <v>537</v>
      </c>
      <c r="J408" s="55" t="s">
        <v>237</v>
      </c>
      <c r="K408" s="55" t="s">
        <v>36</v>
      </c>
      <c r="L408" s="55" t="s">
        <v>92</v>
      </c>
      <c r="M408" s="57">
        <v>1</v>
      </c>
      <c r="N408" s="58">
        <v>12000</v>
      </c>
      <c r="O408" s="58">
        <v>0</v>
      </c>
      <c r="P408" s="59">
        <v>12000</v>
      </c>
      <c r="Q408" s="58">
        <v>0</v>
      </c>
      <c r="R408" s="55">
        <v>12000</v>
      </c>
      <c r="S408" s="55" t="s">
        <v>469</v>
      </c>
      <c r="T408" s="55" t="s">
        <v>495</v>
      </c>
      <c r="U408" s="55" t="s">
        <v>18</v>
      </c>
      <c r="V408" s="55" t="s">
        <v>470</v>
      </c>
      <c r="W408" s="42">
        <f>VLOOKUP(B408,'LW13'!$X$15:$Y$501,2,0)-M408</f>
        <v>0</v>
      </c>
    </row>
    <row r="409" spans="1:23" x14ac:dyDescent="0.2">
      <c r="A409" s="9" t="str">
        <f t="shared" si="13"/>
        <v>141NL300142</v>
      </c>
      <c r="B409" s="9" t="str">
        <f>COUNTIF($A$7:A409,A409)&amp;A409</f>
        <v>1141NL300142</v>
      </c>
      <c r="C409" s="54">
        <v>46036</v>
      </c>
      <c r="D409" s="55" t="s">
        <v>294</v>
      </c>
      <c r="E409" s="56" t="s">
        <v>536</v>
      </c>
      <c r="F409" s="56" t="s">
        <v>295</v>
      </c>
      <c r="G409" s="55" t="s">
        <v>492</v>
      </c>
      <c r="H409" s="55" t="s">
        <v>493</v>
      </c>
      <c r="I409" s="55" t="s">
        <v>537</v>
      </c>
      <c r="J409" s="55" t="s">
        <v>259</v>
      </c>
      <c r="K409" s="55" t="s">
        <v>308</v>
      </c>
      <c r="L409" s="55" t="s">
        <v>92</v>
      </c>
      <c r="M409" s="57">
        <v>2.7</v>
      </c>
      <c r="N409" s="58">
        <v>50000</v>
      </c>
      <c r="O409" s="58">
        <v>0</v>
      </c>
      <c r="P409" s="59">
        <v>135000</v>
      </c>
      <c r="Q409" s="58">
        <v>0</v>
      </c>
      <c r="R409" s="55">
        <v>50000</v>
      </c>
      <c r="S409" s="55" t="s">
        <v>469</v>
      </c>
      <c r="T409" s="55" t="s">
        <v>495</v>
      </c>
      <c r="U409" s="55" t="s">
        <v>18</v>
      </c>
      <c r="V409" s="55" t="s">
        <v>470</v>
      </c>
      <c r="W409" s="42">
        <f>VLOOKUP(B409,'LW13'!$X$15:$Y$501,2,0)-M409</f>
        <v>0</v>
      </c>
    </row>
    <row r="410" spans="1:23" x14ac:dyDescent="0.2">
      <c r="A410" s="9" t="str">
        <f t="shared" si="13"/>
        <v>141NL100101</v>
      </c>
      <c r="B410" s="9" t="str">
        <f>COUNTIF($A$7:A410,A410)&amp;A410</f>
        <v>1141NL100101</v>
      </c>
      <c r="C410" s="54">
        <v>46036</v>
      </c>
      <c r="D410" s="55" t="s">
        <v>294</v>
      </c>
      <c r="E410" s="56" t="s">
        <v>536</v>
      </c>
      <c r="F410" s="56" t="s">
        <v>295</v>
      </c>
      <c r="G410" s="55" t="s">
        <v>492</v>
      </c>
      <c r="H410" s="55" t="s">
        <v>493</v>
      </c>
      <c r="I410" s="55" t="s">
        <v>537</v>
      </c>
      <c r="J410" s="55" t="s">
        <v>263</v>
      </c>
      <c r="K410" s="55" t="s">
        <v>52</v>
      </c>
      <c r="L410" s="55" t="s">
        <v>318</v>
      </c>
      <c r="M410" s="57">
        <v>38</v>
      </c>
      <c r="N410" s="58">
        <v>5000</v>
      </c>
      <c r="O410" s="58">
        <v>0</v>
      </c>
      <c r="P410" s="59">
        <v>190000</v>
      </c>
      <c r="Q410" s="58">
        <v>0</v>
      </c>
      <c r="R410" s="55">
        <v>5000</v>
      </c>
      <c r="S410" s="55" t="s">
        <v>469</v>
      </c>
      <c r="T410" s="55" t="s">
        <v>495</v>
      </c>
      <c r="U410" s="55" t="s">
        <v>18</v>
      </c>
      <c r="V410" s="55" t="s">
        <v>470</v>
      </c>
      <c r="W410" s="42">
        <f>VLOOKUP(B410,'LW13'!$X$15:$Y$501,2,0)-M410</f>
        <v>0</v>
      </c>
    </row>
    <row r="411" spans="1:23" x14ac:dyDescent="0.2">
      <c r="A411" s="9" t="str">
        <f t="shared" si="13"/>
        <v>141NL300147</v>
      </c>
      <c r="B411" s="9" t="str">
        <f>COUNTIF($A$7:A411,A411)&amp;A411</f>
        <v>1141NL300147</v>
      </c>
      <c r="C411" s="54">
        <v>46036</v>
      </c>
      <c r="D411" s="55" t="s">
        <v>294</v>
      </c>
      <c r="E411" s="56" t="s">
        <v>536</v>
      </c>
      <c r="F411" s="56" t="s">
        <v>295</v>
      </c>
      <c r="G411" s="55" t="s">
        <v>492</v>
      </c>
      <c r="H411" s="55" t="s">
        <v>493</v>
      </c>
      <c r="I411" s="55" t="s">
        <v>537</v>
      </c>
      <c r="J411" s="55" t="s">
        <v>270</v>
      </c>
      <c r="K411" s="55" t="s">
        <v>309</v>
      </c>
      <c r="L411" s="55" t="s">
        <v>92</v>
      </c>
      <c r="M411" s="57">
        <v>2.7</v>
      </c>
      <c r="N411" s="58">
        <v>62000</v>
      </c>
      <c r="O411" s="58">
        <v>0</v>
      </c>
      <c r="P411" s="59">
        <v>167400</v>
      </c>
      <c r="Q411" s="58">
        <v>0</v>
      </c>
      <c r="R411" s="55">
        <v>62000</v>
      </c>
      <c r="S411" s="55" t="s">
        <v>469</v>
      </c>
      <c r="T411" s="55" t="s">
        <v>495</v>
      </c>
      <c r="U411" s="55" t="s">
        <v>18</v>
      </c>
      <c r="V411" s="55" t="s">
        <v>470</v>
      </c>
      <c r="W411" s="42">
        <f>VLOOKUP(B411,'LW13'!$X$15:$Y$501,2,0)-M411</f>
        <v>0</v>
      </c>
    </row>
    <row r="412" spans="1:23" x14ac:dyDescent="0.2">
      <c r="A412" s="9" t="str">
        <f t="shared" si="13"/>
        <v>141NL300090</v>
      </c>
      <c r="B412" s="9" t="str">
        <f>COUNTIF($A$7:A412,A412)&amp;A412</f>
        <v>1141NL300090</v>
      </c>
      <c r="C412" s="54">
        <v>46036</v>
      </c>
      <c r="D412" s="55" t="s">
        <v>294</v>
      </c>
      <c r="E412" s="56" t="s">
        <v>536</v>
      </c>
      <c r="F412" s="56" t="s">
        <v>295</v>
      </c>
      <c r="G412" s="55" t="s">
        <v>492</v>
      </c>
      <c r="H412" s="55" t="s">
        <v>493</v>
      </c>
      <c r="I412" s="55" t="s">
        <v>537</v>
      </c>
      <c r="J412" s="55" t="s">
        <v>189</v>
      </c>
      <c r="K412" s="55" t="s">
        <v>39</v>
      </c>
      <c r="L412" s="55" t="s">
        <v>92</v>
      </c>
      <c r="M412" s="57">
        <v>2</v>
      </c>
      <c r="N412" s="58">
        <v>145000</v>
      </c>
      <c r="O412" s="58">
        <v>0</v>
      </c>
      <c r="P412" s="59">
        <v>290000</v>
      </c>
      <c r="Q412" s="58">
        <v>0</v>
      </c>
      <c r="R412" s="55">
        <v>145000</v>
      </c>
      <c r="S412" s="55" t="s">
        <v>469</v>
      </c>
      <c r="T412" s="55" t="s">
        <v>495</v>
      </c>
      <c r="U412" s="55" t="s">
        <v>18</v>
      </c>
      <c r="V412" s="55" t="s">
        <v>470</v>
      </c>
      <c r="W412" s="42">
        <f>VLOOKUP(B412,'LW13'!$X$15:$Y$501,2,0)-M412</f>
        <v>0</v>
      </c>
    </row>
    <row r="413" spans="1:23" x14ac:dyDescent="0.2">
      <c r="A413" s="9" t="str">
        <f t="shared" si="13"/>
        <v>141NL300091</v>
      </c>
      <c r="B413" s="9" t="str">
        <f>COUNTIF($A$7:A413,A413)&amp;A413</f>
        <v>1141NL300091</v>
      </c>
      <c r="C413" s="54">
        <v>46036</v>
      </c>
      <c r="D413" s="55" t="s">
        <v>294</v>
      </c>
      <c r="E413" s="56" t="s">
        <v>536</v>
      </c>
      <c r="F413" s="56" t="s">
        <v>295</v>
      </c>
      <c r="G413" s="55" t="s">
        <v>492</v>
      </c>
      <c r="H413" s="55" t="s">
        <v>493</v>
      </c>
      <c r="I413" s="55" t="s">
        <v>537</v>
      </c>
      <c r="J413" s="55" t="s">
        <v>190</v>
      </c>
      <c r="K413" s="55" t="s">
        <v>40</v>
      </c>
      <c r="L413" s="55" t="s">
        <v>92</v>
      </c>
      <c r="M413" s="57">
        <v>1</v>
      </c>
      <c r="N413" s="58">
        <v>47000</v>
      </c>
      <c r="O413" s="58">
        <v>0</v>
      </c>
      <c r="P413" s="59">
        <v>47000</v>
      </c>
      <c r="Q413" s="58">
        <v>0</v>
      </c>
      <c r="R413" s="55">
        <v>47000</v>
      </c>
      <c r="S413" s="55" t="s">
        <v>469</v>
      </c>
      <c r="T413" s="55" t="s">
        <v>495</v>
      </c>
      <c r="U413" s="55" t="s">
        <v>18</v>
      </c>
      <c r="V413" s="55" t="s">
        <v>470</v>
      </c>
      <c r="W413" s="42">
        <f>VLOOKUP(B413,'LW13'!$X$15:$Y$501,2,0)-M413</f>
        <v>0</v>
      </c>
    </row>
    <row r="414" spans="1:23" x14ac:dyDescent="0.2">
      <c r="A414" s="9" t="str">
        <f t="shared" si="13"/>
        <v>141NL300096</v>
      </c>
      <c r="B414" s="9" t="str">
        <f>COUNTIF($A$7:A414,A414)&amp;A414</f>
        <v>1141NL300096</v>
      </c>
      <c r="C414" s="54">
        <v>46036</v>
      </c>
      <c r="D414" s="55" t="s">
        <v>294</v>
      </c>
      <c r="E414" s="56" t="s">
        <v>536</v>
      </c>
      <c r="F414" s="56" t="s">
        <v>295</v>
      </c>
      <c r="G414" s="55" t="s">
        <v>492</v>
      </c>
      <c r="H414" s="55" t="s">
        <v>493</v>
      </c>
      <c r="I414" s="55" t="s">
        <v>537</v>
      </c>
      <c r="J414" s="55" t="s">
        <v>193</v>
      </c>
      <c r="K414" s="55" t="s">
        <v>41</v>
      </c>
      <c r="L414" s="55" t="s">
        <v>92</v>
      </c>
      <c r="M414" s="57">
        <v>2.9</v>
      </c>
      <c r="N414" s="58">
        <v>45000</v>
      </c>
      <c r="O414" s="58">
        <v>0</v>
      </c>
      <c r="P414" s="59">
        <v>130500</v>
      </c>
      <c r="Q414" s="58">
        <v>0</v>
      </c>
      <c r="R414" s="55">
        <v>45000</v>
      </c>
      <c r="S414" s="55" t="s">
        <v>469</v>
      </c>
      <c r="T414" s="55" t="s">
        <v>495</v>
      </c>
      <c r="U414" s="55" t="s">
        <v>18</v>
      </c>
      <c r="V414" s="55" t="s">
        <v>470</v>
      </c>
      <c r="W414" s="42">
        <f>VLOOKUP(B414,'LW13'!$X$15:$Y$501,2,0)-M414</f>
        <v>0</v>
      </c>
    </row>
    <row r="415" spans="1:23" x14ac:dyDescent="0.2">
      <c r="A415" s="9" t="str">
        <f t="shared" si="13"/>
        <v>141NL300062</v>
      </c>
      <c r="B415" s="9" t="str">
        <f>COUNTIF($A$7:A415,A415)&amp;A415</f>
        <v>1141NL300062</v>
      </c>
      <c r="C415" s="54">
        <v>46036</v>
      </c>
      <c r="D415" s="55" t="s">
        <v>294</v>
      </c>
      <c r="E415" s="56" t="s">
        <v>536</v>
      </c>
      <c r="F415" s="56" t="s">
        <v>295</v>
      </c>
      <c r="G415" s="55" t="s">
        <v>492</v>
      </c>
      <c r="H415" s="55" t="s">
        <v>493</v>
      </c>
      <c r="I415" s="55" t="s">
        <v>537</v>
      </c>
      <c r="J415" s="55" t="s">
        <v>159</v>
      </c>
      <c r="K415" s="55" t="s">
        <v>316</v>
      </c>
      <c r="L415" s="55" t="s">
        <v>92</v>
      </c>
      <c r="M415" s="57">
        <v>0.3</v>
      </c>
      <c r="N415" s="58">
        <v>65000</v>
      </c>
      <c r="O415" s="58">
        <v>0</v>
      </c>
      <c r="P415" s="59">
        <v>19500</v>
      </c>
      <c r="Q415" s="58">
        <v>0</v>
      </c>
      <c r="R415" s="55">
        <v>65000</v>
      </c>
      <c r="S415" s="55" t="s">
        <v>469</v>
      </c>
      <c r="T415" s="55" t="s">
        <v>495</v>
      </c>
      <c r="U415" s="55" t="s">
        <v>18</v>
      </c>
      <c r="V415" s="55" t="s">
        <v>470</v>
      </c>
      <c r="W415" s="42">
        <f>VLOOKUP(B415,'LW13'!$X$15:$Y$501,2,0)-M415</f>
        <v>0</v>
      </c>
    </row>
    <row r="416" spans="1:23" x14ac:dyDescent="0.2">
      <c r="A416" s="9" t="str">
        <f t="shared" si="13"/>
        <v>141NL300028</v>
      </c>
      <c r="B416" s="9" t="str">
        <f>COUNTIF($A$7:A416,A416)&amp;A416</f>
        <v>1141NL300028</v>
      </c>
      <c r="C416" s="54">
        <v>46036</v>
      </c>
      <c r="D416" s="55" t="s">
        <v>294</v>
      </c>
      <c r="E416" s="56" t="s">
        <v>538</v>
      </c>
      <c r="F416" s="56" t="s">
        <v>295</v>
      </c>
      <c r="G416" s="55" t="s">
        <v>492</v>
      </c>
      <c r="H416" s="55" t="s">
        <v>493</v>
      </c>
      <c r="I416" s="55" t="s">
        <v>537</v>
      </c>
      <c r="J416" s="55" t="s">
        <v>107</v>
      </c>
      <c r="K416" s="55" t="s">
        <v>70</v>
      </c>
      <c r="L416" s="55" t="s">
        <v>92</v>
      </c>
      <c r="M416" s="57">
        <v>0.5</v>
      </c>
      <c r="N416" s="58">
        <v>75000</v>
      </c>
      <c r="O416" s="58">
        <v>0</v>
      </c>
      <c r="P416" s="59">
        <v>37500</v>
      </c>
      <c r="Q416" s="58">
        <v>0</v>
      </c>
      <c r="R416" s="55">
        <v>75000</v>
      </c>
      <c r="S416" s="55" t="s">
        <v>469</v>
      </c>
      <c r="T416" s="55" t="s">
        <v>495</v>
      </c>
      <c r="U416" s="55" t="s">
        <v>18</v>
      </c>
      <c r="V416" s="55" t="s">
        <v>470</v>
      </c>
      <c r="W416" s="42">
        <f>VLOOKUP(B416,'LW13'!$X$15:$Y$501,2,0)-M416</f>
        <v>0</v>
      </c>
    </row>
    <row r="417" spans="1:23" x14ac:dyDescent="0.2">
      <c r="A417" s="9" t="str">
        <f t="shared" si="13"/>
        <v>141NL300035</v>
      </c>
      <c r="B417" s="9" t="str">
        <f>COUNTIF($A$7:A417,A417)&amp;A417</f>
        <v>1141NL300035</v>
      </c>
      <c r="C417" s="54">
        <v>46036</v>
      </c>
      <c r="D417" s="55" t="s">
        <v>294</v>
      </c>
      <c r="E417" s="56" t="s">
        <v>538</v>
      </c>
      <c r="F417" s="56" t="s">
        <v>295</v>
      </c>
      <c r="G417" s="55" t="s">
        <v>492</v>
      </c>
      <c r="H417" s="55" t="s">
        <v>493</v>
      </c>
      <c r="I417" s="55" t="s">
        <v>537</v>
      </c>
      <c r="J417" s="55" t="s">
        <v>129</v>
      </c>
      <c r="K417" s="55" t="s">
        <v>500</v>
      </c>
      <c r="L417" s="55" t="s">
        <v>92</v>
      </c>
      <c r="M417" s="57">
        <v>0.1</v>
      </c>
      <c r="N417" s="58">
        <v>25000</v>
      </c>
      <c r="O417" s="58">
        <v>0</v>
      </c>
      <c r="P417" s="59">
        <v>2500</v>
      </c>
      <c r="Q417" s="58">
        <v>0</v>
      </c>
      <c r="R417" s="55">
        <v>25000</v>
      </c>
      <c r="S417" s="55" t="s">
        <v>469</v>
      </c>
      <c r="T417" s="55" t="s">
        <v>495</v>
      </c>
      <c r="U417" s="55" t="s">
        <v>18</v>
      </c>
      <c r="V417" s="55" t="s">
        <v>470</v>
      </c>
      <c r="W417" s="42">
        <f>VLOOKUP(B417,'LW13'!$X$15:$Y$501,2,0)-M417</f>
        <v>0</v>
      </c>
    </row>
    <row r="418" spans="1:23" x14ac:dyDescent="0.2">
      <c r="A418" s="9" t="str">
        <f t="shared" si="13"/>
        <v>141NL300098</v>
      </c>
      <c r="B418" s="9" t="str">
        <f>COUNTIF($A$7:A418,A418)&amp;A418</f>
        <v>1141NL300098</v>
      </c>
      <c r="C418" s="54">
        <v>46036</v>
      </c>
      <c r="D418" s="55" t="s">
        <v>294</v>
      </c>
      <c r="E418" s="56" t="s">
        <v>538</v>
      </c>
      <c r="F418" s="56" t="s">
        <v>295</v>
      </c>
      <c r="G418" s="55" t="s">
        <v>492</v>
      </c>
      <c r="H418" s="55" t="s">
        <v>493</v>
      </c>
      <c r="I418" s="55" t="s">
        <v>537</v>
      </c>
      <c r="J418" s="55" t="s">
        <v>195</v>
      </c>
      <c r="K418" s="55" t="s">
        <v>320</v>
      </c>
      <c r="L418" s="55" t="s">
        <v>92</v>
      </c>
      <c r="M418" s="57">
        <v>0.25</v>
      </c>
      <c r="N418" s="58">
        <v>95000</v>
      </c>
      <c r="O418" s="58">
        <v>0</v>
      </c>
      <c r="P418" s="59">
        <v>23750</v>
      </c>
      <c r="Q418" s="58">
        <v>0</v>
      </c>
      <c r="R418" s="55">
        <v>95000</v>
      </c>
      <c r="S418" s="55" t="s">
        <v>469</v>
      </c>
      <c r="T418" s="55" t="s">
        <v>495</v>
      </c>
      <c r="U418" s="55" t="s">
        <v>18</v>
      </c>
      <c r="V418" s="55" t="s">
        <v>470</v>
      </c>
      <c r="W418" s="42">
        <f>VLOOKUP(B418,'LW13'!$X$15:$Y$501,2,0)-M418</f>
        <v>0</v>
      </c>
    </row>
    <row r="419" spans="1:23" x14ac:dyDescent="0.2">
      <c r="A419" s="9" t="str">
        <f t="shared" si="13"/>
        <v>151NL300004</v>
      </c>
      <c r="B419" s="9" t="str">
        <f>COUNTIF($A$7:A419,A419)&amp;A419</f>
        <v>1151NL300004</v>
      </c>
      <c r="C419" s="54">
        <v>46037</v>
      </c>
      <c r="D419" s="55" t="s">
        <v>294</v>
      </c>
      <c r="E419" s="56" t="s">
        <v>539</v>
      </c>
      <c r="F419" s="56" t="s">
        <v>295</v>
      </c>
      <c r="G419" s="55" t="s">
        <v>492</v>
      </c>
      <c r="H419" s="55" t="s">
        <v>493</v>
      </c>
      <c r="I419" s="55" t="s">
        <v>540</v>
      </c>
      <c r="J419" s="55" t="s">
        <v>86</v>
      </c>
      <c r="K419" s="55" t="s">
        <v>16</v>
      </c>
      <c r="L419" s="55" t="s">
        <v>92</v>
      </c>
      <c r="M419" s="57">
        <v>1.2</v>
      </c>
      <c r="N419" s="58">
        <v>19000</v>
      </c>
      <c r="O419" s="58">
        <v>0</v>
      </c>
      <c r="P419" s="59">
        <v>22800</v>
      </c>
      <c r="Q419" s="58">
        <v>0</v>
      </c>
      <c r="R419" s="55">
        <v>19000</v>
      </c>
      <c r="S419" s="55" t="s">
        <v>469</v>
      </c>
      <c r="T419" s="55" t="s">
        <v>495</v>
      </c>
      <c r="U419" s="55" t="s">
        <v>18</v>
      </c>
      <c r="V419" s="55" t="s">
        <v>470</v>
      </c>
      <c r="W419" s="42">
        <f>VLOOKUP(B419,'LW13'!$X$15:$Y$501,2,0)-M419</f>
        <v>0</v>
      </c>
    </row>
    <row r="420" spans="1:23" x14ac:dyDescent="0.2">
      <c r="A420" s="9" t="str">
        <f t="shared" si="13"/>
        <v>151NL300007</v>
      </c>
      <c r="B420" s="9" t="str">
        <f>COUNTIF($A$7:A420,A420)&amp;A420</f>
        <v>1151NL300007</v>
      </c>
      <c r="C420" s="54">
        <v>46037</v>
      </c>
      <c r="D420" s="55" t="s">
        <v>294</v>
      </c>
      <c r="E420" s="56" t="s">
        <v>539</v>
      </c>
      <c r="F420" s="56" t="s">
        <v>295</v>
      </c>
      <c r="G420" s="55" t="s">
        <v>492</v>
      </c>
      <c r="H420" s="55" t="s">
        <v>493</v>
      </c>
      <c r="I420" s="55" t="s">
        <v>540</v>
      </c>
      <c r="J420" s="55" t="s">
        <v>90</v>
      </c>
      <c r="K420" s="55" t="s">
        <v>91</v>
      </c>
      <c r="L420" s="55" t="s">
        <v>92</v>
      </c>
      <c r="M420" s="57">
        <v>3</v>
      </c>
      <c r="N420" s="58">
        <v>30000</v>
      </c>
      <c r="O420" s="58">
        <v>0</v>
      </c>
      <c r="P420" s="59">
        <v>90000</v>
      </c>
      <c r="Q420" s="58">
        <v>0</v>
      </c>
      <c r="R420" s="55">
        <v>30000</v>
      </c>
      <c r="S420" s="55" t="s">
        <v>469</v>
      </c>
      <c r="T420" s="55" t="s">
        <v>495</v>
      </c>
      <c r="U420" s="55" t="s">
        <v>18</v>
      </c>
      <c r="V420" s="55" t="s">
        <v>470</v>
      </c>
      <c r="W420" s="42">
        <f>VLOOKUP(B420,'LW13'!$X$15:$Y$501,2,0)-M420</f>
        <v>0</v>
      </c>
    </row>
    <row r="421" spans="1:23" x14ac:dyDescent="0.2">
      <c r="A421" s="9" t="str">
        <f t="shared" si="13"/>
        <v>151NL300008</v>
      </c>
      <c r="B421" s="9" t="str">
        <f>COUNTIF($A$7:A421,A421)&amp;A421</f>
        <v>1151NL300008</v>
      </c>
      <c r="C421" s="54">
        <v>46037</v>
      </c>
      <c r="D421" s="55" t="s">
        <v>294</v>
      </c>
      <c r="E421" s="56" t="s">
        <v>539</v>
      </c>
      <c r="F421" s="56" t="s">
        <v>295</v>
      </c>
      <c r="G421" s="55" t="s">
        <v>492</v>
      </c>
      <c r="H421" s="55" t="s">
        <v>493</v>
      </c>
      <c r="I421" s="55" t="s">
        <v>540</v>
      </c>
      <c r="J421" s="55" t="s">
        <v>93</v>
      </c>
      <c r="K421" s="55" t="s">
        <v>301</v>
      </c>
      <c r="L421" s="55" t="s">
        <v>92</v>
      </c>
      <c r="M421" s="57">
        <v>4.5999999999999996</v>
      </c>
      <c r="N421" s="58">
        <v>40000</v>
      </c>
      <c r="O421" s="58">
        <v>0</v>
      </c>
      <c r="P421" s="59">
        <v>184000</v>
      </c>
      <c r="Q421" s="58">
        <v>0</v>
      </c>
      <c r="R421" s="55">
        <v>40000</v>
      </c>
      <c r="S421" s="55" t="s">
        <v>469</v>
      </c>
      <c r="T421" s="55" t="s">
        <v>495</v>
      </c>
      <c r="U421" s="55" t="s">
        <v>18</v>
      </c>
      <c r="V421" s="55" t="s">
        <v>470</v>
      </c>
      <c r="W421" s="42">
        <f>VLOOKUP(B421,'LW13'!$X$15:$Y$501,2,0)-M421</f>
        <v>0</v>
      </c>
    </row>
    <row r="422" spans="1:23" x14ac:dyDescent="0.2">
      <c r="A422" s="9" t="str">
        <f t="shared" si="13"/>
        <v>151NL300036</v>
      </c>
      <c r="B422" s="9" t="str">
        <f>COUNTIF($A$7:A422,A422)&amp;A422</f>
        <v>1151NL300036</v>
      </c>
      <c r="C422" s="54">
        <v>46037</v>
      </c>
      <c r="D422" s="55" t="s">
        <v>294</v>
      </c>
      <c r="E422" s="56" t="s">
        <v>539</v>
      </c>
      <c r="F422" s="56" t="s">
        <v>295</v>
      </c>
      <c r="G422" s="55" t="s">
        <v>492</v>
      </c>
      <c r="H422" s="55" t="s">
        <v>493</v>
      </c>
      <c r="I422" s="55" t="s">
        <v>540</v>
      </c>
      <c r="J422" s="55" t="s">
        <v>131</v>
      </c>
      <c r="K422" s="55" t="s">
        <v>27</v>
      </c>
      <c r="L422" s="55" t="s">
        <v>92</v>
      </c>
      <c r="M422" s="57">
        <v>0.7</v>
      </c>
      <c r="N422" s="58">
        <v>47000</v>
      </c>
      <c r="O422" s="58">
        <v>0</v>
      </c>
      <c r="P422" s="59">
        <v>32900</v>
      </c>
      <c r="Q422" s="58">
        <v>0</v>
      </c>
      <c r="R422" s="55">
        <v>47000</v>
      </c>
      <c r="S422" s="55" t="s">
        <v>469</v>
      </c>
      <c r="T422" s="55" t="s">
        <v>495</v>
      </c>
      <c r="U422" s="55" t="s">
        <v>18</v>
      </c>
      <c r="V422" s="55" t="s">
        <v>470</v>
      </c>
      <c r="W422" s="42">
        <f>VLOOKUP(B422,'LW13'!$X$15:$Y$501,2,0)-M422</f>
        <v>0</v>
      </c>
    </row>
    <row r="423" spans="1:23" x14ac:dyDescent="0.2">
      <c r="A423" s="9" t="str">
        <f t="shared" si="13"/>
        <v>151NL300038</v>
      </c>
      <c r="B423" s="9" t="str">
        <f>COUNTIF($A$7:A423,A423)&amp;A423</f>
        <v>1151NL300038</v>
      </c>
      <c r="C423" s="54">
        <v>46037</v>
      </c>
      <c r="D423" s="55" t="s">
        <v>294</v>
      </c>
      <c r="E423" s="56" t="s">
        <v>539</v>
      </c>
      <c r="F423" s="56" t="s">
        <v>295</v>
      </c>
      <c r="G423" s="55" t="s">
        <v>492</v>
      </c>
      <c r="H423" s="55" t="s">
        <v>493</v>
      </c>
      <c r="I423" s="55" t="s">
        <v>540</v>
      </c>
      <c r="J423" s="55" t="s">
        <v>132</v>
      </c>
      <c r="K423" s="55" t="s">
        <v>28</v>
      </c>
      <c r="L423" s="55" t="s">
        <v>92</v>
      </c>
      <c r="M423" s="57">
        <v>1</v>
      </c>
      <c r="N423" s="58">
        <v>32000</v>
      </c>
      <c r="O423" s="58">
        <v>0</v>
      </c>
      <c r="P423" s="59">
        <v>32000</v>
      </c>
      <c r="Q423" s="58">
        <v>0</v>
      </c>
      <c r="R423" s="55">
        <v>32000</v>
      </c>
      <c r="S423" s="55" t="s">
        <v>469</v>
      </c>
      <c r="T423" s="55" t="s">
        <v>495</v>
      </c>
      <c r="U423" s="55" t="s">
        <v>18</v>
      </c>
      <c r="V423" s="55" t="s">
        <v>470</v>
      </c>
      <c r="W423" s="42">
        <f>VLOOKUP(B423,'LW13'!$X$15:$Y$501,2,0)-M423</f>
        <v>0</v>
      </c>
    </row>
    <row r="424" spans="1:23" x14ac:dyDescent="0.2">
      <c r="A424" s="9" t="str">
        <f t="shared" si="13"/>
        <v>151NL300054</v>
      </c>
      <c r="B424" s="9" t="str">
        <f>COUNTIF($A$7:A424,A424)&amp;A424</f>
        <v>1151NL300054</v>
      </c>
      <c r="C424" s="54">
        <v>46037</v>
      </c>
      <c r="D424" s="55" t="s">
        <v>294</v>
      </c>
      <c r="E424" s="56" t="s">
        <v>539</v>
      </c>
      <c r="F424" s="56" t="s">
        <v>295</v>
      </c>
      <c r="G424" s="55" t="s">
        <v>492</v>
      </c>
      <c r="H424" s="55" t="s">
        <v>493</v>
      </c>
      <c r="I424" s="55" t="s">
        <v>540</v>
      </c>
      <c r="J424" s="55" t="s">
        <v>128</v>
      </c>
      <c r="K424" s="55" t="s">
        <v>314</v>
      </c>
      <c r="L424" s="55" t="s">
        <v>92</v>
      </c>
      <c r="M424" s="57">
        <v>0.7</v>
      </c>
      <c r="N424" s="58">
        <v>38000</v>
      </c>
      <c r="O424" s="58">
        <v>0</v>
      </c>
      <c r="P424" s="59">
        <v>26600</v>
      </c>
      <c r="Q424" s="58">
        <v>0</v>
      </c>
      <c r="R424" s="55">
        <v>38000</v>
      </c>
      <c r="S424" s="55" t="s">
        <v>469</v>
      </c>
      <c r="T424" s="55" t="s">
        <v>495</v>
      </c>
      <c r="U424" s="55" t="s">
        <v>18</v>
      </c>
      <c r="V424" s="55" t="s">
        <v>470</v>
      </c>
      <c r="W424" s="42">
        <f>VLOOKUP(B424,'LW13'!$X$15:$Y$501,2,0)-M424</f>
        <v>0</v>
      </c>
    </row>
    <row r="425" spans="1:23" x14ac:dyDescent="0.2">
      <c r="A425" s="9" t="str">
        <f t="shared" si="13"/>
        <v>151NL300055</v>
      </c>
      <c r="B425" s="9" t="str">
        <f>COUNTIF($A$7:A425,A425)&amp;A425</f>
        <v>1151NL300055</v>
      </c>
      <c r="C425" s="54">
        <v>46037</v>
      </c>
      <c r="D425" s="55" t="s">
        <v>294</v>
      </c>
      <c r="E425" s="56" t="s">
        <v>539</v>
      </c>
      <c r="F425" s="56" t="s">
        <v>295</v>
      </c>
      <c r="G425" s="55" t="s">
        <v>492</v>
      </c>
      <c r="H425" s="55" t="s">
        <v>493</v>
      </c>
      <c r="I425" s="55" t="s">
        <v>540</v>
      </c>
      <c r="J425" s="55" t="s">
        <v>152</v>
      </c>
      <c r="K425" s="55" t="s">
        <v>311</v>
      </c>
      <c r="L425" s="55" t="s">
        <v>92</v>
      </c>
      <c r="M425" s="57">
        <v>0.2</v>
      </c>
      <c r="N425" s="58">
        <v>80000</v>
      </c>
      <c r="O425" s="58">
        <v>0</v>
      </c>
      <c r="P425" s="59">
        <v>16000</v>
      </c>
      <c r="Q425" s="58">
        <v>0</v>
      </c>
      <c r="R425" s="55">
        <v>80000</v>
      </c>
      <c r="S425" s="55" t="s">
        <v>469</v>
      </c>
      <c r="T425" s="55" t="s">
        <v>495</v>
      </c>
      <c r="U425" s="55" t="s">
        <v>18</v>
      </c>
      <c r="V425" s="55" t="s">
        <v>470</v>
      </c>
      <c r="W425" s="42">
        <f>VLOOKUP(B425,'LW13'!$X$15:$Y$501,2,0)-M425</f>
        <v>0</v>
      </c>
    </row>
    <row r="426" spans="1:23" x14ac:dyDescent="0.2">
      <c r="A426" s="9" t="str">
        <f t="shared" si="13"/>
        <v>151NL300058</v>
      </c>
      <c r="B426" s="9" t="str">
        <f>COUNTIF($A$7:A426,A426)&amp;A426</f>
        <v>1151NL300058</v>
      </c>
      <c r="C426" s="54">
        <v>46037</v>
      </c>
      <c r="D426" s="55" t="s">
        <v>294</v>
      </c>
      <c r="E426" s="56" t="s">
        <v>539</v>
      </c>
      <c r="F426" s="56" t="s">
        <v>295</v>
      </c>
      <c r="G426" s="55" t="s">
        <v>492</v>
      </c>
      <c r="H426" s="55" t="s">
        <v>493</v>
      </c>
      <c r="I426" s="55" t="s">
        <v>540</v>
      </c>
      <c r="J426" s="55" t="s">
        <v>147</v>
      </c>
      <c r="K426" s="55" t="s">
        <v>29</v>
      </c>
      <c r="L426" s="55" t="s">
        <v>92</v>
      </c>
      <c r="M426" s="57">
        <v>1</v>
      </c>
      <c r="N426" s="58">
        <v>55000</v>
      </c>
      <c r="O426" s="58">
        <v>0</v>
      </c>
      <c r="P426" s="59">
        <v>55000</v>
      </c>
      <c r="Q426" s="58">
        <v>0</v>
      </c>
      <c r="R426" s="55">
        <v>55000</v>
      </c>
      <c r="S426" s="55" t="s">
        <v>469</v>
      </c>
      <c r="T426" s="55" t="s">
        <v>495</v>
      </c>
      <c r="U426" s="55" t="s">
        <v>18</v>
      </c>
      <c r="V426" s="55" t="s">
        <v>470</v>
      </c>
      <c r="W426" s="42">
        <f>VLOOKUP(B426,'LW13'!$X$15:$Y$501,2,0)-M426</f>
        <v>0</v>
      </c>
    </row>
    <row r="427" spans="1:23" x14ac:dyDescent="0.2">
      <c r="A427" s="9" t="str">
        <f t="shared" si="13"/>
        <v>151NL300085</v>
      </c>
      <c r="B427" s="9" t="str">
        <f>COUNTIF($A$7:A427,A427)&amp;A427</f>
        <v>1151NL300085</v>
      </c>
      <c r="C427" s="54">
        <v>46037</v>
      </c>
      <c r="D427" s="55" t="s">
        <v>294</v>
      </c>
      <c r="E427" s="56" t="s">
        <v>539</v>
      </c>
      <c r="F427" s="56" t="s">
        <v>295</v>
      </c>
      <c r="G427" s="55" t="s">
        <v>492</v>
      </c>
      <c r="H427" s="55" t="s">
        <v>493</v>
      </c>
      <c r="I427" s="55" t="s">
        <v>540</v>
      </c>
      <c r="J427" s="55" t="s">
        <v>205</v>
      </c>
      <c r="K427" s="55" t="s">
        <v>306</v>
      </c>
      <c r="L427" s="55" t="s">
        <v>92</v>
      </c>
      <c r="M427" s="57">
        <v>1</v>
      </c>
      <c r="N427" s="58">
        <v>45000</v>
      </c>
      <c r="O427" s="58">
        <v>0</v>
      </c>
      <c r="P427" s="59">
        <v>45000</v>
      </c>
      <c r="Q427" s="58">
        <v>0</v>
      </c>
      <c r="R427" s="55">
        <v>45000</v>
      </c>
      <c r="S427" s="55" t="s">
        <v>469</v>
      </c>
      <c r="T427" s="55" t="s">
        <v>495</v>
      </c>
      <c r="U427" s="55" t="s">
        <v>18</v>
      </c>
      <c r="V427" s="55" t="s">
        <v>470</v>
      </c>
      <c r="W427" s="42">
        <f>VLOOKUP(B427,'LW13'!$X$15:$Y$501,2,0)-M427</f>
        <v>0</v>
      </c>
    </row>
    <row r="428" spans="1:23" x14ac:dyDescent="0.2">
      <c r="A428" s="9" t="str">
        <f t="shared" si="13"/>
        <v>151NL300088</v>
      </c>
      <c r="B428" s="9" t="str">
        <f>COUNTIF($A$7:A428,A428)&amp;A428</f>
        <v>1151NL300088</v>
      </c>
      <c r="C428" s="54">
        <v>46037</v>
      </c>
      <c r="D428" s="55" t="s">
        <v>294</v>
      </c>
      <c r="E428" s="56" t="s">
        <v>539</v>
      </c>
      <c r="F428" s="56" t="s">
        <v>295</v>
      </c>
      <c r="G428" s="55" t="s">
        <v>492</v>
      </c>
      <c r="H428" s="55" t="s">
        <v>493</v>
      </c>
      <c r="I428" s="55" t="s">
        <v>540</v>
      </c>
      <c r="J428" s="55" t="s">
        <v>185</v>
      </c>
      <c r="K428" s="55" t="s">
        <v>31</v>
      </c>
      <c r="L428" s="55" t="s">
        <v>92</v>
      </c>
      <c r="M428" s="57">
        <v>2</v>
      </c>
      <c r="N428" s="58">
        <v>27000</v>
      </c>
      <c r="O428" s="58">
        <v>0</v>
      </c>
      <c r="P428" s="59">
        <v>54000</v>
      </c>
      <c r="Q428" s="58">
        <v>0</v>
      </c>
      <c r="R428" s="55">
        <v>27000</v>
      </c>
      <c r="S428" s="55" t="s">
        <v>469</v>
      </c>
      <c r="T428" s="55" t="s">
        <v>495</v>
      </c>
      <c r="U428" s="55" t="s">
        <v>18</v>
      </c>
      <c r="V428" s="55" t="s">
        <v>470</v>
      </c>
      <c r="W428" s="42">
        <f>VLOOKUP(B428,'LW13'!$X$15:$Y$501,2,0)-M428</f>
        <v>0</v>
      </c>
    </row>
    <row r="429" spans="1:23" x14ac:dyDescent="0.2">
      <c r="A429" s="9" t="str">
        <f t="shared" si="13"/>
        <v>151NL300107</v>
      </c>
      <c r="B429" s="9" t="str">
        <f>COUNTIF($A$7:A429,A429)&amp;A429</f>
        <v>1151NL300107</v>
      </c>
      <c r="C429" s="54">
        <v>46037</v>
      </c>
      <c r="D429" s="55" t="s">
        <v>294</v>
      </c>
      <c r="E429" s="56" t="s">
        <v>539</v>
      </c>
      <c r="F429" s="56" t="s">
        <v>295</v>
      </c>
      <c r="G429" s="55" t="s">
        <v>492</v>
      </c>
      <c r="H429" s="55" t="s">
        <v>493</v>
      </c>
      <c r="I429" s="55" t="s">
        <v>540</v>
      </c>
      <c r="J429" s="55" t="s">
        <v>87</v>
      </c>
      <c r="K429" s="55" t="s">
        <v>299</v>
      </c>
      <c r="L429" s="55" t="s">
        <v>300</v>
      </c>
      <c r="M429" s="57">
        <v>8</v>
      </c>
      <c r="N429" s="58">
        <v>8500</v>
      </c>
      <c r="O429" s="58">
        <v>0</v>
      </c>
      <c r="P429" s="59">
        <v>68000</v>
      </c>
      <c r="Q429" s="58">
        <v>0</v>
      </c>
      <c r="R429" s="55">
        <v>8500</v>
      </c>
      <c r="S429" s="55" t="s">
        <v>469</v>
      </c>
      <c r="T429" s="55" t="s">
        <v>495</v>
      </c>
      <c r="U429" s="55" t="s">
        <v>18</v>
      </c>
      <c r="V429" s="55" t="s">
        <v>470</v>
      </c>
      <c r="W429" s="42">
        <f>VLOOKUP(B429,'LW13'!$X$15:$Y$501,2,0)-M429</f>
        <v>0</v>
      </c>
    </row>
    <row r="430" spans="1:23" x14ac:dyDescent="0.2">
      <c r="A430" s="9" t="str">
        <f t="shared" si="13"/>
        <v>151NL300137</v>
      </c>
      <c r="B430" s="9" t="str">
        <f>COUNTIF($A$7:A430,A430)&amp;A430</f>
        <v>1151NL300137</v>
      </c>
      <c r="C430" s="54">
        <v>46037</v>
      </c>
      <c r="D430" s="55" t="s">
        <v>294</v>
      </c>
      <c r="E430" s="56" t="s">
        <v>539</v>
      </c>
      <c r="F430" s="56" t="s">
        <v>295</v>
      </c>
      <c r="G430" s="55" t="s">
        <v>492</v>
      </c>
      <c r="H430" s="55" t="s">
        <v>493</v>
      </c>
      <c r="I430" s="55" t="s">
        <v>540</v>
      </c>
      <c r="J430" s="55" t="s">
        <v>96</v>
      </c>
      <c r="K430" s="55" t="s">
        <v>397</v>
      </c>
      <c r="L430" s="55" t="s">
        <v>92</v>
      </c>
      <c r="M430" s="57">
        <v>0.5</v>
      </c>
      <c r="N430" s="58">
        <v>52000</v>
      </c>
      <c r="O430" s="58">
        <v>0</v>
      </c>
      <c r="P430" s="59">
        <v>26000</v>
      </c>
      <c r="Q430" s="58">
        <v>0</v>
      </c>
      <c r="R430" s="55">
        <v>52000</v>
      </c>
      <c r="S430" s="55" t="s">
        <v>469</v>
      </c>
      <c r="T430" s="55" t="s">
        <v>495</v>
      </c>
      <c r="U430" s="55" t="s">
        <v>18</v>
      </c>
      <c r="V430" s="55" t="s">
        <v>470</v>
      </c>
      <c r="W430" s="42">
        <f>VLOOKUP(B430,'LW13'!$X$15:$Y$501,2,0)-M430</f>
        <v>0</v>
      </c>
    </row>
    <row r="431" spans="1:23" x14ac:dyDescent="0.2">
      <c r="A431" s="9" t="str">
        <f t="shared" si="13"/>
        <v>151NL300025</v>
      </c>
      <c r="B431" s="9" t="str">
        <f>COUNTIF($A$7:A431,A431)&amp;A431</f>
        <v>1151NL300025</v>
      </c>
      <c r="C431" s="54">
        <v>46037</v>
      </c>
      <c r="D431" s="55" t="s">
        <v>294</v>
      </c>
      <c r="E431" s="56" t="s">
        <v>539</v>
      </c>
      <c r="F431" s="56" t="s">
        <v>295</v>
      </c>
      <c r="G431" s="55" t="s">
        <v>492</v>
      </c>
      <c r="H431" s="55" t="s">
        <v>493</v>
      </c>
      <c r="I431" s="55" t="s">
        <v>540</v>
      </c>
      <c r="J431" s="55" t="s">
        <v>117</v>
      </c>
      <c r="K431" s="55" t="s">
        <v>303</v>
      </c>
      <c r="L431" s="55" t="s">
        <v>92</v>
      </c>
      <c r="M431" s="57">
        <v>0.7</v>
      </c>
      <c r="N431" s="58">
        <v>44000</v>
      </c>
      <c r="O431" s="58">
        <v>0</v>
      </c>
      <c r="P431" s="59">
        <v>30800</v>
      </c>
      <c r="Q431" s="58">
        <v>0</v>
      </c>
      <c r="R431" s="55">
        <v>44000</v>
      </c>
      <c r="S431" s="55" t="s">
        <v>469</v>
      </c>
      <c r="T431" s="55" t="s">
        <v>495</v>
      </c>
      <c r="U431" s="55" t="s">
        <v>18</v>
      </c>
      <c r="V431" s="55" t="s">
        <v>470</v>
      </c>
      <c r="W431" s="42">
        <f>VLOOKUP(B431,'LW13'!$X$15:$Y$501,2,0)-M431</f>
        <v>0</v>
      </c>
    </row>
    <row r="432" spans="1:23" x14ac:dyDescent="0.2">
      <c r="A432" s="9" t="str">
        <f t="shared" si="13"/>
        <v>151NL300121</v>
      </c>
      <c r="B432" s="9" t="str">
        <f>COUNTIF($A$7:A432,A432)&amp;A432</f>
        <v>1151NL300121</v>
      </c>
      <c r="C432" s="54">
        <v>46037</v>
      </c>
      <c r="D432" s="55" t="s">
        <v>294</v>
      </c>
      <c r="E432" s="56" t="s">
        <v>539</v>
      </c>
      <c r="F432" s="56" t="s">
        <v>295</v>
      </c>
      <c r="G432" s="55" t="s">
        <v>492</v>
      </c>
      <c r="H432" s="55" t="s">
        <v>493</v>
      </c>
      <c r="I432" s="55" t="s">
        <v>540</v>
      </c>
      <c r="J432" s="55" t="s">
        <v>231</v>
      </c>
      <c r="K432" s="55" t="s">
        <v>35</v>
      </c>
      <c r="L432" s="55" t="s">
        <v>92</v>
      </c>
      <c r="M432" s="57">
        <v>0.1</v>
      </c>
      <c r="N432" s="58">
        <v>22000</v>
      </c>
      <c r="O432" s="58">
        <v>0</v>
      </c>
      <c r="P432" s="59">
        <v>2200</v>
      </c>
      <c r="Q432" s="58">
        <v>0</v>
      </c>
      <c r="R432" s="55">
        <v>22000</v>
      </c>
      <c r="S432" s="55" t="s">
        <v>469</v>
      </c>
      <c r="T432" s="55" t="s">
        <v>495</v>
      </c>
      <c r="U432" s="55" t="s">
        <v>18</v>
      </c>
      <c r="V432" s="55" t="s">
        <v>470</v>
      </c>
      <c r="W432" s="42">
        <f>VLOOKUP(B432,'LW13'!$X$15:$Y$501,2,0)-M432</f>
        <v>0</v>
      </c>
    </row>
    <row r="433" spans="1:23" x14ac:dyDescent="0.2">
      <c r="A433" s="9" t="str">
        <f t="shared" si="13"/>
        <v>151NL300132</v>
      </c>
      <c r="B433" s="9" t="str">
        <f>COUNTIF($A$7:A433,A433)&amp;A433</f>
        <v>1151NL300132</v>
      </c>
      <c r="C433" s="54">
        <v>46037</v>
      </c>
      <c r="D433" s="55" t="s">
        <v>294</v>
      </c>
      <c r="E433" s="56" t="s">
        <v>539</v>
      </c>
      <c r="F433" s="56" t="s">
        <v>295</v>
      </c>
      <c r="G433" s="55" t="s">
        <v>492</v>
      </c>
      <c r="H433" s="55" t="s">
        <v>493</v>
      </c>
      <c r="I433" s="55" t="s">
        <v>540</v>
      </c>
      <c r="J433" s="55" t="s">
        <v>237</v>
      </c>
      <c r="K433" s="55" t="s">
        <v>36</v>
      </c>
      <c r="L433" s="55" t="s">
        <v>92</v>
      </c>
      <c r="M433" s="57">
        <v>1</v>
      </c>
      <c r="N433" s="58">
        <v>12000</v>
      </c>
      <c r="O433" s="58">
        <v>0</v>
      </c>
      <c r="P433" s="59">
        <v>12000</v>
      </c>
      <c r="Q433" s="58">
        <v>0</v>
      </c>
      <c r="R433" s="55">
        <v>12000</v>
      </c>
      <c r="S433" s="55" t="s">
        <v>469</v>
      </c>
      <c r="T433" s="55" t="s">
        <v>495</v>
      </c>
      <c r="U433" s="55" t="s">
        <v>18</v>
      </c>
      <c r="V433" s="55" t="s">
        <v>470</v>
      </c>
      <c r="W433" s="42">
        <f>VLOOKUP(B433,'LW13'!$X$15:$Y$501,2,0)-M433</f>
        <v>0</v>
      </c>
    </row>
    <row r="434" spans="1:23" x14ac:dyDescent="0.2">
      <c r="A434" s="9" t="str">
        <f t="shared" si="13"/>
        <v>151NL300142</v>
      </c>
      <c r="B434" s="9" t="str">
        <f>COUNTIF($A$7:A434,A434)&amp;A434</f>
        <v>1151NL300142</v>
      </c>
      <c r="C434" s="54">
        <v>46037</v>
      </c>
      <c r="D434" s="55" t="s">
        <v>294</v>
      </c>
      <c r="E434" s="56" t="s">
        <v>539</v>
      </c>
      <c r="F434" s="56" t="s">
        <v>295</v>
      </c>
      <c r="G434" s="55" t="s">
        <v>492</v>
      </c>
      <c r="H434" s="55" t="s">
        <v>493</v>
      </c>
      <c r="I434" s="55" t="s">
        <v>540</v>
      </c>
      <c r="J434" s="55" t="s">
        <v>259</v>
      </c>
      <c r="K434" s="55" t="s">
        <v>308</v>
      </c>
      <c r="L434" s="55" t="s">
        <v>92</v>
      </c>
      <c r="M434" s="57">
        <v>1</v>
      </c>
      <c r="N434" s="58">
        <v>50000</v>
      </c>
      <c r="O434" s="58">
        <v>0</v>
      </c>
      <c r="P434" s="59">
        <v>50000</v>
      </c>
      <c r="Q434" s="58">
        <v>0</v>
      </c>
      <c r="R434" s="55">
        <v>50000</v>
      </c>
      <c r="S434" s="55" t="s">
        <v>469</v>
      </c>
      <c r="T434" s="55" t="s">
        <v>495</v>
      </c>
      <c r="U434" s="55" t="s">
        <v>18</v>
      </c>
      <c r="V434" s="55" t="s">
        <v>470</v>
      </c>
      <c r="W434" s="42">
        <f>VLOOKUP(B434,'LW13'!$X$15:$Y$501,2,0)-M434</f>
        <v>0</v>
      </c>
    </row>
    <row r="435" spans="1:23" x14ac:dyDescent="0.2">
      <c r="A435" s="9" t="str">
        <f t="shared" si="13"/>
        <v>151NL100101</v>
      </c>
      <c r="B435" s="9" t="str">
        <f>COUNTIF($A$7:A435,A435)&amp;A435</f>
        <v>1151NL100101</v>
      </c>
      <c r="C435" s="12">
        <v>46037</v>
      </c>
      <c r="D435" s="13" t="s">
        <v>294</v>
      </c>
      <c r="E435" s="14" t="s">
        <v>539</v>
      </c>
      <c r="F435" s="14" t="s">
        <v>295</v>
      </c>
      <c r="G435" s="13" t="s">
        <v>492</v>
      </c>
      <c r="H435" s="13" t="s">
        <v>493</v>
      </c>
      <c r="I435" s="13" t="s">
        <v>540</v>
      </c>
      <c r="J435" s="13" t="s">
        <v>263</v>
      </c>
      <c r="K435" s="13" t="s">
        <v>52</v>
      </c>
      <c r="L435" s="13" t="s">
        <v>318</v>
      </c>
      <c r="M435" s="15">
        <v>37</v>
      </c>
      <c r="N435" s="16">
        <v>5000</v>
      </c>
      <c r="O435" s="16">
        <v>0</v>
      </c>
      <c r="P435" s="17">
        <v>185000</v>
      </c>
      <c r="Q435" s="16">
        <v>0</v>
      </c>
      <c r="R435" s="13">
        <v>5000</v>
      </c>
      <c r="S435" s="13" t="s">
        <v>469</v>
      </c>
      <c r="T435" s="13" t="s">
        <v>495</v>
      </c>
      <c r="U435" s="13" t="s">
        <v>18</v>
      </c>
      <c r="V435" s="13" t="s">
        <v>470</v>
      </c>
      <c r="W435" s="42">
        <f>VLOOKUP(B435,'LW13'!$X$15:$Y$501,2,0)-M435</f>
        <v>0</v>
      </c>
    </row>
    <row r="436" spans="1:23" x14ac:dyDescent="0.2">
      <c r="A436" s="9" t="str">
        <f t="shared" si="13"/>
        <v>151NL300140</v>
      </c>
      <c r="B436" s="9" t="str">
        <f>COUNTIF($A$7:A436,A436)&amp;A436</f>
        <v>1151NL300140</v>
      </c>
      <c r="C436" s="12">
        <v>46037</v>
      </c>
      <c r="D436" s="13" t="s">
        <v>294</v>
      </c>
      <c r="E436" s="14" t="s">
        <v>539</v>
      </c>
      <c r="F436" s="14" t="s">
        <v>295</v>
      </c>
      <c r="G436" s="13" t="s">
        <v>492</v>
      </c>
      <c r="H436" s="13" t="s">
        <v>493</v>
      </c>
      <c r="I436" s="13" t="s">
        <v>540</v>
      </c>
      <c r="J436" s="13" t="s">
        <v>233</v>
      </c>
      <c r="K436" s="13" t="s">
        <v>475</v>
      </c>
      <c r="L436" s="13" t="s">
        <v>92</v>
      </c>
      <c r="M436" s="15">
        <v>0.1</v>
      </c>
      <c r="N436" s="16">
        <v>36000</v>
      </c>
      <c r="O436" s="16">
        <v>0</v>
      </c>
      <c r="P436" s="17">
        <v>3600</v>
      </c>
      <c r="Q436" s="16">
        <v>0</v>
      </c>
      <c r="R436" s="13">
        <v>36000</v>
      </c>
      <c r="S436" s="13" t="s">
        <v>469</v>
      </c>
      <c r="T436" s="13" t="s">
        <v>495</v>
      </c>
      <c r="U436" s="13" t="s">
        <v>18</v>
      </c>
      <c r="V436" s="13" t="s">
        <v>470</v>
      </c>
      <c r="W436" s="42">
        <f>VLOOKUP(B436,'LW13'!$X$15:$Y$501,2,0)-M436</f>
        <v>0</v>
      </c>
    </row>
    <row r="437" spans="1:23" x14ac:dyDescent="0.2">
      <c r="A437" s="9" t="str">
        <f t="shared" si="13"/>
        <v>151NL300147</v>
      </c>
      <c r="B437" s="9" t="str">
        <f>COUNTIF($A$7:A437,A437)&amp;A437</f>
        <v>1151NL300147</v>
      </c>
      <c r="C437" s="12">
        <v>46037</v>
      </c>
      <c r="D437" s="13" t="s">
        <v>294</v>
      </c>
      <c r="E437" s="14" t="s">
        <v>539</v>
      </c>
      <c r="F437" s="14" t="s">
        <v>295</v>
      </c>
      <c r="G437" s="13" t="s">
        <v>492</v>
      </c>
      <c r="H437" s="13" t="s">
        <v>493</v>
      </c>
      <c r="I437" s="13" t="s">
        <v>540</v>
      </c>
      <c r="J437" s="13" t="s">
        <v>270</v>
      </c>
      <c r="K437" s="13" t="s">
        <v>309</v>
      </c>
      <c r="L437" s="13" t="s">
        <v>92</v>
      </c>
      <c r="M437" s="15">
        <v>2</v>
      </c>
      <c r="N437" s="16">
        <v>62000</v>
      </c>
      <c r="O437" s="16">
        <v>0</v>
      </c>
      <c r="P437" s="17">
        <v>124000</v>
      </c>
      <c r="Q437" s="16">
        <v>0</v>
      </c>
      <c r="R437" s="13">
        <v>62000</v>
      </c>
      <c r="S437" s="13" t="s">
        <v>469</v>
      </c>
      <c r="T437" s="13" t="s">
        <v>495</v>
      </c>
      <c r="U437" s="13" t="s">
        <v>18</v>
      </c>
      <c r="V437" s="13" t="s">
        <v>470</v>
      </c>
      <c r="W437" s="42">
        <f>VLOOKUP(B437,'LW13'!$X$15:$Y$501,2,0)-M437</f>
        <v>0</v>
      </c>
    </row>
    <row r="438" spans="1:23" x14ac:dyDescent="0.2">
      <c r="A438" s="9" t="str">
        <f t="shared" si="13"/>
        <v>151NL300090</v>
      </c>
      <c r="B438" s="9" t="str">
        <f>COUNTIF($A$7:A438,A438)&amp;A438</f>
        <v>1151NL300090</v>
      </c>
      <c r="C438" s="12">
        <v>46037</v>
      </c>
      <c r="D438" s="13" t="s">
        <v>294</v>
      </c>
      <c r="E438" s="14" t="s">
        <v>539</v>
      </c>
      <c r="F438" s="14" t="s">
        <v>295</v>
      </c>
      <c r="G438" s="13" t="s">
        <v>492</v>
      </c>
      <c r="H438" s="13" t="s">
        <v>493</v>
      </c>
      <c r="I438" s="13" t="s">
        <v>540</v>
      </c>
      <c r="J438" s="13" t="s">
        <v>189</v>
      </c>
      <c r="K438" s="13" t="s">
        <v>39</v>
      </c>
      <c r="L438" s="13" t="s">
        <v>92</v>
      </c>
      <c r="M438" s="15">
        <v>1.5</v>
      </c>
      <c r="N438" s="16">
        <v>145000</v>
      </c>
      <c r="O438" s="16">
        <v>0</v>
      </c>
      <c r="P438" s="17">
        <v>217500</v>
      </c>
      <c r="Q438" s="16">
        <v>0</v>
      </c>
      <c r="R438" s="13">
        <v>145000</v>
      </c>
      <c r="S438" s="13" t="s">
        <v>469</v>
      </c>
      <c r="T438" s="13" t="s">
        <v>495</v>
      </c>
      <c r="U438" s="13" t="s">
        <v>18</v>
      </c>
      <c r="V438" s="13" t="s">
        <v>470</v>
      </c>
      <c r="W438" s="42">
        <f>VLOOKUP(B438,'LW13'!$X$15:$Y$501,2,0)-M438</f>
        <v>0</v>
      </c>
    </row>
    <row r="439" spans="1:23" x14ac:dyDescent="0.2">
      <c r="A439" s="9" t="str">
        <f t="shared" si="13"/>
        <v>151NL300091</v>
      </c>
      <c r="B439" s="9" t="str">
        <f>COUNTIF($A$7:A439,A439)&amp;A439</f>
        <v>1151NL300091</v>
      </c>
      <c r="C439" s="12">
        <v>46037</v>
      </c>
      <c r="D439" s="13" t="s">
        <v>294</v>
      </c>
      <c r="E439" s="14" t="s">
        <v>539</v>
      </c>
      <c r="F439" s="14" t="s">
        <v>295</v>
      </c>
      <c r="G439" s="13" t="s">
        <v>492</v>
      </c>
      <c r="H439" s="13" t="s">
        <v>493</v>
      </c>
      <c r="I439" s="13" t="s">
        <v>540</v>
      </c>
      <c r="J439" s="13" t="s">
        <v>190</v>
      </c>
      <c r="K439" s="13" t="s">
        <v>40</v>
      </c>
      <c r="L439" s="13" t="s">
        <v>92</v>
      </c>
      <c r="M439" s="15">
        <v>1</v>
      </c>
      <c r="N439" s="16">
        <v>47000</v>
      </c>
      <c r="O439" s="16">
        <v>0</v>
      </c>
      <c r="P439" s="17">
        <v>47000</v>
      </c>
      <c r="Q439" s="16">
        <v>0</v>
      </c>
      <c r="R439" s="13">
        <v>47000</v>
      </c>
      <c r="S439" s="13" t="s">
        <v>469</v>
      </c>
      <c r="T439" s="13" t="s">
        <v>495</v>
      </c>
      <c r="U439" s="13" t="s">
        <v>18</v>
      </c>
      <c r="V439" s="13" t="s">
        <v>470</v>
      </c>
      <c r="W439" s="42">
        <f>VLOOKUP(B439,'LW13'!$X$15:$Y$501,2,0)-M439</f>
        <v>0</v>
      </c>
    </row>
    <row r="440" spans="1:23" x14ac:dyDescent="0.2">
      <c r="A440" s="9" t="str">
        <f t="shared" si="13"/>
        <v>151NL300092</v>
      </c>
      <c r="B440" s="9" t="str">
        <f>COUNTIF($A$7:A440,A440)&amp;A440</f>
        <v>1151NL300092</v>
      </c>
      <c r="C440" s="12">
        <v>46037</v>
      </c>
      <c r="D440" s="13" t="s">
        <v>294</v>
      </c>
      <c r="E440" s="14" t="s">
        <v>539</v>
      </c>
      <c r="F440" s="14" t="s">
        <v>295</v>
      </c>
      <c r="G440" s="13" t="s">
        <v>492</v>
      </c>
      <c r="H440" s="13" t="s">
        <v>493</v>
      </c>
      <c r="I440" s="13" t="s">
        <v>540</v>
      </c>
      <c r="J440" s="13" t="s">
        <v>191</v>
      </c>
      <c r="K440" s="13" t="s">
        <v>43</v>
      </c>
      <c r="L440" s="13" t="s">
        <v>92</v>
      </c>
      <c r="M440" s="15">
        <v>1</v>
      </c>
      <c r="N440" s="16">
        <v>90000</v>
      </c>
      <c r="O440" s="16">
        <v>0</v>
      </c>
      <c r="P440" s="17">
        <v>90000</v>
      </c>
      <c r="Q440" s="16">
        <v>0</v>
      </c>
      <c r="R440" s="13">
        <v>90000</v>
      </c>
      <c r="S440" s="13" t="s">
        <v>469</v>
      </c>
      <c r="T440" s="13" t="s">
        <v>495</v>
      </c>
      <c r="U440" s="13" t="s">
        <v>18</v>
      </c>
      <c r="V440" s="13" t="s">
        <v>470</v>
      </c>
      <c r="W440" s="42">
        <f>VLOOKUP(B440,'LW13'!$X$15:$Y$501,2,0)-M440</f>
        <v>0</v>
      </c>
    </row>
    <row r="441" spans="1:23" x14ac:dyDescent="0.2">
      <c r="A441" s="9" t="str">
        <f t="shared" si="13"/>
        <v>151NL300096</v>
      </c>
      <c r="B441" s="9" t="str">
        <f>COUNTIF($A$7:A441,A441)&amp;A441</f>
        <v>1151NL300096</v>
      </c>
      <c r="C441" s="12">
        <v>46037</v>
      </c>
      <c r="D441" s="13" t="s">
        <v>294</v>
      </c>
      <c r="E441" s="14" t="s">
        <v>539</v>
      </c>
      <c r="F441" s="14" t="s">
        <v>295</v>
      </c>
      <c r="G441" s="13" t="s">
        <v>492</v>
      </c>
      <c r="H441" s="13" t="s">
        <v>493</v>
      </c>
      <c r="I441" s="13" t="s">
        <v>540</v>
      </c>
      <c r="J441" s="13" t="s">
        <v>193</v>
      </c>
      <c r="K441" s="13" t="s">
        <v>41</v>
      </c>
      <c r="L441" s="13" t="s">
        <v>92</v>
      </c>
      <c r="M441" s="15">
        <v>2.5</v>
      </c>
      <c r="N441" s="16">
        <v>45000</v>
      </c>
      <c r="O441" s="16">
        <v>0</v>
      </c>
      <c r="P441" s="17">
        <v>112500</v>
      </c>
      <c r="Q441" s="16">
        <v>0</v>
      </c>
      <c r="R441" s="13">
        <v>45000</v>
      </c>
      <c r="S441" s="13" t="s">
        <v>469</v>
      </c>
      <c r="T441" s="13" t="s">
        <v>495</v>
      </c>
      <c r="U441" s="13" t="s">
        <v>18</v>
      </c>
      <c r="V441" s="13" t="s">
        <v>470</v>
      </c>
      <c r="W441" s="42">
        <f>VLOOKUP(B441,'LW13'!$X$15:$Y$501,2,0)-M441</f>
        <v>0</v>
      </c>
    </row>
    <row r="442" spans="1:23" x14ac:dyDescent="0.2">
      <c r="A442" s="9" t="str">
        <f t="shared" si="13"/>
        <v>151NL300097</v>
      </c>
      <c r="B442" s="9" t="str">
        <f>COUNTIF($A$7:A442,A442)&amp;A442</f>
        <v>1151NL300097</v>
      </c>
      <c r="C442" s="12">
        <v>46037</v>
      </c>
      <c r="D442" s="13" t="s">
        <v>294</v>
      </c>
      <c r="E442" s="14" t="s">
        <v>539</v>
      </c>
      <c r="F442" s="14" t="s">
        <v>295</v>
      </c>
      <c r="G442" s="13" t="s">
        <v>492</v>
      </c>
      <c r="H442" s="13" t="s">
        <v>493</v>
      </c>
      <c r="I442" s="13" t="s">
        <v>540</v>
      </c>
      <c r="J442" s="13" t="s">
        <v>194</v>
      </c>
      <c r="K442" s="13" t="s">
        <v>317</v>
      </c>
      <c r="L442" s="13" t="s">
        <v>92</v>
      </c>
      <c r="M442" s="15">
        <v>1</v>
      </c>
      <c r="N442" s="16">
        <v>90000</v>
      </c>
      <c r="O442" s="16">
        <v>0</v>
      </c>
      <c r="P442" s="17">
        <v>90000</v>
      </c>
      <c r="Q442" s="16">
        <v>0</v>
      </c>
      <c r="R442" s="13">
        <v>90000</v>
      </c>
      <c r="S442" s="13" t="s">
        <v>469</v>
      </c>
      <c r="T442" s="13" t="s">
        <v>495</v>
      </c>
      <c r="U442" s="13" t="s">
        <v>18</v>
      </c>
      <c r="V442" s="13" t="s">
        <v>470</v>
      </c>
      <c r="W442" s="42">
        <f>VLOOKUP(B442,'LW13'!$X$15:$Y$501,2,0)-M442</f>
        <v>0</v>
      </c>
    </row>
    <row r="443" spans="1:23" x14ac:dyDescent="0.2">
      <c r="A443" s="9" t="str">
        <f t="shared" si="13"/>
        <v>151NL600004</v>
      </c>
      <c r="B443" s="9" t="str">
        <f>COUNTIF($A$7:A443,A443)&amp;A443</f>
        <v>1151NL600004</v>
      </c>
      <c r="C443" s="12">
        <v>46037</v>
      </c>
      <c r="D443" s="13" t="s">
        <v>294</v>
      </c>
      <c r="E443" s="14" t="s">
        <v>539</v>
      </c>
      <c r="F443" s="14" t="s">
        <v>295</v>
      </c>
      <c r="G443" s="13" t="s">
        <v>492</v>
      </c>
      <c r="H443" s="13" t="s">
        <v>493</v>
      </c>
      <c r="I443" s="13" t="s">
        <v>540</v>
      </c>
      <c r="J443" s="13" t="s">
        <v>144</v>
      </c>
      <c r="K443" s="13" t="s">
        <v>47</v>
      </c>
      <c r="L443" s="13" t="s">
        <v>92</v>
      </c>
      <c r="M443" s="15">
        <v>19.5</v>
      </c>
      <c r="N443" s="16">
        <v>18000</v>
      </c>
      <c r="O443" s="16">
        <v>0</v>
      </c>
      <c r="P443" s="17">
        <v>351000</v>
      </c>
      <c r="Q443" s="16">
        <v>0</v>
      </c>
      <c r="R443" s="13">
        <v>18000</v>
      </c>
      <c r="S443" s="13" t="s">
        <v>469</v>
      </c>
      <c r="T443" s="13" t="s">
        <v>495</v>
      </c>
      <c r="U443" s="13" t="s">
        <v>18</v>
      </c>
      <c r="V443" s="13" t="s">
        <v>470</v>
      </c>
      <c r="W443" s="42">
        <f>VLOOKUP(B443,'LW13'!$X$15:$Y$501,2,0)-M443</f>
        <v>0</v>
      </c>
    </row>
    <row r="444" spans="1:23" x14ac:dyDescent="0.2">
      <c r="A444" s="9" t="str">
        <f t="shared" si="13"/>
        <v>151NL300125</v>
      </c>
      <c r="B444" s="9" t="str">
        <f>COUNTIF($A$7:A444,A444)&amp;A444</f>
        <v>1151NL300125</v>
      </c>
      <c r="C444" s="12">
        <v>46037</v>
      </c>
      <c r="D444" s="13" t="s">
        <v>294</v>
      </c>
      <c r="E444" s="14" t="s">
        <v>539</v>
      </c>
      <c r="F444" s="14" t="s">
        <v>295</v>
      </c>
      <c r="G444" s="13" t="s">
        <v>492</v>
      </c>
      <c r="H444" s="13" t="s">
        <v>493</v>
      </c>
      <c r="I444" s="13" t="s">
        <v>540</v>
      </c>
      <c r="J444" s="13" t="s">
        <v>228</v>
      </c>
      <c r="K444" s="13" t="s">
        <v>227</v>
      </c>
      <c r="L444" s="13" t="s">
        <v>92</v>
      </c>
      <c r="M444" s="15">
        <v>1</v>
      </c>
      <c r="N444" s="16">
        <v>42000</v>
      </c>
      <c r="O444" s="16">
        <v>0</v>
      </c>
      <c r="P444" s="17">
        <v>42000</v>
      </c>
      <c r="Q444" s="16">
        <v>0</v>
      </c>
      <c r="R444" s="13">
        <v>42000</v>
      </c>
      <c r="S444" s="13" t="s">
        <v>469</v>
      </c>
      <c r="T444" s="13" t="s">
        <v>495</v>
      </c>
      <c r="U444" s="13" t="s">
        <v>18</v>
      </c>
      <c r="V444" s="13" t="s">
        <v>470</v>
      </c>
      <c r="W444" s="42">
        <f>VLOOKUP(B444,'LW13'!$X$15:$Y$501,2,0)-M444</f>
        <v>0</v>
      </c>
    </row>
    <row r="445" spans="1:23" x14ac:dyDescent="0.2">
      <c r="A445" s="9"/>
      <c r="B445" s="9"/>
      <c r="C445" s="12"/>
      <c r="D445" s="13"/>
      <c r="E445" s="14"/>
      <c r="F445" s="14"/>
      <c r="G445" s="13"/>
      <c r="H445" s="13"/>
      <c r="I445" s="13"/>
      <c r="J445" s="13"/>
      <c r="K445" s="13"/>
      <c r="L445" s="13"/>
      <c r="M445" s="15"/>
      <c r="N445" s="16"/>
      <c r="O445" s="16"/>
      <c r="P445" s="17"/>
      <c r="Q445" s="16"/>
      <c r="R445" s="13"/>
      <c r="S445" s="13"/>
      <c r="T445" s="13"/>
      <c r="U445" s="13"/>
      <c r="V445" s="13"/>
      <c r="W445" s="42"/>
    </row>
    <row r="446" spans="1:23" x14ac:dyDescent="0.2">
      <c r="A446" s="9"/>
      <c r="B446" s="9"/>
      <c r="C446" s="12"/>
      <c r="D446" s="13"/>
      <c r="E446" s="14"/>
      <c r="F446" s="14"/>
      <c r="G446" s="13"/>
      <c r="H446" s="13"/>
      <c r="I446" s="13"/>
      <c r="J446" s="13"/>
      <c r="K446" s="13"/>
      <c r="L446" s="13"/>
      <c r="M446" s="15"/>
      <c r="N446" s="16"/>
      <c r="O446" s="16"/>
      <c r="P446" s="17"/>
      <c r="Q446" s="16"/>
      <c r="R446" s="13"/>
      <c r="S446" s="13"/>
      <c r="T446" s="13"/>
      <c r="U446" s="13"/>
      <c r="V446" s="13"/>
      <c r="W446" s="42"/>
    </row>
    <row r="447" spans="1:23" x14ac:dyDescent="0.2">
      <c r="A447" s="9"/>
      <c r="B447" s="9"/>
      <c r="C447" s="12"/>
      <c r="D447" s="13"/>
      <c r="E447" s="14"/>
      <c r="F447" s="14"/>
      <c r="G447" s="13"/>
      <c r="H447" s="13"/>
      <c r="I447" s="13"/>
      <c r="J447" s="13"/>
      <c r="K447" s="13"/>
      <c r="L447" s="13"/>
      <c r="M447" s="15"/>
      <c r="N447" s="16"/>
      <c r="O447" s="16"/>
      <c r="P447" s="17"/>
      <c r="Q447" s="16"/>
      <c r="R447" s="13"/>
      <c r="S447" s="13"/>
      <c r="T447" s="13"/>
      <c r="U447" s="13"/>
      <c r="V447" s="13"/>
      <c r="W447" s="42"/>
    </row>
    <row r="448" spans="1:23" x14ac:dyDescent="0.2">
      <c r="A448" s="9"/>
      <c r="B448" s="9"/>
      <c r="C448" s="12"/>
      <c r="D448" s="13"/>
      <c r="E448" s="14"/>
      <c r="F448" s="14"/>
      <c r="G448" s="13"/>
      <c r="H448" s="13"/>
      <c r="I448" s="13"/>
      <c r="J448" s="13"/>
      <c r="K448" s="13"/>
      <c r="L448" s="13"/>
      <c r="M448" s="15"/>
      <c r="N448" s="16"/>
      <c r="O448" s="16"/>
      <c r="P448" s="17"/>
      <c r="Q448" s="16"/>
      <c r="R448" s="13"/>
      <c r="S448" s="13"/>
      <c r="T448" s="13"/>
      <c r="U448" s="13"/>
      <c r="V448" s="13"/>
      <c r="W448" s="42"/>
    </row>
    <row r="449" spans="1:23" x14ac:dyDescent="0.2">
      <c r="A449" s="9"/>
      <c r="B449" s="9"/>
      <c r="C449" s="12"/>
      <c r="D449" s="13"/>
      <c r="E449" s="14"/>
      <c r="F449" s="14"/>
      <c r="G449" s="13"/>
      <c r="H449" s="13"/>
      <c r="I449" s="13"/>
      <c r="J449" s="13"/>
      <c r="K449" s="13"/>
      <c r="L449" s="13"/>
      <c r="M449" s="15"/>
      <c r="N449" s="16"/>
      <c r="O449" s="16"/>
      <c r="P449" s="17"/>
      <c r="Q449" s="16"/>
      <c r="R449" s="13"/>
      <c r="S449" s="13"/>
      <c r="T449" s="13"/>
      <c r="U449" s="13"/>
      <c r="V449" s="13"/>
      <c r="W449" s="42"/>
    </row>
    <row r="450" spans="1:23" x14ac:dyDescent="0.2">
      <c r="A450" s="9"/>
      <c r="B450" s="9"/>
      <c r="C450" s="12"/>
      <c r="D450" s="13"/>
      <c r="E450" s="14"/>
      <c r="F450" s="14"/>
      <c r="G450" s="13"/>
      <c r="H450" s="13"/>
      <c r="I450" s="13"/>
      <c r="J450" s="13"/>
      <c r="K450" s="13"/>
      <c r="L450" s="13"/>
      <c r="M450" s="15"/>
      <c r="N450" s="16"/>
      <c r="O450" s="16"/>
      <c r="P450" s="17"/>
      <c r="Q450" s="16"/>
      <c r="R450" s="13"/>
      <c r="S450" s="13"/>
      <c r="T450" s="13"/>
      <c r="U450" s="13"/>
      <c r="V450" s="13"/>
      <c r="W450" s="42"/>
    </row>
    <row r="451" spans="1:23" x14ac:dyDescent="0.2">
      <c r="A451" s="9"/>
      <c r="B451" s="9"/>
      <c r="C451" s="12"/>
      <c r="D451" s="13"/>
      <c r="E451" s="14"/>
      <c r="F451" s="14"/>
      <c r="G451" s="13"/>
      <c r="H451" s="13"/>
      <c r="I451" s="13"/>
      <c r="J451" s="13"/>
      <c r="K451" s="13"/>
      <c r="L451" s="13"/>
      <c r="M451" s="15"/>
      <c r="N451" s="16"/>
      <c r="O451" s="16"/>
      <c r="P451" s="17"/>
      <c r="Q451" s="16"/>
      <c r="R451" s="13"/>
      <c r="S451" s="13"/>
      <c r="T451" s="13"/>
      <c r="U451" s="13"/>
      <c r="V451" s="13"/>
      <c r="W451" s="42"/>
    </row>
    <row r="452" spans="1:23" x14ac:dyDescent="0.2">
      <c r="A452" s="9"/>
      <c r="B452" s="9"/>
      <c r="C452" s="12"/>
      <c r="D452" s="13"/>
      <c r="E452" s="14"/>
      <c r="F452" s="14"/>
      <c r="G452" s="13"/>
      <c r="H452" s="13"/>
      <c r="I452" s="13"/>
      <c r="J452" s="13"/>
      <c r="K452" s="13"/>
      <c r="L452" s="13"/>
      <c r="M452" s="15"/>
      <c r="N452" s="16"/>
      <c r="O452" s="16"/>
      <c r="P452" s="17"/>
      <c r="Q452" s="16"/>
      <c r="R452" s="13"/>
      <c r="S452" s="13"/>
      <c r="T452" s="13"/>
      <c r="U452" s="13"/>
      <c r="V452" s="13"/>
      <c r="W452" s="42"/>
    </row>
    <row r="453" spans="1:23" x14ac:dyDescent="0.2">
      <c r="A453" s="9"/>
      <c r="B453" s="9"/>
      <c r="C453" s="12"/>
      <c r="D453" s="13"/>
      <c r="E453" s="14"/>
      <c r="F453" s="14"/>
      <c r="G453" s="13"/>
      <c r="H453" s="13"/>
      <c r="I453" s="13"/>
      <c r="J453" s="13"/>
      <c r="K453" s="13"/>
      <c r="L453" s="13"/>
      <c r="M453" s="15"/>
      <c r="N453" s="16"/>
      <c r="O453" s="16"/>
      <c r="P453" s="17"/>
      <c r="Q453" s="16"/>
      <c r="R453" s="13"/>
      <c r="S453" s="13"/>
      <c r="T453" s="13"/>
      <c r="U453" s="13"/>
      <c r="V453" s="13"/>
      <c r="W453" s="42"/>
    </row>
    <row r="454" spans="1:23" x14ac:dyDescent="0.2">
      <c r="A454" s="9"/>
      <c r="B454" s="9"/>
      <c r="C454" s="12"/>
      <c r="D454" s="13"/>
      <c r="E454" s="14"/>
      <c r="F454" s="14"/>
      <c r="G454" s="13"/>
      <c r="H454" s="13"/>
      <c r="I454" s="13"/>
      <c r="J454" s="13"/>
      <c r="K454" s="13"/>
      <c r="L454" s="13"/>
      <c r="M454" s="15"/>
      <c r="N454" s="16"/>
      <c r="O454" s="16"/>
      <c r="P454" s="17"/>
      <c r="Q454" s="16"/>
      <c r="R454" s="13"/>
      <c r="S454" s="13"/>
      <c r="T454" s="13"/>
      <c r="U454" s="13"/>
      <c r="V454" s="13"/>
      <c r="W454" s="42"/>
    </row>
    <row r="455" spans="1:23" x14ac:dyDescent="0.2">
      <c r="A455" s="9"/>
      <c r="B455" s="9"/>
      <c r="C455" s="12"/>
      <c r="D455" s="13"/>
      <c r="E455" s="14"/>
      <c r="F455" s="14"/>
      <c r="G455" s="13"/>
      <c r="H455" s="13"/>
      <c r="I455" s="13"/>
      <c r="J455" s="13"/>
      <c r="K455" s="13"/>
      <c r="L455" s="13"/>
      <c r="M455" s="15"/>
      <c r="N455" s="16"/>
      <c r="O455" s="16"/>
      <c r="P455" s="17"/>
      <c r="Q455" s="16"/>
      <c r="R455" s="13"/>
      <c r="S455" s="13"/>
      <c r="T455" s="13"/>
      <c r="U455" s="13"/>
      <c r="V455" s="13"/>
      <c r="W455" s="42"/>
    </row>
    <row r="456" spans="1:23" x14ac:dyDescent="0.2">
      <c r="A456" s="9"/>
      <c r="B456" s="9"/>
      <c r="C456" s="12"/>
      <c r="D456" s="13"/>
      <c r="E456" s="14"/>
      <c r="F456" s="14"/>
      <c r="G456" s="13"/>
      <c r="H456" s="13"/>
      <c r="I456" s="13"/>
      <c r="J456" s="13"/>
      <c r="K456" s="13"/>
      <c r="L456" s="13"/>
      <c r="M456" s="15"/>
      <c r="N456" s="16"/>
      <c r="O456" s="16"/>
      <c r="P456" s="17"/>
      <c r="Q456" s="16"/>
      <c r="R456" s="13"/>
      <c r="S456" s="13"/>
      <c r="T456" s="13"/>
      <c r="U456" s="13"/>
      <c r="V456" s="13"/>
      <c r="W456" s="42"/>
    </row>
    <row r="457" spans="1:23" x14ac:dyDescent="0.2">
      <c r="A457" s="9"/>
      <c r="B457" s="9"/>
      <c r="C457" s="12"/>
      <c r="D457" s="13"/>
      <c r="E457" s="14"/>
      <c r="F457" s="14"/>
      <c r="G457" s="13"/>
      <c r="H457" s="13"/>
      <c r="I457" s="13"/>
      <c r="J457" s="13"/>
      <c r="K457" s="13"/>
      <c r="L457" s="13"/>
      <c r="M457" s="15"/>
      <c r="N457" s="16"/>
      <c r="O457" s="16"/>
      <c r="P457" s="17"/>
      <c r="Q457" s="16"/>
      <c r="R457" s="13"/>
      <c r="S457" s="13"/>
      <c r="T457" s="13"/>
      <c r="U457" s="13"/>
      <c r="V457" s="13"/>
      <c r="W457" s="42"/>
    </row>
    <row r="458" spans="1:23" x14ac:dyDescent="0.2">
      <c r="A458" s="9"/>
      <c r="B458" s="9"/>
      <c r="C458" s="12"/>
      <c r="D458" s="13"/>
      <c r="E458" s="14"/>
      <c r="F458" s="14"/>
      <c r="G458" s="13"/>
      <c r="H458" s="13"/>
      <c r="I458" s="13"/>
      <c r="J458" s="13"/>
      <c r="K458" s="13"/>
      <c r="L458" s="13"/>
      <c r="M458" s="15"/>
      <c r="N458" s="16"/>
      <c r="O458" s="16"/>
      <c r="P458" s="17"/>
      <c r="Q458" s="16"/>
      <c r="R458" s="13"/>
      <c r="S458" s="13"/>
      <c r="T458" s="13"/>
      <c r="U458" s="13"/>
      <c r="V458" s="13"/>
      <c r="W458" s="42"/>
    </row>
    <row r="459" spans="1:23" x14ac:dyDescent="0.2">
      <c r="A459" s="9"/>
      <c r="B459" s="9"/>
      <c r="C459" s="12"/>
      <c r="D459" s="13"/>
      <c r="E459" s="14"/>
      <c r="F459" s="14"/>
      <c r="G459" s="13"/>
      <c r="H459" s="13"/>
      <c r="I459" s="13"/>
      <c r="J459" s="13"/>
      <c r="K459" s="13"/>
      <c r="L459" s="13"/>
      <c r="M459" s="15"/>
      <c r="N459" s="16"/>
      <c r="O459" s="16"/>
      <c r="P459" s="17"/>
      <c r="Q459" s="16"/>
      <c r="R459" s="13"/>
      <c r="S459" s="13"/>
      <c r="T459" s="13"/>
      <c r="U459" s="13"/>
      <c r="V459" s="13"/>
      <c r="W459" s="42"/>
    </row>
    <row r="460" spans="1:23" x14ac:dyDescent="0.2">
      <c r="A460" s="9"/>
      <c r="B460" s="9"/>
      <c r="C460" s="12"/>
      <c r="D460" s="13"/>
      <c r="E460" s="14"/>
      <c r="F460" s="14"/>
      <c r="G460" s="13"/>
      <c r="H460" s="13"/>
      <c r="I460" s="13"/>
      <c r="J460" s="13"/>
      <c r="K460" s="13"/>
      <c r="L460" s="13"/>
      <c r="M460" s="15"/>
      <c r="N460" s="16"/>
      <c r="O460" s="16"/>
      <c r="P460" s="17"/>
      <c r="Q460" s="16"/>
      <c r="R460" s="13"/>
      <c r="S460" s="13"/>
      <c r="T460" s="13"/>
      <c r="U460" s="13"/>
      <c r="V460" s="13"/>
      <c r="W460" s="42"/>
    </row>
    <row r="461" spans="1:23" x14ac:dyDescent="0.2">
      <c r="A461" s="9"/>
      <c r="B461" s="9"/>
      <c r="C461" s="12"/>
      <c r="D461" s="13"/>
      <c r="E461" s="14"/>
      <c r="F461" s="14"/>
      <c r="G461" s="13"/>
      <c r="H461" s="13"/>
      <c r="I461" s="13"/>
      <c r="J461" s="13"/>
      <c r="K461" s="13"/>
      <c r="L461" s="13"/>
      <c r="M461" s="15"/>
      <c r="N461" s="16"/>
      <c r="O461" s="16"/>
      <c r="P461" s="17"/>
      <c r="Q461" s="16"/>
      <c r="R461" s="13"/>
      <c r="S461" s="13"/>
      <c r="T461" s="13"/>
      <c r="U461" s="13"/>
      <c r="V461" s="13"/>
      <c r="W461" s="42"/>
    </row>
    <row r="462" spans="1:23" x14ac:dyDescent="0.2">
      <c r="A462" s="9"/>
      <c r="B462" s="9"/>
      <c r="C462" s="12"/>
      <c r="D462" s="13"/>
      <c r="E462" s="14"/>
      <c r="F462" s="14"/>
      <c r="G462" s="13"/>
      <c r="H462" s="13"/>
      <c r="I462" s="13"/>
      <c r="J462" s="13"/>
      <c r="K462" s="13"/>
      <c r="L462" s="13"/>
      <c r="M462" s="15"/>
      <c r="N462" s="16"/>
      <c r="O462" s="16"/>
      <c r="P462" s="17"/>
      <c r="Q462" s="16"/>
      <c r="R462" s="13"/>
      <c r="S462" s="13"/>
      <c r="T462" s="13"/>
      <c r="U462" s="13"/>
      <c r="V462" s="13"/>
      <c r="W462" s="42"/>
    </row>
    <row r="463" spans="1:23" x14ac:dyDescent="0.2">
      <c r="A463" s="9"/>
      <c r="B463" s="9"/>
      <c r="C463" s="12"/>
      <c r="D463" s="13"/>
      <c r="E463" s="14"/>
      <c r="F463" s="14"/>
      <c r="G463" s="13"/>
      <c r="H463" s="13"/>
      <c r="I463" s="13"/>
      <c r="J463" s="13"/>
      <c r="K463" s="13"/>
      <c r="L463" s="13"/>
      <c r="M463" s="15"/>
      <c r="N463" s="16"/>
      <c r="O463" s="16"/>
      <c r="P463" s="17"/>
      <c r="Q463" s="16"/>
      <c r="R463" s="13"/>
      <c r="S463" s="13"/>
      <c r="T463" s="13"/>
      <c r="U463" s="13"/>
      <c r="V463" s="13"/>
      <c r="W463" s="42"/>
    </row>
    <row r="464" spans="1:23" x14ac:dyDescent="0.2">
      <c r="A464" s="9"/>
      <c r="B464" s="9"/>
      <c r="C464" s="12"/>
      <c r="D464" s="13"/>
      <c r="E464" s="14"/>
      <c r="F464" s="14"/>
      <c r="G464" s="13"/>
      <c r="H464" s="13"/>
      <c r="I464" s="13"/>
      <c r="J464" s="13"/>
      <c r="K464" s="13"/>
      <c r="L464" s="13"/>
      <c r="M464" s="15"/>
      <c r="N464" s="16"/>
      <c r="O464" s="16"/>
      <c r="P464" s="17"/>
      <c r="Q464" s="16"/>
      <c r="R464" s="13"/>
      <c r="S464" s="13"/>
      <c r="T464" s="13"/>
      <c r="U464" s="13"/>
      <c r="V464" s="13"/>
      <c r="W464" s="42"/>
    </row>
    <row r="465" spans="1:23" x14ac:dyDescent="0.2">
      <c r="A465" s="9"/>
      <c r="B465" s="9"/>
      <c r="C465" s="12"/>
      <c r="D465" s="13"/>
      <c r="E465" s="14"/>
      <c r="F465" s="14"/>
      <c r="G465" s="13"/>
      <c r="H465" s="13"/>
      <c r="I465" s="13"/>
      <c r="J465" s="13"/>
      <c r="K465" s="13"/>
      <c r="L465" s="13"/>
      <c r="M465" s="15"/>
      <c r="N465" s="16"/>
      <c r="O465" s="16"/>
      <c r="P465" s="17"/>
      <c r="Q465" s="16"/>
      <c r="R465" s="13"/>
      <c r="S465" s="13"/>
      <c r="T465" s="13"/>
      <c r="U465" s="13"/>
      <c r="V465" s="13"/>
      <c r="W465" s="42"/>
    </row>
    <row r="466" spans="1:23" x14ac:dyDescent="0.2">
      <c r="A466" s="9"/>
      <c r="B466" s="9"/>
      <c r="C466" s="12"/>
      <c r="D466" s="13"/>
      <c r="E466" s="14"/>
      <c r="F466" s="14"/>
      <c r="G466" s="13"/>
      <c r="H466" s="13"/>
      <c r="I466" s="13"/>
      <c r="J466" s="13"/>
      <c r="K466" s="13"/>
      <c r="L466" s="13"/>
      <c r="M466" s="15"/>
      <c r="N466" s="16"/>
      <c r="O466" s="16"/>
      <c r="P466" s="17"/>
      <c r="Q466" s="16"/>
      <c r="R466" s="13"/>
      <c r="S466" s="13"/>
      <c r="T466" s="13"/>
      <c r="U466" s="13"/>
      <c r="V466" s="13"/>
      <c r="W466" s="42"/>
    </row>
    <row r="467" spans="1:23" x14ac:dyDescent="0.2">
      <c r="A467" s="9"/>
      <c r="B467" s="9"/>
      <c r="C467" s="12"/>
      <c r="D467" s="13"/>
      <c r="E467" s="14"/>
      <c r="F467" s="14"/>
      <c r="G467" s="13"/>
      <c r="H467" s="13"/>
      <c r="I467" s="13"/>
      <c r="J467" s="13"/>
      <c r="K467" s="13"/>
      <c r="L467" s="13"/>
      <c r="M467" s="15"/>
      <c r="N467" s="16"/>
      <c r="O467" s="16"/>
      <c r="P467" s="17"/>
      <c r="Q467" s="16"/>
      <c r="R467" s="13"/>
      <c r="S467" s="13"/>
      <c r="T467" s="13"/>
      <c r="U467" s="13"/>
      <c r="V467" s="13"/>
      <c r="W467" s="42"/>
    </row>
    <row r="468" spans="1:23" x14ac:dyDescent="0.2">
      <c r="A468" s="9"/>
      <c r="B468" s="9"/>
      <c r="C468" s="12"/>
      <c r="D468" s="13"/>
      <c r="E468" s="14"/>
      <c r="F468" s="14"/>
      <c r="G468" s="13"/>
      <c r="H468" s="13"/>
      <c r="I468" s="13"/>
      <c r="J468" s="13"/>
      <c r="K468" s="13"/>
      <c r="L468" s="13"/>
      <c r="M468" s="15"/>
      <c r="N468" s="16"/>
      <c r="O468" s="16"/>
      <c r="P468" s="17"/>
      <c r="Q468" s="16"/>
      <c r="R468" s="13"/>
      <c r="S468" s="13"/>
      <c r="T468" s="13"/>
      <c r="U468" s="13"/>
      <c r="V468" s="13"/>
      <c r="W468" s="42"/>
    </row>
    <row r="469" spans="1:23" x14ac:dyDescent="0.2">
      <c r="A469" s="9"/>
      <c r="B469" s="9"/>
      <c r="C469" s="12"/>
      <c r="D469" s="13"/>
      <c r="E469" s="14"/>
      <c r="F469" s="14"/>
      <c r="G469" s="13"/>
      <c r="H469" s="13"/>
      <c r="I469" s="13"/>
      <c r="J469" s="13"/>
      <c r="K469" s="13"/>
      <c r="L469" s="13"/>
      <c r="M469" s="15"/>
      <c r="N469" s="16"/>
      <c r="O469" s="16"/>
      <c r="P469" s="17"/>
      <c r="Q469" s="16"/>
      <c r="R469" s="13"/>
      <c r="S469" s="13"/>
      <c r="T469" s="13"/>
      <c r="U469" s="13"/>
      <c r="V469" s="13"/>
      <c r="W469" s="42"/>
    </row>
    <row r="470" spans="1:23" x14ac:dyDescent="0.2">
      <c r="A470" s="9"/>
      <c r="B470" s="9"/>
      <c r="C470" s="12"/>
      <c r="D470" s="13"/>
      <c r="E470" s="14"/>
      <c r="F470" s="14"/>
      <c r="G470" s="13"/>
      <c r="H470" s="13"/>
      <c r="I470" s="13"/>
      <c r="J470" s="13"/>
      <c r="K470" s="13"/>
      <c r="L470" s="13"/>
      <c r="M470" s="15"/>
      <c r="N470" s="16"/>
      <c r="O470" s="16"/>
      <c r="P470" s="17"/>
      <c r="Q470" s="16"/>
      <c r="R470" s="13"/>
      <c r="S470" s="13"/>
      <c r="T470" s="13"/>
      <c r="U470" s="13"/>
      <c r="V470" s="13"/>
      <c r="W470" s="42"/>
    </row>
    <row r="471" spans="1:23" x14ac:dyDescent="0.2">
      <c r="A471" s="9"/>
      <c r="B471" s="9"/>
      <c r="C471" s="12"/>
      <c r="D471" s="13"/>
      <c r="E471" s="14"/>
      <c r="F471" s="14"/>
      <c r="G471" s="13"/>
      <c r="H471" s="13"/>
      <c r="I471" s="13"/>
      <c r="J471" s="13"/>
      <c r="K471" s="13"/>
      <c r="L471" s="13"/>
      <c r="M471" s="15"/>
      <c r="N471" s="16"/>
      <c r="O471" s="16"/>
      <c r="P471" s="17"/>
      <c r="Q471" s="16"/>
      <c r="R471" s="13"/>
      <c r="S471" s="13"/>
      <c r="T471" s="13"/>
      <c r="U471" s="13"/>
      <c r="V471" s="13"/>
      <c r="W471" s="42"/>
    </row>
    <row r="472" spans="1:23" x14ac:dyDescent="0.2">
      <c r="A472" s="9"/>
      <c r="B472" s="9"/>
      <c r="C472" s="12"/>
      <c r="D472" s="13"/>
      <c r="E472" s="14"/>
      <c r="F472" s="14"/>
      <c r="G472" s="13"/>
      <c r="H472" s="13"/>
      <c r="I472" s="13"/>
      <c r="J472" s="13"/>
      <c r="K472" s="13"/>
      <c r="L472" s="13"/>
      <c r="M472" s="15"/>
      <c r="N472" s="16"/>
      <c r="O472" s="16"/>
      <c r="P472" s="17"/>
      <c r="Q472" s="16"/>
      <c r="R472" s="13"/>
      <c r="S472" s="13"/>
      <c r="T472" s="13"/>
      <c r="U472" s="13"/>
      <c r="V472" s="13"/>
      <c r="W472" s="42"/>
    </row>
    <row r="473" spans="1:23" x14ac:dyDescent="0.2">
      <c r="A473" s="9"/>
      <c r="B473" s="9"/>
      <c r="C473" s="12"/>
      <c r="D473" s="13"/>
      <c r="E473" s="14"/>
      <c r="F473" s="14"/>
      <c r="G473" s="13"/>
      <c r="H473" s="13"/>
      <c r="I473" s="13"/>
      <c r="J473" s="13"/>
      <c r="K473" s="13"/>
      <c r="L473" s="13"/>
      <c r="M473" s="15"/>
      <c r="N473" s="16"/>
      <c r="O473" s="16"/>
      <c r="P473" s="17"/>
      <c r="Q473" s="16"/>
      <c r="R473" s="13"/>
      <c r="S473" s="13"/>
      <c r="T473" s="13"/>
      <c r="U473" s="13"/>
      <c r="V473" s="13"/>
      <c r="W473" s="42"/>
    </row>
    <row r="474" spans="1:23" x14ac:dyDescent="0.2">
      <c r="A474" s="9"/>
      <c r="B474" s="9"/>
      <c r="C474" s="12"/>
      <c r="D474" s="13"/>
      <c r="E474" s="14"/>
      <c r="F474" s="14"/>
      <c r="G474" s="13"/>
      <c r="H474" s="13"/>
      <c r="I474" s="13"/>
      <c r="J474" s="13"/>
      <c r="K474" s="13"/>
      <c r="L474" s="13"/>
      <c r="M474" s="15"/>
      <c r="N474" s="16"/>
      <c r="O474" s="16"/>
      <c r="P474" s="17"/>
      <c r="Q474" s="16"/>
      <c r="R474" s="13"/>
      <c r="S474" s="13"/>
      <c r="T474" s="13"/>
      <c r="U474" s="13"/>
      <c r="V474" s="13"/>
      <c r="W474" s="42"/>
    </row>
    <row r="475" spans="1:23" x14ac:dyDescent="0.2">
      <c r="A475" s="9"/>
      <c r="B475" s="9"/>
      <c r="C475" s="12"/>
      <c r="D475" s="13"/>
      <c r="E475" s="14"/>
      <c r="F475" s="14"/>
      <c r="G475" s="13"/>
      <c r="H475" s="13"/>
      <c r="I475" s="13"/>
      <c r="J475" s="13"/>
      <c r="K475" s="13"/>
      <c r="L475" s="13"/>
      <c r="M475" s="15"/>
      <c r="N475" s="16"/>
      <c r="O475" s="16"/>
      <c r="P475" s="17"/>
      <c r="Q475" s="16"/>
      <c r="R475" s="13"/>
      <c r="S475" s="13"/>
      <c r="T475" s="13"/>
      <c r="U475" s="13"/>
      <c r="V475" s="13"/>
      <c r="W475" s="42"/>
    </row>
    <row r="476" spans="1:23" x14ac:dyDescent="0.2">
      <c r="A476" s="9"/>
      <c r="B476" s="9"/>
      <c r="C476" s="12"/>
      <c r="D476" s="13"/>
      <c r="E476" s="14"/>
      <c r="F476" s="14"/>
      <c r="G476" s="13"/>
      <c r="H476" s="13"/>
      <c r="I476" s="13"/>
      <c r="J476" s="13"/>
      <c r="K476" s="13"/>
      <c r="L476" s="13"/>
      <c r="M476" s="15"/>
      <c r="N476" s="16"/>
      <c r="O476" s="16"/>
      <c r="P476" s="17"/>
      <c r="Q476" s="16"/>
      <c r="R476" s="13"/>
      <c r="S476" s="13"/>
      <c r="T476" s="13"/>
      <c r="U476" s="13"/>
      <c r="V476" s="13"/>
      <c r="W476" s="42"/>
    </row>
    <row r="477" spans="1:23" x14ac:dyDescent="0.2">
      <c r="A477" s="9"/>
      <c r="B477" s="9"/>
      <c r="C477" s="12"/>
      <c r="D477" s="13"/>
      <c r="E477" s="14"/>
      <c r="F477" s="14"/>
      <c r="G477" s="13"/>
      <c r="H477" s="13"/>
      <c r="I477" s="13"/>
      <c r="J477" s="13"/>
      <c r="K477" s="13"/>
      <c r="L477" s="13"/>
      <c r="M477" s="15"/>
      <c r="N477" s="16"/>
      <c r="O477" s="16"/>
      <c r="P477" s="17"/>
      <c r="Q477" s="16"/>
      <c r="R477" s="13"/>
      <c r="S477" s="13"/>
      <c r="T477" s="13"/>
      <c r="U477" s="13"/>
      <c r="V477" s="13"/>
      <c r="W477" s="42"/>
    </row>
    <row r="478" spans="1:23" x14ac:dyDescent="0.2">
      <c r="A478" s="9"/>
      <c r="B478" s="9"/>
      <c r="C478" s="12"/>
      <c r="D478" s="13"/>
      <c r="E478" s="14"/>
      <c r="F478" s="14"/>
      <c r="G478" s="13"/>
      <c r="H478" s="13"/>
      <c r="I478" s="13"/>
      <c r="J478" s="13"/>
      <c r="K478" s="13"/>
      <c r="L478" s="13"/>
      <c r="M478" s="15"/>
      <c r="N478" s="16"/>
      <c r="O478" s="16"/>
      <c r="P478" s="17"/>
      <c r="Q478" s="16"/>
      <c r="R478" s="13"/>
      <c r="S478" s="13"/>
      <c r="T478" s="13"/>
      <c r="U478" s="13"/>
      <c r="V478" s="13"/>
      <c r="W478" s="42"/>
    </row>
    <row r="479" spans="1:23" x14ac:dyDescent="0.2">
      <c r="A479" s="9"/>
      <c r="B479" s="9"/>
      <c r="C479" s="12"/>
      <c r="D479" s="13"/>
      <c r="E479" s="14"/>
      <c r="F479" s="14"/>
      <c r="G479" s="13"/>
      <c r="H479" s="13"/>
      <c r="I479" s="13"/>
      <c r="J479" s="13"/>
      <c r="K479" s="13"/>
      <c r="L479" s="13"/>
      <c r="M479" s="15"/>
      <c r="N479" s="16"/>
      <c r="O479" s="16"/>
      <c r="P479" s="17"/>
      <c r="Q479" s="16"/>
      <c r="R479" s="13"/>
      <c r="S479" s="13"/>
      <c r="T479" s="13"/>
      <c r="U479" s="13"/>
      <c r="V479" s="13"/>
      <c r="W479" s="42"/>
    </row>
    <row r="480" spans="1:23" x14ac:dyDescent="0.2">
      <c r="A480" s="9"/>
      <c r="B480" s="9"/>
      <c r="C480" s="12"/>
      <c r="D480" s="13"/>
      <c r="E480" s="14"/>
      <c r="F480" s="14"/>
      <c r="G480" s="13"/>
      <c r="H480" s="13"/>
      <c r="I480" s="13"/>
      <c r="J480" s="13"/>
      <c r="K480" s="13"/>
      <c r="L480" s="13"/>
      <c r="M480" s="15"/>
      <c r="N480" s="16"/>
      <c r="O480" s="16"/>
      <c r="P480" s="17"/>
      <c r="Q480" s="16"/>
      <c r="R480" s="13"/>
      <c r="S480" s="13"/>
      <c r="T480" s="13"/>
      <c r="U480" s="13"/>
      <c r="V480" s="13"/>
      <c r="W480" s="42"/>
    </row>
    <row r="481" spans="1:23" x14ac:dyDescent="0.2">
      <c r="A481" s="9"/>
      <c r="B481" s="9"/>
      <c r="C481" s="12"/>
      <c r="D481" s="13"/>
      <c r="E481" s="14"/>
      <c r="F481" s="14"/>
      <c r="G481" s="13"/>
      <c r="H481" s="13"/>
      <c r="I481" s="13"/>
      <c r="J481" s="13"/>
      <c r="K481" s="13"/>
      <c r="L481" s="13"/>
      <c r="M481" s="15"/>
      <c r="N481" s="16"/>
      <c r="O481" s="16"/>
      <c r="P481" s="17"/>
      <c r="Q481" s="16"/>
      <c r="R481" s="13"/>
      <c r="S481" s="13"/>
      <c r="T481" s="13"/>
      <c r="U481" s="13"/>
      <c r="V481" s="13"/>
      <c r="W481" s="42"/>
    </row>
    <row r="482" spans="1:23" x14ac:dyDescent="0.2">
      <c r="A482" s="9"/>
      <c r="B482" s="9"/>
      <c r="C482" s="12"/>
      <c r="D482" s="13"/>
      <c r="E482" s="14"/>
      <c r="F482" s="14"/>
      <c r="G482" s="13"/>
      <c r="H482" s="13"/>
      <c r="I482" s="13"/>
      <c r="J482" s="13"/>
      <c r="K482" s="13"/>
      <c r="L482" s="13"/>
      <c r="M482" s="15"/>
      <c r="N482" s="16"/>
      <c r="O482" s="16"/>
      <c r="P482" s="17"/>
      <c r="Q482" s="16"/>
      <c r="R482" s="13"/>
      <c r="S482" s="13"/>
      <c r="T482" s="13"/>
      <c r="U482" s="13"/>
      <c r="V482" s="13"/>
      <c r="W482" s="42"/>
    </row>
    <row r="483" spans="1:23" x14ac:dyDescent="0.2">
      <c r="A483" s="9"/>
      <c r="B483" s="9"/>
      <c r="C483" s="12"/>
      <c r="D483" s="13"/>
      <c r="E483" s="14"/>
      <c r="F483" s="14"/>
      <c r="G483" s="13"/>
      <c r="H483" s="13"/>
      <c r="I483" s="13"/>
      <c r="J483" s="13"/>
      <c r="K483" s="13"/>
      <c r="L483" s="13"/>
      <c r="M483" s="15"/>
      <c r="N483" s="16"/>
      <c r="O483" s="16"/>
      <c r="P483" s="17"/>
      <c r="Q483" s="16"/>
      <c r="R483" s="13"/>
      <c r="S483" s="13"/>
      <c r="T483" s="13"/>
      <c r="U483" s="13"/>
      <c r="V483" s="13"/>
      <c r="W483" s="42"/>
    </row>
    <row r="484" spans="1:23" x14ac:dyDescent="0.2">
      <c r="A484" s="9"/>
      <c r="B484" s="9"/>
      <c r="C484" s="12"/>
      <c r="D484" s="13"/>
      <c r="E484" s="14"/>
      <c r="F484" s="14"/>
      <c r="G484" s="13"/>
      <c r="H484" s="13"/>
      <c r="I484" s="13"/>
      <c r="J484" s="13"/>
      <c r="K484" s="13"/>
      <c r="L484" s="13"/>
      <c r="M484" s="15"/>
      <c r="N484" s="16"/>
      <c r="O484" s="16"/>
      <c r="P484" s="17"/>
      <c r="Q484" s="16"/>
      <c r="R484" s="13"/>
      <c r="S484" s="13"/>
      <c r="T484" s="13"/>
      <c r="U484" s="13"/>
      <c r="V484" s="13"/>
      <c r="W484" s="42"/>
    </row>
    <row r="485" spans="1:23" x14ac:dyDescent="0.2">
      <c r="A485" s="9"/>
      <c r="B485" s="9"/>
      <c r="C485" s="12"/>
      <c r="D485" s="13"/>
      <c r="E485" s="14"/>
      <c r="F485" s="14"/>
      <c r="G485" s="13"/>
      <c r="H485" s="13"/>
      <c r="I485" s="13"/>
      <c r="J485" s="13"/>
      <c r="K485" s="13"/>
      <c r="L485" s="13"/>
      <c r="M485" s="15"/>
      <c r="N485" s="16"/>
      <c r="O485" s="16"/>
      <c r="P485" s="17"/>
      <c r="Q485" s="16"/>
      <c r="R485" s="13"/>
      <c r="S485" s="13"/>
      <c r="T485" s="13"/>
      <c r="U485" s="13"/>
      <c r="V485" s="13"/>
      <c r="W485" s="42"/>
    </row>
    <row r="486" spans="1:23" x14ac:dyDescent="0.2">
      <c r="A486" s="9"/>
      <c r="B486" s="9"/>
      <c r="C486" s="12"/>
      <c r="D486" s="13"/>
      <c r="E486" s="14"/>
      <c r="F486" s="14"/>
      <c r="G486" s="13"/>
      <c r="H486" s="13"/>
      <c r="I486" s="13"/>
      <c r="J486" s="13"/>
      <c r="K486" s="13"/>
      <c r="L486" s="13"/>
      <c r="M486" s="15"/>
      <c r="N486" s="16"/>
      <c r="O486" s="16"/>
      <c r="P486" s="17"/>
      <c r="Q486" s="16"/>
      <c r="R486" s="13"/>
      <c r="S486" s="13"/>
      <c r="T486" s="13"/>
      <c r="U486" s="13"/>
      <c r="V486" s="13"/>
      <c r="W486" s="42"/>
    </row>
    <row r="487" spans="1:23" x14ac:dyDescent="0.2">
      <c r="A487" s="9"/>
      <c r="B487" s="9"/>
      <c r="C487" s="12"/>
      <c r="D487" s="13"/>
      <c r="E487" s="14"/>
      <c r="F487" s="14"/>
      <c r="G487" s="13"/>
      <c r="H487" s="13"/>
      <c r="I487" s="13"/>
      <c r="J487" s="13"/>
      <c r="K487" s="13"/>
      <c r="L487" s="13"/>
      <c r="M487" s="15"/>
      <c r="N487" s="16"/>
      <c r="O487" s="16"/>
      <c r="P487" s="17"/>
      <c r="Q487" s="16"/>
      <c r="R487" s="13"/>
      <c r="S487" s="13"/>
      <c r="T487" s="13"/>
      <c r="U487" s="13"/>
      <c r="V487" s="13"/>
      <c r="W487" s="42"/>
    </row>
    <row r="488" spans="1:23" x14ac:dyDescent="0.2">
      <c r="A488" s="9"/>
      <c r="B488" s="9"/>
      <c r="C488" s="12"/>
      <c r="D488" s="13"/>
      <c r="E488" s="14"/>
      <c r="F488" s="14"/>
      <c r="G488" s="13"/>
      <c r="H488" s="13"/>
      <c r="I488" s="13"/>
      <c r="J488" s="13"/>
      <c r="K488" s="13"/>
      <c r="L488" s="13"/>
      <c r="M488" s="15"/>
      <c r="N488" s="16"/>
      <c r="O488" s="16"/>
      <c r="P488" s="17"/>
      <c r="Q488" s="16"/>
      <c r="R488" s="13"/>
      <c r="S488" s="13"/>
      <c r="T488" s="13"/>
      <c r="U488" s="13"/>
      <c r="V488" s="13"/>
      <c r="W488" s="42"/>
    </row>
    <row r="489" spans="1:23" x14ac:dyDescent="0.2">
      <c r="A489" s="9"/>
      <c r="B489" s="9"/>
      <c r="C489" s="12"/>
      <c r="D489" s="13"/>
      <c r="E489" s="14"/>
      <c r="F489" s="14"/>
      <c r="G489" s="13"/>
      <c r="H489" s="13"/>
      <c r="I489" s="13"/>
      <c r="J489" s="13"/>
      <c r="K489" s="13"/>
      <c r="L489" s="13"/>
      <c r="M489" s="15"/>
      <c r="N489" s="16"/>
      <c r="O489" s="16"/>
      <c r="P489" s="17"/>
      <c r="Q489" s="16"/>
      <c r="R489" s="13"/>
      <c r="S489" s="13"/>
      <c r="T489" s="13"/>
      <c r="U489" s="13"/>
      <c r="V489" s="13"/>
      <c r="W489" s="42"/>
    </row>
    <row r="490" spans="1:23" x14ac:dyDescent="0.2">
      <c r="A490" s="9"/>
      <c r="B490" s="9"/>
      <c r="C490" s="12"/>
      <c r="D490" s="13"/>
      <c r="E490" s="14"/>
      <c r="F490" s="14"/>
      <c r="G490" s="13"/>
      <c r="H490" s="13"/>
      <c r="I490" s="13"/>
      <c r="J490" s="13"/>
      <c r="K490" s="13"/>
      <c r="L490" s="13"/>
      <c r="M490" s="15"/>
      <c r="N490" s="16"/>
      <c r="O490" s="16"/>
      <c r="P490" s="17"/>
      <c r="Q490" s="16"/>
      <c r="R490" s="13"/>
      <c r="S490" s="13"/>
      <c r="T490" s="13"/>
      <c r="U490" s="13"/>
      <c r="V490" s="13"/>
      <c r="W490" s="42"/>
    </row>
    <row r="491" spans="1:23" x14ac:dyDescent="0.2">
      <c r="A491" s="9"/>
      <c r="B491" s="9"/>
      <c r="C491" s="12"/>
      <c r="D491" s="13"/>
      <c r="E491" s="14"/>
      <c r="F491" s="14"/>
      <c r="G491" s="13"/>
      <c r="H491" s="13"/>
      <c r="I491" s="13"/>
      <c r="J491" s="13"/>
      <c r="K491" s="13"/>
      <c r="L491" s="13"/>
      <c r="M491" s="15"/>
      <c r="N491" s="16"/>
      <c r="O491" s="16"/>
      <c r="P491" s="17"/>
      <c r="Q491" s="16"/>
      <c r="R491" s="13"/>
      <c r="S491" s="13"/>
      <c r="T491" s="13"/>
      <c r="U491" s="13"/>
      <c r="V491" s="13"/>
      <c r="W491" s="42"/>
    </row>
    <row r="492" spans="1:23" x14ac:dyDescent="0.2">
      <c r="A492" s="9"/>
      <c r="B492" s="9"/>
      <c r="C492" s="12"/>
      <c r="D492" s="13"/>
      <c r="E492" s="14"/>
      <c r="F492" s="14"/>
      <c r="G492" s="13"/>
      <c r="H492" s="13"/>
      <c r="I492" s="13"/>
      <c r="J492" s="13"/>
      <c r="K492" s="13"/>
      <c r="L492" s="13"/>
      <c r="M492" s="15"/>
      <c r="N492" s="16"/>
      <c r="O492" s="16"/>
      <c r="P492" s="17"/>
      <c r="Q492" s="16"/>
      <c r="R492" s="13"/>
      <c r="S492" s="13"/>
      <c r="T492" s="13"/>
      <c r="U492" s="13"/>
      <c r="V492" s="13"/>
      <c r="W492" s="42"/>
    </row>
    <row r="493" spans="1:23" x14ac:dyDescent="0.2">
      <c r="A493" s="9"/>
      <c r="B493" s="9"/>
      <c r="C493" s="12"/>
      <c r="D493" s="13"/>
      <c r="E493" s="14"/>
      <c r="F493" s="14"/>
      <c r="G493" s="13"/>
      <c r="H493" s="13"/>
      <c r="I493" s="13"/>
      <c r="J493" s="13"/>
      <c r="K493" s="13"/>
      <c r="L493" s="13"/>
      <c r="M493" s="15"/>
      <c r="N493" s="16"/>
      <c r="O493" s="16"/>
      <c r="P493" s="17"/>
      <c r="Q493" s="16"/>
      <c r="R493" s="13"/>
      <c r="S493" s="13"/>
      <c r="T493" s="13"/>
      <c r="U493" s="13"/>
      <c r="V493" s="13"/>
      <c r="W493" s="42"/>
    </row>
    <row r="494" spans="1:23" x14ac:dyDescent="0.2">
      <c r="A494" s="9"/>
      <c r="B494" s="9"/>
      <c r="C494" s="12"/>
      <c r="D494" s="13"/>
      <c r="E494" s="14"/>
      <c r="F494" s="14"/>
      <c r="G494" s="13"/>
      <c r="H494" s="13"/>
      <c r="I494" s="13"/>
      <c r="J494" s="13"/>
      <c r="K494" s="13"/>
      <c r="L494" s="13"/>
      <c r="M494" s="15"/>
      <c r="N494" s="16"/>
      <c r="O494" s="16"/>
      <c r="P494" s="17"/>
      <c r="Q494" s="16"/>
      <c r="R494" s="13"/>
      <c r="S494" s="13"/>
      <c r="T494" s="13"/>
      <c r="U494" s="13"/>
      <c r="V494" s="13"/>
      <c r="W494" s="42"/>
    </row>
    <row r="495" spans="1:23" x14ac:dyDescent="0.2">
      <c r="A495" s="9"/>
      <c r="B495" s="9"/>
      <c r="C495" s="12"/>
      <c r="D495" s="13"/>
      <c r="E495" s="14"/>
      <c r="F495" s="14"/>
      <c r="G495" s="13"/>
      <c r="H495" s="13"/>
      <c r="I495" s="13"/>
      <c r="J495" s="13"/>
      <c r="K495" s="13"/>
      <c r="L495" s="13"/>
      <c r="M495" s="15"/>
      <c r="N495" s="16"/>
      <c r="O495" s="16"/>
      <c r="P495" s="17"/>
      <c r="Q495" s="16"/>
      <c r="R495" s="13"/>
      <c r="S495" s="13"/>
      <c r="T495" s="13"/>
      <c r="U495" s="13"/>
      <c r="V495" s="13"/>
      <c r="W495" s="42"/>
    </row>
    <row r="496" spans="1:23" x14ac:dyDescent="0.2">
      <c r="A496" s="9"/>
      <c r="B496" s="9"/>
      <c r="C496" s="12"/>
      <c r="D496" s="13"/>
      <c r="E496" s="14"/>
      <c r="F496" s="14"/>
      <c r="G496" s="13"/>
      <c r="H496" s="13"/>
      <c r="I496" s="13"/>
      <c r="J496" s="13"/>
      <c r="K496" s="13"/>
      <c r="L496" s="13"/>
      <c r="M496" s="15"/>
      <c r="N496" s="16"/>
      <c r="O496" s="16"/>
      <c r="P496" s="17"/>
      <c r="Q496" s="16"/>
      <c r="R496" s="13"/>
      <c r="S496" s="13"/>
      <c r="T496" s="13"/>
      <c r="U496" s="13"/>
      <c r="V496" s="13"/>
      <c r="W496" s="42"/>
    </row>
    <row r="497" spans="1:23" x14ac:dyDescent="0.2">
      <c r="A497" s="9"/>
      <c r="B497" s="9"/>
      <c r="C497" s="12"/>
      <c r="D497" s="13"/>
      <c r="E497" s="14"/>
      <c r="F497" s="14"/>
      <c r="G497" s="13"/>
      <c r="H497" s="13"/>
      <c r="I497" s="13"/>
      <c r="J497" s="13"/>
      <c r="K497" s="13"/>
      <c r="L497" s="13"/>
      <c r="M497" s="15"/>
      <c r="N497" s="16"/>
      <c r="O497" s="16"/>
      <c r="P497" s="17"/>
      <c r="Q497" s="16"/>
      <c r="R497" s="13"/>
      <c r="S497" s="13"/>
      <c r="T497" s="13"/>
      <c r="U497" s="13"/>
      <c r="V497" s="13"/>
      <c r="W497" s="42"/>
    </row>
    <row r="498" spans="1:23" x14ac:dyDescent="0.2">
      <c r="A498" s="9"/>
      <c r="B498" s="9"/>
      <c r="C498" s="12"/>
      <c r="D498" s="13"/>
      <c r="E498" s="14"/>
      <c r="F498" s="14"/>
      <c r="G498" s="13"/>
      <c r="H498" s="13"/>
      <c r="I498" s="13"/>
      <c r="J498" s="13"/>
      <c r="K498" s="13"/>
      <c r="L498" s="13"/>
      <c r="M498" s="15"/>
      <c r="N498" s="16"/>
      <c r="O498" s="16"/>
      <c r="P498" s="17"/>
      <c r="Q498" s="16"/>
      <c r="R498" s="13"/>
      <c r="S498" s="13"/>
      <c r="T498" s="13"/>
      <c r="U498" s="13"/>
      <c r="V498" s="13"/>
      <c r="W498" s="42"/>
    </row>
    <row r="499" spans="1:23" x14ac:dyDescent="0.2">
      <c r="A499" s="9"/>
      <c r="B499" s="9"/>
      <c r="C499" s="12"/>
      <c r="D499" s="13"/>
      <c r="E499" s="14"/>
      <c r="F499" s="14"/>
      <c r="G499" s="13"/>
      <c r="H499" s="13"/>
      <c r="I499" s="13"/>
      <c r="J499" s="13"/>
      <c r="K499" s="13"/>
      <c r="L499" s="13"/>
      <c r="M499" s="15"/>
      <c r="N499" s="16"/>
      <c r="O499" s="16"/>
      <c r="P499" s="17"/>
      <c r="Q499" s="16"/>
      <c r="R499" s="13"/>
      <c r="S499" s="13"/>
      <c r="T499" s="13"/>
      <c r="U499" s="13"/>
      <c r="V499" s="13"/>
      <c r="W499" s="42"/>
    </row>
    <row r="500" spans="1:23" x14ac:dyDescent="0.2">
      <c r="A500" s="9"/>
      <c r="B500" s="9"/>
      <c r="C500" s="12"/>
      <c r="D500" s="13"/>
      <c r="E500" s="14"/>
      <c r="F500" s="14"/>
      <c r="G500" s="13"/>
      <c r="H500" s="13"/>
      <c r="I500" s="13"/>
      <c r="J500" s="13"/>
      <c r="K500" s="13"/>
      <c r="L500" s="13"/>
      <c r="M500" s="15"/>
      <c r="N500" s="16"/>
      <c r="O500" s="16"/>
      <c r="P500" s="17"/>
      <c r="Q500" s="16"/>
      <c r="R500" s="13"/>
      <c r="S500" s="13"/>
      <c r="T500" s="13"/>
      <c r="U500" s="13"/>
      <c r="V500" s="13"/>
      <c r="W500" s="42"/>
    </row>
    <row r="501" spans="1:23" x14ac:dyDescent="0.2">
      <c r="A501" s="9"/>
      <c r="B501" s="9"/>
      <c r="C501" s="12"/>
      <c r="D501" s="13"/>
      <c r="E501" s="14"/>
      <c r="F501" s="14"/>
      <c r="G501" s="13"/>
      <c r="H501" s="13"/>
      <c r="I501" s="13"/>
      <c r="J501" s="13"/>
      <c r="K501" s="13"/>
      <c r="L501" s="13"/>
      <c r="M501" s="15"/>
      <c r="N501" s="16"/>
      <c r="O501" s="16"/>
      <c r="P501" s="17"/>
      <c r="Q501" s="16"/>
      <c r="R501" s="13"/>
      <c r="S501" s="13"/>
      <c r="T501" s="13"/>
      <c r="U501" s="13"/>
      <c r="V501" s="13"/>
      <c r="W501" s="42"/>
    </row>
    <row r="502" spans="1:23" x14ac:dyDescent="0.2">
      <c r="A502" s="9"/>
      <c r="B502" s="9"/>
      <c r="C502" s="12"/>
      <c r="D502" s="13"/>
      <c r="E502" s="14"/>
      <c r="F502" s="14"/>
      <c r="G502" s="13"/>
      <c r="H502" s="13"/>
      <c r="I502" s="13"/>
      <c r="J502" s="13"/>
      <c r="K502" s="13"/>
      <c r="L502" s="13"/>
      <c r="M502" s="15"/>
      <c r="N502" s="16"/>
      <c r="O502" s="16"/>
      <c r="P502" s="17"/>
      <c r="Q502" s="16"/>
      <c r="R502" s="13"/>
      <c r="S502" s="13"/>
      <c r="T502" s="13"/>
      <c r="U502" s="13"/>
      <c r="V502" s="13"/>
      <c r="W502" s="42"/>
    </row>
    <row r="503" spans="1:23" x14ac:dyDescent="0.2">
      <c r="A503" s="9"/>
      <c r="B503" s="9"/>
      <c r="C503" s="12"/>
      <c r="D503" s="13"/>
      <c r="E503" s="14"/>
      <c r="F503" s="14"/>
      <c r="G503" s="13"/>
      <c r="H503" s="13"/>
      <c r="I503" s="13"/>
      <c r="J503" s="13"/>
      <c r="K503" s="13"/>
      <c r="L503" s="13"/>
      <c r="M503" s="15"/>
      <c r="N503" s="16"/>
      <c r="O503" s="16"/>
      <c r="P503" s="17"/>
      <c r="Q503" s="16"/>
      <c r="R503" s="13"/>
      <c r="S503" s="13"/>
      <c r="T503" s="13"/>
      <c r="U503" s="13"/>
      <c r="V503" s="13"/>
      <c r="W503" s="42"/>
    </row>
    <row r="504" spans="1:23" x14ac:dyDescent="0.2">
      <c r="A504" s="9"/>
      <c r="B504" s="9"/>
      <c r="C504" s="12"/>
      <c r="D504" s="13"/>
      <c r="E504" s="14"/>
      <c r="F504" s="14"/>
      <c r="G504" s="13"/>
      <c r="H504" s="13"/>
      <c r="I504" s="13"/>
      <c r="J504" s="13"/>
      <c r="K504" s="13"/>
      <c r="L504" s="13"/>
      <c r="M504" s="15"/>
      <c r="N504" s="16"/>
      <c r="O504" s="16"/>
      <c r="P504" s="17"/>
      <c r="Q504" s="16"/>
      <c r="R504" s="13"/>
      <c r="S504" s="13"/>
      <c r="T504" s="13"/>
      <c r="U504" s="13"/>
      <c r="V504" s="13"/>
      <c r="W504" s="42"/>
    </row>
    <row r="505" spans="1:23" x14ac:dyDescent="0.2">
      <c r="A505" s="9"/>
      <c r="B505" s="9"/>
      <c r="C505" s="12"/>
      <c r="D505" s="13"/>
      <c r="E505" s="14"/>
      <c r="F505" s="14"/>
      <c r="G505" s="13"/>
      <c r="H505" s="13"/>
      <c r="I505" s="13"/>
      <c r="J505" s="13"/>
      <c r="K505" s="13"/>
      <c r="L505" s="13"/>
      <c r="M505" s="15"/>
      <c r="N505" s="16"/>
      <c r="O505" s="16"/>
      <c r="P505" s="17"/>
      <c r="Q505" s="16"/>
      <c r="R505" s="13"/>
      <c r="S505" s="13"/>
      <c r="T505" s="13"/>
      <c r="U505" s="13"/>
      <c r="V505" s="13"/>
      <c r="W505" s="42"/>
    </row>
    <row r="506" spans="1:23" x14ac:dyDescent="0.2">
      <c r="A506" s="9"/>
      <c r="B506" s="9"/>
      <c r="C506" s="12"/>
      <c r="D506" s="13"/>
      <c r="E506" s="14"/>
      <c r="F506" s="14"/>
      <c r="G506" s="13"/>
      <c r="H506" s="13"/>
      <c r="I506" s="13"/>
      <c r="J506" s="13"/>
      <c r="K506" s="13"/>
      <c r="L506" s="13"/>
      <c r="M506" s="15"/>
      <c r="N506" s="16"/>
      <c r="O506" s="16"/>
      <c r="P506" s="17"/>
      <c r="Q506" s="16"/>
      <c r="R506" s="13"/>
      <c r="S506" s="13"/>
      <c r="T506" s="13"/>
      <c r="U506" s="13"/>
      <c r="V506" s="13"/>
      <c r="W506" s="42"/>
    </row>
    <row r="507" spans="1:23" x14ac:dyDescent="0.2">
      <c r="A507" s="9"/>
      <c r="B507" s="9"/>
      <c r="C507" s="12"/>
      <c r="D507" s="13"/>
      <c r="E507" s="14"/>
      <c r="F507" s="14"/>
      <c r="G507" s="13"/>
      <c r="H507" s="13"/>
      <c r="I507" s="13"/>
      <c r="J507" s="13"/>
      <c r="K507" s="13"/>
      <c r="L507" s="13"/>
      <c r="M507" s="15"/>
      <c r="N507" s="16"/>
      <c r="O507" s="16"/>
      <c r="P507" s="17"/>
      <c r="Q507" s="16"/>
      <c r="R507" s="13"/>
      <c r="S507" s="13"/>
      <c r="T507" s="13"/>
      <c r="U507" s="13"/>
      <c r="V507" s="13"/>
      <c r="W507" s="42"/>
    </row>
    <row r="508" spans="1:23" x14ac:dyDescent="0.2">
      <c r="A508" s="9"/>
      <c r="B508" s="9"/>
      <c r="C508" s="12"/>
      <c r="D508" s="13"/>
      <c r="E508" s="14"/>
      <c r="F508" s="14"/>
      <c r="G508" s="13"/>
      <c r="H508" s="13"/>
      <c r="I508" s="13"/>
      <c r="J508" s="13"/>
      <c r="K508" s="13"/>
      <c r="L508" s="13"/>
      <c r="M508" s="15"/>
      <c r="N508" s="16"/>
      <c r="O508" s="16"/>
      <c r="P508" s="17"/>
      <c r="Q508" s="16"/>
      <c r="R508" s="13"/>
      <c r="S508" s="13"/>
      <c r="T508" s="13"/>
      <c r="U508" s="13"/>
      <c r="V508" s="13"/>
      <c r="W508" s="42"/>
    </row>
    <row r="509" spans="1:23" x14ac:dyDescent="0.2">
      <c r="A509" s="9"/>
      <c r="B509" s="9"/>
      <c r="C509" s="12"/>
      <c r="D509" s="13"/>
      <c r="E509" s="14"/>
      <c r="F509" s="14"/>
      <c r="G509" s="13"/>
      <c r="H509" s="13"/>
      <c r="I509" s="13"/>
      <c r="J509" s="13"/>
      <c r="K509" s="13"/>
      <c r="L509" s="13"/>
      <c r="M509" s="15"/>
      <c r="N509" s="16"/>
      <c r="O509" s="16"/>
      <c r="P509" s="17"/>
      <c r="Q509" s="16"/>
      <c r="R509" s="13"/>
      <c r="S509" s="13"/>
      <c r="T509" s="13"/>
      <c r="U509" s="13"/>
      <c r="V509" s="13"/>
      <c r="W509" s="42"/>
    </row>
    <row r="510" spans="1:23" x14ac:dyDescent="0.2">
      <c r="A510" s="9"/>
      <c r="B510" s="9"/>
      <c r="C510" s="12"/>
      <c r="D510" s="13"/>
      <c r="E510" s="14"/>
      <c r="F510" s="14"/>
      <c r="G510" s="13"/>
      <c r="H510" s="13"/>
      <c r="I510" s="13"/>
      <c r="J510" s="13"/>
      <c r="K510" s="13"/>
      <c r="L510" s="13"/>
      <c r="M510" s="15"/>
      <c r="N510" s="16"/>
      <c r="O510" s="16"/>
      <c r="P510" s="17"/>
      <c r="Q510" s="16"/>
      <c r="R510" s="13"/>
      <c r="S510" s="13"/>
      <c r="T510" s="13"/>
      <c r="U510" s="13"/>
      <c r="V510" s="13"/>
      <c r="W510" s="42"/>
    </row>
    <row r="511" spans="1:23" x14ac:dyDescent="0.2">
      <c r="A511" s="9"/>
      <c r="B511" s="9"/>
      <c r="C511" s="12"/>
      <c r="D511" s="13"/>
      <c r="E511" s="14"/>
      <c r="F511" s="14"/>
      <c r="G511" s="13"/>
      <c r="H511" s="13"/>
      <c r="I511" s="13"/>
      <c r="J511" s="13"/>
      <c r="K511" s="13"/>
      <c r="L511" s="13"/>
      <c r="M511" s="15"/>
      <c r="N511" s="16"/>
      <c r="O511" s="16"/>
      <c r="P511" s="17"/>
      <c r="Q511" s="16"/>
      <c r="R511" s="13"/>
      <c r="S511" s="13"/>
      <c r="T511" s="13"/>
      <c r="U511" s="13"/>
      <c r="V511" s="13"/>
      <c r="W511" s="42"/>
    </row>
    <row r="512" spans="1:23" x14ac:dyDescent="0.2">
      <c r="A512" s="9"/>
      <c r="B512" s="9"/>
      <c r="C512" s="12"/>
      <c r="D512" s="13"/>
      <c r="E512" s="14"/>
      <c r="F512" s="14"/>
      <c r="G512" s="13"/>
      <c r="H512" s="13"/>
      <c r="I512" s="13"/>
      <c r="J512" s="13"/>
      <c r="K512" s="13"/>
      <c r="L512" s="13"/>
      <c r="M512" s="15"/>
      <c r="N512" s="16"/>
      <c r="O512" s="16"/>
      <c r="P512" s="17"/>
      <c r="Q512" s="16"/>
      <c r="R512" s="13"/>
      <c r="S512" s="13"/>
      <c r="T512" s="13"/>
      <c r="U512" s="13"/>
      <c r="V512" s="13"/>
      <c r="W512" s="42"/>
    </row>
    <row r="513" spans="1:23" x14ac:dyDescent="0.2">
      <c r="A513" s="9"/>
      <c r="B513" s="9"/>
      <c r="C513" s="12"/>
      <c r="D513" s="13"/>
      <c r="E513" s="14"/>
      <c r="F513" s="14"/>
      <c r="G513" s="13"/>
      <c r="H513" s="13"/>
      <c r="I513" s="13"/>
      <c r="J513" s="13"/>
      <c r="K513" s="13"/>
      <c r="L513" s="13"/>
      <c r="M513" s="15"/>
      <c r="N513" s="16"/>
      <c r="O513" s="16"/>
      <c r="P513" s="17"/>
      <c r="Q513" s="16"/>
      <c r="R513" s="13"/>
      <c r="S513" s="13"/>
      <c r="T513" s="13"/>
      <c r="U513" s="13"/>
      <c r="V513" s="13"/>
      <c r="W513" s="42"/>
    </row>
    <row r="514" spans="1:23" x14ac:dyDescent="0.2">
      <c r="A514" s="9"/>
      <c r="B514" s="9"/>
      <c r="C514" s="12"/>
      <c r="D514" s="13"/>
      <c r="E514" s="14"/>
      <c r="F514" s="14"/>
      <c r="G514" s="13"/>
      <c r="H514" s="13"/>
      <c r="I514" s="13"/>
      <c r="J514" s="13"/>
      <c r="K514" s="13"/>
      <c r="L514" s="13"/>
      <c r="M514" s="15"/>
      <c r="N514" s="16"/>
      <c r="O514" s="16"/>
      <c r="P514" s="17"/>
      <c r="Q514" s="16"/>
      <c r="R514" s="13"/>
      <c r="S514" s="13"/>
      <c r="T514" s="13"/>
      <c r="U514" s="13"/>
      <c r="V514" s="13"/>
      <c r="W514" s="42"/>
    </row>
    <row r="515" spans="1:23" x14ac:dyDescent="0.2">
      <c r="A515" s="9"/>
      <c r="B515" s="9"/>
      <c r="C515" s="12"/>
      <c r="D515" s="13"/>
      <c r="E515" s="14"/>
      <c r="F515" s="14"/>
      <c r="G515" s="13"/>
      <c r="H515" s="13"/>
      <c r="I515" s="13"/>
      <c r="J515" s="13"/>
      <c r="K515" s="13"/>
      <c r="L515" s="13"/>
      <c r="M515" s="15"/>
      <c r="N515" s="16"/>
      <c r="O515" s="16"/>
      <c r="P515" s="17"/>
      <c r="Q515" s="16"/>
      <c r="R515" s="13"/>
      <c r="S515" s="13"/>
      <c r="T515" s="13"/>
      <c r="U515" s="13"/>
      <c r="V515" s="13"/>
      <c r="W515" s="42"/>
    </row>
    <row r="516" spans="1:23" x14ac:dyDescent="0.2">
      <c r="A516" s="9"/>
      <c r="B516" s="9"/>
      <c r="C516" s="12"/>
      <c r="D516" s="13"/>
      <c r="E516" s="14"/>
      <c r="F516" s="14"/>
      <c r="G516" s="13"/>
      <c r="H516" s="13"/>
      <c r="I516" s="13"/>
      <c r="J516" s="13"/>
      <c r="K516" s="13"/>
      <c r="L516" s="13"/>
      <c r="M516" s="15"/>
      <c r="N516" s="16"/>
      <c r="O516" s="16"/>
      <c r="P516" s="17"/>
      <c r="Q516" s="16"/>
      <c r="R516" s="13"/>
      <c r="S516" s="13"/>
      <c r="T516" s="13"/>
      <c r="U516" s="13"/>
      <c r="V516" s="13"/>
      <c r="W516" s="42"/>
    </row>
    <row r="517" spans="1:23" x14ac:dyDescent="0.2">
      <c r="A517" s="9"/>
      <c r="B517" s="9"/>
      <c r="C517" s="12"/>
      <c r="D517" s="13"/>
      <c r="E517" s="14"/>
      <c r="F517" s="14"/>
      <c r="G517" s="13"/>
      <c r="H517" s="13"/>
      <c r="I517" s="13"/>
      <c r="J517" s="13"/>
      <c r="K517" s="13"/>
      <c r="L517" s="13"/>
      <c r="M517" s="15"/>
      <c r="N517" s="16"/>
      <c r="O517" s="16"/>
      <c r="P517" s="17"/>
      <c r="Q517" s="16"/>
      <c r="R517" s="13"/>
      <c r="S517" s="13"/>
      <c r="T517" s="13"/>
      <c r="U517" s="13"/>
      <c r="V517" s="13"/>
      <c r="W517" s="42"/>
    </row>
    <row r="518" spans="1:23" x14ac:dyDescent="0.2">
      <c r="A518" s="9"/>
      <c r="B518" s="9"/>
      <c r="C518" s="12"/>
      <c r="D518" s="13"/>
      <c r="E518" s="14"/>
      <c r="F518" s="14"/>
      <c r="G518" s="13"/>
      <c r="H518" s="13"/>
      <c r="I518" s="13"/>
      <c r="J518" s="13"/>
      <c r="K518" s="13"/>
      <c r="L518" s="13"/>
      <c r="M518" s="15"/>
      <c r="N518" s="16"/>
      <c r="O518" s="16"/>
      <c r="P518" s="17"/>
      <c r="Q518" s="16"/>
      <c r="R518" s="13"/>
      <c r="S518" s="13"/>
      <c r="T518" s="13"/>
      <c r="U518" s="13"/>
      <c r="V518" s="13"/>
      <c r="W518" s="42"/>
    </row>
    <row r="519" spans="1:23" x14ac:dyDescent="0.2">
      <c r="A519" s="9"/>
      <c r="B519" s="9"/>
      <c r="C519" s="12"/>
      <c r="D519" s="13"/>
      <c r="E519" s="14"/>
      <c r="F519" s="14"/>
      <c r="G519" s="13"/>
      <c r="H519" s="13"/>
      <c r="I519" s="13"/>
      <c r="J519" s="13"/>
      <c r="K519" s="13"/>
      <c r="L519" s="13"/>
      <c r="M519" s="15"/>
      <c r="N519" s="16"/>
      <c r="O519" s="16"/>
      <c r="P519" s="17"/>
      <c r="Q519" s="16"/>
      <c r="R519" s="13"/>
      <c r="S519" s="13"/>
      <c r="T519" s="13"/>
      <c r="U519" s="13"/>
      <c r="V519" s="13"/>
      <c r="W519" s="42"/>
    </row>
    <row r="520" spans="1:23" x14ac:dyDescent="0.2">
      <c r="A520" s="9"/>
      <c r="B520" s="9"/>
      <c r="C520" s="12"/>
      <c r="D520" s="13"/>
      <c r="E520" s="14"/>
      <c r="F520" s="14"/>
      <c r="G520" s="13"/>
      <c r="H520" s="13"/>
      <c r="I520" s="13"/>
      <c r="J520" s="13"/>
      <c r="K520" s="13"/>
      <c r="L520" s="13"/>
      <c r="M520" s="15"/>
      <c r="N520" s="16"/>
      <c r="O520" s="16"/>
      <c r="P520" s="17"/>
      <c r="Q520" s="16"/>
      <c r="R520" s="13"/>
      <c r="S520" s="13"/>
      <c r="T520" s="13"/>
      <c r="U520" s="13"/>
      <c r="V520" s="13"/>
      <c r="W520" s="42"/>
    </row>
    <row r="521" spans="1:23" x14ac:dyDescent="0.2">
      <c r="A521" s="9"/>
      <c r="B521" s="9"/>
      <c r="C521" s="12"/>
      <c r="D521" s="13"/>
      <c r="E521" s="14"/>
      <c r="F521" s="14"/>
      <c r="G521" s="13"/>
      <c r="H521" s="13"/>
      <c r="I521" s="13"/>
      <c r="J521" s="13"/>
      <c r="K521" s="13"/>
      <c r="L521" s="13"/>
      <c r="M521" s="15"/>
      <c r="N521" s="16"/>
      <c r="O521" s="16"/>
      <c r="P521" s="17"/>
      <c r="Q521" s="16"/>
      <c r="R521" s="13"/>
      <c r="S521" s="13"/>
      <c r="T521" s="13"/>
      <c r="U521" s="13"/>
      <c r="V521" s="13"/>
      <c r="W521" s="42"/>
    </row>
    <row r="522" spans="1:23" x14ac:dyDescent="0.2">
      <c r="A522" s="9"/>
      <c r="B522" s="9"/>
      <c r="C522" s="12"/>
      <c r="D522" s="13"/>
      <c r="E522" s="14"/>
      <c r="F522" s="14"/>
      <c r="G522" s="13"/>
      <c r="H522" s="13"/>
      <c r="I522" s="13"/>
      <c r="J522" s="13"/>
      <c r="K522" s="13"/>
      <c r="L522" s="13"/>
      <c r="M522" s="15"/>
      <c r="N522" s="16"/>
      <c r="O522" s="16"/>
      <c r="P522" s="17"/>
      <c r="Q522" s="16"/>
      <c r="R522" s="13"/>
      <c r="S522" s="13"/>
      <c r="T522" s="13"/>
      <c r="U522" s="13"/>
      <c r="V522" s="13"/>
      <c r="W522" s="42"/>
    </row>
    <row r="523" spans="1:23" x14ac:dyDescent="0.2">
      <c r="A523" s="9"/>
      <c r="B523" s="9"/>
      <c r="C523" s="12"/>
      <c r="D523" s="13"/>
      <c r="E523" s="14"/>
      <c r="F523" s="14"/>
      <c r="G523" s="13"/>
      <c r="H523" s="13"/>
      <c r="I523" s="13"/>
      <c r="J523" s="13"/>
      <c r="K523" s="13"/>
      <c r="L523" s="13"/>
      <c r="M523" s="15"/>
      <c r="N523" s="16"/>
      <c r="O523" s="16"/>
      <c r="P523" s="17"/>
      <c r="Q523" s="16"/>
      <c r="R523" s="13"/>
      <c r="S523" s="13"/>
      <c r="T523" s="13"/>
      <c r="U523" s="13"/>
      <c r="V523" s="13"/>
      <c r="W523" s="42"/>
    </row>
    <row r="524" spans="1:23" x14ac:dyDescent="0.2">
      <c r="A524" s="9"/>
      <c r="B524" s="9"/>
      <c r="C524" s="12"/>
      <c r="D524" s="13"/>
      <c r="E524" s="14"/>
      <c r="F524" s="14"/>
      <c r="G524" s="13"/>
      <c r="H524" s="13"/>
      <c r="I524" s="13"/>
      <c r="J524" s="13"/>
      <c r="K524" s="13"/>
      <c r="L524" s="13"/>
      <c r="M524" s="15"/>
      <c r="N524" s="16"/>
      <c r="O524" s="16"/>
      <c r="P524" s="17"/>
      <c r="Q524" s="16"/>
      <c r="R524" s="13"/>
      <c r="S524" s="13"/>
      <c r="T524" s="13"/>
      <c r="U524" s="13"/>
      <c r="V524" s="13"/>
      <c r="W524" s="42"/>
    </row>
    <row r="525" spans="1:23" x14ac:dyDescent="0.2">
      <c r="A525" s="9"/>
      <c r="B525" s="9"/>
      <c r="C525" s="12"/>
      <c r="D525" s="13"/>
      <c r="E525" s="14"/>
      <c r="F525" s="14"/>
      <c r="G525" s="13"/>
      <c r="H525" s="13"/>
      <c r="I525" s="13"/>
      <c r="J525" s="13"/>
      <c r="K525" s="13"/>
      <c r="L525" s="13"/>
      <c r="M525" s="15"/>
      <c r="N525" s="16"/>
      <c r="O525" s="16"/>
      <c r="P525" s="17"/>
      <c r="Q525" s="16"/>
      <c r="R525" s="13"/>
      <c r="S525" s="13"/>
      <c r="T525" s="13"/>
      <c r="U525" s="13"/>
      <c r="V525" s="13"/>
      <c r="W525" s="42"/>
    </row>
    <row r="526" spans="1:23" x14ac:dyDescent="0.2">
      <c r="A526" s="9"/>
      <c r="B526" s="9"/>
      <c r="C526" s="12"/>
      <c r="D526" s="13"/>
      <c r="E526" s="14"/>
      <c r="F526" s="14"/>
      <c r="G526" s="13"/>
      <c r="H526" s="13"/>
      <c r="I526" s="13"/>
      <c r="J526" s="13"/>
      <c r="K526" s="13"/>
      <c r="L526" s="13"/>
      <c r="M526" s="15"/>
      <c r="N526" s="16"/>
      <c r="O526" s="16"/>
      <c r="P526" s="17"/>
      <c r="Q526" s="16"/>
      <c r="R526" s="13"/>
      <c r="S526" s="13"/>
      <c r="T526" s="13"/>
      <c r="U526" s="13"/>
      <c r="V526" s="13"/>
      <c r="W526" s="42"/>
    </row>
    <row r="527" spans="1:23" x14ac:dyDescent="0.2">
      <c r="A527" s="9"/>
      <c r="B527" s="9"/>
      <c r="C527" s="12"/>
      <c r="D527" s="13"/>
      <c r="E527" s="14"/>
      <c r="F527" s="14"/>
      <c r="G527" s="13"/>
      <c r="H527" s="13"/>
      <c r="I527" s="13"/>
      <c r="J527" s="13"/>
      <c r="K527" s="13"/>
      <c r="L527" s="13"/>
      <c r="M527" s="15"/>
      <c r="N527" s="16"/>
      <c r="O527" s="16"/>
      <c r="P527" s="17"/>
      <c r="Q527" s="16"/>
      <c r="R527" s="13"/>
      <c r="S527" s="13"/>
      <c r="T527" s="13"/>
      <c r="U527" s="13"/>
      <c r="V527" s="13"/>
      <c r="W527" s="42"/>
    </row>
    <row r="528" spans="1:23" x14ac:dyDescent="0.2">
      <c r="A528" s="9"/>
      <c r="B528" s="9"/>
      <c r="C528" s="12"/>
      <c r="D528" s="13"/>
      <c r="E528" s="14"/>
      <c r="F528" s="14"/>
      <c r="G528" s="13"/>
      <c r="H528" s="13"/>
      <c r="I528" s="13"/>
      <c r="J528" s="13"/>
      <c r="K528" s="13"/>
      <c r="L528" s="13"/>
      <c r="M528" s="15"/>
      <c r="N528" s="16"/>
      <c r="O528" s="16"/>
      <c r="P528" s="17"/>
      <c r="Q528" s="16"/>
      <c r="R528" s="13"/>
      <c r="S528" s="13"/>
      <c r="T528" s="13"/>
      <c r="U528" s="13"/>
      <c r="V528" s="13"/>
      <c r="W528" s="42"/>
    </row>
    <row r="529" spans="1:23" x14ac:dyDescent="0.2">
      <c r="A529" s="9"/>
      <c r="B529" s="9"/>
      <c r="C529" s="12"/>
      <c r="D529" s="13"/>
      <c r="E529" s="14"/>
      <c r="F529" s="14"/>
      <c r="G529" s="13"/>
      <c r="H529" s="13"/>
      <c r="I529" s="13"/>
      <c r="J529" s="13"/>
      <c r="K529" s="13"/>
      <c r="L529" s="13"/>
      <c r="M529" s="15"/>
      <c r="N529" s="16"/>
      <c r="O529" s="16"/>
      <c r="P529" s="17"/>
      <c r="Q529" s="16"/>
      <c r="R529" s="13"/>
      <c r="S529" s="13"/>
      <c r="T529" s="13"/>
      <c r="U529" s="13"/>
      <c r="V529" s="13"/>
      <c r="W529" s="42"/>
    </row>
    <row r="530" spans="1:23" x14ac:dyDescent="0.2">
      <c r="A530" s="9"/>
      <c r="B530" s="9"/>
      <c r="C530" s="12"/>
      <c r="D530" s="13"/>
      <c r="E530" s="14"/>
      <c r="F530" s="14"/>
      <c r="G530" s="13"/>
      <c r="H530" s="13"/>
      <c r="I530" s="13"/>
      <c r="J530" s="13"/>
      <c r="K530" s="13"/>
      <c r="L530" s="13"/>
      <c r="M530" s="15"/>
      <c r="N530" s="16"/>
      <c r="O530" s="16"/>
      <c r="P530" s="17"/>
      <c r="Q530" s="16"/>
      <c r="R530" s="13"/>
      <c r="S530" s="13"/>
      <c r="T530" s="13"/>
      <c r="U530" s="13"/>
      <c r="V530" s="13"/>
      <c r="W530" s="42"/>
    </row>
    <row r="531" spans="1:23" x14ac:dyDescent="0.2">
      <c r="A531" s="9"/>
      <c r="B531" s="9"/>
      <c r="C531" s="12"/>
      <c r="D531" s="13"/>
      <c r="E531" s="14"/>
      <c r="F531" s="14"/>
      <c r="G531" s="13"/>
      <c r="H531" s="13"/>
      <c r="I531" s="13"/>
      <c r="J531" s="13"/>
      <c r="K531" s="13"/>
      <c r="L531" s="13"/>
      <c r="M531" s="15"/>
      <c r="N531" s="16"/>
      <c r="O531" s="16"/>
      <c r="P531" s="17"/>
      <c r="Q531" s="16"/>
      <c r="R531" s="13"/>
      <c r="S531" s="13"/>
      <c r="T531" s="13"/>
      <c r="U531" s="13"/>
      <c r="V531" s="13"/>
      <c r="W531" s="42"/>
    </row>
    <row r="532" spans="1:23" x14ac:dyDescent="0.2">
      <c r="A532" s="9"/>
      <c r="B532" s="9"/>
      <c r="C532" s="12"/>
      <c r="D532" s="13"/>
      <c r="E532" s="14"/>
      <c r="F532" s="14"/>
      <c r="G532" s="13"/>
      <c r="H532" s="13"/>
      <c r="I532" s="13"/>
      <c r="J532" s="13"/>
      <c r="K532" s="13"/>
      <c r="L532" s="13"/>
      <c r="M532" s="15"/>
      <c r="N532" s="16"/>
      <c r="O532" s="16"/>
      <c r="P532" s="17"/>
      <c r="Q532" s="16"/>
      <c r="R532" s="13"/>
      <c r="S532" s="13"/>
      <c r="T532" s="13"/>
      <c r="U532" s="13"/>
      <c r="V532" s="13"/>
      <c r="W532" s="42"/>
    </row>
    <row r="533" spans="1:23" x14ac:dyDescent="0.2">
      <c r="A533" s="9"/>
      <c r="B533" s="9"/>
      <c r="C533" s="12"/>
      <c r="D533" s="13"/>
      <c r="E533" s="14"/>
      <c r="F533" s="14"/>
      <c r="G533" s="13"/>
      <c r="H533" s="13"/>
      <c r="I533" s="13"/>
      <c r="J533" s="13"/>
      <c r="K533" s="13"/>
      <c r="L533" s="13"/>
      <c r="M533" s="15"/>
      <c r="N533" s="16"/>
      <c r="O533" s="16"/>
      <c r="P533" s="17"/>
      <c r="Q533" s="16"/>
      <c r="R533" s="13"/>
      <c r="S533" s="13"/>
      <c r="T533" s="13"/>
      <c r="U533" s="13"/>
      <c r="V533" s="13"/>
      <c r="W533" s="42"/>
    </row>
    <row r="534" spans="1:23" x14ac:dyDescent="0.2">
      <c r="A534" s="9"/>
      <c r="B534" s="9"/>
      <c r="C534" s="12"/>
      <c r="D534" s="13"/>
      <c r="E534" s="14"/>
      <c r="F534" s="14"/>
      <c r="G534" s="13"/>
      <c r="H534" s="13"/>
      <c r="I534" s="13"/>
      <c r="J534" s="13"/>
      <c r="K534" s="13"/>
      <c r="L534" s="13"/>
      <c r="M534" s="15"/>
      <c r="N534" s="16"/>
      <c r="O534" s="16"/>
      <c r="P534" s="17"/>
      <c r="Q534" s="16"/>
      <c r="R534" s="13"/>
      <c r="S534" s="13"/>
      <c r="T534" s="13"/>
      <c r="U534" s="13"/>
      <c r="V534" s="13"/>
      <c r="W534" s="42"/>
    </row>
    <row r="535" spans="1:23" x14ac:dyDescent="0.2">
      <c r="A535" s="9"/>
      <c r="B535" s="9"/>
      <c r="C535" s="12"/>
      <c r="D535" s="13"/>
      <c r="E535" s="14"/>
      <c r="F535" s="14"/>
      <c r="G535" s="13"/>
      <c r="H535" s="13"/>
      <c r="I535" s="13"/>
      <c r="J535" s="13"/>
      <c r="K535" s="13"/>
      <c r="L535" s="13"/>
      <c r="M535" s="15"/>
      <c r="N535" s="16"/>
      <c r="O535" s="16"/>
      <c r="P535" s="17"/>
      <c r="Q535" s="16"/>
      <c r="R535" s="13"/>
      <c r="S535" s="13"/>
      <c r="T535" s="13"/>
      <c r="U535" s="13"/>
      <c r="V535" s="13"/>
      <c r="W535" s="42"/>
    </row>
    <row r="536" spans="1:23" x14ac:dyDescent="0.2">
      <c r="A536" s="9"/>
      <c r="B536" s="9"/>
      <c r="C536" s="12"/>
      <c r="D536" s="13"/>
      <c r="E536" s="14"/>
      <c r="F536" s="14"/>
      <c r="G536" s="13"/>
      <c r="H536" s="13"/>
      <c r="I536" s="13"/>
      <c r="J536" s="13"/>
      <c r="K536" s="13"/>
      <c r="L536" s="13"/>
      <c r="M536" s="15"/>
      <c r="N536" s="16"/>
      <c r="O536" s="16"/>
      <c r="P536" s="17"/>
      <c r="Q536" s="16"/>
      <c r="R536" s="13"/>
      <c r="S536" s="13"/>
      <c r="T536" s="13"/>
      <c r="U536" s="13"/>
      <c r="V536" s="13"/>
      <c r="W536" s="42"/>
    </row>
    <row r="537" spans="1:23" x14ac:dyDescent="0.2">
      <c r="A537" s="9"/>
      <c r="B537" s="9"/>
      <c r="C537" s="12"/>
      <c r="D537" s="13"/>
      <c r="E537" s="14"/>
      <c r="F537" s="14"/>
      <c r="G537" s="13"/>
      <c r="H537" s="13"/>
      <c r="I537" s="13"/>
      <c r="J537" s="13"/>
      <c r="K537" s="13"/>
      <c r="L537" s="13"/>
      <c r="M537" s="15"/>
      <c r="N537" s="16"/>
      <c r="O537" s="16"/>
      <c r="P537" s="17"/>
      <c r="Q537" s="16"/>
      <c r="R537" s="13"/>
      <c r="S537" s="13"/>
      <c r="T537" s="13"/>
      <c r="U537" s="13"/>
      <c r="V537" s="13"/>
      <c r="W537" s="42"/>
    </row>
    <row r="538" spans="1:23" x14ac:dyDescent="0.2">
      <c r="A538" s="9"/>
      <c r="B538" s="9"/>
      <c r="C538" s="12"/>
      <c r="D538" s="13"/>
      <c r="E538" s="14"/>
      <c r="F538" s="14"/>
      <c r="G538" s="13"/>
      <c r="H538" s="13"/>
      <c r="I538" s="13"/>
      <c r="J538" s="13"/>
      <c r="K538" s="13"/>
      <c r="L538" s="13"/>
      <c r="M538" s="15"/>
      <c r="N538" s="16"/>
      <c r="O538" s="16"/>
      <c r="P538" s="17"/>
      <c r="Q538" s="16"/>
      <c r="R538" s="13"/>
      <c r="S538" s="13"/>
      <c r="T538" s="13"/>
      <c r="U538" s="13"/>
      <c r="V538" s="13"/>
      <c r="W538" s="42"/>
    </row>
    <row r="539" spans="1:23" x14ac:dyDescent="0.2">
      <c r="A539" s="9"/>
      <c r="B539" s="9"/>
      <c r="C539" s="12"/>
      <c r="D539" s="13"/>
      <c r="E539" s="14"/>
      <c r="F539" s="14"/>
      <c r="G539" s="13"/>
      <c r="H539" s="13"/>
      <c r="I539" s="13"/>
      <c r="J539" s="13"/>
      <c r="K539" s="13"/>
      <c r="L539" s="13"/>
      <c r="M539" s="15"/>
      <c r="N539" s="16"/>
      <c r="O539" s="16"/>
      <c r="P539" s="17"/>
      <c r="Q539" s="16"/>
      <c r="R539" s="13"/>
      <c r="S539" s="13"/>
      <c r="T539" s="13"/>
      <c r="U539" s="13"/>
      <c r="V539" s="13"/>
      <c r="W539" s="42"/>
    </row>
    <row r="540" spans="1:23" x14ac:dyDescent="0.2">
      <c r="A540" s="9"/>
      <c r="B540" s="9"/>
      <c r="C540" s="12"/>
      <c r="D540" s="13"/>
      <c r="E540" s="14"/>
      <c r="F540" s="14"/>
      <c r="G540" s="13"/>
      <c r="H540" s="13"/>
      <c r="I540" s="13"/>
      <c r="J540" s="13"/>
      <c r="K540" s="13"/>
      <c r="L540" s="13"/>
      <c r="M540" s="15"/>
      <c r="N540" s="16"/>
      <c r="O540" s="16"/>
      <c r="P540" s="17"/>
      <c r="Q540" s="16"/>
      <c r="R540" s="13"/>
      <c r="S540" s="13"/>
      <c r="T540" s="13"/>
      <c r="U540" s="13"/>
      <c r="V540" s="13"/>
      <c r="W540" s="42"/>
    </row>
    <row r="541" spans="1:23" x14ac:dyDescent="0.2">
      <c r="A541" s="9"/>
      <c r="B541" s="9"/>
      <c r="C541" s="12"/>
      <c r="D541" s="13"/>
      <c r="E541" s="14"/>
      <c r="F541" s="14"/>
      <c r="G541" s="13"/>
      <c r="H541" s="13"/>
      <c r="I541" s="13"/>
      <c r="J541" s="13"/>
      <c r="K541" s="13"/>
      <c r="L541" s="13"/>
      <c r="M541" s="15"/>
      <c r="N541" s="16"/>
      <c r="O541" s="16"/>
      <c r="P541" s="17"/>
      <c r="Q541" s="16"/>
      <c r="R541" s="13"/>
      <c r="S541" s="13"/>
      <c r="T541" s="13"/>
      <c r="U541" s="13"/>
      <c r="V541" s="13"/>
      <c r="W541" s="42"/>
    </row>
    <row r="542" spans="1:23" x14ac:dyDescent="0.2">
      <c r="A542" s="9"/>
      <c r="B542" s="9"/>
      <c r="C542" s="12"/>
      <c r="D542" s="13"/>
      <c r="E542" s="14"/>
      <c r="F542" s="14"/>
      <c r="G542" s="13"/>
      <c r="H542" s="13"/>
      <c r="I542" s="13"/>
      <c r="J542" s="13"/>
      <c r="K542" s="13"/>
      <c r="L542" s="13"/>
      <c r="M542" s="15"/>
      <c r="N542" s="16"/>
      <c r="O542" s="16"/>
      <c r="P542" s="17"/>
      <c r="Q542" s="16"/>
      <c r="R542" s="13"/>
      <c r="S542" s="13"/>
      <c r="T542" s="13"/>
      <c r="U542" s="13"/>
      <c r="V542" s="13"/>
      <c r="W542" s="42"/>
    </row>
    <row r="543" spans="1:23" x14ac:dyDescent="0.2">
      <c r="A543" s="9"/>
      <c r="B543" s="9"/>
      <c r="C543" s="12"/>
      <c r="D543" s="13"/>
      <c r="E543" s="14"/>
      <c r="F543" s="14"/>
      <c r="G543" s="13"/>
      <c r="H543" s="13"/>
      <c r="I543" s="13"/>
      <c r="J543" s="13"/>
      <c r="K543" s="13"/>
      <c r="L543" s="13"/>
      <c r="M543" s="15"/>
      <c r="N543" s="16"/>
      <c r="O543" s="16"/>
      <c r="P543" s="17"/>
      <c r="Q543" s="16"/>
      <c r="R543" s="13"/>
      <c r="S543" s="13"/>
      <c r="T543" s="13"/>
      <c r="U543" s="13"/>
      <c r="V543" s="13"/>
      <c r="W543" s="42"/>
    </row>
    <row r="544" spans="1:23" x14ac:dyDescent="0.2">
      <c r="A544" s="9"/>
      <c r="B544" s="9"/>
      <c r="C544" s="12"/>
      <c r="D544" s="13"/>
      <c r="E544" s="14"/>
      <c r="F544" s="14"/>
      <c r="G544" s="13"/>
      <c r="H544" s="13"/>
      <c r="I544" s="13"/>
      <c r="J544" s="13"/>
      <c r="K544" s="13"/>
      <c r="L544" s="13"/>
      <c r="M544" s="15"/>
      <c r="N544" s="16"/>
      <c r="O544" s="16"/>
      <c r="P544" s="17"/>
      <c r="Q544" s="16"/>
      <c r="R544" s="13"/>
      <c r="S544" s="13"/>
      <c r="T544" s="13"/>
      <c r="U544" s="13"/>
      <c r="V544" s="13"/>
      <c r="W544" s="42"/>
    </row>
    <row r="545" spans="1:23" x14ac:dyDescent="0.2">
      <c r="A545" s="9"/>
      <c r="B545" s="9"/>
      <c r="C545" s="12"/>
      <c r="D545" s="13"/>
      <c r="E545" s="14"/>
      <c r="F545" s="14"/>
      <c r="G545" s="13"/>
      <c r="H545" s="13"/>
      <c r="I545" s="13"/>
      <c r="J545" s="13"/>
      <c r="K545" s="13"/>
      <c r="L545" s="13"/>
      <c r="M545" s="15"/>
      <c r="N545" s="16"/>
      <c r="O545" s="16"/>
      <c r="P545" s="17"/>
      <c r="Q545" s="16"/>
      <c r="R545" s="13"/>
      <c r="S545" s="13"/>
      <c r="T545" s="13"/>
      <c r="U545" s="13"/>
      <c r="V545" s="13"/>
      <c r="W545" s="42"/>
    </row>
    <row r="546" spans="1:23" x14ac:dyDescent="0.2">
      <c r="A546" s="9"/>
      <c r="B546" s="9"/>
      <c r="C546" s="12"/>
      <c r="D546" s="13"/>
      <c r="E546" s="14"/>
      <c r="F546" s="14"/>
      <c r="G546" s="13"/>
      <c r="H546" s="13"/>
      <c r="I546" s="13"/>
      <c r="J546" s="13"/>
      <c r="K546" s="13"/>
      <c r="L546" s="13"/>
      <c r="M546" s="15"/>
      <c r="N546" s="16"/>
      <c r="O546" s="16"/>
      <c r="P546" s="17"/>
      <c r="Q546" s="16"/>
      <c r="R546" s="13"/>
      <c r="S546" s="13"/>
      <c r="T546" s="13"/>
      <c r="U546" s="13"/>
      <c r="V546" s="13"/>
      <c r="W546" s="42"/>
    </row>
  </sheetData>
  <autoFilter ref="A6:W6"/>
  <mergeCells count="2">
    <mergeCell ref="C3:V3"/>
    <mergeCell ref="C4:V4"/>
  </mergeCells>
  <conditionalFormatting sqref="J114:J150">
    <cfRule type="duplicateValues" dxfId="10" priority="2"/>
  </conditionalFormatting>
  <conditionalFormatting sqref="J128:J164">
    <cfRule type="duplicateValues" dxfId="9" priority="18"/>
  </conditionalFormatting>
  <conditionalFormatting sqref="J217:J251">
    <cfRule type="duplicateValues" dxfId="8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opLeftCell="A52" workbookViewId="0">
      <selection activeCell="F146" sqref="F146"/>
    </sheetView>
  </sheetViews>
  <sheetFormatPr defaultColWidth="9" defaultRowHeight="15" x14ac:dyDescent="0.25"/>
  <cols>
    <col min="1" max="1" width="24.5703125" style="5" bestFit="1" customWidth="1"/>
    <col min="2" max="2" width="9.85546875" style="5" customWidth="1"/>
    <col min="3" max="3" width="4.7109375" style="5" customWidth="1"/>
    <col min="4" max="4" width="14.42578125" style="5" bestFit="1" customWidth="1"/>
    <col min="5" max="5" width="24.28515625" style="5" bestFit="1" customWidth="1"/>
    <col min="6" max="16384" width="9" style="5"/>
  </cols>
  <sheetData>
    <row r="1" spans="1:6" s="3" customFormat="1" x14ac:dyDescent="0.25">
      <c r="A1" s="18" t="s">
        <v>79</v>
      </c>
      <c r="B1" s="18"/>
      <c r="D1" s="19" t="s">
        <v>80</v>
      </c>
      <c r="E1" s="20"/>
      <c r="F1" s="20"/>
    </row>
    <row r="2" spans="1:6" x14ac:dyDescent="0.25">
      <c r="A2" s="4" t="s">
        <v>261</v>
      </c>
      <c r="B2" s="4"/>
      <c r="D2" s="4" t="s">
        <v>262</v>
      </c>
      <c r="E2" s="4" t="str">
        <f>VLOOKUP(D2,[1]FAST!$A$2:$C$4520,2,0)</f>
        <v>Trứng gà</v>
      </c>
      <c r="F2" s="4" t="str">
        <f>VLOOKUP(D2,[1]FAST!$A$2:$C$4520,3,0)</f>
        <v>quả</v>
      </c>
    </row>
    <row r="3" spans="1:6" x14ac:dyDescent="0.25">
      <c r="A3" s="4" t="s">
        <v>52</v>
      </c>
      <c r="B3" s="4" t="str">
        <f>VLOOKUP(A3,'[1]BÁO CÁO CÔNG NỢ_KIỂM TRA_ĐIỀU C'!J143:K532,2,0)</f>
        <v>Quả</v>
      </c>
      <c r="D3" s="4" t="s">
        <v>263</v>
      </c>
      <c r="E3" s="4" t="str">
        <f>VLOOKUP(D3,[1]FAST!$A$2:$C$4520,2,0)</f>
        <v>Trứng vịt muối</v>
      </c>
      <c r="F3" s="4" t="str">
        <f>VLOOKUP(D3,[1]FAST!$A$2:$C$4520,3,0)</f>
        <v>quả</v>
      </c>
    </row>
    <row r="4" spans="1:6" x14ac:dyDescent="0.25">
      <c r="A4" s="4" t="s">
        <v>118</v>
      </c>
      <c r="B4" s="4"/>
      <c r="D4" s="4" t="s">
        <v>119</v>
      </c>
      <c r="E4" s="4" t="str">
        <f>VLOOKUP(D4,[1]FAST!$A$2:$C$4520,2,0)</f>
        <v>Chả Lụa Chay</v>
      </c>
      <c r="F4" s="4" t="str">
        <f>VLOOKUP(D4,[1]FAST!$A$2:$C$4520,3,0)</f>
        <v>kg</v>
      </c>
    </row>
    <row r="5" spans="1:6" x14ac:dyDescent="0.25">
      <c r="A5" s="4" t="s">
        <v>149</v>
      </c>
      <c r="B5" s="4"/>
      <c r="D5" s="4" t="s">
        <v>150</v>
      </c>
      <c r="E5" s="4" t="str">
        <f>VLOOKUP(D5,[1]FAST!$A$2:$C$4520,2,0)</f>
        <v>Hành phi sẵn</v>
      </c>
      <c r="F5" s="4" t="str">
        <f>VLOOKUP(D5,[1]FAST!$A$2:$C$4520,3,0)</f>
        <v>kg</v>
      </c>
    </row>
    <row r="6" spans="1:6" x14ac:dyDescent="0.25">
      <c r="A6" s="4" t="s">
        <v>179</v>
      </c>
      <c r="B6" s="4"/>
      <c r="D6" s="4" t="s">
        <v>180</v>
      </c>
      <c r="E6" s="4" t="str">
        <f>VLOOKUP(D6,[1]FAST!$A$2:$C$4520,2,0)</f>
        <v>Me vàng</v>
      </c>
      <c r="F6" s="4" t="str">
        <f>VLOOKUP(D6,[1]FAST!$A$2:$C$4520,3,0)</f>
        <v>kg</v>
      </c>
    </row>
    <row r="7" spans="1:6" x14ac:dyDescent="0.25">
      <c r="A7" s="4" t="s">
        <v>196</v>
      </c>
      <c r="B7" s="4"/>
      <c r="D7" s="4" t="s">
        <v>197</v>
      </c>
      <c r="E7" s="4" t="str">
        <f>VLOOKUP(D7,[1]FAST!$A$2:$C$4520,2,0)</f>
        <v>Mộc nhĩ ( Nấm mèo)</v>
      </c>
      <c r="F7" s="4" t="str">
        <f>VLOOKUP(D7,[1]FAST!$A$2:$C$4520,3,0)</f>
        <v>kg</v>
      </c>
    </row>
    <row r="8" spans="1:6" x14ac:dyDescent="0.25">
      <c r="A8" s="4" t="s">
        <v>135</v>
      </c>
      <c r="B8" s="4"/>
      <c r="D8" s="4" t="s">
        <v>136</v>
      </c>
      <c r="E8" s="4" t="str">
        <f>VLOOKUP(D8,[1]FAST!$A$2:$C$4520,2,0)</f>
        <v>Đậu Hà lan đông lạnh</v>
      </c>
      <c r="F8" s="4" t="str">
        <f>VLOOKUP(D8,[1]FAST!$A$2:$C$4520,3,0)</f>
        <v>kg</v>
      </c>
    </row>
    <row r="9" spans="1:6" x14ac:dyDescent="0.25">
      <c r="A9" s="4" t="s">
        <v>181</v>
      </c>
      <c r="B9" s="4"/>
      <c r="D9" s="4" t="s">
        <v>182</v>
      </c>
      <c r="E9" s="4" t="str">
        <f>VLOOKUP(D9,[1]FAST!$A$2:$C$4520,2,0)</f>
        <v>Miến</v>
      </c>
      <c r="F9" s="4" t="str">
        <f>VLOOKUP(D9,[1]FAST!$A$2:$C$4520,3,0)</f>
        <v>kg</v>
      </c>
    </row>
    <row r="10" spans="1:6" x14ac:dyDescent="0.25">
      <c r="A10" s="4" t="s">
        <v>83</v>
      </c>
      <c r="B10" s="4"/>
      <c r="D10" s="4" t="s">
        <v>84</v>
      </c>
      <c r="E10" s="4" t="str">
        <f>VLOOKUP(D10,[1]FAST!$A$2:$C$4520,2,0)</f>
        <v>Bánh phở</v>
      </c>
      <c r="F10" s="4" t="str">
        <f>VLOOKUP(D10,[1]FAST!$A$2:$C$4520,3,0)</f>
        <v>kg</v>
      </c>
    </row>
    <row r="11" spans="1:6" x14ac:dyDescent="0.25">
      <c r="A11" s="4" t="s">
        <v>81</v>
      </c>
      <c r="B11" s="4"/>
      <c r="D11" s="4" t="s">
        <v>82</v>
      </c>
      <c r="E11" s="4" t="str">
        <f>VLOOKUP(D11,[1]FAST!$A$2:$C$4520,2,0)</f>
        <v>Bắp cải tím</v>
      </c>
      <c r="F11" s="4" t="str">
        <f>VLOOKUP(D11,[1]FAST!$A$2:$C$4520,3,0)</f>
        <v>kg</v>
      </c>
    </row>
    <row r="12" spans="1:6" x14ac:dyDescent="0.25">
      <c r="A12" s="4" t="s">
        <v>16</v>
      </c>
      <c r="B12" s="4" t="str">
        <f>VLOOKUP(A12,'[1]BÁO CÁO CÔNG NỢ_KIỂM TRA_ĐIỀU C'!J17:K406,2,0)</f>
        <v>Kg</v>
      </c>
      <c r="D12" s="4" t="s">
        <v>86</v>
      </c>
      <c r="E12" s="4" t="str">
        <f>VLOOKUP(D12,[1]FAST!$A$2:$C$4520,2,0)</f>
        <v>Bắp cải trắng</v>
      </c>
      <c r="F12" s="4" t="str">
        <f>VLOOKUP(D12,[1]FAST!$A$2:$C$4520,3,0)</f>
        <v>kg</v>
      </c>
    </row>
    <row r="13" spans="1:6" x14ac:dyDescent="0.25">
      <c r="A13" s="41" t="s">
        <v>22</v>
      </c>
      <c r="B13" s="4" t="str">
        <f>VLOOKUP(A13,'[1]BÁO CÁO CÔNG NỢ_KIỂM TRA_ĐIỀU C'!J158:K547,2,0)</f>
        <v>Kg</v>
      </c>
      <c r="D13" s="4" t="s">
        <v>90</v>
      </c>
      <c r="E13" s="4" t="str">
        <f>VLOOKUP(D13,[1]FAST!$A$2:$C$4520,2,0)</f>
        <v>Bí đỏ</v>
      </c>
      <c r="F13" s="4" t="str">
        <f>VLOOKUP(D13,[1]FAST!$A$2:$C$4520,3,0)</f>
        <v>kg</v>
      </c>
    </row>
    <row r="14" spans="1:6" x14ac:dyDescent="0.25">
      <c r="A14" s="4" t="s">
        <v>23</v>
      </c>
      <c r="B14" s="4" t="str">
        <f>VLOOKUP(A14,'[1]BÁO CÁO CÔNG NỢ_KIỂM TRA_ĐIỀU C'!J126:K515,2,0)</f>
        <v>Kg</v>
      </c>
      <c r="D14" s="4" t="s">
        <v>93</v>
      </c>
      <c r="E14" s="4" t="str">
        <f>VLOOKUP(D14,[1]FAST!$A$2:$C$4520,2,0)</f>
        <v>Bí ngòi</v>
      </c>
      <c r="F14" s="4" t="str">
        <f>VLOOKUP(D14,[1]FAST!$A$2:$C$4520,3,0)</f>
        <v>kg</v>
      </c>
    </row>
    <row r="15" spans="1:6" x14ac:dyDescent="0.25">
      <c r="A15" s="4" t="s">
        <v>94</v>
      </c>
      <c r="B15" s="4"/>
      <c r="D15" s="4" t="s">
        <v>95</v>
      </c>
      <c r="E15" s="4" t="str">
        <f>VLOOKUP(D15,[1]FAST!$A$2:$C$4520,2,0)</f>
        <v>Bí nụ</v>
      </c>
      <c r="F15" s="4" t="str">
        <f>VLOOKUP(D15,[1]FAST!$A$2:$C$4520,3,0)</f>
        <v>kg</v>
      </c>
    </row>
    <row r="16" spans="1:6" x14ac:dyDescent="0.25">
      <c r="A16" s="4" t="s">
        <v>99</v>
      </c>
      <c r="B16" s="4"/>
      <c r="D16" s="4" t="s">
        <v>100</v>
      </c>
      <c r="E16" s="4" t="str">
        <f>VLOOKUP(D16,[1]FAST!$A$2:$C$4520,2,0)</f>
        <v>Bún</v>
      </c>
      <c r="F16" s="4" t="str">
        <f>VLOOKUP(D16,[1]FAST!$A$2:$C$4520,3,0)</f>
        <v>kg</v>
      </c>
    </row>
    <row r="17" spans="1:6" x14ac:dyDescent="0.25">
      <c r="A17" s="4" t="s">
        <v>101</v>
      </c>
      <c r="B17" s="4"/>
      <c r="D17" s="4" t="s">
        <v>102</v>
      </c>
      <c r="E17" s="4" t="str">
        <f>VLOOKUP(D17,[1]FAST!$A$2:$C$4520,2,0)</f>
        <v>Cà chua</v>
      </c>
      <c r="F17" s="4" t="str">
        <f>VLOOKUP(D17,[1]FAST!$A$2:$C$4520,3,0)</f>
        <v>kg</v>
      </c>
    </row>
    <row r="18" spans="1:6" x14ac:dyDescent="0.25">
      <c r="A18" s="4" t="s">
        <v>103</v>
      </c>
      <c r="B18" s="4"/>
      <c r="D18" s="4" t="s">
        <v>104</v>
      </c>
      <c r="E18" s="4" t="str">
        <f>VLOOKUP(D18,[1]FAST!$A$2:$C$4520,2,0)</f>
        <v>Cà chua bi</v>
      </c>
      <c r="F18" s="4" t="str">
        <f>VLOOKUP(D18,[1]FAST!$A$2:$C$4520,3,0)</f>
        <v>kg</v>
      </c>
    </row>
    <row r="19" spans="1:6" x14ac:dyDescent="0.25">
      <c r="A19" s="4" t="s">
        <v>97</v>
      </c>
      <c r="B19" s="4"/>
      <c r="D19" s="4" t="s">
        <v>98</v>
      </c>
      <c r="E19" s="4" t="str">
        <f>VLOOKUP(D19,[1]FAST!$A$2:$C$4520,2,0)</f>
        <v>Bông cải xanh Baby</v>
      </c>
      <c r="F19" s="4" t="str">
        <f>VLOOKUP(D19,[1]FAST!$A$2:$C$4520,3,0)</f>
        <v>kg</v>
      </c>
    </row>
    <row r="20" spans="1:6" x14ac:dyDescent="0.25">
      <c r="A20" s="4" t="s">
        <v>243</v>
      </c>
      <c r="B20" s="4"/>
      <c r="D20" s="4" t="s">
        <v>244</v>
      </c>
      <c r="E20" s="4" t="str">
        <f>VLOOKUP(D20,[1]FAST!$A$2:$C$4520,2,0)</f>
        <v>Cải cúc</v>
      </c>
      <c r="F20" s="4" t="str">
        <f>VLOOKUP(D20,[1]FAST!$A$2:$C$4520,3,0)</f>
        <v>kg</v>
      </c>
    </row>
    <row r="21" spans="1:6" x14ac:dyDescent="0.25">
      <c r="A21" s="4" t="s">
        <v>24</v>
      </c>
      <c r="B21" s="4" t="str">
        <f>VLOOKUP(A21,'[1]BÁO CÁO CÔNG NỢ_KIỂM TRA_ĐIỀU C'!J130:K519,2,0)</f>
        <v>Kg</v>
      </c>
      <c r="D21" s="4" t="s">
        <v>110</v>
      </c>
      <c r="E21" s="4" t="str">
        <f>VLOOKUP(D21,[1]FAST!$A$2:$C$4520,2,0)</f>
        <v>Cải ngồng</v>
      </c>
      <c r="F21" s="4" t="str">
        <f>VLOOKUP(D21,[1]FAST!$A$2:$C$4520,3,0)</f>
        <v>kg</v>
      </c>
    </row>
    <row r="22" spans="1:6" x14ac:dyDescent="0.25">
      <c r="A22" s="4" t="s">
        <v>111</v>
      </c>
      <c r="B22" s="4"/>
      <c r="D22" s="4" t="s">
        <v>112</v>
      </c>
      <c r="E22" s="4" t="str">
        <f>VLOOKUP(D22,[1]FAST!$A$2:$C$4520,2,0)</f>
        <v>Cải thảo</v>
      </c>
      <c r="F22" s="4" t="str">
        <f>VLOOKUP(D22,[1]FAST!$A$2:$C$4520,3,0)</f>
        <v>kg</v>
      </c>
    </row>
    <row r="23" spans="1:6" x14ac:dyDescent="0.25">
      <c r="A23" s="4" t="s">
        <v>25</v>
      </c>
      <c r="B23" s="4" t="str">
        <f>VLOOKUP(A23,'[1]BÁO CÁO CÔNG NỢ_KIỂM TRA_ĐIỀU C'!J29:K418,2,0)</f>
        <v>Kg</v>
      </c>
      <c r="D23" s="4" t="s">
        <v>117</v>
      </c>
      <c r="E23" s="4" t="str">
        <f>VLOOKUP(D23,[1]FAST!$A$2:$C$4520,2,0)</f>
        <v>Rau cần tây</v>
      </c>
      <c r="F23" s="4" t="str">
        <f>VLOOKUP(D23,[1]FAST!$A$2:$C$4520,3,0)</f>
        <v>kg</v>
      </c>
    </row>
    <row r="24" spans="1:6" x14ac:dyDescent="0.25">
      <c r="A24" s="4" t="s">
        <v>105</v>
      </c>
      <c r="B24" s="4"/>
      <c r="D24" s="4" t="s">
        <v>106</v>
      </c>
      <c r="E24" s="4" t="str">
        <f>VLOOKUP(D24,[1]FAST!$A$2:$C$4520,2,0)</f>
        <v>Cà rốt</v>
      </c>
      <c r="F24" s="4" t="str">
        <f>VLOOKUP(D24,[1]FAST!$A$2:$C$4520,3,0)</f>
        <v>kg</v>
      </c>
    </row>
    <row r="25" spans="1:6" x14ac:dyDescent="0.25">
      <c r="A25" s="4" t="s">
        <v>70</v>
      </c>
      <c r="B25" s="4" t="str">
        <f>VLOOKUP(A25,'[1]BÁO CÁO CÔNG NỢ_KIỂM TRA_ĐIỀU C'!J129:K518,2,0)</f>
        <v>Kg</v>
      </c>
      <c r="D25" s="4" t="s">
        <v>107</v>
      </c>
      <c r="E25" s="4" t="str">
        <f>VLOOKUP(D25,[1]FAST!$A$2:$C$4520,2,0)</f>
        <v>Cà rốt baby</v>
      </c>
      <c r="F25" s="4" t="str">
        <f>VLOOKUP(D25,[1]FAST!$A$2:$C$4520,3,0)</f>
        <v>kg</v>
      </c>
    </row>
    <row r="26" spans="1:6" x14ac:dyDescent="0.25">
      <c r="A26" s="4" t="s">
        <v>46</v>
      </c>
      <c r="B26" s="4" t="str">
        <f>VLOOKUP(A26,'[1]BÁO CÁO CÔNG NỢ_KIỂM TRA_ĐIỀU C'!J160:K549,2,0)</f>
        <v>Kg</v>
      </c>
      <c r="D26" s="4" t="s">
        <v>121</v>
      </c>
      <c r="E26" s="4" t="str">
        <f>VLOOKUP(D26,[1]FAST!$A$2:$C$4520,2,0)</f>
        <v>Chanh</v>
      </c>
      <c r="F26" s="4" t="str">
        <f>VLOOKUP(D26,[1]FAST!$A$2:$C$4520,3,0)</f>
        <v>kg</v>
      </c>
    </row>
    <row r="27" spans="1:6" x14ac:dyDescent="0.25">
      <c r="A27" s="4" t="s">
        <v>122</v>
      </c>
      <c r="B27" s="4"/>
      <c r="D27" s="4" t="s">
        <v>121</v>
      </c>
      <c r="E27" s="4" t="str">
        <f>VLOOKUP(D27,[1]FAST!$A$2:$C$4520,2,0)</f>
        <v>Chanh</v>
      </c>
      <c r="F27" s="4" t="str">
        <f>VLOOKUP(D27,[1]FAST!$A$2:$C$4520,3,0)</f>
        <v>kg</v>
      </c>
    </row>
    <row r="28" spans="1:6" x14ac:dyDescent="0.25">
      <c r="A28" s="4" t="s">
        <v>73</v>
      </c>
      <c r="B28" s="4" t="str">
        <f>VLOOKUP(A28,'[1]BÁO CÁO CÔNG NỢ_KIỂM TRA_ĐIỀU C'!J96:K485,2,0)</f>
        <v>Kg</v>
      </c>
      <c r="D28" s="4" t="s">
        <v>120</v>
      </c>
      <c r="E28" s="4" t="str">
        <f>VLOOKUP(D28,[1]FAST!$A$2:$C$4520,2,0)</f>
        <v>Chanh dây (chanh leo)</v>
      </c>
      <c r="F28" s="4" t="str">
        <f>VLOOKUP(D28,[1]FAST!$A$2:$C$4520,3,0)</f>
        <v>kg</v>
      </c>
    </row>
    <row r="29" spans="1:6" x14ac:dyDescent="0.25">
      <c r="A29" s="4" t="s">
        <v>126</v>
      </c>
      <c r="B29" s="4"/>
      <c r="D29" s="4" t="s">
        <v>127</v>
      </c>
      <c r="E29" s="4" t="str">
        <f>VLOOKUP(D29,[1]FAST!$A$2:$C$4520,2,0)</f>
        <v>Củ cải trắng</v>
      </c>
      <c r="F29" s="4" t="str">
        <f>VLOOKUP(D29,[1]FAST!$A$2:$C$4520,3,0)</f>
        <v>kg</v>
      </c>
    </row>
    <row r="30" spans="1:6" x14ac:dyDescent="0.25">
      <c r="A30" s="4" t="s">
        <v>124</v>
      </c>
      <c r="B30" s="4"/>
      <c r="D30" s="4" t="s">
        <v>125</v>
      </c>
      <c r="E30" s="4" t="str">
        <f>VLOOKUP(D30,[1]FAST!$A$2:$C$4520,2,0)</f>
        <v>Củ cải đỏ</v>
      </c>
      <c r="F30" s="4" t="str">
        <f>VLOOKUP(D30,[1]FAST!$A$2:$C$4520,3,0)</f>
        <v>kg</v>
      </c>
    </row>
    <row r="31" spans="1:6" x14ac:dyDescent="0.25">
      <c r="A31" s="4" t="s">
        <v>26</v>
      </c>
      <c r="B31" s="4" t="str">
        <f>VLOOKUP(A31,'[1]BÁO CÁO CÔNG NỢ_KIỂM TRA_ĐIỀU C'!J187:K576,2,0)</f>
        <v>Kg</v>
      </c>
      <c r="D31" s="4" t="s">
        <v>129</v>
      </c>
      <c r="E31" s="4" t="str">
        <f>VLOOKUP(D31,[1]FAST!$A$2:$C$4520,2,0)</f>
        <v>Củ riềng</v>
      </c>
      <c r="F31" s="4" t="str">
        <f>VLOOKUP(D31,[1]FAST!$A$2:$C$4520,3,0)</f>
        <v>kg</v>
      </c>
    </row>
    <row r="32" spans="1:6" x14ac:dyDescent="0.25">
      <c r="A32" s="4" t="s">
        <v>27</v>
      </c>
      <c r="B32" s="4" t="str">
        <f>VLOOKUP(A32,'[1]BÁO CÁO CÔNG NỢ_KIỂM TRA_ĐIỀU C'!J183:K572,2,0)</f>
        <v>Kg</v>
      </c>
      <c r="D32" s="4" t="s">
        <v>131</v>
      </c>
      <c r="E32" s="4" t="str">
        <f>VLOOKUP(D32,[1]FAST!$A$2:$C$4520,2,0)</f>
        <v>Củ sen</v>
      </c>
      <c r="F32" s="4" t="str">
        <f>VLOOKUP(D32,[1]FAST!$A$2:$C$4520,3,0)</f>
        <v>kg</v>
      </c>
    </row>
    <row r="33" spans="1:6" x14ac:dyDescent="0.25">
      <c r="A33" s="4" t="s">
        <v>137</v>
      </c>
      <c r="B33" s="4"/>
      <c r="D33" s="4" t="s">
        <v>138</v>
      </c>
      <c r="E33" s="4" t="str">
        <f>VLOOKUP(D33,[1]FAST!$A$2:$C$4520,2,0)</f>
        <v>Đậu phụ</v>
      </c>
      <c r="F33" s="4" t="str">
        <f>VLOOKUP(D33,[1]FAST!$A$2:$C$4520,3,0)</f>
        <v>miếng</v>
      </c>
    </row>
    <row r="34" spans="1:6" x14ac:dyDescent="0.25">
      <c r="A34" s="4" t="s">
        <v>28</v>
      </c>
      <c r="B34" s="4" t="str">
        <f>VLOOKUP(A34,'[1]BÁO CÁO CÔNG NỢ_KIỂM TRA_ĐIỀU C'!J33:K422,2,0)</f>
        <v>Kg</v>
      </c>
      <c r="D34" s="4" t="s">
        <v>132</v>
      </c>
      <c r="E34" s="4" t="str">
        <f>VLOOKUP(D34,[1]FAST!$A$2:$C$4520,2,0)</f>
        <v>Đậu bắp</v>
      </c>
      <c r="F34" s="4" t="str">
        <f>VLOOKUP(D34,[1]FAST!$A$2:$C$4520,3,0)</f>
        <v>kg</v>
      </c>
    </row>
    <row r="35" spans="1:6" x14ac:dyDescent="0.25">
      <c r="A35" s="4" t="s">
        <v>139</v>
      </c>
      <c r="B35" s="4"/>
      <c r="D35" s="4" t="s">
        <v>140</v>
      </c>
      <c r="E35" s="4" t="str">
        <f>VLOOKUP(D35,[1]FAST!$A$2:$C$4520,2,0)</f>
        <v>Đậu hủ non trứng</v>
      </c>
      <c r="F35" s="4" t="str">
        <f>VLOOKUP(D35,[1]FAST!$A$2:$C$4520,3,0)</f>
        <v>Cái</v>
      </c>
    </row>
    <row r="36" spans="1:6" x14ac:dyDescent="0.25">
      <c r="A36" s="4" t="s">
        <v>141</v>
      </c>
      <c r="B36" s="4"/>
      <c r="D36" s="4" t="s">
        <v>140</v>
      </c>
      <c r="E36" s="4" t="str">
        <f>VLOOKUP(D36,[1]FAST!$A$2:$C$4520,2,0)</f>
        <v>Đậu hủ non trứng</v>
      </c>
      <c r="F36" s="4" t="str">
        <f>VLOOKUP(D36,[1]FAST!$A$2:$C$4520,3,0)</f>
        <v>Cái</v>
      </c>
    </row>
    <row r="37" spans="1:6" x14ac:dyDescent="0.25">
      <c r="A37" s="4" t="s">
        <v>44</v>
      </c>
      <c r="B37" s="4" t="str">
        <f>VLOOKUP(A37,'[1]BÁO CÁO CÔNG NỢ_KIỂM TRA_ĐIỀU C'!J36:K425,2,0)</f>
        <v>Cây</v>
      </c>
      <c r="D37" s="4" t="s">
        <v>140</v>
      </c>
      <c r="E37" s="4" t="str">
        <f>VLOOKUP(D37,[1]FAST!$A$2:$C$4520,2,0)</f>
        <v>Đậu hủ non trứng</v>
      </c>
      <c r="F37" s="4" t="str">
        <f>VLOOKUP(D37,[1]FAST!$A$2:$C$4520,3,0)</f>
        <v>Cái</v>
      </c>
    </row>
    <row r="38" spans="1:6" x14ac:dyDescent="0.25">
      <c r="A38" s="4" t="s">
        <v>170</v>
      </c>
      <c r="B38" s="4"/>
      <c r="D38" s="4" t="s">
        <v>171</v>
      </c>
      <c r="E38" s="4" t="str">
        <f>VLOOKUP(D38,[1]FAST!$A$2:$C$4520,2,0)</f>
        <v>Đọt cóc</v>
      </c>
      <c r="F38" s="4" t="str">
        <f>VLOOKUP(D38,[1]FAST!$A$2:$C$4520,3,0)</f>
        <v>kg</v>
      </c>
    </row>
    <row r="39" spans="1:6" x14ac:dyDescent="0.25">
      <c r="A39" s="4" t="s">
        <v>177</v>
      </c>
      <c r="B39" s="4"/>
      <c r="D39" s="4" t="s">
        <v>178</v>
      </c>
      <c r="E39" s="4" t="str">
        <f>VLOOKUP(D39,[1]FAST!$A$2:$C$4520,2,0)</f>
        <v>Đọt mọt ( Lá trăm )</v>
      </c>
      <c r="F39" s="4" t="str">
        <f>VLOOKUP(D39,[1]FAST!$A$2:$C$4520,3,0)</f>
        <v>kg</v>
      </c>
    </row>
    <row r="40" spans="1:6" x14ac:dyDescent="0.25">
      <c r="A40" s="4" t="s">
        <v>253</v>
      </c>
      <c r="B40" s="4"/>
      <c r="D40" s="4" t="s">
        <v>254</v>
      </c>
      <c r="E40" s="4" t="str">
        <f>VLOOKUP(D40,[1]FAST!$A$2:$C$4520,2,0)</f>
        <v>Dứa chưa gọt vỏ</v>
      </c>
      <c r="F40" s="4" t="str">
        <f>VLOOKUP(D40,[1]FAST!$A$2:$C$4520,3,0)</f>
        <v>quả</v>
      </c>
    </row>
    <row r="41" spans="1:6" x14ac:dyDescent="0.25">
      <c r="A41" s="4" t="s">
        <v>145</v>
      </c>
      <c r="B41" s="4"/>
      <c r="D41" s="4" t="s">
        <v>146</v>
      </c>
      <c r="E41" s="4" t="str">
        <f>VLOOKUP(D41,[1]FAST!$A$2:$C$4520,2,0)</f>
        <v>Dưa chuột</v>
      </c>
      <c r="F41" s="4" t="str">
        <f>VLOOKUP(D41,[1]FAST!$A$2:$C$4520,3,0)</f>
        <v>kg</v>
      </c>
    </row>
    <row r="42" spans="1:6" x14ac:dyDescent="0.25">
      <c r="A42" s="4" t="s">
        <v>142</v>
      </c>
      <c r="B42" s="4"/>
      <c r="D42" s="4" t="s">
        <v>143</v>
      </c>
      <c r="E42" s="4" t="str">
        <f>VLOOKUP(D42,[1]FAST!$A$2:$C$4520,2,0)</f>
        <v>Đu đủ xanh</v>
      </c>
      <c r="F42" s="4" t="str">
        <f>VLOOKUP(D42,[1]FAST!$A$2:$C$4520,3,0)</f>
        <v>kg</v>
      </c>
    </row>
    <row r="43" spans="1:6" x14ac:dyDescent="0.25">
      <c r="A43" s="4" t="s">
        <v>56</v>
      </c>
      <c r="B43" s="4" t="str">
        <f>VLOOKUP(A43,'[1]BÁO CÁO CÔNG NỢ_KIỂM TRA_ĐIỀU C'!J32:K421,2,0)</f>
        <v>Kg</v>
      </c>
      <c r="D43" s="4" t="s">
        <v>128</v>
      </c>
      <c r="E43" s="4" t="str">
        <f>VLOOKUP(D43,[1]FAST!$A$2:$C$4520,2,0)</f>
        <v>Gừng tàu</v>
      </c>
      <c r="F43" s="4" t="str">
        <f>VLOOKUP(D43,[1]FAST!$A$2:$C$4520,3,0)</f>
        <v>kg</v>
      </c>
    </row>
    <row r="44" spans="1:6" x14ac:dyDescent="0.25">
      <c r="A44" s="4" t="s">
        <v>76</v>
      </c>
      <c r="B44" s="4" t="str">
        <f>VLOOKUP(A44,'[1]BÁO CÁO CÔNG NỢ_KIỂM TRA_ĐIỀU C'!J42:K431,2,0)</f>
        <v>Kg</v>
      </c>
      <c r="D44" s="4" t="s">
        <v>152</v>
      </c>
      <c r="E44" s="4" t="str">
        <f>VLOOKUP(D44,[1]FAST!$A$2:$C$4520,2,0)</f>
        <v>Hành bóc</v>
      </c>
      <c r="F44" s="4" t="str">
        <f>VLOOKUP(D44,[1]FAST!$A$2:$C$4520,3,0)</f>
        <v>kg</v>
      </c>
    </row>
    <row r="45" spans="1:6" x14ac:dyDescent="0.25">
      <c r="A45" s="4" t="s">
        <v>63</v>
      </c>
      <c r="B45" s="4" t="s">
        <v>17</v>
      </c>
      <c r="D45" s="4" t="s">
        <v>152</v>
      </c>
      <c r="E45" s="4" t="str">
        <f>VLOOKUP(D45,[1]FAST!$A$2:$C$4520,2,0)</f>
        <v>Hành bóc</v>
      </c>
      <c r="F45" s="4" t="str">
        <f>VLOOKUP(D45,[1]FAST!$A$2:$C$4520,3,0)</f>
        <v>kg</v>
      </c>
    </row>
    <row r="46" spans="1:6" x14ac:dyDescent="0.25">
      <c r="A46" s="4" t="s">
        <v>153</v>
      </c>
      <c r="B46" s="4"/>
      <c r="D46" s="4" t="s">
        <v>152</v>
      </c>
      <c r="E46" s="4" t="str">
        <f>VLOOKUP(D46,[1]FAST!$A$2:$C$4520,2,0)</f>
        <v>Hành bóc</v>
      </c>
      <c r="F46" s="4" t="str">
        <f>VLOOKUP(D46,[1]FAST!$A$2:$C$4520,3,0)</f>
        <v>kg</v>
      </c>
    </row>
    <row r="47" spans="1:6" x14ac:dyDescent="0.25">
      <c r="A47" s="4" t="s">
        <v>154</v>
      </c>
      <c r="B47" s="4"/>
      <c r="D47" s="4" t="s">
        <v>152</v>
      </c>
      <c r="E47" s="4" t="str">
        <f>VLOOKUP(D47,[1]FAST!$A$2:$C$4520,2,0)</f>
        <v>Hành bóc</v>
      </c>
      <c r="F47" s="4" t="str">
        <f>VLOOKUP(D47,[1]FAST!$A$2:$C$4520,3,0)</f>
        <v>kg</v>
      </c>
    </row>
    <row r="48" spans="1:6" x14ac:dyDescent="0.25">
      <c r="A48" s="4" t="s">
        <v>29</v>
      </c>
      <c r="B48" s="4" t="str">
        <f>VLOOKUP(A48,'[1]BÁO CÁO CÔNG NỢ_KIỂM TRA_ĐIỀU C'!J40:K429,2,0)</f>
        <v>Kg</v>
      </c>
      <c r="D48" s="4" t="s">
        <v>147</v>
      </c>
      <c r="E48" s="4" t="str">
        <f>VLOOKUP(D48,[1]FAST!$A$2:$C$4520,2,0)</f>
        <v>Hành lá</v>
      </c>
      <c r="F48" s="4" t="str">
        <f>VLOOKUP(D48,[1]FAST!$A$2:$C$4520,3,0)</f>
        <v>kg</v>
      </c>
    </row>
    <row r="49" spans="1:6" x14ac:dyDescent="0.25">
      <c r="A49" s="4" t="s">
        <v>71</v>
      </c>
      <c r="B49" s="4" t="str">
        <f>VLOOKUP(A49,'[1]BÁO CÁO CÔNG NỢ_KIỂM TRA_ĐIỀU C'!J41:K430,2,0)</f>
        <v>Kg</v>
      </c>
      <c r="D49" s="4" t="s">
        <v>151</v>
      </c>
      <c r="E49" s="4" t="str">
        <f>VLOOKUP(D49,[1]FAST!$A$2:$C$4520,2,0)</f>
        <v>Hành tây</v>
      </c>
      <c r="F49" s="4" t="str">
        <f>VLOOKUP(D49,[1]FAST!$A$2:$C$4520,3,0)</f>
        <v>kg</v>
      </c>
    </row>
    <row r="50" spans="1:6" x14ac:dyDescent="0.25">
      <c r="A50" s="4" t="s">
        <v>30</v>
      </c>
      <c r="B50" s="4" t="str">
        <f>VLOOKUP(A50,'[1]BÁO CÁO CÔNG NỢ_KIỂM TRA_ĐIỀU C'!J150:K539,2,0)</f>
        <v>Kg</v>
      </c>
      <c r="D50" s="4" t="s">
        <v>148</v>
      </c>
      <c r="E50" s="4" t="str">
        <f>VLOOKUP(D50,[1]FAST!$A$2:$C$4520,2,0)</f>
        <v>Hành Paro (Hành Baro)</v>
      </c>
      <c r="F50" s="4" t="str">
        <f>VLOOKUP(D50,[1]FAST!$A$2:$C$4520,3,0)</f>
        <v>kg</v>
      </c>
    </row>
    <row r="51" spans="1:6" x14ac:dyDescent="0.25">
      <c r="A51" s="4" t="s">
        <v>343</v>
      </c>
      <c r="B51" s="4" t="s">
        <v>17</v>
      </c>
      <c r="D51" s="4" t="s">
        <v>159</v>
      </c>
      <c r="E51" s="4" t="str">
        <f>VLOOKUP(D51,[1]FAST!$A$2:$C$4520,2,0)</f>
        <v>Húng Bạc Hà</v>
      </c>
      <c r="F51" s="4" t="str">
        <f>VLOOKUP(D51,[1]FAST!$A$2:$C$4520,3,0)</f>
        <v>kg</v>
      </c>
    </row>
    <row r="52" spans="1:6" x14ac:dyDescent="0.25">
      <c r="A52" s="4" t="s">
        <v>69</v>
      </c>
      <c r="B52" s="4" t="str">
        <f>VLOOKUP(A52,'[1]BÁO CÁO CÔNG NỢ_KIỂM TRA_ĐIỀU C'!J46:K435,2,0)</f>
        <v>Kg</v>
      </c>
      <c r="D52" s="4" t="s">
        <v>159</v>
      </c>
      <c r="E52" s="4" t="str">
        <f>VLOOKUP(D52,[1]FAST!$A$2:$C$4520,2,0)</f>
        <v>Húng Bạc Hà</v>
      </c>
      <c r="F52" s="4" t="str">
        <f>VLOOKUP(D52,[1]FAST!$A$2:$C$4520,3,0)</f>
        <v>kg</v>
      </c>
    </row>
    <row r="53" spans="1:6" x14ac:dyDescent="0.25">
      <c r="A53" s="4" t="s">
        <v>157</v>
      </c>
      <c r="B53" s="4"/>
      <c r="D53" s="4" t="s">
        <v>158</v>
      </c>
      <c r="E53" s="4" t="str">
        <f>VLOOKUP(D53,[1]FAST!$A$2:$C$4520,2,0)</f>
        <v>Húng cây (Rau thơm)</v>
      </c>
      <c r="F53" s="4" t="str">
        <f>VLOOKUP(D53,[1]FAST!$A$2:$C$4520,3,0)</f>
        <v>kg</v>
      </c>
    </row>
    <row r="54" spans="1:6" x14ac:dyDescent="0.25">
      <c r="A54" s="4" t="s">
        <v>234</v>
      </c>
      <c r="B54" s="4"/>
      <c r="D54" s="4" t="s">
        <v>235</v>
      </c>
      <c r="E54" s="4" t="str">
        <f>VLOOKUP(D54,[1]FAST!$A$2:$C$4520,2,0)</f>
        <v>Lá hương thảo tươi</v>
      </c>
      <c r="F54" s="4" t="str">
        <f>VLOOKUP(D54,[1]FAST!$A$2:$C$4520,3,0)</f>
        <v>kg</v>
      </c>
    </row>
    <row r="55" spans="1:6" x14ac:dyDescent="0.25">
      <c r="A55" s="4" t="s">
        <v>236</v>
      </c>
      <c r="B55" s="4"/>
      <c r="D55" s="4" t="s">
        <v>235</v>
      </c>
      <c r="E55" s="4" t="str">
        <f>VLOOKUP(D55,[1]FAST!$A$2:$C$4520,2,0)</f>
        <v>Lá hương thảo tươi</v>
      </c>
      <c r="F55" s="4" t="str">
        <f>VLOOKUP(D55,[1]FAST!$A$2:$C$4520,3,0)</f>
        <v>kg</v>
      </c>
    </row>
    <row r="56" spans="1:6" x14ac:dyDescent="0.25">
      <c r="A56" s="4" t="s">
        <v>160</v>
      </c>
      <c r="B56" s="4"/>
      <c r="D56" s="4" t="s">
        <v>161</v>
      </c>
      <c r="E56" s="4" t="str">
        <f>VLOOKUP(D56,[1]FAST!$A$2:$C$4520,2,0)</f>
        <v>Khế</v>
      </c>
      <c r="F56" s="4" t="str">
        <f>VLOOKUP(D56,[1]FAST!$A$2:$C$4520,3,0)</f>
        <v>kg</v>
      </c>
    </row>
    <row r="57" spans="1:6" x14ac:dyDescent="0.25">
      <c r="A57" s="4" t="s">
        <v>57</v>
      </c>
      <c r="B57" s="4" t="str">
        <f>VLOOKUP(A57,'[1]BÁO CÁO CÔNG NỢ_KIỂM TRA_ĐIỀU C'!J144:K533,2,0)</f>
        <v>Kg</v>
      </c>
      <c r="D57" s="4" t="s">
        <v>162</v>
      </c>
      <c r="E57" s="4" t="str">
        <f>VLOOKUP(D57,[1]FAST!$A$2:$C$4520,2,0)</f>
        <v>Khoai lang Nhật</v>
      </c>
      <c r="F57" s="4" t="str">
        <f>VLOOKUP(D57,[1]FAST!$A$2:$C$4520,3,0)</f>
        <v>kg</v>
      </c>
    </row>
    <row r="58" spans="1:6" x14ac:dyDescent="0.25">
      <c r="A58" s="4" t="s">
        <v>225</v>
      </c>
      <c r="B58" s="4"/>
      <c r="D58" s="4" t="s">
        <v>226</v>
      </c>
      <c r="E58" s="4" t="str">
        <f>VLOOKUP(D58,[1]FAST!$A$2:$C$4520,2,0)</f>
        <v>Kinh giới</v>
      </c>
      <c r="F58" s="4" t="str">
        <f>VLOOKUP(D58,[1]FAST!$A$2:$C$4520,3,0)</f>
        <v>kg</v>
      </c>
    </row>
    <row r="59" spans="1:6" x14ac:dyDescent="0.25">
      <c r="A59" s="4" t="s">
        <v>61</v>
      </c>
      <c r="B59" s="4" t="str">
        <f>VLOOKUP(A59,'[1]BÁO CÁO CÔNG NỢ_KIỂM TRA_ĐIỀU C'!J50:K439,2,0)</f>
        <v>Kg</v>
      </c>
      <c r="D59" s="4" t="s">
        <v>167</v>
      </c>
      <c r="E59" s="4" t="str">
        <f>VLOOKUP(D59,[1]FAST!$A$2:$C$4520,2,0)</f>
        <v>Lá chanh</v>
      </c>
      <c r="F59" s="4" t="str">
        <f>VLOOKUP(D59,[1]FAST!$A$2:$C$4520,3,0)</f>
        <v>kg</v>
      </c>
    </row>
    <row r="60" spans="1:6" x14ac:dyDescent="0.25">
      <c r="A60" s="4" t="s">
        <v>168</v>
      </c>
      <c r="B60" s="4"/>
      <c r="D60" s="4" t="s">
        <v>169</v>
      </c>
      <c r="E60" s="4" t="str">
        <f>VLOOKUP(D60,[1]FAST!$A$2:$C$4520,2,0)</f>
        <v>Lá chuối</v>
      </c>
      <c r="F60" s="4" t="str">
        <f>VLOOKUP(D60,[1]FAST!$A$2:$C$4520,3,0)</f>
        <v>kg</v>
      </c>
    </row>
    <row r="61" spans="1:6" x14ac:dyDescent="0.25">
      <c r="A61" s="4" t="s">
        <v>155</v>
      </c>
      <c r="B61" s="4"/>
      <c r="D61" s="4" t="s">
        <v>156</v>
      </c>
      <c r="E61" s="4" t="str">
        <f>VLOOKUP(D61,[1]FAST!$A$2:$C$4520,2,0)</f>
        <v>Lá hẹ</v>
      </c>
      <c r="F61" s="4" t="str">
        <f>VLOOKUP(D61,[1]FAST!$A$2:$C$4520,3,0)</f>
        <v>kg</v>
      </c>
    </row>
    <row r="62" spans="1:6" x14ac:dyDescent="0.25">
      <c r="A62" s="4" t="s">
        <v>175</v>
      </c>
      <c r="B62" s="4"/>
      <c r="D62" s="4" t="s">
        <v>176</v>
      </c>
      <c r="E62" s="4" t="str">
        <f>VLOOKUP(D62,[1]FAST!$A$2:$C$4520,2,0)</f>
        <v>Lá lốt (có cuống)</v>
      </c>
      <c r="F62" s="4" t="str">
        <f>VLOOKUP(D62,[1]FAST!$A$2:$C$4520,3,0)</f>
        <v>kg</v>
      </c>
    </row>
    <row r="63" spans="1:6" x14ac:dyDescent="0.25">
      <c r="A63" s="4" t="s">
        <v>164</v>
      </c>
      <c r="B63" s="4"/>
      <c r="D63" s="4" t="s">
        <v>165</v>
      </c>
      <c r="E63" s="4" t="str">
        <f>VLOOKUP(D63,[1]FAST!$A$2:$C$4520,2,0)</f>
        <v>Lá vừng Hàn Quốc - Lá kê nhíp</v>
      </c>
      <c r="F63" s="4" t="str">
        <f>VLOOKUP(D63,[1]FAST!$A$2:$C$4520,3,0)</f>
        <v>kg</v>
      </c>
    </row>
    <row r="64" spans="1:6" x14ac:dyDescent="0.25">
      <c r="A64" s="4" t="s">
        <v>166</v>
      </c>
      <c r="B64" s="4"/>
      <c r="D64" s="4" t="s">
        <v>165</v>
      </c>
      <c r="E64" s="4" t="str">
        <f>VLOOKUP(D64,[1]FAST!$A$2:$C$4520,2,0)</f>
        <v>Lá vừng Hàn Quốc - Lá kê nhíp</v>
      </c>
      <c r="F64" s="4" t="str">
        <f>VLOOKUP(D64,[1]FAST!$A$2:$C$4520,3,0)</f>
        <v>kg</v>
      </c>
    </row>
    <row r="65" spans="1:6" x14ac:dyDescent="0.25">
      <c r="A65" s="4" t="s">
        <v>183</v>
      </c>
      <c r="B65" s="4"/>
      <c r="D65" s="4" t="s">
        <v>184</v>
      </c>
      <c r="E65" s="4" t="str">
        <f>VLOOKUP(D65,[1]FAST!$A$2:$C$4520,2,0)</f>
        <v>Mồng tơi nhặt</v>
      </c>
      <c r="F65" s="4" t="str">
        <f>VLOOKUP(D65,[1]FAST!$A$2:$C$4520,3,0)</f>
        <v>kg</v>
      </c>
    </row>
    <row r="66" spans="1:6" x14ac:dyDescent="0.25">
      <c r="A66" s="4" t="s">
        <v>32</v>
      </c>
      <c r="B66" s="4" t="str">
        <f>VLOOKUP(A66,'[1]BÁO CÁO CÔNG NỢ_KIỂM TRA_ĐIỀU C'!J64:K453,2,0)</f>
        <v>Kg</v>
      </c>
      <c r="D66" s="4" t="s">
        <v>205</v>
      </c>
      <c r="E66" s="4" t="str">
        <f>VLOOKUP(D66,[1]FAST!$A$2:$C$4520,2,0)</f>
        <v>Mùi ta ( Ngò rí )</v>
      </c>
      <c r="F66" s="4" t="str">
        <f>VLOOKUP(D66,[1]FAST!$A$2:$C$4520,3,0)</f>
        <v>kg</v>
      </c>
    </row>
    <row r="67" spans="1:6" x14ac:dyDescent="0.25">
      <c r="A67" s="4" t="s">
        <v>201</v>
      </c>
      <c r="B67" s="4"/>
      <c r="D67" s="4" t="s">
        <v>202</v>
      </c>
      <c r="E67" s="4" t="str">
        <f>VLOOKUP(D67,[1]FAST!$A$2:$C$4520,2,0)</f>
        <v>Mùi tàu ( Ngò gai )</v>
      </c>
      <c r="F67" s="4" t="str">
        <f>VLOOKUP(D67,[1]FAST!$A$2:$C$4520,3,0)</f>
        <v>kg</v>
      </c>
    </row>
    <row r="68" spans="1:6" x14ac:dyDescent="0.25">
      <c r="A68" s="4" t="s">
        <v>229</v>
      </c>
      <c r="B68" s="4"/>
      <c r="D68" s="4" t="s">
        <v>230</v>
      </c>
      <c r="E68" s="4" t="str">
        <f>VLOOKUP(D68,[1]FAST!$A$2:$C$4520,2,0)</f>
        <v>Rau muống chẻ</v>
      </c>
      <c r="F68" s="4" t="str">
        <f>VLOOKUP(D68,[1]FAST!$A$2:$C$4520,3,0)</f>
        <v>kg</v>
      </c>
    </row>
    <row r="69" spans="1:6" x14ac:dyDescent="0.25">
      <c r="A69" s="4" t="s">
        <v>31</v>
      </c>
      <c r="B69" s="4" t="str">
        <f>VLOOKUP(A69,'[1]BÁO CÁO CÔNG NỢ_KIỂM TRA_ĐIỀU C'!J57:K446,2,0)</f>
        <v>Kg</v>
      </c>
      <c r="D69" s="4" t="s">
        <v>185</v>
      </c>
      <c r="E69" s="4" t="str">
        <f>VLOOKUP(D69,[1]FAST!$A$2:$C$4520,2,0)</f>
        <v>Mướp hương</v>
      </c>
      <c r="F69" s="4" t="str">
        <f>VLOOKUP(D69,[1]FAST!$A$2:$C$4520,3,0)</f>
        <v>kg</v>
      </c>
    </row>
    <row r="70" spans="1:6" x14ac:dyDescent="0.25">
      <c r="A70" s="4" t="s">
        <v>39</v>
      </c>
      <c r="B70" s="4" t="str">
        <f>VLOOKUP(A70,'[1]BÁO CÁO CÔNG NỢ_KIỂM TRA_ĐIỀU C'!J58:K447,2,0)</f>
        <v>Kg</v>
      </c>
      <c r="D70" s="4" t="s">
        <v>189</v>
      </c>
      <c r="E70" s="4" t="str">
        <f>VLOOKUP(D70,[1]FAST!$A$2:$C$4520,2,0)</f>
        <v>Nấm đông cô tươi</v>
      </c>
      <c r="F70" s="4" t="str">
        <f>VLOOKUP(D70,[1]FAST!$A$2:$C$4520,3,0)</f>
        <v>kg</v>
      </c>
    </row>
    <row r="71" spans="1:6" x14ac:dyDescent="0.25">
      <c r="A71" s="4" t="s">
        <v>40</v>
      </c>
      <c r="B71" s="4" t="str">
        <f>VLOOKUP(A71,'[1]BÁO CÁO CÔNG NỢ_KIỂM TRA_ĐIỀU C'!J59:K448,2,0)</f>
        <v>Kg</v>
      </c>
      <c r="D71" s="4" t="s">
        <v>190</v>
      </c>
      <c r="E71" s="4" t="str">
        <f>VLOOKUP(D71,[1]FAST!$A$2:$C$4520,2,0)</f>
        <v>Nấm đùi gà</v>
      </c>
      <c r="F71" s="4" t="str">
        <f>VLOOKUP(D71,[1]FAST!$A$2:$C$4520,3,0)</f>
        <v>kg</v>
      </c>
    </row>
    <row r="72" spans="1:6" x14ac:dyDescent="0.25">
      <c r="A72" s="4" t="s">
        <v>43</v>
      </c>
      <c r="B72" s="4" t="str">
        <f>VLOOKUP(A72,'[1]BÁO CÁO CÔNG NỢ_KIỂM TRA_ĐIỀU C'!J132:K521,2,0)</f>
        <v>Kg</v>
      </c>
      <c r="D72" s="4" t="s">
        <v>191</v>
      </c>
      <c r="E72" s="4" t="str">
        <f>VLOOKUP(D72,[1]FAST!$A$2:$C$4520,2,0)</f>
        <v>Nấm đùi gà baby</v>
      </c>
      <c r="F72" s="4" t="str">
        <f>VLOOKUP(D72,[1]FAST!$A$2:$C$4520,3,0)</f>
        <v>kg</v>
      </c>
    </row>
    <row r="73" spans="1:6" x14ac:dyDescent="0.25">
      <c r="A73" s="41" t="s">
        <v>312</v>
      </c>
      <c r="B73" s="4" t="s">
        <v>17</v>
      </c>
      <c r="D73" s="4" t="s">
        <v>192</v>
      </c>
      <c r="E73" s="4" t="str">
        <f>VLOOKUP(D73,[1]FAST!$A$2:$C$4520,2,0)</f>
        <v>Nấm hải sản</v>
      </c>
      <c r="F73" s="4" t="str">
        <f>VLOOKUP(D73,[1]FAST!$A$2:$C$4520,3,0)</f>
        <v>kg</v>
      </c>
    </row>
    <row r="74" spans="1:6" x14ac:dyDescent="0.25">
      <c r="A74" s="41" t="s">
        <v>67</v>
      </c>
      <c r="B74" s="4" t="str">
        <f>VLOOKUP(A74,'[1]BÁO CÁO CÔNG NỢ_KIỂM TRA_ĐIỀU C'!J60:K449,2,0)</f>
        <v>Kg</v>
      </c>
      <c r="D74" s="4" t="s">
        <v>192</v>
      </c>
      <c r="E74" s="4" t="str">
        <f>VLOOKUP(D74,[1]FAST!$A$2:$C$4520,2,0)</f>
        <v>Nấm hải sản</v>
      </c>
      <c r="F74" s="4" t="str">
        <f>VLOOKUP(D74,[1]FAST!$A$2:$C$4520,3,0)</f>
        <v>kg</v>
      </c>
    </row>
    <row r="75" spans="1:6" x14ac:dyDescent="0.25">
      <c r="A75" s="4" t="s">
        <v>41</v>
      </c>
      <c r="B75" s="4" t="str">
        <f>VLOOKUP(A75,'[1]BÁO CÁO CÔNG NỢ_KIỂM TRA_ĐIỀU C'!J61:K450,2,0)</f>
        <v>Kg</v>
      </c>
      <c r="D75" s="4" t="s">
        <v>193</v>
      </c>
      <c r="E75" s="4" t="str">
        <f>VLOOKUP(D75,[1]FAST!$A$2:$C$4520,2,0)</f>
        <v>Nấm kim châm tươi</v>
      </c>
      <c r="F75" s="4" t="str">
        <f>VLOOKUP(D75,[1]FAST!$A$2:$C$4520,3,0)</f>
        <v>kg</v>
      </c>
    </row>
    <row r="76" spans="1:6" x14ac:dyDescent="0.25">
      <c r="A76" s="4" t="s">
        <v>42</v>
      </c>
      <c r="B76" s="4" t="str">
        <f>VLOOKUP(A76,'[1]BÁO CÁO CÔNG NỢ_KIỂM TRA_ĐIỀU C'!J134:K523,2,0)</f>
        <v>Kg</v>
      </c>
      <c r="D76" s="4" t="s">
        <v>194</v>
      </c>
      <c r="E76" s="4" t="str">
        <f>VLOOKUP(D76,[1]FAST!$A$2:$C$4520,2,0)</f>
        <v>Nấm Linh Chi nâu</v>
      </c>
      <c r="F76" s="4" t="str">
        <f>VLOOKUP(D76,[1]FAST!$A$2:$C$4520,3,0)</f>
        <v>kg</v>
      </c>
    </row>
    <row r="77" spans="1:6" x14ac:dyDescent="0.25">
      <c r="A77" s="4" t="s">
        <v>68</v>
      </c>
      <c r="B77" s="4" t="str">
        <f>VLOOKUP(A77,'[1]BÁO CÁO CÔNG NỢ_KIỂM TRA_ĐIỀU C'!J133:K522,2,0)</f>
        <v>Kg</v>
      </c>
      <c r="D77" s="4" t="s">
        <v>195</v>
      </c>
      <c r="E77" s="4" t="str">
        <f>VLOOKUP(D77,[1]FAST!$A$2:$C$4520,2,0)</f>
        <v>Nấm Linh Chi trắng</v>
      </c>
      <c r="F77" s="4" t="str">
        <f>VLOOKUP(D77,[1]FAST!$A$2:$C$4520,3,0)</f>
        <v>kg</v>
      </c>
    </row>
    <row r="78" spans="1:6" x14ac:dyDescent="0.25">
      <c r="A78" s="4" t="s">
        <v>65</v>
      </c>
      <c r="B78" s="4" t="str">
        <f>VLOOKUP(A78,'[1]BÁO CÁO CÔNG NỢ_KIỂM TRA_ĐIỀU C'!J142:K531,2,0)</f>
        <v>Kg</v>
      </c>
      <c r="D78" s="4" t="s">
        <v>200</v>
      </c>
      <c r="E78" s="4" t="str">
        <f>VLOOKUP(D78,[1]FAST!$A$2:$C$4520,2,0)</f>
        <v>Nấm Mối</v>
      </c>
      <c r="F78" s="4" t="str">
        <f>VLOOKUP(D78,[1]FAST!$A$2:$C$4520,3,0)</f>
        <v>kg</v>
      </c>
    </row>
    <row r="79" spans="1:6" x14ac:dyDescent="0.25">
      <c r="A79" s="4" t="s">
        <v>187</v>
      </c>
      <c r="B79" s="4"/>
      <c r="D79" s="4" t="s">
        <v>188</v>
      </c>
      <c r="E79" s="4" t="str">
        <f>VLOOKUP(D79,[1]FAST!$A$2:$C$4520,2,0)</f>
        <v>Nấm sò nâu</v>
      </c>
      <c r="F79" s="4" t="str">
        <f>VLOOKUP(D79,[1]FAST!$A$2:$C$4520,3,0)</f>
        <v>kg</v>
      </c>
    </row>
    <row r="80" spans="1:6" x14ac:dyDescent="0.25">
      <c r="A80" s="4" t="s">
        <v>59</v>
      </c>
      <c r="B80" s="4" t="str">
        <f>VLOOKUP(A80,'[1]BÁO CÁO CÔNG NỢ_KIỂM TRA_ĐIỀU C'!J131:K520,2,0)</f>
        <v>Kg</v>
      </c>
      <c r="D80" s="4" t="s">
        <v>186</v>
      </c>
      <c r="E80" s="4" t="str">
        <f>VLOOKUP(D80,[1]FAST!$A$2:$C$4520,2,0)</f>
        <v>Nấm sò trắng</v>
      </c>
      <c r="F80" s="4" t="str">
        <f>VLOOKUP(D80,[1]FAST!$A$2:$C$4520,3,0)</f>
        <v>kg</v>
      </c>
    </row>
    <row r="81" spans="1:6" x14ac:dyDescent="0.25">
      <c r="A81" s="4" t="s">
        <v>342</v>
      </c>
      <c r="B81" s="4" t="s">
        <v>17</v>
      </c>
      <c r="D81" s="4" t="s">
        <v>87</v>
      </c>
      <c r="E81" s="4" t="str">
        <f>VLOOKUP(D81,[1]FAST!$A$2:$C$4520,2,0)</f>
        <v>Ngô ngọt ( Bắp trái)</v>
      </c>
      <c r="F81" s="4" t="str">
        <f>VLOOKUP(D81,[1]FAST!$A$2:$C$4520,3,0)</f>
        <v>Cái</v>
      </c>
    </row>
    <row r="82" spans="1:6" x14ac:dyDescent="0.25">
      <c r="A82" s="4" t="s">
        <v>20</v>
      </c>
      <c r="B82" s="4" t="str">
        <f>VLOOKUP(A82,'[1]BÁO CÁO CÔNG NỢ_KIỂM TRA_ĐIỀU C'!J18:K407,2,0)</f>
        <v>Trái</v>
      </c>
      <c r="D82" s="4" t="s">
        <v>87</v>
      </c>
      <c r="E82" s="4" t="str">
        <f>VLOOKUP(D82,[1]FAST!$A$2:$C$4520,2,0)</f>
        <v>Ngô ngọt ( Bắp trái)</v>
      </c>
      <c r="F82" s="4" t="str">
        <f>VLOOKUP(D82,[1]FAST!$A$2:$C$4520,3,0)</f>
        <v>Cái</v>
      </c>
    </row>
    <row r="83" spans="1:6" x14ac:dyDescent="0.25">
      <c r="A83" s="4" t="s">
        <v>34</v>
      </c>
      <c r="B83" s="4" t="str">
        <f>VLOOKUP(A83,'[1]BÁO CÁO CÔNG NỢ_KIỂM TRA_ĐIỀU C'!J179:K568,2,0)</f>
        <v>Kg</v>
      </c>
      <c r="D83" s="4" t="s">
        <v>321</v>
      </c>
      <c r="E83" s="4" t="str">
        <f>VLOOKUP(D83,[1]FAST!$A$2:$C$4520,2,0)</f>
        <v>Ớt chỉ thiên</v>
      </c>
      <c r="F83" s="4" t="str">
        <f>VLOOKUP(D83,[1]FAST!$A$2:$C$4520,3,0)</f>
        <v>kg</v>
      </c>
    </row>
    <row r="84" spans="1:6" x14ac:dyDescent="0.25">
      <c r="A84" s="4" t="s">
        <v>210</v>
      </c>
      <c r="B84" s="4"/>
      <c r="D84" s="4" t="s">
        <v>211</v>
      </c>
      <c r="E84" s="4" t="str">
        <f>VLOOKUP(D84,[1]FAST!$A$2:$C$4520,2,0)</f>
        <v>Ớt đỏ Đà Lạt</v>
      </c>
      <c r="F84" s="4" t="str">
        <f>VLOOKUP(D84,[1]FAST!$A$2:$C$4520,3,0)</f>
        <v>kg</v>
      </c>
    </row>
    <row r="85" spans="1:6" x14ac:dyDescent="0.25">
      <c r="A85" s="4" t="s">
        <v>33</v>
      </c>
      <c r="B85" s="4" t="str">
        <f>VLOOKUP(A85,'[1]BÁO CÁO CÔNG NỢ_KIỂM TRA_ĐIỀU C'!J69:K458,2,0)</f>
        <v>Kg</v>
      </c>
      <c r="D85" s="4" t="s">
        <v>216</v>
      </c>
      <c r="E85" s="4" t="str">
        <f>VLOOKUP(D85,[1]FAST!$A$2:$C$4520,2,0)</f>
        <v>Ớt hiểm đỏ</v>
      </c>
      <c r="F85" s="4" t="str">
        <f>VLOOKUP(D85,[1]FAST!$A$2:$C$4520,3,0)</f>
        <v>kg</v>
      </c>
    </row>
    <row r="86" spans="1:6" x14ac:dyDescent="0.25">
      <c r="A86" s="4" t="s">
        <v>51</v>
      </c>
      <c r="B86" s="4" t="str">
        <f>VLOOKUP(A86,'[1]BÁO CÁO CÔNG NỢ_KIỂM TRA_ĐIỀU C'!J99:K488,2,0)</f>
        <v>Kg</v>
      </c>
      <c r="D86" s="4" t="s">
        <v>217</v>
      </c>
      <c r="E86" s="4" t="str">
        <f>VLOOKUP(D86,[1]FAST!$A$2:$C$4520,2,0)</f>
        <v>Ớt sừng</v>
      </c>
      <c r="F86" s="4" t="str">
        <f>VLOOKUP(D86,[1]FAST!$A$2:$C$4520,3,0)</f>
        <v>kg</v>
      </c>
    </row>
    <row r="87" spans="1:6" x14ac:dyDescent="0.25">
      <c r="A87" s="4" t="s">
        <v>218</v>
      </c>
      <c r="B87" s="4"/>
      <c r="D87" s="4" t="s">
        <v>219</v>
      </c>
      <c r="E87" s="4" t="str">
        <f>VLOOKUP(D87,[1]FAST!$A$2:$C$4520,2,0)</f>
        <v>Ớt sừng xanh</v>
      </c>
      <c r="F87" s="4" t="str">
        <f>VLOOKUP(D87,[1]FAST!$A$2:$C$4520,3,0)</f>
        <v>kg</v>
      </c>
    </row>
    <row r="88" spans="1:6" x14ac:dyDescent="0.25">
      <c r="A88" s="4" t="s">
        <v>60</v>
      </c>
      <c r="B88" s="4" t="str">
        <f>VLOOKUP(A88,'[1]BÁO CÁO CÔNG NỢ_KIỂM TRA_ĐIỀU C'!J94:K483,2,0)</f>
        <v>Kg</v>
      </c>
      <c r="D88" s="4" t="s">
        <v>242</v>
      </c>
      <c r="E88" s="4" t="str">
        <f>VLOOKUP(D88,[1]FAST!$A$2:$C$4520,2,0)</f>
        <v>Quất ( Tắc trái )</v>
      </c>
      <c r="F88" s="4" t="str">
        <f>VLOOKUP(D88,[1]FAST!$A$2:$C$4520,3,0)</f>
        <v>kg</v>
      </c>
    </row>
    <row r="89" spans="1:6" x14ac:dyDescent="0.25">
      <c r="A89" s="4" t="s">
        <v>220</v>
      </c>
      <c r="B89" s="4"/>
      <c r="D89" s="4" t="s">
        <v>221</v>
      </c>
      <c r="E89" s="4" t="str">
        <f>VLOOKUP(D89,[1]FAST!$A$2:$C$4520,2,0)</f>
        <v>Quế vị</v>
      </c>
      <c r="F89" s="4" t="str">
        <f>VLOOKUP(D89,[1]FAST!$A$2:$C$4520,3,0)</f>
        <v>kg</v>
      </c>
    </row>
    <row r="90" spans="1:6" x14ac:dyDescent="0.25">
      <c r="A90" s="4" t="s">
        <v>222</v>
      </c>
      <c r="B90" s="4"/>
      <c r="D90" s="4" t="s">
        <v>221</v>
      </c>
      <c r="E90" s="4" t="str">
        <f>VLOOKUP(D90,[1]FAST!$A$2:$C$4520,2,0)</f>
        <v>Quế vị</v>
      </c>
      <c r="F90" s="4" t="str">
        <f>VLOOKUP(D90,[1]FAST!$A$2:$C$4520,3,0)</f>
        <v>kg</v>
      </c>
    </row>
    <row r="91" spans="1:6" x14ac:dyDescent="0.25">
      <c r="A91" s="4" t="s">
        <v>35</v>
      </c>
      <c r="B91" s="4" t="str">
        <f>VLOOKUP(A91,'[1]BÁO CÁO CÔNG NỢ_KIỂM TRA_ĐIỀU C'!J76:K465,2,0)</f>
        <v>Kg</v>
      </c>
      <c r="D91" s="4" t="s">
        <v>231</v>
      </c>
      <c r="E91" s="4" t="str">
        <f>VLOOKUP(D91,[1]FAST!$A$2:$C$4520,2,0)</f>
        <v>Rau răm</v>
      </c>
      <c r="F91" s="4" t="str">
        <f>VLOOKUP(D91,[1]FAST!$A$2:$C$4520,3,0)</f>
        <v>kg</v>
      </c>
    </row>
    <row r="92" spans="1:6" x14ac:dyDescent="0.25">
      <c r="A92" s="4" t="s">
        <v>223</v>
      </c>
      <c r="B92" s="4"/>
      <c r="D92" s="4" t="s">
        <v>224</v>
      </c>
      <c r="E92" s="4" t="str">
        <f>VLOOKUP(D92,[1]FAST!$A$2:$C$4520,2,0)</f>
        <v>Rau càng cua</v>
      </c>
      <c r="F92" s="4" t="str">
        <f>VLOOKUP(D92,[1]FAST!$A$2:$C$4520,3,0)</f>
        <v>kg</v>
      </c>
    </row>
    <row r="93" spans="1:6" x14ac:dyDescent="0.25">
      <c r="A93" s="4" t="s">
        <v>227</v>
      </c>
      <c r="B93" s="4"/>
      <c r="D93" s="4" t="s">
        <v>228</v>
      </c>
      <c r="E93" s="4" t="str">
        <f>VLOOKUP(D93,[1]FAST!$A$2:$C$4520,2,0)</f>
        <v>Rau má</v>
      </c>
      <c r="F93" s="4" t="str">
        <f>VLOOKUP(D93,[1]FAST!$A$2:$C$4520,3,0)</f>
        <v>kg</v>
      </c>
    </row>
    <row r="94" spans="1:6" x14ac:dyDescent="0.25">
      <c r="A94" s="4" t="s">
        <v>48</v>
      </c>
      <c r="B94" s="4" t="str">
        <f>VLOOKUP(A94,'[1]BÁO CÁO CÔNG NỢ_KIỂM TRA_ĐIỀU C'!J138:K527,2,0)</f>
        <v>Kg</v>
      </c>
      <c r="D94" s="4" t="s">
        <v>228</v>
      </c>
      <c r="E94" s="4" t="str">
        <f>VLOOKUP(D94,[1]FAST!$A$2:$C$4520,2,0)</f>
        <v>Rau má</v>
      </c>
      <c r="F94" s="4" t="str">
        <f>VLOOKUP(D94,[1]FAST!$A$2:$C$4520,3,0)</f>
        <v>kg</v>
      </c>
    </row>
    <row r="95" spans="1:6" x14ac:dyDescent="0.25">
      <c r="A95" s="4" t="s">
        <v>66</v>
      </c>
      <c r="B95" s="4" t="str">
        <f>VLOOKUP(A95,'[1]BÁO CÁO CÔNG NỢ_KIỂM TRA_ĐIỀU C'!J65:K454,2,0)</f>
        <v>Kg</v>
      </c>
      <c r="D95" s="4" t="s">
        <v>206</v>
      </c>
      <c r="E95" s="4" t="str">
        <f>VLOOKUP(D95,[1]FAST!$A$2:$C$4520,2,0)</f>
        <v>Rau mùi tây</v>
      </c>
      <c r="F95" s="4" t="str">
        <f>VLOOKUP(D95,[1]FAST!$A$2:$C$4520,3,0)</f>
        <v>kg</v>
      </c>
    </row>
    <row r="96" spans="1:6" x14ac:dyDescent="0.25">
      <c r="A96" s="4" t="s">
        <v>203</v>
      </c>
      <c r="B96" s="4"/>
      <c r="D96" s="4" t="s">
        <v>204</v>
      </c>
      <c r="E96" s="4" t="str">
        <f>VLOOKUP(D96,[1]FAST!$A$2:$C$4520,2,0)</f>
        <v>Rau ngổ</v>
      </c>
      <c r="F96" s="4" t="str">
        <f>VLOOKUP(D96,[1]FAST!$A$2:$C$4520,3,0)</f>
        <v>kg</v>
      </c>
    </row>
    <row r="97" spans="1:6" x14ac:dyDescent="0.25">
      <c r="A97" s="4" t="s">
        <v>62</v>
      </c>
      <c r="B97" s="4" t="str">
        <f>VLOOKUP(A97,'[1]BÁO CÁO CÔNG NỢ_KIỂM TRA_ĐIỀU C'!J140:K529,2,0)</f>
        <v>Kg</v>
      </c>
      <c r="D97" s="4" t="s">
        <v>269</v>
      </c>
      <c r="E97" s="4" t="str">
        <f>VLOOKUP(D97,[1]FAST!$A$2:$C$4520,2,0)</f>
        <v>Xà lách Rocket</v>
      </c>
      <c r="F97" s="4" t="str">
        <f>VLOOKUP(D97,[1]FAST!$A$2:$C$4520,3,0)</f>
        <v>kg</v>
      </c>
    </row>
    <row r="98" spans="1:6" x14ac:dyDescent="0.25">
      <c r="A98" s="4" t="s">
        <v>36</v>
      </c>
      <c r="B98" s="4" t="str">
        <f>VLOOKUP(A98,'[1]BÁO CÁO CÔNG NỢ_KIỂM TRA_ĐIỀU C'!J79:K468,2,0)</f>
        <v>Kg</v>
      </c>
      <c r="D98" s="4" t="s">
        <v>237</v>
      </c>
      <c r="E98" s="4" t="str">
        <f>VLOOKUP(D98,[1]FAST!$A$2:$C$4520,2,0)</f>
        <v>Sả cây</v>
      </c>
      <c r="F98" s="4" t="str">
        <f>VLOOKUP(D98,[1]FAST!$A$2:$C$4520,3,0)</f>
        <v>kg</v>
      </c>
    </row>
    <row r="99" spans="1:6" x14ac:dyDescent="0.25">
      <c r="A99" s="4" t="s">
        <v>50</v>
      </c>
      <c r="B99" s="4" t="str">
        <f>VLOOKUP(A99,'[1]BÁO CÁO CÔNG NỢ_KIỂM TRA_ĐIỀU C'!J20:K409,2,0)</f>
        <v>Kg</v>
      </c>
      <c r="D99" s="4" t="s">
        <v>96</v>
      </c>
      <c r="E99" s="4" t="str">
        <f>VLOOKUP(D99,[1]FAST!$A$2:$C$4520,2,0)</f>
        <v>Súp lơ xanh</v>
      </c>
      <c r="F99" s="4" t="str">
        <f>VLOOKUP(D99,[1]FAST!$A$2:$C$4520,3,0)</f>
        <v>kg</v>
      </c>
    </row>
    <row r="100" spans="1:6" x14ac:dyDescent="0.25">
      <c r="A100" s="4" t="s">
        <v>240</v>
      </c>
      <c r="B100" s="4"/>
      <c r="D100" s="4" t="s">
        <v>241</v>
      </c>
      <c r="E100" s="4" t="str">
        <f>VLOOKUP(D100,[1]FAST!$A$2:$C$4520,2,0)</f>
        <v>Su su quả</v>
      </c>
      <c r="F100" s="4" t="str">
        <f>VLOOKUP(D100,[1]FAST!$A$2:$C$4520,3,0)</f>
        <v>kg</v>
      </c>
    </row>
    <row r="101" spans="1:6" x14ac:dyDescent="0.25">
      <c r="A101" s="4" t="s">
        <v>58</v>
      </c>
      <c r="B101" s="4" t="str">
        <f>VLOOKUP(A101,'[1]BÁO CÁO CÔNG NỢ_KIỂM TRA_ĐIỀU C'!J146:K535,2,0)</f>
        <v>Kg</v>
      </c>
      <c r="D101" s="4" t="s">
        <v>249</v>
      </c>
      <c r="E101" s="4" t="str">
        <f>VLOOKUP(D101,[1]FAST!$A$2:$C$4520,2,0)</f>
        <v>Thì là</v>
      </c>
      <c r="F101" s="4" t="str">
        <f>VLOOKUP(D101,[1]FAST!$A$2:$C$4520,3,0)</f>
        <v>kg</v>
      </c>
    </row>
    <row r="102" spans="1:6" x14ac:dyDescent="0.25">
      <c r="A102" s="4" t="s">
        <v>232</v>
      </c>
      <c r="B102" s="4"/>
      <c r="D102" s="4" t="s">
        <v>233</v>
      </c>
      <c r="E102" s="4" t="str">
        <f>VLOOKUP(D102,[1]FAST!$A$2:$C$4520,2,0)</f>
        <v>Tía tô</v>
      </c>
      <c r="F102" s="4" t="str">
        <f>VLOOKUP(D102,[1]FAST!$A$2:$C$4520,3,0)</f>
        <v>kg</v>
      </c>
    </row>
    <row r="103" spans="1:6" x14ac:dyDescent="0.25">
      <c r="A103" s="4" t="s">
        <v>78</v>
      </c>
      <c r="B103" s="4"/>
      <c r="D103" s="4" t="s">
        <v>256</v>
      </c>
      <c r="E103" s="4" t="str">
        <f>VLOOKUP(D103,[1]FAST!$A$2:$C$4520,2,0)</f>
        <v>Tiêu xanh</v>
      </c>
      <c r="F103" s="4" t="str">
        <f>VLOOKUP(D103,[1]FAST!$A$2:$C$4520,3,0)</f>
        <v>kg</v>
      </c>
    </row>
    <row r="104" spans="1:6" x14ac:dyDescent="0.25">
      <c r="A104" s="4" t="s">
        <v>339</v>
      </c>
      <c r="B104" s="4" t="s">
        <v>17</v>
      </c>
      <c r="D104" s="4" t="s">
        <v>259</v>
      </c>
      <c r="E104" s="4" t="str">
        <f>VLOOKUP(D104,[1]FAST!$A$2:$C$4520,2,0)</f>
        <v>Tỏi bóc</v>
      </c>
      <c r="F104" s="4" t="str">
        <f>VLOOKUP(D104,[1]FAST!$A$2:$C$4520,3,0)</f>
        <v>kg</v>
      </c>
    </row>
    <row r="105" spans="1:6" x14ac:dyDescent="0.25">
      <c r="A105" s="4" t="s">
        <v>38</v>
      </c>
      <c r="B105" s="4" t="str">
        <f>VLOOKUP(A105,'[1]BÁO CÁO CÔNG NỢ_KIỂM TRA_ĐIỀU C'!J115:K504,2,0)</f>
        <v>Kg</v>
      </c>
      <c r="D105" s="4" t="s">
        <v>259</v>
      </c>
      <c r="E105" s="4" t="str">
        <f>VLOOKUP(D105,[1]FAST!$A$2:$C$4520,2,0)</f>
        <v>Tỏi bóc</v>
      </c>
      <c r="F105" s="4" t="str">
        <f>VLOOKUP(D105,[1]FAST!$A$2:$C$4520,3,0)</f>
        <v>kg</v>
      </c>
    </row>
    <row r="106" spans="1:6" x14ac:dyDescent="0.25">
      <c r="A106" s="4" t="s">
        <v>260</v>
      </c>
      <c r="B106" s="4"/>
      <c r="D106" s="4" t="s">
        <v>259</v>
      </c>
      <c r="E106" s="4" t="str">
        <f>VLOOKUP(D106,[1]FAST!$A$2:$C$4520,2,0)</f>
        <v>Tỏi bóc</v>
      </c>
      <c r="F106" s="4" t="str">
        <f>VLOOKUP(D106,[1]FAST!$A$2:$C$4520,3,0)</f>
        <v>kg</v>
      </c>
    </row>
    <row r="107" spans="1:6" x14ac:dyDescent="0.25">
      <c r="A107" s="4" t="s">
        <v>257</v>
      </c>
      <c r="B107" s="4"/>
      <c r="D107" s="4" t="s">
        <v>258</v>
      </c>
      <c r="E107" s="4" t="str">
        <f>VLOOKUP(D107,[1]FAST!$A$2:$C$4520,2,0)</f>
        <v>Tỏi ta</v>
      </c>
      <c r="F107" s="4" t="str">
        <f>VLOOKUP(D107,[1]FAST!$A$2:$C$4520,3,0)</f>
        <v>kg</v>
      </c>
    </row>
    <row r="108" spans="1:6" x14ac:dyDescent="0.25">
      <c r="A108" s="4" t="s">
        <v>267</v>
      </c>
      <c r="B108" s="4"/>
      <c r="D108" s="4" t="s">
        <v>268</v>
      </c>
      <c r="E108" s="4" t="str">
        <f>VLOOKUP(D108,[1]FAST!$A$2:$C$4520,2,0)</f>
        <v>Xà lách</v>
      </c>
      <c r="F108" s="4" t="str">
        <f>VLOOKUP(D108,[1]FAST!$A$2:$C$4520,3,0)</f>
        <v>kg</v>
      </c>
    </row>
    <row r="109" spans="1:6" x14ac:dyDescent="0.25">
      <c r="A109" s="4" t="s">
        <v>77</v>
      </c>
      <c r="B109" s="4"/>
      <c r="D109" s="4" t="s">
        <v>264</v>
      </c>
      <c r="E109" s="4" t="str">
        <f>VLOOKUP(D109,[1]FAST!$A$2:$C$4520,2,0)</f>
        <v>Xà lách cuộn</v>
      </c>
      <c r="F109" s="4" t="str">
        <f>VLOOKUP(D109,[1]FAST!$A$2:$C$4520,3,0)</f>
        <v>kg</v>
      </c>
    </row>
    <row r="110" spans="1:6" x14ac:dyDescent="0.25">
      <c r="A110" s="4" t="s">
        <v>37</v>
      </c>
      <c r="B110" s="4" t="str">
        <f>VLOOKUP(A110,'[1]BÁO CÁO CÔNG NỢ_KIỂM TRA_ĐIỀU C'!J88:K477,2,0)</f>
        <v>Kg</v>
      </c>
      <c r="D110" s="4" t="s">
        <v>270</v>
      </c>
      <c r="E110" s="4" t="str">
        <f>VLOOKUP(D110,[1]FAST!$A$2:$C$4520,2,0)</f>
        <v>Xà lách Roman</v>
      </c>
      <c r="F110" s="4" t="str">
        <f>VLOOKUP(D110,[1]FAST!$A$2:$C$4520,3,0)</f>
        <v>kg</v>
      </c>
    </row>
    <row r="111" spans="1:6" x14ac:dyDescent="0.25">
      <c r="A111" s="4" t="s">
        <v>265</v>
      </c>
      <c r="B111" s="4"/>
      <c r="D111" s="4" t="s">
        <v>266</v>
      </c>
      <c r="E111" s="4" t="str">
        <f>VLOOKUP(D111,[1]FAST!$A$2:$C$4520,2,0)</f>
        <v>Xà lách tím</v>
      </c>
      <c r="F111" s="4" t="str">
        <f>VLOOKUP(D111,[1]FAST!$A$2:$C$4520,3,0)</f>
        <v>kg</v>
      </c>
    </row>
    <row r="112" spans="1:6" x14ac:dyDescent="0.25">
      <c r="A112" s="4" t="s">
        <v>212</v>
      </c>
      <c r="B112" s="4"/>
      <c r="D112" s="4" t="s">
        <v>213</v>
      </c>
      <c r="E112" s="4" t="str">
        <f>VLOOKUP(D112,[1]FAST!$A$2:$C$4520,2,0)</f>
        <v>Ớt vàng Đà Lạt</v>
      </c>
      <c r="F112" s="4" t="str">
        <f>VLOOKUP(D112,[1]FAST!$A$2:$C$4520,3,0)</f>
        <v>kg</v>
      </c>
    </row>
    <row r="113" spans="1:6" x14ac:dyDescent="0.25">
      <c r="A113" s="4" t="s">
        <v>214</v>
      </c>
      <c r="B113" s="4"/>
      <c r="D113" s="4" t="s">
        <v>215</v>
      </c>
      <c r="E113" s="4" t="str">
        <f>VLOOKUP(D113,[1]FAST!$A$2:$C$4520,2,0)</f>
        <v>Ớt xanh Đà Lạt</v>
      </c>
      <c r="F113" s="4" t="str">
        <f>VLOOKUP(D113,[1]FAST!$A$2:$C$4520,3,0)</f>
        <v>kg</v>
      </c>
    </row>
    <row r="114" spans="1:6" x14ac:dyDescent="0.25">
      <c r="A114" s="4" t="s">
        <v>108</v>
      </c>
      <c r="B114" s="4"/>
      <c r="D114" s="4" t="s">
        <v>109</v>
      </c>
      <c r="E114" s="4" t="str">
        <f>VLOOKUP(D114,[1]FAST!$A$2:$C$4520,2,0)</f>
        <v>Cải chua nguyên cây</v>
      </c>
      <c r="F114" s="4" t="str">
        <f>VLOOKUP(D114,[1]FAST!$A$2:$C$4520,3,0)</f>
        <v>kg</v>
      </c>
    </row>
    <row r="115" spans="1:6" x14ac:dyDescent="0.25">
      <c r="A115" s="4" t="s">
        <v>133</v>
      </c>
      <c r="B115" s="4"/>
      <c r="D115" s="4" t="s">
        <v>134</v>
      </c>
      <c r="E115" s="4" t="str">
        <f>VLOOKUP(D115,[1]FAST!$A$2:$C$4520,2,0)</f>
        <v>Đậu cove Pháp</v>
      </c>
      <c r="F115" s="4" t="str">
        <f>VLOOKUP(D115,[1]FAST!$A$2:$C$4520,3,0)</f>
        <v>kg</v>
      </c>
    </row>
    <row r="116" spans="1:6" x14ac:dyDescent="0.25">
      <c r="A116" s="4" t="s">
        <v>64</v>
      </c>
      <c r="B116" s="4" t="str">
        <f>VLOOKUP(A116,'[1]BÁO CÁO CÔNG NỢ_KIỂM TRA_ĐIỀU C'!J167:K556,2,0)</f>
        <v>Kg</v>
      </c>
      <c r="D116" s="4" t="s">
        <v>198</v>
      </c>
      <c r="E116" s="4" t="str">
        <f>VLOOKUP(D116,[1]FAST!$A$2:$C$4520,2,0)</f>
        <v>Nấm mỡ đen</v>
      </c>
      <c r="F116" s="4" t="str">
        <f>VLOOKUP(D116,[1]FAST!$A$2:$C$4520,3,0)</f>
        <v>kg</v>
      </c>
    </row>
    <row r="117" spans="1:6" x14ac:dyDescent="0.25">
      <c r="A117" s="4" t="s">
        <v>199</v>
      </c>
      <c r="B117" s="4"/>
      <c r="D117" s="4" t="s">
        <v>198</v>
      </c>
      <c r="E117" s="4" t="str">
        <f>VLOOKUP(D117,[1]FAST!$A$2:$C$4520,2,0)</f>
        <v>Nấm mỡ đen</v>
      </c>
      <c r="F117" s="4" t="str">
        <f>VLOOKUP(D117,[1]FAST!$A$2:$C$4520,3,0)</f>
        <v>kg</v>
      </c>
    </row>
    <row r="118" spans="1:6" x14ac:dyDescent="0.25">
      <c r="A118" s="4" t="s">
        <v>238</v>
      </c>
      <c r="B118" s="4"/>
      <c r="D118" s="4" t="s">
        <v>239</v>
      </c>
      <c r="E118" s="4" t="str">
        <f>VLOOKUP(D118,[1]FAST!$A$2:$C$4520,2,0)</f>
        <v>Lá sao nhái</v>
      </c>
      <c r="F118" s="4" t="str">
        <f>VLOOKUP(D118,[1]FAST!$A$2:$C$4520,3,0)</f>
        <v>kg</v>
      </c>
    </row>
    <row r="119" spans="1:6" x14ac:dyDescent="0.25">
      <c r="A119" s="4" t="s">
        <v>55</v>
      </c>
      <c r="B119" s="4" t="str">
        <f>VLOOKUP(A119,'[1]BÁO CÁO CÔNG NỢ_KIỂM TRA_ĐIỀU C'!J89:K478,2,0)</f>
        <v>Kg</v>
      </c>
      <c r="D119" s="4" t="s">
        <v>116</v>
      </c>
      <c r="E119" s="4" t="str">
        <f>VLOOKUP(D119,[1]FAST!$A$2:$C$4520,2,0)</f>
        <v>Rau Cần Tàu</v>
      </c>
      <c r="F119" s="4" t="str">
        <f>VLOOKUP(D119,[1]FAST!$A$2:$C$4520,3,0)</f>
        <v>kg</v>
      </c>
    </row>
    <row r="120" spans="1:6" x14ac:dyDescent="0.25">
      <c r="A120" s="4" t="s">
        <v>173</v>
      </c>
      <c r="B120" s="4"/>
      <c r="D120" s="4" t="s">
        <v>174</v>
      </c>
      <c r="E120" s="4" t="str">
        <f>VLOOKUP(D120,[1]FAST!$A$2:$C$4520,2,0)</f>
        <v>Lá giang</v>
      </c>
      <c r="F120" s="4" t="str">
        <f>VLOOKUP(D120,[1]FAST!$A$2:$C$4520,3,0)</f>
        <v>kg</v>
      </c>
    </row>
    <row r="121" spans="1:6" x14ac:dyDescent="0.25">
      <c r="A121" s="4" t="s">
        <v>88</v>
      </c>
      <c r="B121" s="4"/>
      <c r="D121" s="4" t="s">
        <v>89</v>
      </c>
      <c r="E121" s="4" t="str">
        <f>VLOOKUP(D121,[1]FAST!$A$2:$C$4520,2,0)</f>
        <v>Bầu</v>
      </c>
      <c r="F121" s="4" t="str">
        <f>VLOOKUP(D121,[1]FAST!$A$2:$C$4520,3,0)</f>
        <v>kg</v>
      </c>
    </row>
    <row r="122" spans="1:6" x14ac:dyDescent="0.25">
      <c r="A122" s="4" t="s">
        <v>75</v>
      </c>
      <c r="B122" s="4" t="str">
        <f>VLOOKUP(A122,'[1]BÁO CÁO CÔNG NỢ_KIỂM TRA_ĐIỀU C'!J168:K557,2,0)</f>
        <v>Kg</v>
      </c>
      <c r="D122" s="4" t="s">
        <v>172</v>
      </c>
      <c r="E122" s="4" t="str">
        <f>VLOOKUP(D122,[1]FAST!$A$2:$C$4520,2,0)</f>
        <v>Lá Dứa</v>
      </c>
      <c r="F122" s="4" t="str">
        <f>VLOOKUP(D122,[1]FAST!$A$2:$C$4520,3,0)</f>
        <v>kg</v>
      </c>
    </row>
    <row r="123" spans="1:6" x14ac:dyDescent="0.25">
      <c r="A123" s="4" t="s">
        <v>54</v>
      </c>
      <c r="B123" s="4" t="str">
        <f>VLOOKUP(A123,'[1]BÁO CÁO CÔNG NỢ_KIỂM TRA_ĐIỀU C'!J178:K567,2,0)</f>
        <v>Kg</v>
      </c>
      <c r="D123" s="4" t="s">
        <v>85</v>
      </c>
      <c r="E123" s="4" t="str">
        <f>VLOOKUP(D123,[1]FAST!$A$2:$C$4520,2,0)</f>
        <v>Bánh ướt</v>
      </c>
      <c r="F123" s="4" t="str">
        <f>VLOOKUP(D123,[1]FAST!$A$2:$C$4520,3,0)</f>
        <v>kg</v>
      </c>
    </row>
    <row r="124" spans="1:6" x14ac:dyDescent="0.25">
      <c r="A124" s="4" t="s">
        <v>328</v>
      </c>
      <c r="B124" s="4" t="s">
        <v>17</v>
      </c>
      <c r="D124" s="4" t="s">
        <v>337</v>
      </c>
      <c r="E124" s="4" t="str">
        <f>VLOOKUP(D124,[1]FAST!$A$2:$C$4520,2,0)</f>
        <v>Cải bó xôi</v>
      </c>
      <c r="F124" s="4" t="str">
        <f>VLOOKUP(D124,[1]FAST!$A$2:$C$4520,3,0)</f>
        <v>kg</v>
      </c>
    </row>
    <row r="125" spans="1:6" x14ac:dyDescent="0.25">
      <c r="A125" s="4" t="s">
        <v>163</v>
      </c>
      <c r="B125" s="4"/>
      <c r="D125" s="4" t="s">
        <v>338</v>
      </c>
      <c r="E125" s="4" t="str">
        <f>VLOOKUP(D125,[1]FAST!$A$2:$C$4520,2,0)</f>
        <v>Khoai môn</v>
      </c>
      <c r="F125" s="4" t="str">
        <f>VLOOKUP(D125,[1]FAST!$A$2:$C$4520,3,0)</f>
        <v>kg</v>
      </c>
    </row>
    <row r="126" spans="1:6" x14ac:dyDescent="0.25">
      <c r="A126" s="4" t="s">
        <v>113</v>
      </c>
      <c r="B126" s="4"/>
      <c r="D126" s="4" t="s">
        <v>114</v>
      </c>
      <c r="E126" s="4" t="str">
        <f>VLOOKUP(D126,[1]FAST!$A$2:$C$4520,2,0)</f>
        <v>Cam sành</v>
      </c>
      <c r="F126" s="4" t="str">
        <f>VLOOKUP(D126,[1]FAST!$A$2:$C$4520,3,0)</f>
        <v>kg</v>
      </c>
    </row>
    <row r="127" spans="1:6" x14ac:dyDescent="0.25">
      <c r="A127" s="4" t="s">
        <v>130</v>
      </c>
      <c r="B127" s="4"/>
      <c r="D127" s="4" t="s">
        <v>341</v>
      </c>
      <c r="E127" s="4" t="str">
        <f>VLOOKUP(D127,[1]FAST!$A$2:$C$4520,2,0)</f>
        <v>Củ Đậu (Củ Sắn)</v>
      </c>
      <c r="F127" s="4" t="str">
        <f>VLOOKUP(D127,[1]FAST!$A$2:$C$4520,3,0)</f>
        <v>kg</v>
      </c>
    </row>
    <row r="128" spans="1:6" x14ac:dyDescent="0.25">
      <c r="A128" s="4" t="s">
        <v>47</v>
      </c>
      <c r="B128" s="4" t="str">
        <f>VLOOKUP(A128,'[1]BÁO CÁO CÔNG NỢ_KIỂM TRA_ĐIỀU C'!J38:K427,2,0)</f>
        <v>Kg</v>
      </c>
      <c r="D128" s="4" t="s">
        <v>144</v>
      </c>
      <c r="E128" s="4" t="str">
        <f>VLOOKUP(D128,[1]FAST!$A$2:$C$4520,2,0)</f>
        <v>Dưa hấu</v>
      </c>
      <c r="F128" s="4" t="str">
        <f>VLOOKUP(D128,[1]FAST!$A$2:$C$4520,3,0)</f>
        <v>kg</v>
      </c>
    </row>
    <row r="129" spans="1:6" x14ac:dyDescent="0.25">
      <c r="A129" s="4" t="s">
        <v>207</v>
      </c>
      <c r="B129" s="4"/>
      <c r="D129" s="4" t="s">
        <v>208</v>
      </c>
      <c r="E129" s="4" t="str">
        <f>VLOOKUP(D129,[1]FAST!$A$2:$C$4520,2,0)</f>
        <v>Ổi (Tráng miệng)</v>
      </c>
      <c r="F129" s="4" t="str">
        <f>VLOOKUP(D129,[1]FAST!$A$2:$C$4520,3,0)</f>
        <v>kg</v>
      </c>
    </row>
    <row r="130" spans="1:6" x14ac:dyDescent="0.25">
      <c r="A130" s="4" t="s">
        <v>209</v>
      </c>
      <c r="B130" s="4"/>
      <c r="D130" s="4" t="s">
        <v>208</v>
      </c>
      <c r="E130" s="4" t="str">
        <f>VLOOKUP(D130,[1]FAST!$A$2:$C$4520,2,0)</f>
        <v>Ổi (Tráng miệng)</v>
      </c>
      <c r="F130" s="4" t="str">
        <f>VLOOKUP(D130,[1]FAST!$A$2:$C$4520,3,0)</f>
        <v>kg</v>
      </c>
    </row>
    <row r="131" spans="1:6" x14ac:dyDescent="0.25">
      <c r="A131" s="4" t="s">
        <v>245</v>
      </c>
      <c r="B131" s="4"/>
      <c r="D131" s="4" t="s">
        <v>246</v>
      </c>
      <c r="E131" s="4" t="str">
        <f>VLOOKUP(D131,[1]FAST!$A$2:$C$4520,2,0)</f>
        <v>Táo (tráng miệng)</v>
      </c>
      <c r="F131" s="4" t="str">
        <f>VLOOKUP(D131,[1]FAST!$A$2:$C$4520,3,0)</f>
        <v>kg</v>
      </c>
    </row>
    <row r="132" spans="1:6" x14ac:dyDescent="0.25">
      <c r="A132" s="4" t="s">
        <v>250</v>
      </c>
      <c r="B132" s="4"/>
      <c r="D132" s="4" t="s">
        <v>251</v>
      </c>
      <c r="E132" s="4" t="str">
        <f>VLOOKUP(D132,[1]FAST!$A$2:$C$4520,2,0)</f>
        <v>Dứa quả (Đồ Bar)</v>
      </c>
      <c r="F132" s="4" t="str">
        <f>VLOOKUP(D132,[1]FAST!$A$2:$C$4520,3,0)</f>
        <v>Quả</v>
      </c>
    </row>
    <row r="133" spans="1:6" x14ac:dyDescent="0.25">
      <c r="A133" s="4" t="s">
        <v>252</v>
      </c>
      <c r="B133" s="4"/>
      <c r="D133" s="4" t="s">
        <v>251</v>
      </c>
      <c r="E133" s="4" t="str">
        <f>VLOOKUP(D133,[1]FAST!$A$2:$C$4520,2,0)</f>
        <v>Dứa quả (Đồ Bar)</v>
      </c>
      <c r="F133" s="4" t="str">
        <f>VLOOKUP(D133,[1]FAST!$A$2:$C$4520,3,0)</f>
        <v>Quả</v>
      </c>
    </row>
    <row r="134" spans="1:6" x14ac:dyDescent="0.25">
      <c r="A134" s="4" t="s">
        <v>255</v>
      </c>
      <c r="B134" s="4"/>
      <c r="D134" s="4" t="s">
        <v>251</v>
      </c>
      <c r="E134" s="4" t="str">
        <f>VLOOKUP(D134,[1]FAST!$A$2:$C$4520,2,0)</f>
        <v>Dứa quả (Đồ Bar)</v>
      </c>
      <c r="F134" s="4" t="str">
        <f>VLOOKUP(D134,[1]FAST!$A$2:$C$4520,3,0)</f>
        <v>Quả</v>
      </c>
    </row>
    <row r="135" spans="1:6" x14ac:dyDescent="0.25">
      <c r="A135" s="4" t="s">
        <v>271</v>
      </c>
      <c r="B135" s="4"/>
      <c r="D135" s="4" t="s">
        <v>272</v>
      </c>
      <c r="E135" s="4" t="str">
        <f>VLOOKUP(D135,[1]FAST!$A$2:$C$4520,2,0)</f>
        <v>Xoài (tráng miệng)</v>
      </c>
      <c r="F135" s="4" t="str">
        <f>VLOOKUP(D135,[1]FAST!$A$2:$C$4520,3,0)</f>
        <v>kg</v>
      </c>
    </row>
    <row r="136" spans="1:6" x14ac:dyDescent="0.25">
      <c r="A136" s="4" t="s">
        <v>247</v>
      </c>
      <c r="B136" s="4"/>
      <c r="D136" s="4" t="s">
        <v>248</v>
      </c>
      <c r="E136" s="4" t="str">
        <f>VLOOKUP(D136,[1]FAST!$A$2:$C$4520,2,0)</f>
        <v>Táo quả (Đồ Bar)</v>
      </c>
      <c r="F136" s="4" t="str">
        <f>VLOOKUP(D136,[1]FAST!$A$2:$C$4520,3,0)</f>
        <v>kg</v>
      </c>
    </row>
    <row r="137" spans="1:6" x14ac:dyDescent="0.25">
      <c r="A137" s="4" t="s">
        <v>72</v>
      </c>
      <c r="B137" s="4" t="str">
        <f>VLOOKUP(A137,'[1]BÁO CÁO CÔNG NỢ_KIỂM TRA_ĐIỀU C'!J176:K565,2,0)</f>
        <v>Kg</v>
      </c>
      <c r="D137" s="4" t="s">
        <v>115</v>
      </c>
      <c r="E137" s="4" t="str">
        <f>VLOOKUP(D137,[1]FAST!$A$2:$C$4520,2,0)</f>
        <v>Cam vàng</v>
      </c>
      <c r="F137" s="4" t="str">
        <f>VLOOKUP(D137,[1]FAST!$A$2:$C$4520,3,0)</f>
        <v>kg</v>
      </c>
    </row>
    <row r="138" spans="1:6" x14ac:dyDescent="0.25">
      <c r="A138" s="4" t="s">
        <v>74</v>
      </c>
      <c r="B138" s="4" t="str">
        <f>VLOOKUP(A138,'[1]BÁO CÁO CÔNG NỢ_KIỂM TRA_ĐIỀU C'!J177:K566,2,0)</f>
        <v>Kg</v>
      </c>
      <c r="D138" s="4" t="s">
        <v>123</v>
      </c>
      <c r="E138" s="4" t="str">
        <f>VLOOKUP(D138,[1]FAST!$A$2:$C$4520,2,0)</f>
        <v>Chanh vàng</v>
      </c>
      <c r="F138" s="4" t="str">
        <f>VLOOKUP(D138,[1]FAST!$A$2:$C$4520,3,0)</f>
        <v>kg</v>
      </c>
    </row>
    <row r="139" spans="1:6" x14ac:dyDescent="0.25">
      <c r="A139" s="4" t="s">
        <v>345</v>
      </c>
      <c r="B139" s="4" t="s">
        <v>340</v>
      </c>
      <c r="D139" s="4" t="s">
        <v>193</v>
      </c>
      <c r="E139" s="4" t="str">
        <f>VLOOKUP(D139,[1]FAST!$A$2:$C$4520,2,0)</f>
        <v>Nấm kim châm tươi</v>
      </c>
      <c r="F139" s="4" t="str">
        <f>VLOOKUP(D139,[1]FAST!$A$2:$C$4520,3,0)</f>
        <v>kg</v>
      </c>
    </row>
    <row r="140" spans="1:6" x14ac:dyDescent="0.25">
      <c r="A140" s="4" t="s">
        <v>346</v>
      </c>
      <c r="B140" s="48" t="s">
        <v>17</v>
      </c>
      <c r="D140" s="4" t="s">
        <v>357</v>
      </c>
      <c r="E140" s="41" t="s">
        <v>358</v>
      </c>
      <c r="F140" s="4" t="s">
        <v>92</v>
      </c>
    </row>
    <row r="141" spans="1:6" x14ac:dyDescent="0.25">
      <c r="A141" s="45" t="s">
        <v>353</v>
      </c>
      <c r="B141" s="49" t="s">
        <v>354</v>
      </c>
      <c r="D141" s="4" t="s">
        <v>195</v>
      </c>
      <c r="E141" s="4" t="str">
        <f>VLOOKUP(D141,[1]FAST!$A$2:$C$4520,2,0)</f>
        <v>Nấm Linh Chi trắng</v>
      </c>
      <c r="F141" s="4" t="str">
        <f>VLOOKUP(D141,[1]FAST!$A$2:$C$4520,3,0)</f>
        <v>kg</v>
      </c>
    </row>
    <row r="142" spans="1:6" x14ac:dyDescent="0.25">
      <c r="A142" s="45" t="s">
        <v>360</v>
      </c>
      <c r="B142" s="49" t="s">
        <v>361</v>
      </c>
      <c r="D142" s="4" t="s">
        <v>369</v>
      </c>
      <c r="E142" s="4" t="s">
        <v>370</v>
      </c>
      <c r="F142" s="4" t="s">
        <v>361</v>
      </c>
    </row>
    <row r="143" spans="1:6" x14ac:dyDescent="0.25">
      <c r="A143" s="4" t="s">
        <v>371</v>
      </c>
      <c r="B143" s="4" t="s">
        <v>17</v>
      </c>
      <c r="D143" s="4" t="s">
        <v>372</v>
      </c>
      <c r="E143" s="4" t="str">
        <f>VLOOKUP(D143,[1]FAST!$A$2:$C$4520,2,0)</f>
        <v>Nấm hương (Nấm đông cô khô)</v>
      </c>
      <c r="F143" s="4" t="str">
        <f>VLOOKUP(D143,[1]FAST!$A$2:$C$4520,3,0)</f>
        <v>kg</v>
      </c>
    </row>
    <row r="144" spans="1:6" x14ac:dyDescent="0.25">
      <c r="A144" s="4" t="s">
        <v>377</v>
      </c>
      <c r="B144" s="53" t="s">
        <v>354</v>
      </c>
      <c r="D144" s="4" t="s">
        <v>195</v>
      </c>
      <c r="E144" s="4" t="str">
        <f>VLOOKUP(D144,[1]FAST!$A$2:$C$4520,2,0)</f>
        <v>Nấm Linh Chi trắng</v>
      </c>
      <c r="F144" s="4" t="str">
        <f>VLOOKUP(D144,[1]FAST!$A$2:$C$4520,3,0)</f>
        <v>kg</v>
      </c>
    </row>
    <row r="145" spans="1:6" x14ac:dyDescent="0.25">
      <c r="A145" s="4" t="s">
        <v>472</v>
      </c>
      <c r="B145" s="4" t="s">
        <v>53</v>
      </c>
      <c r="D145" s="4" t="s">
        <v>473</v>
      </c>
      <c r="E145" s="4" t="s">
        <v>474</v>
      </c>
      <c r="F145" s="41" t="s">
        <v>53</v>
      </c>
    </row>
  </sheetData>
  <autoFilter ref="A1:F144">
    <sortState ref="A2:F138">
      <sortCondition ref="D1:D133"/>
    </sortState>
  </autoFilter>
  <conditionalFormatting sqref="A2:A138">
    <cfRule type="duplicateValues" dxfId="7" priority="11"/>
  </conditionalFormatting>
  <conditionalFormatting sqref="D2:D134">
    <cfRule type="duplicateValues" dxfId="6" priority="9"/>
  </conditionalFormatting>
  <conditionalFormatting sqref="D135">
    <cfRule type="duplicateValues" dxfId="5" priority="6"/>
  </conditionalFormatting>
  <conditionalFormatting sqref="D136">
    <cfRule type="duplicateValues" dxfId="4" priority="5"/>
  </conditionalFormatting>
  <conditionalFormatting sqref="D139">
    <cfRule type="duplicateValues" dxfId="3" priority="2"/>
  </conditionalFormatting>
  <conditionalFormatting sqref="D141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B1:AD118"/>
  <sheetViews>
    <sheetView topLeftCell="E4" workbookViewId="0">
      <selection activeCell="E28" sqref="E28"/>
    </sheetView>
  </sheetViews>
  <sheetFormatPr defaultColWidth="9" defaultRowHeight="15" x14ac:dyDescent="0.25"/>
  <cols>
    <col min="1" max="1" width="2.28515625" customWidth="1"/>
    <col min="2" max="2" width="5.7109375" customWidth="1"/>
    <col min="3" max="3" width="13.7109375" customWidth="1"/>
    <col min="4" max="4" width="9.28515625" customWidth="1"/>
    <col min="5" max="5" width="29" customWidth="1"/>
    <col min="6" max="6" width="7.85546875" hidden="1" customWidth="1"/>
    <col min="7" max="7" width="13.7109375" hidden="1" customWidth="1"/>
    <col min="8" max="8" width="11" hidden="1" customWidth="1"/>
    <col min="9" max="9" width="12.85546875" hidden="1" customWidth="1"/>
    <col min="10" max="10" width="30.140625" customWidth="1"/>
    <col min="11" max="11" width="9.28515625" customWidth="1"/>
    <col min="12" max="12" width="9.85546875" bestFit="1" customWidth="1"/>
    <col min="13" max="13" width="8.5703125" bestFit="1" customWidth="1"/>
    <col min="14" max="14" width="15.5703125" bestFit="1" customWidth="1"/>
    <col min="15" max="15" width="14.7109375" hidden="1" customWidth="1"/>
    <col min="16" max="16" width="10.5703125" hidden="1" customWidth="1"/>
    <col min="17" max="17" width="14.7109375" hidden="1" customWidth="1"/>
    <col min="18" max="18" width="11.28515625" hidden="1" customWidth="1"/>
    <col min="19" max="19" width="13.28515625" hidden="1" customWidth="1"/>
    <col min="20" max="20" width="11.42578125" hidden="1" customWidth="1"/>
    <col min="21" max="21" width="8.140625" bestFit="1" customWidth="1"/>
    <col min="22" max="22" width="21.140625" bestFit="1" customWidth="1"/>
    <col min="23" max="23" width="10.42578125" customWidth="1"/>
    <col min="24" max="24" width="13" bestFit="1" customWidth="1"/>
    <col min="25" max="25" width="12.140625" style="34" bestFit="1" customWidth="1"/>
    <col min="26" max="26" width="12.5703125" bestFit="1" customWidth="1"/>
    <col min="27" max="27" width="19.85546875" customWidth="1"/>
    <col min="28" max="28" width="17.7109375" style="33" bestFit="1" customWidth="1"/>
    <col min="29" max="29" width="15.42578125" bestFit="1" customWidth="1"/>
    <col min="30" max="30" width="22" customWidth="1"/>
    <col min="31" max="31" width="13.28515625" bestFit="1" customWidth="1"/>
  </cols>
  <sheetData>
    <row r="1" spans="2:30" ht="9.6" customHeight="1" x14ac:dyDescent="0.25"/>
    <row r="2" spans="2:30" ht="102.95" customHeight="1" x14ac:dyDescent="0.25">
      <c r="B2" s="125"/>
      <c r="C2" s="123"/>
      <c r="D2" s="124"/>
      <c r="E2" s="126" t="s">
        <v>0</v>
      </c>
      <c r="F2" s="123"/>
      <c r="G2" s="123"/>
      <c r="H2" s="123"/>
      <c r="I2" s="123"/>
      <c r="J2" s="123"/>
      <c r="K2" s="123"/>
      <c r="L2" s="124"/>
    </row>
    <row r="3" spans="2:30" ht="1.1499999999999999" customHeight="1" x14ac:dyDescent="0.25"/>
    <row r="4" spans="2:30" ht="24.75" customHeight="1" x14ac:dyDescent="0.25">
      <c r="B4" s="127" t="s">
        <v>329</v>
      </c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2:30" ht="2.1" customHeight="1" x14ac:dyDescent="0.25"/>
    <row r="6" spans="2:30" ht="22.5" customHeight="1" x14ac:dyDescent="0.25">
      <c r="B6" s="128"/>
      <c r="C6" s="123"/>
      <c r="D6" s="123"/>
      <c r="E6" s="123"/>
      <c r="F6" s="123"/>
      <c r="G6" s="123"/>
      <c r="H6" s="123"/>
      <c r="I6" s="123"/>
      <c r="J6" s="123"/>
      <c r="K6" s="123"/>
      <c r="L6" s="124"/>
      <c r="Z6" s="10"/>
    </row>
    <row r="7" spans="2:30" ht="3" customHeight="1" x14ac:dyDescent="0.25">
      <c r="Z7" s="10"/>
    </row>
    <row r="8" spans="2:30" ht="24.95" customHeight="1" x14ac:dyDescent="0.3">
      <c r="B8" s="122" t="s">
        <v>336</v>
      </c>
      <c r="C8" s="123"/>
      <c r="D8" s="123"/>
      <c r="E8" s="123"/>
      <c r="F8" s="123"/>
      <c r="G8" s="123"/>
      <c r="H8" s="123"/>
      <c r="I8" s="123"/>
      <c r="J8" s="123"/>
      <c r="K8" s="123"/>
      <c r="L8" s="124"/>
      <c r="X8" s="62" t="s">
        <v>374</v>
      </c>
      <c r="Y8" s="38">
        <f>Sheet4!M5</f>
        <v>393.00000000000006</v>
      </c>
      <c r="Z8" s="37"/>
      <c r="AA8" s="37">
        <f>Sheet4!P5</f>
        <v>13383700</v>
      </c>
    </row>
    <row r="9" spans="2:30" ht="4.1500000000000004" customHeight="1" x14ac:dyDescent="0.25">
      <c r="X9" s="64"/>
    </row>
    <row r="10" spans="2:30" ht="23.25" customHeight="1" x14ac:dyDescent="0.3">
      <c r="B10" s="122" t="s">
        <v>330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4"/>
      <c r="X10" s="62" t="s">
        <v>375</v>
      </c>
      <c r="Y10" s="22">
        <f>Y12-Y8</f>
        <v>0</v>
      </c>
      <c r="Z10" s="22"/>
      <c r="AA10" s="22">
        <f>AA12-AA8</f>
        <v>0</v>
      </c>
    </row>
    <row r="11" spans="2:30" ht="3.95" customHeight="1" x14ac:dyDescent="0.25">
      <c r="X11" s="64"/>
    </row>
    <row r="12" spans="2:30" ht="23.85" customHeight="1" x14ac:dyDescent="0.3">
      <c r="B12" s="122" t="s">
        <v>331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4"/>
      <c r="X12" s="62" t="s">
        <v>373</v>
      </c>
      <c r="Y12" s="22">
        <f>SUBTOTAL(9,Y13:Y9718)</f>
        <v>393</v>
      </c>
      <c r="Z12" s="21"/>
      <c r="AA12" s="22">
        <f>SUBTOTAL(9,AA13:AA9718)</f>
        <v>13383700</v>
      </c>
      <c r="AB12" s="22">
        <f>SUBTOTAL(9,AB13:AB9718)</f>
        <v>-104.7</v>
      </c>
      <c r="AC12" s="22">
        <f>SUBTOTAL(9,AC13:AC9718)</f>
        <v>136000</v>
      </c>
      <c r="AD12" s="22">
        <f>SUBTOTAL(9,AD13:AD9718)</f>
        <v>-789000</v>
      </c>
    </row>
    <row r="13" spans="2:30" ht="22.5" customHeight="1" x14ac:dyDescent="0.3">
      <c r="L13" s="63">
        <f>SUM(L15:L1048576)</f>
        <v>497.7</v>
      </c>
      <c r="N13" s="63">
        <f>SUM(N15:N1048576)</f>
        <v>14172700</v>
      </c>
    </row>
    <row r="14" spans="2:30" ht="48" x14ac:dyDescent="0.25">
      <c r="B14" s="1" t="s">
        <v>332</v>
      </c>
      <c r="C14" s="1" t="s">
        <v>1</v>
      </c>
      <c r="D14" s="1" t="s">
        <v>333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7</v>
      </c>
      <c r="K14" s="2" t="s">
        <v>8</v>
      </c>
      <c r="L14" s="2" t="s">
        <v>9</v>
      </c>
      <c r="M14" s="2" t="s">
        <v>10</v>
      </c>
      <c r="N14" s="2" t="s">
        <v>11</v>
      </c>
      <c r="O14" s="2" t="s">
        <v>334</v>
      </c>
      <c r="P14" s="2" t="s">
        <v>12</v>
      </c>
      <c r="Q14" s="2" t="s">
        <v>335</v>
      </c>
      <c r="R14" s="2" t="s">
        <v>13</v>
      </c>
      <c r="S14" s="2" t="s">
        <v>14</v>
      </c>
      <c r="T14" s="2" t="s">
        <v>15</v>
      </c>
      <c r="U14" s="32"/>
      <c r="V14" s="32"/>
      <c r="W14" s="32"/>
      <c r="X14" s="32"/>
      <c r="Y14" s="35" t="s">
        <v>325</v>
      </c>
      <c r="Z14" s="28" t="s">
        <v>326</v>
      </c>
      <c r="AA14" s="28" t="s">
        <v>327</v>
      </c>
      <c r="AB14" s="40" t="s">
        <v>322</v>
      </c>
      <c r="AC14" s="29" t="s">
        <v>323</v>
      </c>
      <c r="AD14" s="29" t="s">
        <v>324</v>
      </c>
    </row>
    <row r="15" spans="2:30" ht="24" x14ac:dyDescent="0.25">
      <c r="B15" s="45"/>
      <c r="C15" s="72" t="s">
        <v>379</v>
      </c>
      <c r="D15" s="52" t="s">
        <v>376</v>
      </c>
      <c r="E15" s="52" t="s">
        <v>359</v>
      </c>
      <c r="F15" s="45"/>
      <c r="G15" s="45"/>
      <c r="H15" s="45"/>
      <c r="I15" s="45"/>
      <c r="J15" s="53" t="s">
        <v>20</v>
      </c>
      <c r="K15" s="53" t="s">
        <v>21</v>
      </c>
      <c r="L15" s="73">
        <v>10</v>
      </c>
      <c r="M15" s="74">
        <v>8000</v>
      </c>
      <c r="N15" s="74">
        <v>80000</v>
      </c>
      <c r="O15" s="71">
        <f>M15*N15</f>
        <v>640000000</v>
      </c>
      <c r="P15" s="46" t="s">
        <v>18</v>
      </c>
      <c r="Q15" s="46" t="s">
        <v>348</v>
      </c>
      <c r="R15" s="46" t="s">
        <v>18</v>
      </c>
      <c r="S15" s="46" t="s">
        <v>49</v>
      </c>
      <c r="T15" s="46" t="s">
        <v>19</v>
      </c>
      <c r="U15" t="str">
        <f>VLOOKUP(J15,Sheet1!$A$2:$D$200,4,0)</f>
        <v>NL300107</v>
      </c>
      <c r="V15" t="str">
        <f>VLOOKUP(U15,Sheet1!$D$2:$E$200,2,0)</f>
        <v>Ngô ngọt ( Bắp trái)</v>
      </c>
      <c r="W15" s="23" t="str">
        <f>DAY(C15)&amp;MONTH(C15)&amp;U15</f>
        <v>269NL300107</v>
      </c>
      <c r="X15" s="23" t="str">
        <f>COUNTIF($R$15:W15,W15)&amp;W15</f>
        <v>1269NL300107</v>
      </c>
      <c r="Y15" s="43">
        <f>IFERROR(VLOOKUP(X15,Sheet4!$B$7:$M$1187,12,0),"0")</f>
        <v>10</v>
      </c>
      <c r="Z15" s="27">
        <f>IFERROR(VLOOKUP(X15,Sheet4!$B$7:$N$1187,13,0),"0")</f>
        <v>8000</v>
      </c>
      <c r="AA15" s="26">
        <f>Y15*Z15</f>
        <v>80000</v>
      </c>
      <c r="AB15" s="33">
        <f>Y15-L15</f>
        <v>0</v>
      </c>
      <c r="AC15" s="24">
        <f>Z15-M15</f>
        <v>0</v>
      </c>
      <c r="AD15" s="24">
        <f>AA15-N15</f>
        <v>0</v>
      </c>
    </row>
    <row r="16" spans="2:30" ht="24" x14ac:dyDescent="0.25">
      <c r="B16" s="45"/>
      <c r="C16" s="72" t="str">
        <f t="shared" ref="C16:C35" si="0">C15</f>
        <v>26/09/2025</v>
      </c>
      <c r="D16" s="52" t="str">
        <f t="shared" ref="D16:E31" si="1">D15</f>
        <v>TG-KS01163</v>
      </c>
      <c r="E16" s="52" t="str">
        <f t="shared" si="1"/>
        <v>TIANLONG 01</v>
      </c>
      <c r="F16" s="45"/>
      <c r="G16" s="45"/>
      <c r="H16" s="45"/>
      <c r="I16" s="45"/>
      <c r="J16" s="53" t="s">
        <v>328</v>
      </c>
      <c r="K16" s="53" t="s">
        <v>17</v>
      </c>
      <c r="L16" s="73">
        <v>2</v>
      </c>
      <c r="M16" s="74">
        <v>48000</v>
      </c>
      <c r="N16" s="74">
        <v>96000</v>
      </c>
      <c r="O16" s="71">
        <f t="shared" ref="O16:O79" si="2">M16*N16</f>
        <v>4608000000</v>
      </c>
      <c r="P16" s="46" t="s">
        <v>18</v>
      </c>
      <c r="Q16" s="46" t="s">
        <v>349</v>
      </c>
      <c r="R16" s="46"/>
      <c r="S16" s="46" t="s">
        <v>49</v>
      </c>
      <c r="T16" s="46" t="s">
        <v>19</v>
      </c>
      <c r="U16" t="str">
        <f>VLOOKUP(J16,Sheet1!$A$2:$D$200,4,0)</f>
        <v>NL300203</v>
      </c>
      <c r="V16" t="str">
        <f>VLOOKUP(U16,Sheet1!$D$2:$E$200,2,0)</f>
        <v>Cải bó xôi</v>
      </c>
      <c r="W16" s="23" t="str">
        <f t="shared" ref="W16:W79" si="3">DAY(C16)&amp;MONTH(C16)&amp;U16</f>
        <v>269NL300203</v>
      </c>
      <c r="X16" s="23" t="str">
        <f>COUNTIF($R$15:W16,W16)&amp;W16</f>
        <v>1269NL300203</v>
      </c>
      <c r="Y16" s="43">
        <f>IFERROR(VLOOKUP(X16,Sheet4!$B$7:$M$1187,12,0),"0")</f>
        <v>1.8</v>
      </c>
      <c r="Z16" s="27">
        <f>IFERROR(VLOOKUP(X16,Sheet4!$B$7:$N$1187,13,0),"0")</f>
        <v>48000</v>
      </c>
      <c r="AA16" s="26">
        <f t="shared" ref="AA16:AA79" si="4">Y16*Z16</f>
        <v>86400</v>
      </c>
      <c r="AB16" s="33">
        <f t="shared" ref="AB16:AB79" si="5">Y16-L16</f>
        <v>-0.19999999999999996</v>
      </c>
      <c r="AC16" s="24">
        <f t="shared" ref="AC16:AC79" si="6">Z16-M16</f>
        <v>0</v>
      </c>
      <c r="AD16" s="24">
        <f t="shared" ref="AD16:AD48" si="7">AA16-N16</f>
        <v>-9600</v>
      </c>
    </row>
    <row r="17" spans="2:30" ht="24" x14ac:dyDescent="0.25">
      <c r="B17" s="45"/>
      <c r="C17" s="72" t="str">
        <f t="shared" si="0"/>
        <v>26/09/2025</v>
      </c>
      <c r="D17" s="52" t="str">
        <f t="shared" si="1"/>
        <v>TG-KS01163</v>
      </c>
      <c r="E17" s="52" t="str">
        <f t="shared" si="1"/>
        <v>TIANLONG 01</v>
      </c>
      <c r="F17" s="45"/>
      <c r="G17" s="45"/>
      <c r="H17" s="45"/>
      <c r="I17" s="45"/>
      <c r="J17" s="53" t="s">
        <v>101</v>
      </c>
      <c r="K17" s="53" t="s">
        <v>17</v>
      </c>
      <c r="L17" s="73">
        <v>3</v>
      </c>
      <c r="M17" s="74">
        <v>25000</v>
      </c>
      <c r="N17" s="74">
        <v>75000</v>
      </c>
      <c r="O17" s="71">
        <f t="shared" si="2"/>
        <v>1875000000</v>
      </c>
      <c r="P17" s="46" t="s">
        <v>18</v>
      </c>
      <c r="Q17" s="46" t="s">
        <v>348</v>
      </c>
      <c r="R17" s="46" t="s">
        <v>18</v>
      </c>
      <c r="S17" s="46" t="s">
        <v>49</v>
      </c>
      <c r="T17" s="46" t="s">
        <v>19</v>
      </c>
      <c r="U17" t="str">
        <f>VLOOKUP(J17,Sheet1!$A$2:$D$200,4,0)</f>
        <v>NL300013</v>
      </c>
      <c r="V17" t="str">
        <f>VLOOKUP(U17,Sheet1!$D$2:$E$200,2,0)</f>
        <v>Cà chua</v>
      </c>
      <c r="W17" s="23" t="str">
        <f t="shared" si="3"/>
        <v>269NL300013</v>
      </c>
      <c r="X17" s="23" t="str">
        <f>COUNTIF($R$15:W17,W17)&amp;W17</f>
        <v>1269NL300013</v>
      </c>
      <c r="Y17" s="43">
        <f>IFERROR(VLOOKUP(X17,Sheet4!$B$7:$M$1187,12,0),"0")</f>
        <v>3</v>
      </c>
      <c r="Z17" s="27">
        <f>IFERROR(VLOOKUP(X17,Sheet4!$B$7:$N$1187,13,0),"0")</f>
        <v>25000</v>
      </c>
      <c r="AA17" s="26">
        <f t="shared" si="4"/>
        <v>75000</v>
      </c>
      <c r="AB17" s="33">
        <f t="shared" si="5"/>
        <v>0</v>
      </c>
      <c r="AC17" s="24">
        <f t="shared" si="6"/>
        <v>0</v>
      </c>
      <c r="AD17" s="24">
        <f t="shared" si="7"/>
        <v>0</v>
      </c>
    </row>
    <row r="18" spans="2:30" ht="24" x14ac:dyDescent="0.25">
      <c r="B18" s="45"/>
      <c r="C18" s="72" t="str">
        <f t="shared" si="0"/>
        <v>26/09/2025</v>
      </c>
      <c r="D18" s="52" t="str">
        <f t="shared" si="1"/>
        <v>TG-KS01163</v>
      </c>
      <c r="E18" s="52" t="str">
        <f t="shared" si="1"/>
        <v>TIANLONG 01</v>
      </c>
      <c r="F18" s="45"/>
      <c r="G18" s="45"/>
      <c r="H18" s="45"/>
      <c r="I18" s="45"/>
      <c r="J18" s="53" t="s">
        <v>111</v>
      </c>
      <c r="K18" s="53" t="s">
        <v>17</v>
      </c>
      <c r="L18" s="73">
        <v>10</v>
      </c>
      <c r="M18" s="74">
        <v>14000</v>
      </c>
      <c r="N18" s="74">
        <v>140000</v>
      </c>
      <c r="O18" s="71">
        <f t="shared" si="2"/>
        <v>1960000000</v>
      </c>
      <c r="P18" s="46" t="s">
        <v>18</v>
      </c>
      <c r="Q18" s="46" t="s">
        <v>348</v>
      </c>
      <c r="R18" s="46" t="s">
        <v>18</v>
      </c>
      <c r="S18" s="46" t="s">
        <v>49</v>
      </c>
      <c r="T18" s="46" t="s">
        <v>19</v>
      </c>
      <c r="U18" t="str">
        <f>VLOOKUP(J18,Sheet1!$A$2:$D$200,4,0)</f>
        <v>NL300022</v>
      </c>
      <c r="V18" t="str">
        <f>VLOOKUP(U18,Sheet1!$D$2:$E$200,2,0)</f>
        <v>Cải thảo</v>
      </c>
      <c r="W18" s="23" t="str">
        <f t="shared" si="3"/>
        <v>269NL300022</v>
      </c>
      <c r="X18" s="23" t="str">
        <f>COUNTIF($R$15:W18,W18)&amp;W18</f>
        <v>1269NL300022</v>
      </c>
      <c r="Y18" s="43">
        <f>IFERROR(VLOOKUP(X18,Sheet4!$B$7:$M$1187,12,0),"0")</f>
        <v>9</v>
      </c>
      <c r="Z18" s="27">
        <f>IFERROR(VLOOKUP(X18,Sheet4!$B$7:$N$1187,13,0),"0")</f>
        <v>14000</v>
      </c>
      <c r="AA18" s="26">
        <f t="shared" si="4"/>
        <v>126000</v>
      </c>
      <c r="AB18" s="33">
        <f t="shared" si="5"/>
        <v>-1</v>
      </c>
      <c r="AC18" s="24">
        <f t="shared" si="6"/>
        <v>0</v>
      </c>
      <c r="AD18" s="24">
        <f t="shared" si="7"/>
        <v>-14000</v>
      </c>
    </row>
    <row r="19" spans="2:30" ht="24" x14ac:dyDescent="0.25">
      <c r="B19" s="45"/>
      <c r="C19" s="72" t="str">
        <f t="shared" si="0"/>
        <v>26/09/2025</v>
      </c>
      <c r="D19" s="52" t="str">
        <f t="shared" si="1"/>
        <v>TG-KS01163</v>
      </c>
      <c r="E19" s="52" t="str">
        <f t="shared" si="1"/>
        <v>TIANLONG 01</v>
      </c>
      <c r="F19" s="45"/>
      <c r="G19" s="45"/>
      <c r="H19" s="45"/>
      <c r="I19" s="45"/>
      <c r="J19" s="53" t="s">
        <v>72</v>
      </c>
      <c r="K19" s="53" t="s">
        <v>17</v>
      </c>
      <c r="L19" s="73">
        <v>1.1000000000000001</v>
      </c>
      <c r="M19" s="74">
        <v>70000</v>
      </c>
      <c r="N19" s="74">
        <v>77000</v>
      </c>
      <c r="O19" s="71">
        <f t="shared" si="2"/>
        <v>5390000000</v>
      </c>
      <c r="P19" s="46" t="s">
        <v>18</v>
      </c>
      <c r="Q19" s="46" t="s">
        <v>348</v>
      </c>
      <c r="R19" s="46" t="s">
        <v>18</v>
      </c>
      <c r="S19" s="46" t="s">
        <v>49</v>
      </c>
      <c r="T19" s="46" t="s">
        <v>19</v>
      </c>
      <c r="U19" t="str">
        <f>VLOOKUP(J19,Sheet1!$A$2:$D$200,4,0)</f>
        <v>NL600067</v>
      </c>
      <c r="V19" t="str">
        <f>VLOOKUP(U19,Sheet1!$D$2:$E$200,2,0)</f>
        <v>Cam vàng</v>
      </c>
      <c r="W19" s="23" t="str">
        <f t="shared" si="3"/>
        <v>269NL600067</v>
      </c>
      <c r="X19" s="23" t="str">
        <f>COUNTIF($R$15:W19,W19)&amp;W19</f>
        <v>1269NL600067</v>
      </c>
      <c r="Y19" s="43">
        <f>IFERROR(VLOOKUP(X19,Sheet4!$B$7:$M$1187,12,0),"0")</f>
        <v>1.1000000000000001</v>
      </c>
      <c r="Z19" s="27">
        <f>IFERROR(VLOOKUP(X19,Sheet4!$B$7:$N$1187,13,0),"0")</f>
        <v>70000</v>
      </c>
      <c r="AA19" s="26">
        <f t="shared" si="4"/>
        <v>77000</v>
      </c>
      <c r="AB19" s="33">
        <f t="shared" si="5"/>
        <v>0</v>
      </c>
      <c r="AC19" s="24">
        <f t="shared" si="6"/>
        <v>0</v>
      </c>
      <c r="AD19" s="24">
        <f t="shared" si="7"/>
        <v>0</v>
      </c>
    </row>
    <row r="20" spans="2:30" ht="24" x14ac:dyDescent="0.25">
      <c r="B20" s="45"/>
      <c r="C20" s="72" t="str">
        <f t="shared" si="0"/>
        <v>26/09/2025</v>
      </c>
      <c r="D20" s="52" t="str">
        <f t="shared" si="1"/>
        <v>TG-KS01163</v>
      </c>
      <c r="E20" s="52" t="str">
        <f t="shared" si="1"/>
        <v>TIANLONG 01</v>
      </c>
      <c r="F20" s="45"/>
      <c r="G20" s="45"/>
      <c r="H20" s="45"/>
      <c r="I20" s="45"/>
      <c r="J20" s="53" t="s">
        <v>46</v>
      </c>
      <c r="K20" s="53" t="s">
        <v>17</v>
      </c>
      <c r="L20" s="73">
        <v>0.5</v>
      </c>
      <c r="M20" s="74">
        <v>21000</v>
      </c>
      <c r="N20" s="74">
        <v>10500</v>
      </c>
      <c r="O20" s="71">
        <f t="shared" si="2"/>
        <v>220500000</v>
      </c>
      <c r="P20" s="46" t="s">
        <v>18</v>
      </c>
      <c r="Q20" s="46" t="s">
        <v>348</v>
      </c>
      <c r="R20" s="46" t="s">
        <v>18</v>
      </c>
      <c r="S20" s="46" t="s">
        <v>49</v>
      </c>
      <c r="T20" s="46" t="s">
        <v>19</v>
      </c>
      <c r="U20" t="str">
        <f>VLOOKUP(J20,Sheet1!$A$2:$D$200,4,0)</f>
        <v>NL300029</v>
      </c>
      <c r="V20" t="str">
        <f>VLOOKUP(U20,Sheet1!$D$2:$E$200,2,0)</f>
        <v>Chanh</v>
      </c>
      <c r="W20" s="23" t="str">
        <f t="shared" si="3"/>
        <v>269NL300029</v>
      </c>
      <c r="X20" s="23" t="str">
        <f>COUNTIF($R$15:W20,W20)&amp;W20</f>
        <v>1269NL300029</v>
      </c>
      <c r="Y20" s="43">
        <f>IFERROR(VLOOKUP(X20,Sheet4!$B$7:$M$1187,12,0),"0")</f>
        <v>0.5</v>
      </c>
      <c r="Z20" s="27">
        <f>IFERROR(VLOOKUP(X20,Sheet4!$B$7:$N$1187,13,0),"0")</f>
        <v>21000</v>
      </c>
      <c r="AA20" s="26">
        <f t="shared" si="4"/>
        <v>10500</v>
      </c>
      <c r="AB20" s="33">
        <f t="shared" si="5"/>
        <v>0</v>
      </c>
      <c r="AC20" s="24"/>
      <c r="AD20" s="24">
        <f t="shared" si="7"/>
        <v>0</v>
      </c>
    </row>
    <row r="21" spans="2:30" ht="24" x14ac:dyDescent="0.25">
      <c r="B21" s="45"/>
      <c r="C21" s="72" t="str">
        <f t="shared" si="0"/>
        <v>26/09/2025</v>
      </c>
      <c r="D21" s="52" t="str">
        <f t="shared" si="1"/>
        <v>TG-KS01163</v>
      </c>
      <c r="E21" s="52" t="str">
        <f t="shared" si="1"/>
        <v>TIANLONG 01</v>
      </c>
      <c r="F21" s="45"/>
      <c r="G21" s="45"/>
      <c r="H21" s="45"/>
      <c r="I21" s="45"/>
      <c r="J21" s="53" t="s">
        <v>126</v>
      </c>
      <c r="K21" s="53" t="s">
        <v>17</v>
      </c>
      <c r="L21" s="73">
        <v>2</v>
      </c>
      <c r="M21" s="74">
        <v>11000</v>
      </c>
      <c r="N21" s="74">
        <v>22000</v>
      </c>
      <c r="O21" s="71">
        <f t="shared" si="2"/>
        <v>242000000</v>
      </c>
      <c r="P21" s="46" t="s">
        <v>18</v>
      </c>
      <c r="Q21" s="46" t="s">
        <v>348</v>
      </c>
      <c r="R21" s="46" t="s">
        <v>18</v>
      </c>
      <c r="S21" s="46" t="s">
        <v>49</v>
      </c>
      <c r="T21" s="46" t="s">
        <v>19</v>
      </c>
      <c r="U21" t="str">
        <f>VLOOKUP(J21,Sheet1!$A$2:$D$200,4,0)</f>
        <v>NL300033</v>
      </c>
      <c r="V21" t="str">
        <f>VLOOKUP(U21,Sheet1!$D$2:$E$200,2,0)</f>
        <v>Củ cải trắng</v>
      </c>
      <c r="W21" s="23" t="str">
        <f t="shared" si="3"/>
        <v>269NL300033</v>
      </c>
      <c r="X21" s="23" t="str">
        <f>COUNTIF($R$15:W21,W21)&amp;W21</f>
        <v>1269NL300033</v>
      </c>
      <c r="Y21" s="43">
        <f>IFERROR(VLOOKUP(X21,Sheet4!$B$7:$M$1187,12,0),"0")</f>
        <v>2</v>
      </c>
      <c r="Z21" s="27">
        <f>IFERROR(VLOOKUP(X21,Sheet4!$B$7:$N$1187,13,0),"0")</f>
        <v>11000</v>
      </c>
      <c r="AA21" s="26">
        <f t="shared" si="4"/>
        <v>22000</v>
      </c>
      <c r="AB21" s="33">
        <f t="shared" si="5"/>
        <v>0</v>
      </c>
      <c r="AC21" s="24">
        <f t="shared" si="6"/>
        <v>0</v>
      </c>
      <c r="AD21" s="24">
        <f t="shared" si="7"/>
        <v>0</v>
      </c>
    </row>
    <row r="22" spans="2:30" ht="24" x14ac:dyDescent="0.25">
      <c r="B22" s="45"/>
      <c r="C22" s="72" t="str">
        <f t="shared" si="0"/>
        <v>26/09/2025</v>
      </c>
      <c r="D22" s="52" t="str">
        <f t="shared" si="1"/>
        <v>TG-KS01163</v>
      </c>
      <c r="E22" s="52" t="str">
        <f t="shared" si="1"/>
        <v>TIANLONG 01</v>
      </c>
      <c r="F22" s="45"/>
      <c r="G22" s="45"/>
      <c r="H22" s="45"/>
      <c r="I22" s="45"/>
      <c r="J22" s="53" t="s">
        <v>27</v>
      </c>
      <c r="K22" s="53" t="s">
        <v>17</v>
      </c>
      <c r="L22" s="73">
        <v>2.1</v>
      </c>
      <c r="M22" s="74">
        <v>44000</v>
      </c>
      <c r="N22" s="74">
        <v>92400</v>
      </c>
      <c r="O22" s="71">
        <f t="shared" si="2"/>
        <v>4065600000</v>
      </c>
      <c r="P22" s="46" t="s">
        <v>18</v>
      </c>
      <c r="Q22" s="46" t="s">
        <v>348</v>
      </c>
      <c r="R22" s="46" t="s">
        <v>18</v>
      </c>
      <c r="S22" s="46" t="s">
        <v>49</v>
      </c>
      <c r="T22" s="46" t="s">
        <v>19</v>
      </c>
      <c r="U22" t="str">
        <f>VLOOKUP(J22,Sheet1!$A$2:$D$200,4,0)</f>
        <v>NL300036</v>
      </c>
      <c r="V22" t="str">
        <f>VLOOKUP(U22,Sheet1!$D$2:$E$200,2,0)</f>
        <v>Củ sen</v>
      </c>
      <c r="W22" s="23" t="str">
        <f t="shared" si="3"/>
        <v>269NL300036</v>
      </c>
      <c r="X22" s="23" t="str">
        <f>COUNTIF($R$15:W22,W22)&amp;W22</f>
        <v>1269NL300036</v>
      </c>
      <c r="Y22" s="43">
        <f>IFERROR(VLOOKUP(X22,Sheet4!$B$7:$M$1187,12,0),"0")</f>
        <v>2</v>
      </c>
      <c r="Z22" s="27">
        <f>IFERROR(VLOOKUP(X22,Sheet4!$B$7:$N$1187,13,0),"0")</f>
        <v>44000</v>
      </c>
      <c r="AA22" s="26">
        <f t="shared" si="4"/>
        <v>88000</v>
      </c>
      <c r="AB22" s="33">
        <f t="shared" si="5"/>
        <v>-0.10000000000000009</v>
      </c>
      <c r="AC22" s="24"/>
      <c r="AD22" s="24">
        <f t="shared" si="7"/>
        <v>-4400</v>
      </c>
    </row>
    <row r="23" spans="2:30" ht="24" x14ac:dyDescent="0.25">
      <c r="B23" s="45"/>
      <c r="C23" s="72" t="str">
        <f t="shared" si="0"/>
        <v>26/09/2025</v>
      </c>
      <c r="D23" s="52" t="str">
        <f t="shared" si="1"/>
        <v>TG-KS01163</v>
      </c>
      <c r="E23" s="52" t="str">
        <f t="shared" si="1"/>
        <v>TIANLONG 01</v>
      </c>
      <c r="F23" s="45"/>
      <c r="G23" s="45"/>
      <c r="H23" s="45"/>
      <c r="I23" s="45"/>
      <c r="J23" s="53" t="s">
        <v>29</v>
      </c>
      <c r="K23" s="53" t="s">
        <v>17</v>
      </c>
      <c r="L23" s="73">
        <v>1</v>
      </c>
      <c r="M23" s="74">
        <v>31000</v>
      </c>
      <c r="N23" s="74">
        <v>31000</v>
      </c>
      <c r="O23" s="71">
        <f t="shared" si="2"/>
        <v>961000000</v>
      </c>
      <c r="P23" s="46" t="s">
        <v>18</v>
      </c>
      <c r="Q23" s="46" t="s">
        <v>348</v>
      </c>
      <c r="R23" s="46" t="s">
        <v>18</v>
      </c>
      <c r="S23" s="46" t="s">
        <v>49</v>
      </c>
      <c r="T23" s="46" t="s">
        <v>19</v>
      </c>
      <c r="U23" t="str">
        <f>VLOOKUP(J23,Sheet1!$A$2:$D$200,4,0)</f>
        <v>NL300058</v>
      </c>
      <c r="V23" t="str">
        <f>VLOOKUP(U23,Sheet1!$D$2:$E$200,2,0)</f>
        <v>Hành lá</v>
      </c>
      <c r="W23" s="23" t="str">
        <f t="shared" si="3"/>
        <v>269NL300058</v>
      </c>
      <c r="X23" s="23" t="str">
        <f>COUNTIF($R$15:W23,W23)&amp;W23</f>
        <v>1269NL300058</v>
      </c>
      <c r="Y23" s="43">
        <f>IFERROR(VLOOKUP(X23,Sheet4!$B$7:$M$1187,12,0),"0")</f>
        <v>0.9</v>
      </c>
      <c r="Z23" s="27">
        <f>IFERROR(VLOOKUP(X23,Sheet4!$B$7:$N$1187,13,0),"0")</f>
        <v>31000</v>
      </c>
      <c r="AA23" s="26">
        <f t="shared" si="4"/>
        <v>27900</v>
      </c>
      <c r="AB23" s="33">
        <f t="shared" si="5"/>
        <v>-9.9999999999999978E-2</v>
      </c>
      <c r="AC23" s="24">
        <f t="shared" si="6"/>
        <v>0</v>
      </c>
      <c r="AD23" s="24">
        <f t="shared" si="7"/>
        <v>-3100</v>
      </c>
    </row>
    <row r="24" spans="2:30" ht="24" x14ac:dyDescent="0.25">
      <c r="B24" s="45"/>
      <c r="C24" s="72" t="str">
        <f t="shared" si="0"/>
        <v>26/09/2025</v>
      </c>
      <c r="D24" s="52" t="str">
        <f t="shared" si="1"/>
        <v>TG-KS01163</v>
      </c>
      <c r="E24" s="52" t="str">
        <f t="shared" si="1"/>
        <v>TIANLONG 01</v>
      </c>
      <c r="F24" s="45"/>
      <c r="G24" s="45"/>
      <c r="H24" s="45"/>
      <c r="I24" s="45"/>
      <c r="J24" s="53" t="s">
        <v>183</v>
      </c>
      <c r="K24" s="53" t="s">
        <v>17</v>
      </c>
      <c r="L24" s="73">
        <v>5</v>
      </c>
      <c r="M24" s="74">
        <v>20000</v>
      </c>
      <c r="N24" s="74">
        <v>100000</v>
      </c>
      <c r="O24" s="71">
        <f t="shared" si="2"/>
        <v>2000000000</v>
      </c>
      <c r="P24" s="46" t="s">
        <v>18</v>
      </c>
      <c r="Q24" s="46" t="s">
        <v>348</v>
      </c>
      <c r="R24" s="46" t="s">
        <v>18</v>
      </c>
      <c r="S24" s="46" t="s">
        <v>49</v>
      </c>
      <c r="T24" s="46" t="s">
        <v>19</v>
      </c>
      <c r="U24" t="str">
        <f>VLOOKUP(J24,Sheet1!$A$2:$D$200,4,0)</f>
        <v>NL300084</v>
      </c>
      <c r="V24" t="str">
        <f>VLOOKUP(U24,Sheet1!$D$2:$E$200,2,0)</f>
        <v>Mồng tơi nhặt</v>
      </c>
      <c r="W24" s="23" t="str">
        <f t="shared" si="3"/>
        <v>269NL300084</v>
      </c>
      <c r="X24" s="23" t="str">
        <f>COUNTIF($R$15:W24,W24)&amp;W24</f>
        <v>1269NL300084</v>
      </c>
      <c r="Y24" s="43">
        <f>IFERROR(VLOOKUP(X24,Sheet4!$B$7:$M$1187,12,0),"0")</f>
        <v>4</v>
      </c>
      <c r="Z24" s="27">
        <f>IFERROR(VLOOKUP(X24,Sheet4!$B$7:$N$1187,13,0),"0")</f>
        <v>20000</v>
      </c>
      <c r="AA24" s="26">
        <f t="shared" si="4"/>
        <v>80000</v>
      </c>
      <c r="AB24" s="33">
        <f t="shared" si="5"/>
        <v>-1</v>
      </c>
      <c r="AC24" s="24"/>
      <c r="AD24" s="24">
        <f t="shared" si="7"/>
        <v>-20000</v>
      </c>
    </row>
    <row r="25" spans="2:30" ht="24" x14ac:dyDescent="0.25">
      <c r="B25" s="45"/>
      <c r="C25" s="72" t="str">
        <f t="shared" si="0"/>
        <v>26/09/2025</v>
      </c>
      <c r="D25" s="52" t="str">
        <f t="shared" si="1"/>
        <v>TG-KS01163</v>
      </c>
      <c r="E25" s="52" t="str">
        <f t="shared" si="1"/>
        <v>TIANLONG 01</v>
      </c>
      <c r="F25" s="45"/>
      <c r="G25" s="45"/>
      <c r="H25" s="45"/>
      <c r="I25" s="45"/>
      <c r="J25" s="53" t="s">
        <v>39</v>
      </c>
      <c r="K25" s="53" t="s">
        <v>17</v>
      </c>
      <c r="L25" s="73">
        <v>2</v>
      </c>
      <c r="M25" s="74">
        <v>138000</v>
      </c>
      <c r="N25" s="74">
        <v>276000</v>
      </c>
      <c r="O25" s="71">
        <f t="shared" si="2"/>
        <v>38088000000</v>
      </c>
      <c r="P25" s="46" t="s">
        <v>18</v>
      </c>
      <c r="Q25" s="46" t="s">
        <v>348</v>
      </c>
      <c r="R25" s="46" t="s">
        <v>18</v>
      </c>
      <c r="S25" s="46" t="s">
        <v>49</v>
      </c>
      <c r="T25" s="46" t="s">
        <v>19</v>
      </c>
      <c r="U25" t="str">
        <f>VLOOKUP(J25,Sheet1!$A$2:$D$200,4,0)</f>
        <v>NL300090</v>
      </c>
      <c r="V25" t="str">
        <f>VLOOKUP(U25,Sheet1!$D$2:$E$200,2,0)</f>
        <v>Nấm đông cô tươi</v>
      </c>
      <c r="W25" s="23" t="str">
        <f t="shared" si="3"/>
        <v>269NL300090</v>
      </c>
      <c r="X25" s="23" t="str">
        <f>COUNTIF($R$15:W25,W25)&amp;W25</f>
        <v>1269NL300090</v>
      </c>
      <c r="Y25" s="43">
        <f>IFERROR(VLOOKUP(X25,Sheet4!$B$7:$M$1187,12,0),"0")</f>
        <v>2</v>
      </c>
      <c r="Z25" s="27">
        <f>IFERROR(VLOOKUP(X25,Sheet4!$B$7:$N$1187,13,0),"0")</f>
        <v>138000</v>
      </c>
      <c r="AA25" s="26">
        <f t="shared" si="4"/>
        <v>276000</v>
      </c>
      <c r="AB25" s="33">
        <f t="shared" si="5"/>
        <v>0</v>
      </c>
      <c r="AC25" s="24">
        <f t="shared" si="6"/>
        <v>0</v>
      </c>
      <c r="AD25" s="24">
        <f t="shared" si="7"/>
        <v>0</v>
      </c>
    </row>
    <row r="26" spans="2:30" ht="24" x14ac:dyDescent="0.25">
      <c r="B26" s="45"/>
      <c r="C26" s="72" t="str">
        <f t="shared" si="0"/>
        <v>26/09/2025</v>
      </c>
      <c r="D26" s="52" t="str">
        <f t="shared" si="1"/>
        <v>TG-KS01163</v>
      </c>
      <c r="E26" s="52" t="str">
        <f t="shared" si="1"/>
        <v>TIANLONG 01</v>
      </c>
      <c r="F26" s="45"/>
      <c r="G26" s="45"/>
      <c r="H26" s="45"/>
      <c r="I26" s="45"/>
      <c r="J26" s="53" t="s">
        <v>345</v>
      </c>
      <c r="K26" s="53" t="s">
        <v>340</v>
      </c>
      <c r="L26" s="73">
        <v>15</v>
      </c>
      <c r="M26" s="74">
        <v>11000</v>
      </c>
      <c r="N26" s="74">
        <v>165000</v>
      </c>
      <c r="O26" s="71">
        <f t="shared" si="2"/>
        <v>1815000000</v>
      </c>
      <c r="P26" s="46" t="s">
        <v>18</v>
      </c>
      <c r="Q26" s="46" t="s">
        <v>348</v>
      </c>
      <c r="R26" s="46" t="s">
        <v>18</v>
      </c>
      <c r="S26" s="46" t="s">
        <v>49</v>
      </c>
      <c r="T26" s="46" t="s">
        <v>19</v>
      </c>
      <c r="U26" t="str">
        <f>VLOOKUP(J26,Sheet1!$A$2:$D$200,4,0)</f>
        <v>NL300096</v>
      </c>
      <c r="V26" t="str">
        <f>VLOOKUP(U26,Sheet1!$D$2:$E$200,2,0)</f>
        <v>Nấm kim châm tươi</v>
      </c>
      <c r="W26" s="23" t="str">
        <f t="shared" si="3"/>
        <v>269NL300096</v>
      </c>
      <c r="X26" s="23" t="str">
        <f>COUNTIF($R$15:W26,W26)&amp;W26</f>
        <v>1269NL300096</v>
      </c>
      <c r="Y26" s="43">
        <f>IFERROR(VLOOKUP(X26,Sheet4!$B$7:$M$1187,12,0),"0")</f>
        <v>3</v>
      </c>
      <c r="Z26" s="27">
        <f>IFERROR(VLOOKUP(X26,Sheet4!$B$7:$N$1187,13,0),"0")</f>
        <v>45000</v>
      </c>
      <c r="AA26" s="26">
        <f t="shared" si="4"/>
        <v>135000</v>
      </c>
      <c r="AB26" s="33">
        <f t="shared" si="5"/>
        <v>-12</v>
      </c>
      <c r="AC26" s="24">
        <f t="shared" si="6"/>
        <v>34000</v>
      </c>
      <c r="AD26" s="24">
        <f t="shared" si="7"/>
        <v>-30000</v>
      </c>
    </row>
    <row r="27" spans="2:30" ht="24" x14ac:dyDescent="0.25">
      <c r="B27" s="45"/>
      <c r="C27" s="72" t="str">
        <f t="shared" si="0"/>
        <v>26/09/2025</v>
      </c>
      <c r="D27" s="52" t="str">
        <f t="shared" si="1"/>
        <v>TG-KS01163</v>
      </c>
      <c r="E27" s="52" t="str">
        <f t="shared" si="1"/>
        <v>TIANLONG 01</v>
      </c>
      <c r="F27" s="45"/>
      <c r="G27" s="45"/>
      <c r="H27" s="45"/>
      <c r="I27" s="45"/>
      <c r="J27" s="53" t="s">
        <v>68</v>
      </c>
      <c r="K27" s="53" t="s">
        <v>17</v>
      </c>
      <c r="L27" s="73">
        <v>5</v>
      </c>
      <c r="M27" s="74">
        <v>90000</v>
      </c>
      <c r="N27" s="74">
        <v>450000</v>
      </c>
      <c r="O27" s="71">
        <f t="shared" si="2"/>
        <v>40500000000</v>
      </c>
      <c r="P27" s="46" t="s">
        <v>18</v>
      </c>
      <c r="Q27" s="46" t="s">
        <v>348</v>
      </c>
      <c r="R27" s="46" t="s">
        <v>18</v>
      </c>
      <c r="S27" s="46" t="s">
        <v>18</v>
      </c>
      <c r="T27" s="46" t="s">
        <v>19</v>
      </c>
      <c r="U27" t="str">
        <f>VLOOKUP(J27,Sheet1!$A$2:$D$200,4,0)</f>
        <v>NL300098</v>
      </c>
      <c r="V27" t="str">
        <f>VLOOKUP(U27,Sheet1!$D$2:$E$200,2,0)</f>
        <v>Nấm Linh Chi trắng</v>
      </c>
      <c r="W27" s="23" t="str">
        <f t="shared" si="3"/>
        <v>269NL300098</v>
      </c>
      <c r="X27" s="23" t="str">
        <f>COUNTIF($R$15:W27,W27)&amp;W27</f>
        <v>1269NL300098</v>
      </c>
      <c r="Y27" s="43">
        <f>IFERROR(VLOOKUP(X27,Sheet4!$B$7:$M$1187,12,0),"0")</f>
        <v>5</v>
      </c>
      <c r="Z27" s="27">
        <f>IFERROR(VLOOKUP(X27,Sheet4!$B$7:$N$1187,13,0),"0")</f>
        <v>90000</v>
      </c>
      <c r="AA27" s="26">
        <f t="shared" si="4"/>
        <v>450000</v>
      </c>
      <c r="AB27" s="33">
        <f t="shared" si="5"/>
        <v>0</v>
      </c>
      <c r="AC27" s="24">
        <f t="shared" si="6"/>
        <v>0</v>
      </c>
      <c r="AD27" s="24">
        <f t="shared" si="7"/>
        <v>0</v>
      </c>
    </row>
    <row r="28" spans="2:30" ht="24" x14ac:dyDescent="0.25">
      <c r="B28" s="45"/>
      <c r="C28" s="72" t="str">
        <f t="shared" si="0"/>
        <v>26/09/2025</v>
      </c>
      <c r="D28" s="52" t="str">
        <f t="shared" si="1"/>
        <v>TG-KS01163</v>
      </c>
      <c r="E28" s="52" t="str">
        <f t="shared" si="1"/>
        <v>TIANLONG 01</v>
      </c>
      <c r="F28" s="45"/>
      <c r="G28" s="45"/>
      <c r="H28" s="45"/>
      <c r="I28" s="45"/>
      <c r="J28" s="53" t="s">
        <v>32</v>
      </c>
      <c r="K28" s="53" t="s">
        <v>17</v>
      </c>
      <c r="L28" s="73">
        <v>1</v>
      </c>
      <c r="M28" s="74">
        <v>45000</v>
      </c>
      <c r="N28" s="74">
        <v>45000</v>
      </c>
      <c r="O28" s="71">
        <f t="shared" si="2"/>
        <v>2025000000</v>
      </c>
      <c r="P28" s="46" t="s">
        <v>18</v>
      </c>
      <c r="Q28" s="46" t="s">
        <v>348</v>
      </c>
      <c r="R28" s="46" t="s">
        <v>18</v>
      </c>
      <c r="S28" s="46" t="s">
        <v>49</v>
      </c>
      <c r="T28" s="46" t="s">
        <v>19</v>
      </c>
      <c r="U28" t="str">
        <f>VLOOKUP(J28,Sheet1!$A$2:$D$200,4,0)</f>
        <v>NL300085</v>
      </c>
      <c r="V28" t="str">
        <f>VLOOKUP(U28,Sheet1!$D$2:$E$200,2,0)</f>
        <v>Mùi ta ( Ngò rí )</v>
      </c>
      <c r="W28" s="23" t="str">
        <f t="shared" si="3"/>
        <v>269NL300085</v>
      </c>
      <c r="X28" s="23" t="str">
        <f>COUNTIF($R$15:W28,W28)&amp;W28</f>
        <v>1269NL300085</v>
      </c>
      <c r="Y28" s="43">
        <f>IFERROR(VLOOKUP(X28,Sheet4!$B$7:$M$1187,12,0),"0")</f>
        <v>0.8</v>
      </c>
      <c r="Z28" s="27">
        <f>IFERROR(VLOOKUP(X28,Sheet4!$B$7:$N$1187,13,0),"0")</f>
        <v>45000</v>
      </c>
      <c r="AA28" s="26">
        <f t="shared" si="4"/>
        <v>36000</v>
      </c>
      <c r="AB28" s="33">
        <f t="shared" si="5"/>
        <v>-0.19999999999999996</v>
      </c>
      <c r="AC28" s="24">
        <f t="shared" si="6"/>
        <v>0</v>
      </c>
      <c r="AD28" s="24">
        <f t="shared" si="7"/>
        <v>-9000</v>
      </c>
    </row>
    <row r="29" spans="2:30" ht="24" x14ac:dyDescent="0.25">
      <c r="B29" s="45"/>
      <c r="C29" s="72" t="str">
        <f t="shared" si="0"/>
        <v>26/09/2025</v>
      </c>
      <c r="D29" s="52" t="str">
        <f t="shared" si="1"/>
        <v>TG-KS01163</v>
      </c>
      <c r="E29" s="52" t="str">
        <f t="shared" si="1"/>
        <v>TIANLONG 01</v>
      </c>
      <c r="F29" s="45"/>
      <c r="G29" s="45"/>
      <c r="H29" s="45"/>
      <c r="I29" s="45"/>
      <c r="J29" s="53" t="s">
        <v>66</v>
      </c>
      <c r="K29" s="53" t="s">
        <v>17</v>
      </c>
      <c r="L29" s="73">
        <v>0.3</v>
      </c>
      <c r="M29" s="74">
        <v>90000</v>
      </c>
      <c r="N29" s="74">
        <v>27000</v>
      </c>
      <c r="O29" s="71">
        <f t="shared" si="2"/>
        <v>2430000000</v>
      </c>
      <c r="P29" s="46" t="s">
        <v>18</v>
      </c>
      <c r="Q29" s="46" t="s">
        <v>348</v>
      </c>
      <c r="R29" s="46" t="s">
        <v>18</v>
      </c>
      <c r="S29" s="46" t="s">
        <v>49</v>
      </c>
      <c r="T29" s="46" t="s">
        <v>19</v>
      </c>
      <c r="U29" t="str">
        <f>VLOOKUP(J29,Sheet1!$A$2:$D$200,4,0)</f>
        <v>NL300126</v>
      </c>
      <c r="V29" t="str">
        <f>VLOOKUP(U29,Sheet1!$D$2:$E$200,2,0)</f>
        <v>Rau mùi tây</v>
      </c>
      <c r="W29" s="23" t="str">
        <f t="shared" si="3"/>
        <v>269NL300126</v>
      </c>
      <c r="X29" s="23" t="str">
        <f>COUNTIF($R$15:W29,W29)&amp;W29</f>
        <v>1269NL300126</v>
      </c>
      <c r="Y29" s="43">
        <f>IFERROR(VLOOKUP(X29,Sheet4!$B$7:$M$1187,12,0),"0")</f>
        <v>0.2</v>
      </c>
      <c r="Z29" s="27">
        <f>IFERROR(VLOOKUP(X29,Sheet4!$B$7:$N$1187,13,0),"0")</f>
        <v>90000</v>
      </c>
      <c r="AA29" s="26">
        <f t="shared" si="4"/>
        <v>18000</v>
      </c>
      <c r="AB29" s="33">
        <f t="shared" si="5"/>
        <v>-9.9999999999999978E-2</v>
      </c>
      <c r="AC29" s="24">
        <f t="shared" si="6"/>
        <v>0</v>
      </c>
      <c r="AD29" s="24">
        <f t="shared" si="7"/>
        <v>-9000</v>
      </c>
    </row>
    <row r="30" spans="2:30" ht="24" x14ac:dyDescent="0.25">
      <c r="B30" s="45"/>
      <c r="C30" s="72" t="str">
        <f t="shared" si="0"/>
        <v>26/09/2025</v>
      </c>
      <c r="D30" s="52" t="str">
        <f t="shared" si="1"/>
        <v>TG-KS01163</v>
      </c>
      <c r="E30" s="52" t="str">
        <f t="shared" si="1"/>
        <v>TIANLONG 01</v>
      </c>
      <c r="F30" s="45"/>
      <c r="G30" s="45"/>
      <c r="H30" s="45"/>
      <c r="I30" s="45"/>
      <c r="J30" s="53" t="s">
        <v>33</v>
      </c>
      <c r="K30" s="53" t="s">
        <v>17</v>
      </c>
      <c r="L30" s="73">
        <v>1</v>
      </c>
      <c r="M30" s="74">
        <v>48000</v>
      </c>
      <c r="N30" s="74">
        <v>48000</v>
      </c>
      <c r="O30" s="71">
        <f t="shared" si="2"/>
        <v>2304000000</v>
      </c>
      <c r="P30" s="46" t="s">
        <v>18</v>
      </c>
      <c r="Q30" s="46" t="s">
        <v>348</v>
      </c>
      <c r="R30" s="46" t="s">
        <v>18</v>
      </c>
      <c r="S30" s="46" t="s">
        <v>49</v>
      </c>
      <c r="T30" s="46" t="s">
        <v>19</v>
      </c>
      <c r="U30" t="str">
        <f>VLOOKUP(J30,Sheet1!$A$2:$D$200,4,0)</f>
        <v>NL300113</v>
      </c>
      <c r="V30" t="str">
        <f>VLOOKUP(U30,Sheet1!$D$2:$E$200,2,0)</f>
        <v>Ớt hiểm đỏ</v>
      </c>
      <c r="W30" s="23" t="str">
        <f t="shared" si="3"/>
        <v>269NL300113</v>
      </c>
      <c r="X30" s="23" t="str">
        <f>COUNTIF($R$15:W30,W30)&amp;W30</f>
        <v>1269NL300113</v>
      </c>
      <c r="Y30" s="43">
        <f>IFERROR(VLOOKUP(X30,Sheet4!$B$7:$M$1187,12,0),"0")</f>
        <v>1</v>
      </c>
      <c r="Z30" s="27">
        <f>IFERROR(VLOOKUP(X30,Sheet4!$B$7:$N$1187,13,0),"0")</f>
        <v>48000</v>
      </c>
      <c r="AA30" s="26">
        <f t="shared" si="4"/>
        <v>48000</v>
      </c>
      <c r="AB30" s="33">
        <f t="shared" si="5"/>
        <v>0</v>
      </c>
      <c r="AC30" s="24">
        <f t="shared" si="6"/>
        <v>0</v>
      </c>
      <c r="AD30" s="24">
        <f t="shared" si="7"/>
        <v>0</v>
      </c>
    </row>
    <row r="31" spans="2:30" ht="24" x14ac:dyDescent="0.25">
      <c r="B31" s="45"/>
      <c r="C31" s="72" t="str">
        <f t="shared" si="0"/>
        <v>26/09/2025</v>
      </c>
      <c r="D31" s="52" t="str">
        <f t="shared" si="1"/>
        <v>TG-KS01163</v>
      </c>
      <c r="E31" s="52" t="str">
        <f t="shared" si="1"/>
        <v>TIANLONG 01</v>
      </c>
      <c r="F31" s="45"/>
      <c r="G31" s="45"/>
      <c r="H31" s="45"/>
      <c r="I31" s="45"/>
      <c r="J31" s="53" t="s">
        <v>60</v>
      </c>
      <c r="K31" s="53" t="s">
        <v>17</v>
      </c>
      <c r="L31" s="73">
        <v>5</v>
      </c>
      <c r="M31" s="74">
        <v>20000</v>
      </c>
      <c r="N31" s="74">
        <v>100000</v>
      </c>
      <c r="O31" s="71">
        <f t="shared" si="2"/>
        <v>2000000000</v>
      </c>
      <c r="P31" s="46" t="s">
        <v>18</v>
      </c>
      <c r="Q31" s="46" t="s">
        <v>348</v>
      </c>
      <c r="R31" s="46" t="s">
        <v>18</v>
      </c>
      <c r="S31" s="46" t="s">
        <v>49</v>
      </c>
      <c r="T31" s="46" t="s">
        <v>19</v>
      </c>
      <c r="U31" t="str">
        <f>VLOOKUP(J31,Sheet1!$A$2:$D$200,4,0)</f>
        <v>NL300119</v>
      </c>
      <c r="V31" t="str">
        <f>VLOOKUP(U31,Sheet1!$D$2:$E$200,2,0)</f>
        <v>Quất ( Tắc trái )</v>
      </c>
      <c r="W31" s="23" t="str">
        <f t="shared" si="3"/>
        <v>269NL300119</v>
      </c>
      <c r="X31" s="23" t="str">
        <f>COUNTIF($R$15:W31,W31)&amp;W31</f>
        <v>1269NL300119</v>
      </c>
      <c r="Y31" s="43">
        <f>IFERROR(VLOOKUP(X31,Sheet4!$B$7:$M$1187,12,0),"0")</f>
        <v>4.5</v>
      </c>
      <c r="Z31" s="27">
        <f>IFERROR(VLOOKUP(X31,Sheet4!$B$7:$N$1187,13,0),"0")</f>
        <v>20000</v>
      </c>
      <c r="AA31" s="26">
        <f t="shared" si="4"/>
        <v>90000</v>
      </c>
      <c r="AB31" s="33">
        <f t="shared" si="5"/>
        <v>-0.5</v>
      </c>
      <c r="AC31" s="24">
        <f t="shared" si="6"/>
        <v>0</v>
      </c>
      <c r="AD31" s="24">
        <f t="shared" si="7"/>
        <v>-10000</v>
      </c>
    </row>
    <row r="32" spans="2:30" ht="24" x14ac:dyDescent="0.25">
      <c r="B32" s="45"/>
      <c r="C32" s="72" t="str">
        <f t="shared" si="0"/>
        <v>26/09/2025</v>
      </c>
      <c r="D32" s="52" t="str">
        <f t="shared" ref="D32:E44" si="8">D31</f>
        <v>TG-KS01163</v>
      </c>
      <c r="E32" s="52" t="str">
        <f t="shared" si="8"/>
        <v>TIANLONG 01</v>
      </c>
      <c r="F32" s="45"/>
      <c r="G32" s="45"/>
      <c r="H32" s="45"/>
      <c r="I32" s="45"/>
      <c r="J32" s="53" t="s">
        <v>243</v>
      </c>
      <c r="K32" s="53" t="s">
        <v>17</v>
      </c>
      <c r="L32" s="73">
        <v>4</v>
      </c>
      <c r="M32" s="74">
        <v>31000</v>
      </c>
      <c r="N32" s="74">
        <v>124000</v>
      </c>
      <c r="O32" s="71">
        <f t="shared" si="2"/>
        <v>3844000000</v>
      </c>
      <c r="P32" s="46" t="s">
        <v>18</v>
      </c>
      <c r="Q32" s="46" t="s">
        <v>348</v>
      </c>
      <c r="R32" s="46" t="s">
        <v>18</v>
      </c>
      <c r="S32" s="46" t="s">
        <v>49</v>
      </c>
      <c r="T32" s="46" t="s">
        <v>19</v>
      </c>
      <c r="U32" t="str">
        <f>VLOOKUP(J32,Sheet1!$A$2:$D$200,4,0)</f>
        <v>NL300018</v>
      </c>
      <c r="V32" t="str">
        <f>VLOOKUP(U32,Sheet1!$D$2:$E$200,2,0)</f>
        <v>Cải cúc</v>
      </c>
      <c r="W32" s="23" t="str">
        <f t="shared" si="3"/>
        <v>269NL300018</v>
      </c>
      <c r="X32" s="23" t="str">
        <f>COUNTIF($R$15:W32,W32)&amp;W32</f>
        <v>1269NL300018</v>
      </c>
      <c r="Y32" s="43">
        <f>IFERROR(VLOOKUP(X32,Sheet4!$B$7:$M$1187,12,0),"0")</f>
        <v>3.5</v>
      </c>
      <c r="Z32" s="27">
        <f>IFERROR(VLOOKUP(X32,Sheet4!$B$7:$N$1187,13,0),"0")</f>
        <v>31000</v>
      </c>
      <c r="AA32" s="26">
        <f t="shared" si="4"/>
        <v>108500</v>
      </c>
      <c r="AB32" s="33">
        <f t="shared" si="5"/>
        <v>-0.5</v>
      </c>
      <c r="AC32" s="24">
        <f t="shared" si="6"/>
        <v>0</v>
      </c>
      <c r="AD32" s="24">
        <f t="shared" si="7"/>
        <v>-15500</v>
      </c>
    </row>
    <row r="33" spans="2:30" ht="24" x14ac:dyDescent="0.25">
      <c r="B33" s="45"/>
      <c r="C33" s="72" t="str">
        <f t="shared" si="0"/>
        <v>26/09/2025</v>
      </c>
      <c r="D33" s="52" t="str">
        <f t="shared" si="8"/>
        <v>TG-KS01163</v>
      </c>
      <c r="E33" s="52" t="str">
        <f t="shared" si="8"/>
        <v>TIANLONG 01</v>
      </c>
      <c r="F33" s="45"/>
      <c r="G33" s="45"/>
      <c r="H33" s="45"/>
      <c r="I33" s="45"/>
      <c r="J33" s="53" t="s">
        <v>38</v>
      </c>
      <c r="K33" s="53" t="s">
        <v>17</v>
      </c>
      <c r="L33" s="73">
        <v>2</v>
      </c>
      <c r="M33" s="74">
        <v>55000</v>
      </c>
      <c r="N33" s="74">
        <v>110000</v>
      </c>
      <c r="O33" s="71">
        <f t="shared" si="2"/>
        <v>6050000000</v>
      </c>
      <c r="P33" s="46" t="s">
        <v>18</v>
      </c>
      <c r="Q33" s="46" t="s">
        <v>348</v>
      </c>
      <c r="R33" s="46" t="s">
        <v>18</v>
      </c>
      <c r="S33" s="46" t="s">
        <v>49</v>
      </c>
      <c r="T33" s="46" t="s">
        <v>19</v>
      </c>
      <c r="U33" t="str">
        <f>VLOOKUP(J33,Sheet1!$A$2:$D$200,4,0)</f>
        <v>NL300142</v>
      </c>
      <c r="V33" t="str">
        <f>VLOOKUP(U33,Sheet1!$D$2:$E$200,2,0)</f>
        <v>Tỏi bóc</v>
      </c>
      <c r="W33" s="23" t="str">
        <f t="shared" si="3"/>
        <v>269NL300142</v>
      </c>
      <c r="X33" s="23" t="str">
        <f>COUNTIF($R$15:W33,W33)&amp;W33</f>
        <v>1269NL300142</v>
      </c>
      <c r="Y33" s="43">
        <f>IFERROR(VLOOKUP(X33,Sheet4!$B$7:$M$1187,12,0),"0")</f>
        <v>2</v>
      </c>
      <c r="Z33" s="27">
        <f>IFERROR(VLOOKUP(X33,Sheet4!$B$7:$N$1187,13,0),"0")</f>
        <v>55000</v>
      </c>
      <c r="AA33" s="26">
        <f t="shared" si="4"/>
        <v>110000</v>
      </c>
      <c r="AB33" s="33">
        <f t="shared" si="5"/>
        <v>0</v>
      </c>
      <c r="AC33" s="24">
        <f t="shared" si="6"/>
        <v>0</v>
      </c>
      <c r="AD33" s="24">
        <f t="shared" si="7"/>
        <v>0</v>
      </c>
    </row>
    <row r="34" spans="2:30" ht="24" x14ac:dyDescent="0.25">
      <c r="B34" s="45"/>
      <c r="C34" s="72" t="str">
        <f t="shared" si="0"/>
        <v>26/09/2025</v>
      </c>
      <c r="D34" s="52" t="str">
        <f t="shared" si="8"/>
        <v>TG-KS01163</v>
      </c>
      <c r="E34" s="52" t="str">
        <f t="shared" si="8"/>
        <v>TIANLONG 01</v>
      </c>
      <c r="F34" s="45"/>
      <c r="G34" s="45"/>
      <c r="H34" s="45"/>
      <c r="I34" s="45"/>
      <c r="J34" s="53" t="s">
        <v>37</v>
      </c>
      <c r="K34" s="53" t="s">
        <v>17</v>
      </c>
      <c r="L34" s="73">
        <v>6</v>
      </c>
      <c r="M34" s="74">
        <v>55000</v>
      </c>
      <c r="N34" s="74">
        <v>330000</v>
      </c>
      <c r="O34" s="71">
        <f t="shared" si="2"/>
        <v>18150000000</v>
      </c>
      <c r="P34" s="46" t="s">
        <v>18</v>
      </c>
      <c r="Q34" s="46" t="s">
        <v>350</v>
      </c>
      <c r="R34" s="46" t="s">
        <v>18</v>
      </c>
      <c r="S34" s="46" t="s">
        <v>49</v>
      </c>
      <c r="T34" s="46" t="s">
        <v>19</v>
      </c>
      <c r="U34" t="str">
        <f>VLOOKUP(J34,Sheet1!$A$2:$D$200,4,0)</f>
        <v>NL300147</v>
      </c>
      <c r="V34" t="str">
        <f>VLOOKUP(U34,Sheet1!$D$2:$E$200,2,0)</f>
        <v>Xà lách Roman</v>
      </c>
      <c r="W34" s="23" t="str">
        <f t="shared" si="3"/>
        <v>269NL300147</v>
      </c>
      <c r="X34" s="23" t="str">
        <f>COUNTIF($R$15:W34,W34)&amp;W34</f>
        <v>1269NL300147</v>
      </c>
      <c r="Y34" s="43">
        <f>IFERROR(VLOOKUP(X34,Sheet4!$B$7:$M$1187,12,0),"0")</f>
        <v>6</v>
      </c>
      <c r="Z34" s="27">
        <f>IFERROR(VLOOKUP(X34,Sheet4!$B$7:$N$1187,13,0),"0")</f>
        <v>55000</v>
      </c>
      <c r="AA34" s="26">
        <f t="shared" si="4"/>
        <v>330000</v>
      </c>
      <c r="AB34" s="33">
        <f t="shared" si="5"/>
        <v>0</v>
      </c>
      <c r="AC34" s="24">
        <f t="shared" si="6"/>
        <v>0</v>
      </c>
      <c r="AD34" s="24">
        <f t="shared" si="7"/>
        <v>0</v>
      </c>
    </row>
    <row r="35" spans="2:30" ht="24" x14ac:dyDescent="0.25">
      <c r="B35" s="45"/>
      <c r="C35" s="72" t="str">
        <f t="shared" si="0"/>
        <v>26/09/2025</v>
      </c>
      <c r="D35" s="52" t="str">
        <f t="shared" si="8"/>
        <v>TG-KS01163</v>
      </c>
      <c r="E35" s="52" t="str">
        <f t="shared" si="8"/>
        <v>TIANLONG 01</v>
      </c>
      <c r="F35" s="45"/>
      <c r="G35" s="45"/>
      <c r="H35" s="45"/>
      <c r="I35" s="45"/>
      <c r="J35" s="53" t="s">
        <v>40</v>
      </c>
      <c r="K35" s="53" t="s">
        <v>17</v>
      </c>
      <c r="L35" s="73">
        <v>7</v>
      </c>
      <c r="M35" s="74">
        <v>45000</v>
      </c>
      <c r="N35" s="74">
        <v>315000</v>
      </c>
      <c r="O35" s="71">
        <f t="shared" si="2"/>
        <v>14175000000</v>
      </c>
      <c r="P35" s="46" t="s">
        <v>18</v>
      </c>
      <c r="Q35" s="46" t="s">
        <v>350</v>
      </c>
      <c r="R35" s="46" t="s">
        <v>18</v>
      </c>
      <c r="S35" s="46" t="s">
        <v>49</v>
      </c>
      <c r="T35" s="46" t="s">
        <v>19</v>
      </c>
      <c r="U35" t="str">
        <f>VLOOKUP(J35,Sheet1!$A$2:$D$200,4,0)</f>
        <v>NL300091</v>
      </c>
      <c r="V35" t="str">
        <f>VLOOKUP(U35,Sheet1!$D$2:$E$200,2,0)</f>
        <v>Nấm đùi gà</v>
      </c>
      <c r="W35" s="23" t="str">
        <f t="shared" si="3"/>
        <v>269NL300091</v>
      </c>
      <c r="X35" s="23" t="str">
        <f>COUNTIF($R$15:W35,W35)&amp;W35</f>
        <v>1269NL300091</v>
      </c>
      <c r="Y35" s="43">
        <f>IFERROR(VLOOKUP(X35,Sheet4!$B$7:$M$1187,12,0),"0")</f>
        <v>7</v>
      </c>
      <c r="Z35" s="27">
        <f>IFERROR(VLOOKUP(X35,Sheet4!$B$7:$N$1187,13,0),"0")</f>
        <v>45000</v>
      </c>
      <c r="AA35" s="26">
        <f t="shared" si="4"/>
        <v>315000</v>
      </c>
      <c r="AB35" s="33">
        <f t="shared" si="5"/>
        <v>0</v>
      </c>
      <c r="AC35" s="24">
        <f t="shared" si="6"/>
        <v>0</v>
      </c>
      <c r="AD35" s="24">
        <f t="shared" si="7"/>
        <v>0</v>
      </c>
    </row>
    <row r="36" spans="2:30" ht="24" x14ac:dyDescent="0.25">
      <c r="B36" s="45"/>
      <c r="C36" s="72" t="s">
        <v>380</v>
      </c>
      <c r="D36" s="52" t="str">
        <f t="shared" si="8"/>
        <v>TG-KS01163</v>
      </c>
      <c r="E36" s="52" t="str">
        <f t="shared" si="8"/>
        <v>TIANLONG 01</v>
      </c>
      <c r="F36" s="45"/>
      <c r="G36" s="45"/>
      <c r="H36" s="45"/>
      <c r="I36" s="45"/>
      <c r="J36" s="53" t="s">
        <v>101</v>
      </c>
      <c r="K36" s="53" t="s">
        <v>17</v>
      </c>
      <c r="L36" s="73">
        <v>2</v>
      </c>
      <c r="M36" s="74">
        <v>25000</v>
      </c>
      <c r="N36" s="74">
        <v>50000</v>
      </c>
      <c r="O36" s="71">
        <f t="shared" si="2"/>
        <v>1250000000</v>
      </c>
      <c r="P36" s="46" t="s">
        <v>18</v>
      </c>
      <c r="Q36" s="46" t="s">
        <v>351</v>
      </c>
      <c r="R36" s="46" t="s">
        <v>18</v>
      </c>
      <c r="S36" s="46" t="s">
        <v>49</v>
      </c>
      <c r="T36" s="46" t="s">
        <v>19</v>
      </c>
      <c r="U36" t="str">
        <f>VLOOKUP(J36,Sheet1!$A$2:$D$200,4,0)</f>
        <v>NL300013</v>
      </c>
      <c r="V36" t="str">
        <f>VLOOKUP(U36,Sheet1!$D$2:$E$200,2,0)</f>
        <v>Cà chua</v>
      </c>
      <c r="W36" s="23" t="str">
        <f t="shared" si="3"/>
        <v>279NL300013</v>
      </c>
      <c r="X36" s="23" t="str">
        <f>COUNTIF($R$15:W36,W36)&amp;W36</f>
        <v>1279NL300013</v>
      </c>
      <c r="Y36" s="43">
        <f>IFERROR(VLOOKUP(X36,Sheet4!$B$7:$M$1187,12,0),"0")</f>
        <v>2</v>
      </c>
      <c r="Z36" s="27">
        <f>IFERROR(VLOOKUP(X36,Sheet4!$B$7:$N$1187,13,0),"0")</f>
        <v>25000</v>
      </c>
      <c r="AA36" s="26">
        <f t="shared" si="4"/>
        <v>50000</v>
      </c>
      <c r="AB36" s="33">
        <f t="shared" si="5"/>
        <v>0</v>
      </c>
      <c r="AC36" s="24">
        <f t="shared" si="6"/>
        <v>0</v>
      </c>
      <c r="AD36" s="24">
        <f t="shared" si="7"/>
        <v>0</v>
      </c>
    </row>
    <row r="37" spans="2:30" ht="24" x14ac:dyDescent="0.25">
      <c r="B37" s="45"/>
      <c r="C37" s="72" t="str">
        <f t="shared" ref="C37:C53" si="9">C36</f>
        <v>27/09/2025</v>
      </c>
      <c r="D37" s="52" t="str">
        <f t="shared" si="8"/>
        <v>TG-KS01163</v>
      </c>
      <c r="E37" s="52" t="str">
        <f t="shared" si="8"/>
        <v>TIANLONG 01</v>
      </c>
      <c r="F37" s="45"/>
      <c r="G37" s="45"/>
      <c r="H37" s="45"/>
      <c r="I37" s="45"/>
      <c r="J37" s="53" t="s">
        <v>111</v>
      </c>
      <c r="K37" s="53" t="s">
        <v>17</v>
      </c>
      <c r="L37" s="73">
        <v>10</v>
      </c>
      <c r="M37" s="74">
        <v>14000</v>
      </c>
      <c r="N37" s="74">
        <v>140000</v>
      </c>
      <c r="O37" s="71">
        <f t="shared" si="2"/>
        <v>1960000000</v>
      </c>
      <c r="P37" s="46" t="s">
        <v>18</v>
      </c>
      <c r="Q37" s="46" t="s">
        <v>351</v>
      </c>
      <c r="R37" s="46" t="s">
        <v>18</v>
      </c>
      <c r="S37" s="46" t="s">
        <v>49</v>
      </c>
      <c r="T37" s="46" t="s">
        <v>19</v>
      </c>
      <c r="U37" t="str">
        <f>VLOOKUP(J37,Sheet1!$A$2:$D$200,4,0)</f>
        <v>NL300022</v>
      </c>
      <c r="V37" t="str">
        <f>VLOOKUP(U37,Sheet1!$D$2:$E$200,2,0)</f>
        <v>Cải thảo</v>
      </c>
      <c r="W37" s="23" t="str">
        <f t="shared" si="3"/>
        <v>279NL300022</v>
      </c>
      <c r="X37" s="23" t="str">
        <f>COUNTIF($R$15:W37,W37)&amp;W37</f>
        <v>1279NL300022</v>
      </c>
      <c r="Y37" s="43">
        <f>IFERROR(VLOOKUP(X37,Sheet4!$B$7:$M$1187,12,0),"0")</f>
        <v>9</v>
      </c>
      <c r="Z37" s="27">
        <f>IFERROR(VLOOKUP(X37,Sheet4!$B$7:$N$1187,13,0),"0")</f>
        <v>14000</v>
      </c>
      <c r="AA37" s="26">
        <f t="shared" si="4"/>
        <v>126000</v>
      </c>
      <c r="AB37" s="33">
        <f t="shared" si="5"/>
        <v>-1</v>
      </c>
      <c r="AC37" s="24">
        <f t="shared" si="6"/>
        <v>0</v>
      </c>
      <c r="AD37" s="24">
        <f t="shared" si="7"/>
        <v>-14000</v>
      </c>
    </row>
    <row r="38" spans="2:30" ht="24" x14ac:dyDescent="0.25">
      <c r="B38" s="45"/>
      <c r="C38" s="72" t="str">
        <f t="shared" si="9"/>
        <v>27/09/2025</v>
      </c>
      <c r="D38" s="52" t="str">
        <f t="shared" si="8"/>
        <v>TG-KS01163</v>
      </c>
      <c r="E38" s="52" t="str">
        <f t="shared" si="8"/>
        <v>TIANLONG 01</v>
      </c>
      <c r="F38" s="45"/>
      <c r="G38" s="45"/>
      <c r="H38" s="45"/>
      <c r="I38" s="45"/>
      <c r="J38" s="53" t="s">
        <v>46</v>
      </c>
      <c r="K38" s="53" t="s">
        <v>17</v>
      </c>
      <c r="L38" s="73">
        <v>1</v>
      </c>
      <c r="M38" s="74">
        <v>21000</v>
      </c>
      <c r="N38" s="74">
        <v>21000</v>
      </c>
      <c r="O38" s="71">
        <f t="shared" si="2"/>
        <v>441000000</v>
      </c>
      <c r="P38" s="46" t="s">
        <v>18</v>
      </c>
      <c r="Q38" s="46" t="s">
        <v>351</v>
      </c>
      <c r="R38" s="46" t="s">
        <v>18</v>
      </c>
      <c r="S38" s="46" t="s">
        <v>49</v>
      </c>
      <c r="T38" s="46" t="s">
        <v>19</v>
      </c>
      <c r="U38" t="str">
        <f>VLOOKUP(J38,Sheet1!$A$2:$D$200,4,0)</f>
        <v>NL300029</v>
      </c>
      <c r="V38" t="str">
        <f>VLOOKUP(U38,Sheet1!$D$2:$E$200,2,0)</f>
        <v>Chanh</v>
      </c>
      <c r="W38" s="23" t="str">
        <f t="shared" si="3"/>
        <v>279NL300029</v>
      </c>
      <c r="X38" s="23" t="str">
        <f>COUNTIF($R$15:W38,W38)&amp;W38</f>
        <v>1279NL300029</v>
      </c>
      <c r="Y38" s="43">
        <f>IFERROR(VLOOKUP(X38,Sheet4!$B$7:$M$1187,12,0),"0")</f>
        <v>1</v>
      </c>
      <c r="Z38" s="27">
        <f>IFERROR(VLOOKUP(X38,Sheet4!$B$7:$N$1187,13,0),"0")</f>
        <v>21000</v>
      </c>
      <c r="AA38" s="26">
        <f t="shared" si="4"/>
        <v>21000</v>
      </c>
      <c r="AB38" s="33">
        <f t="shared" si="5"/>
        <v>0</v>
      </c>
      <c r="AC38" s="24">
        <f t="shared" si="6"/>
        <v>0</v>
      </c>
      <c r="AD38" s="24">
        <f t="shared" si="7"/>
        <v>0</v>
      </c>
    </row>
    <row r="39" spans="2:30" ht="24" x14ac:dyDescent="0.25">
      <c r="B39" s="45"/>
      <c r="C39" s="72" t="str">
        <f t="shared" si="9"/>
        <v>27/09/2025</v>
      </c>
      <c r="D39" s="52" t="str">
        <f t="shared" si="8"/>
        <v>TG-KS01163</v>
      </c>
      <c r="E39" s="52" t="str">
        <f t="shared" si="8"/>
        <v>TIANLONG 01</v>
      </c>
      <c r="F39" s="45"/>
      <c r="G39" s="45"/>
      <c r="H39" s="45"/>
      <c r="I39" s="45"/>
      <c r="J39" s="53" t="s">
        <v>47</v>
      </c>
      <c r="K39" s="53" t="s">
        <v>17</v>
      </c>
      <c r="L39" s="73">
        <v>21.5</v>
      </c>
      <c r="M39" s="74">
        <v>16000</v>
      </c>
      <c r="N39" s="74">
        <v>344000</v>
      </c>
      <c r="O39" s="71">
        <f t="shared" si="2"/>
        <v>5504000000</v>
      </c>
      <c r="P39" s="46" t="s">
        <v>18</v>
      </c>
      <c r="Q39" s="46" t="s">
        <v>351</v>
      </c>
      <c r="R39" s="46" t="s">
        <v>18</v>
      </c>
      <c r="S39" s="46" t="s">
        <v>49</v>
      </c>
      <c r="T39" s="46" t="s">
        <v>19</v>
      </c>
      <c r="U39" t="str">
        <f>VLOOKUP(J39,Sheet1!$A$2:$D$200,4,0)</f>
        <v>NL600004</v>
      </c>
      <c r="V39" t="str">
        <f>VLOOKUP(U39,Sheet1!$D$2:$E$200,2,0)</f>
        <v>Dưa hấu</v>
      </c>
      <c r="W39" s="23" t="str">
        <f t="shared" si="3"/>
        <v>279NL600004</v>
      </c>
      <c r="X39" s="23" t="str">
        <f>COUNTIF($R$15:W39,W39)&amp;W39</f>
        <v>1279NL600004</v>
      </c>
      <c r="Y39" s="43">
        <f>IFERROR(VLOOKUP(X39,Sheet4!$B$7:$M$1187,12,0),"0")</f>
        <v>21.5</v>
      </c>
      <c r="Z39" s="27">
        <f>IFERROR(VLOOKUP(X39,Sheet4!$B$7:$N$1187,13,0),"0")</f>
        <v>16000</v>
      </c>
      <c r="AA39" s="26">
        <f t="shared" si="4"/>
        <v>344000</v>
      </c>
      <c r="AB39" s="33">
        <f t="shared" si="5"/>
        <v>0</v>
      </c>
      <c r="AC39" s="24">
        <f t="shared" si="6"/>
        <v>0</v>
      </c>
      <c r="AD39" s="24">
        <f t="shared" si="7"/>
        <v>0</v>
      </c>
    </row>
    <row r="40" spans="2:30" ht="24" x14ac:dyDescent="0.25">
      <c r="B40" s="45"/>
      <c r="C40" s="72" t="str">
        <f t="shared" si="9"/>
        <v>27/09/2025</v>
      </c>
      <c r="D40" s="52" t="str">
        <f t="shared" si="8"/>
        <v>TG-KS01163</v>
      </c>
      <c r="E40" s="52" t="str">
        <f t="shared" si="8"/>
        <v>TIANLONG 01</v>
      </c>
      <c r="F40" s="45"/>
      <c r="G40" s="45"/>
      <c r="H40" s="45"/>
      <c r="I40" s="45"/>
      <c r="J40" s="53" t="s">
        <v>29</v>
      </c>
      <c r="K40" s="53" t="s">
        <v>17</v>
      </c>
      <c r="L40" s="73">
        <v>1</v>
      </c>
      <c r="M40" s="74">
        <v>31000</v>
      </c>
      <c r="N40" s="74">
        <v>31000</v>
      </c>
      <c r="O40" s="71">
        <f t="shared" si="2"/>
        <v>961000000</v>
      </c>
      <c r="P40" s="46" t="s">
        <v>18</v>
      </c>
      <c r="Q40" s="46" t="s">
        <v>351</v>
      </c>
      <c r="R40" s="46" t="s">
        <v>18</v>
      </c>
      <c r="S40" s="46" t="s">
        <v>49</v>
      </c>
      <c r="T40" s="46" t="s">
        <v>19</v>
      </c>
      <c r="U40" t="str">
        <f>VLOOKUP(J40,Sheet1!$A$2:$D$200,4,0)</f>
        <v>NL300058</v>
      </c>
      <c r="V40" t="str">
        <f>VLOOKUP(U40,Sheet1!$D$2:$E$200,2,0)</f>
        <v>Hành lá</v>
      </c>
      <c r="W40" s="23" t="str">
        <f t="shared" si="3"/>
        <v>279NL300058</v>
      </c>
      <c r="X40" s="23" t="str">
        <f>COUNTIF($R$15:W40,W40)&amp;W40</f>
        <v>1279NL300058</v>
      </c>
      <c r="Y40" s="43">
        <f>IFERROR(VLOOKUP(X40,Sheet4!$B$7:$M$1187,12,0),"0")</f>
        <v>1</v>
      </c>
      <c r="Z40" s="27">
        <f>IFERROR(VLOOKUP(X40,Sheet4!$B$7:$N$1187,13,0),"0")</f>
        <v>31000</v>
      </c>
      <c r="AA40" s="26">
        <f t="shared" si="4"/>
        <v>31000</v>
      </c>
      <c r="AB40" s="33">
        <f t="shared" si="5"/>
        <v>0</v>
      </c>
      <c r="AC40" s="24">
        <f t="shared" si="6"/>
        <v>0</v>
      </c>
      <c r="AD40" s="24">
        <f t="shared" si="7"/>
        <v>0</v>
      </c>
    </row>
    <row r="41" spans="2:30" ht="24" x14ac:dyDescent="0.25">
      <c r="B41" s="45"/>
      <c r="C41" s="72" t="str">
        <f t="shared" si="9"/>
        <v>27/09/2025</v>
      </c>
      <c r="D41" s="52" t="str">
        <f t="shared" si="8"/>
        <v>TG-KS01163</v>
      </c>
      <c r="E41" s="52" t="str">
        <f t="shared" si="8"/>
        <v>TIANLONG 01</v>
      </c>
      <c r="F41" s="45"/>
      <c r="G41" s="45"/>
      <c r="H41" s="45"/>
      <c r="I41" s="45"/>
      <c r="J41" s="53" t="s">
        <v>69</v>
      </c>
      <c r="K41" s="53" t="s">
        <v>17</v>
      </c>
      <c r="L41" s="73">
        <v>0.5</v>
      </c>
      <c r="M41" s="74">
        <v>54000</v>
      </c>
      <c r="N41" s="74">
        <v>27000</v>
      </c>
      <c r="O41" s="71">
        <f t="shared" si="2"/>
        <v>1458000000</v>
      </c>
      <c r="P41" s="46" t="s">
        <v>18</v>
      </c>
      <c r="Q41" s="46" t="s">
        <v>351</v>
      </c>
      <c r="R41" s="46" t="s">
        <v>18</v>
      </c>
      <c r="S41" s="46" t="s">
        <v>49</v>
      </c>
      <c r="T41" s="46" t="s">
        <v>19</v>
      </c>
      <c r="U41" t="str">
        <f>VLOOKUP(J41,Sheet1!$A$2:$D$200,4,0)</f>
        <v>NL300062</v>
      </c>
      <c r="V41" t="str">
        <f>VLOOKUP(U41,Sheet1!$D$2:$E$200,2,0)</f>
        <v>Húng Bạc Hà</v>
      </c>
      <c r="W41" s="23" t="str">
        <f t="shared" si="3"/>
        <v>279NL300062</v>
      </c>
      <c r="X41" s="23" t="str">
        <f>COUNTIF($R$15:W41,W41)&amp;W41</f>
        <v>1279NL300062</v>
      </c>
      <c r="Y41" s="43">
        <f>IFERROR(VLOOKUP(X41,Sheet4!$B$7:$M$1187,12,0),"0")</f>
        <v>0.5</v>
      </c>
      <c r="Z41" s="27">
        <f>IFERROR(VLOOKUP(X41,Sheet4!$B$7:$N$1187,13,0),"0")</f>
        <v>54000</v>
      </c>
      <c r="AA41" s="26">
        <f t="shared" si="4"/>
        <v>27000</v>
      </c>
      <c r="AB41" s="33">
        <f t="shared" si="5"/>
        <v>0</v>
      </c>
      <c r="AC41" s="24">
        <f t="shared" si="6"/>
        <v>0</v>
      </c>
      <c r="AD41" s="24">
        <f t="shared" si="7"/>
        <v>0</v>
      </c>
    </row>
    <row r="42" spans="2:30" ht="24" x14ac:dyDescent="0.25">
      <c r="B42" s="45"/>
      <c r="C42" s="72" t="str">
        <f t="shared" si="9"/>
        <v>27/09/2025</v>
      </c>
      <c r="D42" s="52" t="str">
        <f t="shared" si="8"/>
        <v>TG-KS01163</v>
      </c>
      <c r="E42" s="52" t="str">
        <f t="shared" si="8"/>
        <v>TIANLONG 01</v>
      </c>
      <c r="F42" s="45"/>
      <c r="G42" s="45"/>
      <c r="H42" s="45"/>
      <c r="I42" s="45"/>
      <c r="J42" s="53" t="s">
        <v>168</v>
      </c>
      <c r="K42" s="53" t="s">
        <v>17</v>
      </c>
      <c r="L42" s="73">
        <v>1.1000000000000001</v>
      </c>
      <c r="M42" s="74">
        <v>18000</v>
      </c>
      <c r="N42" s="74">
        <v>19800</v>
      </c>
      <c r="O42" s="71">
        <f t="shared" si="2"/>
        <v>356400000</v>
      </c>
      <c r="P42" s="46" t="s">
        <v>18</v>
      </c>
      <c r="Q42" s="46" t="s">
        <v>351</v>
      </c>
      <c r="R42" s="46" t="s">
        <v>18</v>
      </c>
      <c r="S42" s="46" t="s">
        <v>49</v>
      </c>
      <c r="T42" s="46" t="s">
        <v>19</v>
      </c>
      <c r="U42" t="str">
        <f>VLOOKUP(J42,Sheet1!$A$2:$D$200,4,0)</f>
        <v>NL300074</v>
      </c>
      <c r="V42" t="str">
        <f>VLOOKUP(U42,Sheet1!$D$2:$E$200,2,0)</f>
        <v>Lá chuối</v>
      </c>
      <c r="W42" s="23" t="str">
        <f t="shared" si="3"/>
        <v>279NL300074</v>
      </c>
      <c r="X42" s="23" t="str">
        <f>COUNTIF($R$15:W42,W42)&amp;W42</f>
        <v>1279NL300074</v>
      </c>
      <c r="Y42" s="43">
        <f>IFERROR(VLOOKUP(X42,Sheet4!$B$7:$M$1187,12,0),"0")</f>
        <v>1.1000000000000001</v>
      </c>
      <c r="Z42" s="27">
        <f>IFERROR(VLOOKUP(X42,Sheet4!$B$7:$N$1187,13,0),"0")</f>
        <v>18000</v>
      </c>
      <c r="AA42" s="26">
        <f t="shared" si="4"/>
        <v>19800</v>
      </c>
      <c r="AB42" s="33">
        <f t="shared" si="5"/>
        <v>0</v>
      </c>
      <c r="AC42" s="24">
        <f t="shared" si="6"/>
        <v>0</v>
      </c>
      <c r="AD42" s="24">
        <f t="shared" si="7"/>
        <v>0</v>
      </c>
    </row>
    <row r="43" spans="2:30" ht="24" x14ac:dyDescent="0.25">
      <c r="B43" s="45"/>
      <c r="C43" s="72" t="str">
        <f t="shared" si="9"/>
        <v>27/09/2025</v>
      </c>
      <c r="D43" s="52" t="str">
        <f t="shared" si="8"/>
        <v>TG-KS01163</v>
      </c>
      <c r="E43" s="52" t="str">
        <f t="shared" si="8"/>
        <v>TIANLONG 01</v>
      </c>
      <c r="F43" s="45"/>
      <c r="G43" s="45"/>
      <c r="H43" s="45"/>
      <c r="I43" s="45"/>
      <c r="J43" s="53" t="s">
        <v>183</v>
      </c>
      <c r="K43" s="53" t="s">
        <v>17</v>
      </c>
      <c r="L43" s="73">
        <v>3.3</v>
      </c>
      <c r="M43" s="74">
        <v>20000</v>
      </c>
      <c r="N43" s="74">
        <v>66000</v>
      </c>
      <c r="O43" s="71">
        <f t="shared" si="2"/>
        <v>1320000000</v>
      </c>
      <c r="P43" s="46" t="s">
        <v>18</v>
      </c>
      <c r="Q43" s="46" t="s">
        <v>351</v>
      </c>
      <c r="R43" s="46" t="s">
        <v>18</v>
      </c>
      <c r="S43" s="46" t="s">
        <v>49</v>
      </c>
      <c r="T43" s="46" t="s">
        <v>19</v>
      </c>
      <c r="U43" t="str">
        <f>VLOOKUP(J43,Sheet1!$A$2:$D$200,4,0)</f>
        <v>NL300084</v>
      </c>
      <c r="V43" t="str">
        <f>VLOOKUP(U43,Sheet1!$D$2:$E$200,2,0)</f>
        <v>Mồng tơi nhặt</v>
      </c>
      <c r="W43" s="23" t="str">
        <f t="shared" si="3"/>
        <v>279NL300084</v>
      </c>
      <c r="X43" s="23" t="str">
        <f>COUNTIF($R$15:W43,W43)&amp;W43</f>
        <v>1279NL300084</v>
      </c>
      <c r="Y43" s="43">
        <f>IFERROR(VLOOKUP(X43,Sheet4!$B$7:$M$1187,12,0),"0")</f>
        <v>2.7</v>
      </c>
      <c r="Z43" s="27">
        <f>IFERROR(VLOOKUP(X43,Sheet4!$B$7:$N$1187,13,0),"0")</f>
        <v>20000</v>
      </c>
      <c r="AA43" s="26">
        <f t="shared" si="4"/>
        <v>54000</v>
      </c>
      <c r="AB43" s="33">
        <f t="shared" si="5"/>
        <v>-0.59999999999999964</v>
      </c>
      <c r="AC43" s="24">
        <f t="shared" si="6"/>
        <v>0</v>
      </c>
      <c r="AD43" s="24">
        <f t="shared" si="7"/>
        <v>-12000</v>
      </c>
    </row>
    <row r="44" spans="2:30" ht="24" x14ac:dyDescent="0.25">
      <c r="B44" s="45"/>
      <c r="C44" s="72" t="str">
        <f t="shared" si="9"/>
        <v>27/09/2025</v>
      </c>
      <c r="D44" s="52" t="str">
        <f t="shared" si="8"/>
        <v>TG-KS01163</v>
      </c>
      <c r="E44" s="52" t="str">
        <f t="shared" si="8"/>
        <v>TIANLONG 01</v>
      </c>
      <c r="F44" s="45"/>
      <c r="G44" s="45"/>
      <c r="H44" s="45"/>
      <c r="I44" s="45"/>
      <c r="J44" s="53" t="s">
        <v>39</v>
      </c>
      <c r="K44" s="53" t="s">
        <v>17</v>
      </c>
      <c r="L44" s="73">
        <v>2</v>
      </c>
      <c r="M44" s="74">
        <v>138000</v>
      </c>
      <c r="N44" s="74">
        <v>276000</v>
      </c>
      <c r="O44" s="71">
        <f t="shared" si="2"/>
        <v>38088000000</v>
      </c>
      <c r="P44" s="46" t="s">
        <v>18</v>
      </c>
      <c r="Q44" s="46" t="s">
        <v>351</v>
      </c>
      <c r="R44" s="46" t="s">
        <v>18</v>
      </c>
      <c r="S44" s="46" t="s">
        <v>49</v>
      </c>
      <c r="T44" s="46" t="s">
        <v>19</v>
      </c>
      <c r="U44" t="str">
        <f>VLOOKUP(J44,Sheet1!$A$2:$D$200,4,0)</f>
        <v>NL300090</v>
      </c>
      <c r="V44" t="str">
        <f>VLOOKUP(U44,Sheet1!$D$2:$E$200,2,0)</f>
        <v>Nấm đông cô tươi</v>
      </c>
      <c r="W44" s="23" t="str">
        <f t="shared" si="3"/>
        <v>279NL300090</v>
      </c>
      <c r="X44" s="23" t="str">
        <f>COUNTIF($R$15:W44,W44)&amp;W44</f>
        <v>1279NL300090</v>
      </c>
      <c r="Y44" s="43">
        <f>IFERROR(VLOOKUP(X44,Sheet4!$B$7:$M$1187,12,0),"0")</f>
        <v>2</v>
      </c>
      <c r="Z44" s="27">
        <f>IFERROR(VLOOKUP(X44,Sheet4!$B$7:$N$1187,13,0),"0")</f>
        <v>138000</v>
      </c>
      <c r="AA44" s="26">
        <f t="shared" si="4"/>
        <v>276000</v>
      </c>
      <c r="AB44" s="33">
        <f t="shared" si="5"/>
        <v>0</v>
      </c>
      <c r="AC44" s="24">
        <f t="shared" si="6"/>
        <v>0</v>
      </c>
      <c r="AD44" s="24">
        <f t="shared" si="7"/>
        <v>0</v>
      </c>
    </row>
    <row r="45" spans="2:30" ht="24" x14ac:dyDescent="0.25">
      <c r="B45" s="45"/>
      <c r="C45" s="72" t="str">
        <f t="shared" si="9"/>
        <v>27/09/2025</v>
      </c>
      <c r="D45" s="52" t="s">
        <v>376</v>
      </c>
      <c r="E45" s="52" t="s">
        <v>359</v>
      </c>
      <c r="F45" s="45"/>
      <c r="G45" s="45"/>
      <c r="H45" s="45"/>
      <c r="I45" s="45"/>
      <c r="J45" s="53" t="s">
        <v>67</v>
      </c>
      <c r="K45" s="53" t="s">
        <v>17</v>
      </c>
      <c r="L45" s="73">
        <v>1</v>
      </c>
      <c r="M45" s="74">
        <v>63000</v>
      </c>
      <c r="N45" s="74">
        <v>63000</v>
      </c>
      <c r="O45" s="71">
        <f t="shared" si="2"/>
        <v>3969000000</v>
      </c>
      <c r="P45" s="46" t="s">
        <v>18</v>
      </c>
      <c r="Q45" s="46" t="s">
        <v>351</v>
      </c>
      <c r="R45" s="46" t="s">
        <v>18</v>
      </c>
      <c r="S45" s="46" t="s">
        <v>49</v>
      </c>
      <c r="T45" s="46" t="s">
        <v>19</v>
      </c>
      <c r="U45" t="str">
        <f>VLOOKUP(J45,Sheet1!$A$2:$D$200,4,0)</f>
        <v>NL300094</v>
      </c>
      <c r="V45" t="str">
        <f>VLOOKUP(U45,Sheet1!$D$2:$E$200,2,0)</f>
        <v>Nấm hải sản</v>
      </c>
      <c r="W45" s="23" t="str">
        <f t="shared" si="3"/>
        <v>279NL300094</v>
      </c>
      <c r="X45" s="23" t="str">
        <f>COUNTIF($R$15:W45,W45)&amp;W45</f>
        <v>1279NL300094</v>
      </c>
      <c r="Y45" s="43">
        <f>IFERROR(VLOOKUP(X45,Sheet4!$B$7:$M$1187,12,0),"0")</f>
        <v>1</v>
      </c>
      <c r="Z45" s="27">
        <f>IFERROR(VLOOKUP(X45,Sheet4!$B$7:$N$1187,13,0),"0")</f>
        <v>63000</v>
      </c>
      <c r="AA45" s="26">
        <f t="shared" si="4"/>
        <v>63000</v>
      </c>
      <c r="AB45" s="33">
        <f t="shared" si="5"/>
        <v>0</v>
      </c>
      <c r="AC45" s="24">
        <f t="shared" si="6"/>
        <v>0</v>
      </c>
      <c r="AD45" s="24">
        <f t="shared" si="7"/>
        <v>0</v>
      </c>
    </row>
    <row r="46" spans="2:30" ht="24" x14ac:dyDescent="0.25">
      <c r="B46" s="45"/>
      <c r="C46" s="72" t="str">
        <f t="shared" si="9"/>
        <v>27/09/2025</v>
      </c>
      <c r="D46" s="52" t="str">
        <f t="shared" ref="D46:E61" si="10">D45</f>
        <v>TG-KS01163</v>
      </c>
      <c r="E46" s="52" t="str">
        <f t="shared" si="10"/>
        <v>TIANLONG 01</v>
      </c>
      <c r="F46" s="45"/>
      <c r="G46" s="45"/>
      <c r="H46" s="45"/>
      <c r="I46" s="45"/>
      <c r="J46" s="53" t="s">
        <v>345</v>
      </c>
      <c r="K46" s="53" t="s">
        <v>340</v>
      </c>
      <c r="L46" s="73">
        <v>20</v>
      </c>
      <c r="M46" s="74">
        <v>11000</v>
      </c>
      <c r="N46" s="74">
        <v>220000</v>
      </c>
      <c r="O46" s="71">
        <f t="shared" si="2"/>
        <v>2420000000</v>
      </c>
      <c r="P46" s="46" t="s">
        <v>18</v>
      </c>
      <c r="Q46" s="46" t="s">
        <v>351</v>
      </c>
      <c r="R46" s="46" t="s">
        <v>18</v>
      </c>
      <c r="S46" s="46" t="s">
        <v>49</v>
      </c>
      <c r="T46" s="46" t="s">
        <v>19</v>
      </c>
      <c r="U46" t="str">
        <f>VLOOKUP(J46,Sheet1!$A$2:$D$200,4,0)</f>
        <v>NL300096</v>
      </c>
      <c r="V46" t="str">
        <f>VLOOKUP(U46,Sheet1!$D$2:$E$200,2,0)</f>
        <v>Nấm kim châm tươi</v>
      </c>
      <c r="W46" s="23" t="str">
        <f t="shared" si="3"/>
        <v>279NL300096</v>
      </c>
      <c r="X46" s="23" t="str">
        <f>COUNTIF($R$15:W46,W46)&amp;W46</f>
        <v>1279NL300096</v>
      </c>
      <c r="Y46" s="43">
        <f>IFERROR(VLOOKUP(X46,Sheet4!$B$7:$M$1187,12,0),"0")</f>
        <v>4</v>
      </c>
      <c r="Z46" s="27">
        <f>IFERROR(VLOOKUP(X46,Sheet4!$B$7:$N$1187,13,0),"0")</f>
        <v>45000</v>
      </c>
      <c r="AA46" s="26">
        <f t="shared" si="4"/>
        <v>180000</v>
      </c>
      <c r="AB46" s="33">
        <f t="shared" si="5"/>
        <v>-16</v>
      </c>
      <c r="AC46" s="24">
        <f t="shared" si="6"/>
        <v>34000</v>
      </c>
      <c r="AD46" s="24">
        <f t="shared" si="7"/>
        <v>-40000</v>
      </c>
    </row>
    <row r="47" spans="2:30" ht="24" x14ac:dyDescent="0.25">
      <c r="B47" s="45"/>
      <c r="C47" s="72" t="str">
        <f t="shared" si="9"/>
        <v>27/09/2025</v>
      </c>
      <c r="D47" s="52" t="str">
        <f t="shared" si="10"/>
        <v>TG-KS01163</v>
      </c>
      <c r="E47" s="52" t="str">
        <f t="shared" si="10"/>
        <v>TIANLONG 01</v>
      </c>
      <c r="F47" s="45"/>
      <c r="G47" s="45"/>
      <c r="H47" s="45"/>
      <c r="I47" s="45"/>
      <c r="J47" s="53" t="s">
        <v>68</v>
      </c>
      <c r="K47" s="53" t="s">
        <v>17</v>
      </c>
      <c r="L47" s="73">
        <v>3</v>
      </c>
      <c r="M47" s="74">
        <v>90000</v>
      </c>
      <c r="N47" s="74">
        <v>270000</v>
      </c>
      <c r="O47" s="71">
        <f t="shared" si="2"/>
        <v>24300000000</v>
      </c>
      <c r="P47" s="46" t="s">
        <v>18</v>
      </c>
      <c r="Q47" s="46" t="s">
        <v>351</v>
      </c>
      <c r="R47" s="46" t="s">
        <v>18</v>
      </c>
      <c r="S47" s="46" t="s">
        <v>49</v>
      </c>
      <c r="T47" s="46" t="s">
        <v>19</v>
      </c>
      <c r="U47" t="str">
        <f>VLOOKUP(J47,Sheet1!$A$2:$D$200,4,0)</f>
        <v>NL300098</v>
      </c>
      <c r="V47" t="str">
        <f>VLOOKUP(U47,Sheet1!$D$2:$E$200,2,0)</f>
        <v>Nấm Linh Chi trắng</v>
      </c>
      <c r="W47" s="23" t="str">
        <f t="shared" si="3"/>
        <v>279NL300098</v>
      </c>
      <c r="X47" s="23" t="str">
        <f>COUNTIF($R$15:W47,W47)&amp;W47</f>
        <v>1279NL300098</v>
      </c>
      <c r="Y47" s="43">
        <f>IFERROR(VLOOKUP(X47,Sheet4!$B$7:$M$1187,12,0),"0")</f>
        <v>3</v>
      </c>
      <c r="Z47" s="27">
        <f>IFERROR(VLOOKUP(X47,Sheet4!$B$7:$N$1187,13,0),"0")</f>
        <v>90000</v>
      </c>
      <c r="AA47" s="26">
        <f t="shared" si="4"/>
        <v>270000</v>
      </c>
      <c r="AB47" s="33">
        <f t="shared" si="5"/>
        <v>0</v>
      </c>
      <c r="AC47" s="24">
        <f t="shared" si="6"/>
        <v>0</v>
      </c>
      <c r="AD47" s="24">
        <f t="shared" si="7"/>
        <v>0</v>
      </c>
    </row>
    <row r="48" spans="2:30" ht="24" x14ac:dyDescent="0.25">
      <c r="B48" s="45"/>
      <c r="C48" s="72" t="str">
        <f t="shared" si="9"/>
        <v>27/09/2025</v>
      </c>
      <c r="D48" s="52" t="str">
        <f t="shared" si="10"/>
        <v>TG-KS01163</v>
      </c>
      <c r="E48" s="52" t="str">
        <f t="shared" si="10"/>
        <v>TIANLONG 01</v>
      </c>
      <c r="F48" s="45"/>
      <c r="G48" s="45"/>
      <c r="H48" s="45"/>
      <c r="I48" s="45"/>
      <c r="J48" s="53" t="s">
        <v>66</v>
      </c>
      <c r="K48" s="53" t="s">
        <v>17</v>
      </c>
      <c r="L48" s="73">
        <v>0.3</v>
      </c>
      <c r="M48" s="74">
        <v>90000</v>
      </c>
      <c r="N48" s="74">
        <v>27000</v>
      </c>
      <c r="O48" s="71">
        <f t="shared" si="2"/>
        <v>2430000000</v>
      </c>
      <c r="P48" s="46" t="s">
        <v>18</v>
      </c>
      <c r="Q48" s="46" t="s">
        <v>351</v>
      </c>
      <c r="R48" s="46" t="s">
        <v>18</v>
      </c>
      <c r="S48" s="46" t="s">
        <v>49</v>
      </c>
      <c r="T48" s="46" t="s">
        <v>19</v>
      </c>
      <c r="U48" t="str">
        <f>VLOOKUP(J48,Sheet1!$A$2:$D$200,4,0)</f>
        <v>NL300126</v>
      </c>
      <c r="V48" t="str">
        <f>VLOOKUP(U48,Sheet1!$D$2:$E$200,2,0)</f>
        <v>Rau mùi tây</v>
      </c>
      <c r="W48" s="23" t="str">
        <f t="shared" si="3"/>
        <v>279NL300126</v>
      </c>
      <c r="X48" s="23" t="str">
        <f>COUNTIF($R$15:W48,W48)&amp;W48</f>
        <v>1279NL300126</v>
      </c>
      <c r="Y48" s="43">
        <f>IFERROR(VLOOKUP(X48,Sheet4!$B$7:$M$1187,12,0),"0")</f>
        <v>0.3</v>
      </c>
      <c r="Z48" s="27">
        <f>IFERROR(VLOOKUP(X48,Sheet4!$B$7:$N$1187,13,0),"0")</f>
        <v>90000</v>
      </c>
      <c r="AA48" s="26">
        <f t="shared" si="4"/>
        <v>27000</v>
      </c>
      <c r="AB48" s="33">
        <f t="shared" si="5"/>
        <v>0</v>
      </c>
      <c r="AC48" s="24">
        <f t="shared" si="6"/>
        <v>0</v>
      </c>
      <c r="AD48" s="24">
        <f t="shared" si="7"/>
        <v>0</v>
      </c>
    </row>
    <row r="49" spans="2:30" ht="24" x14ac:dyDescent="0.25">
      <c r="B49" s="45"/>
      <c r="C49" s="72" t="str">
        <f t="shared" si="9"/>
        <v>27/09/2025</v>
      </c>
      <c r="D49" s="52" t="str">
        <f t="shared" si="10"/>
        <v>TG-KS01163</v>
      </c>
      <c r="E49" s="52" t="str">
        <f t="shared" si="10"/>
        <v>TIANLONG 01</v>
      </c>
      <c r="F49" s="45"/>
      <c r="G49" s="45"/>
      <c r="H49" s="45"/>
      <c r="I49" s="45"/>
      <c r="J49" s="53" t="s">
        <v>33</v>
      </c>
      <c r="K49" s="53" t="s">
        <v>17</v>
      </c>
      <c r="L49" s="73">
        <v>1</v>
      </c>
      <c r="M49" s="74">
        <v>48000</v>
      </c>
      <c r="N49" s="74">
        <v>48000</v>
      </c>
      <c r="O49" s="71">
        <f t="shared" si="2"/>
        <v>2304000000</v>
      </c>
      <c r="P49" s="46" t="s">
        <v>18</v>
      </c>
      <c r="Q49" s="46" t="s">
        <v>351</v>
      </c>
      <c r="R49" s="46" t="s">
        <v>18</v>
      </c>
      <c r="S49" s="46" t="s">
        <v>18</v>
      </c>
      <c r="T49" s="46" t="s">
        <v>19</v>
      </c>
      <c r="U49" t="str">
        <f>VLOOKUP(J49,Sheet1!$A$2:$D$200,4,0)</f>
        <v>NL300113</v>
      </c>
      <c r="V49" t="str">
        <f>VLOOKUP(U49,Sheet1!$D$2:$E$200,2,0)</f>
        <v>Ớt hiểm đỏ</v>
      </c>
      <c r="W49" s="23" t="str">
        <f t="shared" si="3"/>
        <v>279NL300113</v>
      </c>
      <c r="X49" s="23" t="str">
        <f>COUNTIF($R$15:W49,W49)&amp;W49</f>
        <v>1279NL300113</v>
      </c>
      <c r="Y49" s="43">
        <f>IFERROR(VLOOKUP(X49,Sheet4!$B$7:$M$1187,12,0),"0")</f>
        <v>1</v>
      </c>
      <c r="Z49" s="27">
        <f>IFERROR(VLOOKUP(X49,Sheet4!$B$7:$N$1187,13,0),"0")</f>
        <v>48000</v>
      </c>
      <c r="AA49" s="26">
        <f t="shared" si="4"/>
        <v>48000</v>
      </c>
      <c r="AB49" s="33">
        <f t="shared" si="5"/>
        <v>0</v>
      </c>
      <c r="AC49" s="24">
        <f t="shared" si="6"/>
        <v>0</v>
      </c>
      <c r="AD49" s="24">
        <f t="shared" ref="AD49:AD112" si="11">AA49-N49</f>
        <v>0</v>
      </c>
    </row>
    <row r="50" spans="2:30" ht="24" x14ac:dyDescent="0.25">
      <c r="B50" s="45"/>
      <c r="C50" s="72" t="str">
        <f t="shared" si="9"/>
        <v>27/09/2025</v>
      </c>
      <c r="D50" s="52" t="str">
        <f t="shared" si="10"/>
        <v>TG-KS01163</v>
      </c>
      <c r="E50" s="52" t="str">
        <f t="shared" si="10"/>
        <v>TIANLONG 01</v>
      </c>
      <c r="F50" s="45"/>
      <c r="G50" s="45"/>
      <c r="H50" s="45"/>
      <c r="I50" s="45"/>
      <c r="J50" s="53" t="s">
        <v>60</v>
      </c>
      <c r="K50" s="53" t="s">
        <v>17</v>
      </c>
      <c r="L50" s="73">
        <v>5</v>
      </c>
      <c r="M50" s="74">
        <v>20000</v>
      </c>
      <c r="N50" s="74">
        <v>100000</v>
      </c>
      <c r="O50" s="71">
        <f t="shared" si="2"/>
        <v>2000000000</v>
      </c>
      <c r="P50" s="46" t="s">
        <v>18</v>
      </c>
      <c r="Q50" s="46" t="s">
        <v>351</v>
      </c>
      <c r="R50" s="46" t="s">
        <v>18</v>
      </c>
      <c r="S50" s="46" t="s">
        <v>49</v>
      </c>
      <c r="T50" s="46" t="s">
        <v>19</v>
      </c>
      <c r="U50" t="str">
        <f>VLOOKUP(J50,Sheet1!$A$2:$D$200,4,0)</f>
        <v>NL300119</v>
      </c>
      <c r="V50" t="str">
        <f>VLOOKUP(U50,Sheet1!$D$2:$E$200,2,0)</f>
        <v>Quất ( Tắc trái )</v>
      </c>
      <c r="W50" s="23" t="str">
        <f t="shared" si="3"/>
        <v>279NL300119</v>
      </c>
      <c r="X50" s="23" t="str">
        <f>COUNTIF($R$15:W50,W50)&amp;W50</f>
        <v>1279NL300119</v>
      </c>
      <c r="Y50" s="43">
        <f>IFERROR(VLOOKUP(X50,Sheet4!$B$7:$M$1187,12,0),"0")</f>
        <v>5</v>
      </c>
      <c r="Z50" s="27">
        <f>IFERROR(VLOOKUP(X50,Sheet4!$B$7:$N$1187,13,0),"0")</f>
        <v>20000</v>
      </c>
      <c r="AA50" s="26">
        <f t="shared" si="4"/>
        <v>100000</v>
      </c>
      <c r="AB50" s="33">
        <f t="shared" si="5"/>
        <v>0</v>
      </c>
      <c r="AC50" s="24">
        <f t="shared" si="6"/>
        <v>0</v>
      </c>
      <c r="AD50" s="24">
        <f t="shared" si="11"/>
        <v>0</v>
      </c>
    </row>
    <row r="51" spans="2:30" ht="24" x14ac:dyDescent="0.25">
      <c r="B51" s="45"/>
      <c r="C51" s="72" t="str">
        <f t="shared" si="9"/>
        <v>27/09/2025</v>
      </c>
      <c r="D51" s="52" t="str">
        <f t="shared" si="10"/>
        <v>TG-KS01163</v>
      </c>
      <c r="E51" s="52" t="str">
        <f t="shared" si="10"/>
        <v>TIANLONG 01</v>
      </c>
      <c r="F51" s="45"/>
      <c r="G51" s="45"/>
      <c r="H51" s="45"/>
      <c r="I51" s="45"/>
      <c r="J51" s="53" t="s">
        <v>243</v>
      </c>
      <c r="K51" s="53" t="s">
        <v>17</v>
      </c>
      <c r="L51" s="73">
        <v>3</v>
      </c>
      <c r="M51" s="74">
        <v>31000</v>
      </c>
      <c r="N51" s="74">
        <v>93000</v>
      </c>
      <c r="O51" s="71">
        <f t="shared" si="2"/>
        <v>2883000000</v>
      </c>
      <c r="P51" s="46" t="s">
        <v>18</v>
      </c>
      <c r="Q51" s="46" t="s">
        <v>351</v>
      </c>
      <c r="R51" s="46" t="s">
        <v>18</v>
      </c>
      <c r="S51" s="46" t="s">
        <v>49</v>
      </c>
      <c r="T51" s="46" t="s">
        <v>19</v>
      </c>
      <c r="U51" t="str">
        <f>VLOOKUP(J51,Sheet1!$A$2:$D$200,4,0)</f>
        <v>NL300018</v>
      </c>
      <c r="V51" t="str">
        <f>VLOOKUP(U51,Sheet1!$D$2:$E$200,2,0)</f>
        <v>Cải cúc</v>
      </c>
      <c r="W51" s="23" t="str">
        <f t="shared" si="3"/>
        <v>279NL300018</v>
      </c>
      <c r="X51" s="23" t="str">
        <f>COUNTIF($R$15:W51,W51)&amp;W51</f>
        <v>1279NL300018</v>
      </c>
      <c r="Y51" s="43">
        <f>IFERROR(VLOOKUP(X51,Sheet4!$B$7:$M$1187,12,0),"0")</f>
        <v>2.5</v>
      </c>
      <c r="Z51" s="27">
        <f>IFERROR(VLOOKUP(X51,Sheet4!$B$7:$N$1187,13,0),"0")</f>
        <v>31000</v>
      </c>
      <c r="AA51" s="26">
        <f t="shared" si="4"/>
        <v>77500</v>
      </c>
      <c r="AB51" s="33">
        <f t="shared" si="5"/>
        <v>-0.5</v>
      </c>
      <c r="AC51" s="24">
        <f t="shared" si="6"/>
        <v>0</v>
      </c>
      <c r="AD51" s="24">
        <f t="shared" si="11"/>
        <v>-15500</v>
      </c>
    </row>
    <row r="52" spans="2:30" ht="24" x14ac:dyDescent="0.25">
      <c r="B52" s="45"/>
      <c r="C52" s="72" t="str">
        <f t="shared" si="9"/>
        <v>27/09/2025</v>
      </c>
      <c r="D52" s="52" t="str">
        <f t="shared" si="10"/>
        <v>TG-KS01163</v>
      </c>
      <c r="E52" s="52" t="str">
        <f t="shared" si="10"/>
        <v>TIANLONG 01</v>
      </c>
      <c r="F52" s="45"/>
      <c r="G52" s="45"/>
      <c r="H52" s="45"/>
      <c r="I52" s="45"/>
      <c r="J52" s="53" t="s">
        <v>38</v>
      </c>
      <c r="K52" s="53" t="s">
        <v>17</v>
      </c>
      <c r="L52" s="73">
        <v>2</v>
      </c>
      <c r="M52" s="74">
        <v>55000</v>
      </c>
      <c r="N52" s="74">
        <v>110000</v>
      </c>
      <c r="O52" s="71">
        <f t="shared" si="2"/>
        <v>6050000000</v>
      </c>
      <c r="P52" s="46" t="s">
        <v>18</v>
      </c>
      <c r="Q52" s="46" t="s">
        <v>351</v>
      </c>
      <c r="R52" s="46" t="s">
        <v>18</v>
      </c>
      <c r="S52" s="46" t="s">
        <v>49</v>
      </c>
      <c r="T52" s="46" t="s">
        <v>19</v>
      </c>
      <c r="U52" t="str">
        <f>VLOOKUP(J52,Sheet1!$A$2:$D$200,4,0)</f>
        <v>NL300142</v>
      </c>
      <c r="V52" t="str">
        <f>VLOOKUP(U52,Sheet1!$D$2:$E$200,2,0)</f>
        <v>Tỏi bóc</v>
      </c>
      <c r="W52" s="23" t="str">
        <f t="shared" si="3"/>
        <v>279NL300142</v>
      </c>
      <c r="X52" s="23" t="str">
        <f>COUNTIF($R$15:W52,W52)&amp;W52</f>
        <v>1279NL300142</v>
      </c>
      <c r="Y52" s="43">
        <f>IFERROR(VLOOKUP(X52,Sheet4!$B$7:$M$1187,12,0),"0")</f>
        <v>2</v>
      </c>
      <c r="Z52" s="27">
        <f>IFERROR(VLOOKUP(X52,Sheet4!$B$7:$N$1187,13,0),"0")</f>
        <v>55000</v>
      </c>
      <c r="AA52" s="26">
        <f t="shared" si="4"/>
        <v>110000</v>
      </c>
      <c r="AB52" s="33">
        <f t="shared" si="5"/>
        <v>0</v>
      </c>
      <c r="AC52" s="24">
        <f t="shared" si="6"/>
        <v>0</v>
      </c>
      <c r="AD52" s="24">
        <f t="shared" si="11"/>
        <v>0</v>
      </c>
    </row>
    <row r="53" spans="2:30" ht="24" x14ac:dyDescent="0.25">
      <c r="B53" s="45"/>
      <c r="C53" s="72" t="str">
        <f t="shared" si="9"/>
        <v>27/09/2025</v>
      </c>
      <c r="D53" s="52" t="str">
        <f t="shared" si="10"/>
        <v>TG-KS01163</v>
      </c>
      <c r="E53" s="52" t="str">
        <f t="shared" si="10"/>
        <v>TIANLONG 01</v>
      </c>
      <c r="F53" s="45"/>
      <c r="G53" s="45"/>
      <c r="H53" s="45"/>
      <c r="I53" s="45"/>
      <c r="J53" s="53" t="s">
        <v>37</v>
      </c>
      <c r="K53" s="53" t="s">
        <v>17</v>
      </c>
      <c r="L53" s="73">
        <v>3</v>
      </c>
      <c r="M53" s="74">
        <v>55000</v>
      </c>
      <c r="N53" s="74">
        <v>165000</v>
      </c>
      <c r="O53" s="71">
        <f t="shared" si="2"/>
        <v>9075000000</v>
      </c>
      <c r="P53" s="46" t="s">
        <v>18</v>
      </c>
      <c r="Q53" s="46" t="s">
        <v>351</v>
      </c>
      <c r="R53" s="46" t="s">
        <v>18</v>
      </c>
      <c r="S53" s="46" t="s">
        <v>49</v>
      </c>
      <c r="T53" s="46" t="s">
        <v>19</v>
      </c>
      <c r="U53" t="str">
        <f>VLOOKUP(J53,Sheet1!$A$2:$D$200,4,0)</f>
        <v>NL300147</v>
      </c>
      <c r="V53" t="str">
        <f>VLOOKUP(U53,Sheet1!$D$2:$E$200,2,0)</f>
        <v>Xà lách Roman</v>
      </c>
      <c r="W53" s="23" t="str">
        <f t="shared" si="3"/>
        <v>279NL300147</v>
      </c>
      <c r="X53" s="23" t="str">
        <f>COUNTIF($R$15:W53,W53)&amp;W53</f>
        <v>1279NL300147</v>
      </c>
      <c r="Y53" s="43">
        <f>IFERROR(VLOOKUP(X53,Sheet4!$B$7:$M$1187,12,0),"0")</f>
        <v>2.6</v>
      </c>
      <c r="Z53" s="27">
        <f>IFERROR(VLOOKUP(X53,Sheet4!$B$7:$N$1187,13,0),"0")</f>
        <v>55000</v>
      </c>
      <c r="AA53" s="26">
        <f t="shared" si="4"/>
        <v>143000</v>
      </c>
      <c r="AB53" s="33">
        <f t="shared" si="5"/>
        <v>-0.39999999999999991</v>
      </c>
      <c r="AC53" s="24">
        <f t="shared" si="6"/>
        <v>0</v>
      </c>
      <c r="AD53" s="24">
        <f t="shared" si="11"/>
        <v>-22000</v>
      </c>
    </row>
    <row r="54" spans="2:30" ht="24" x14ac:dyDescent="0.25">
      <c r="B54" s="45"/>
      <c r="C54" s="72" t="s">
        <v>381</v>
      </c>
      <c r="D54" s="52" t="str">
        <f t="shared" si="10"/>
        <v>TG-KS01163</v>
      </c>
      <c r="E54" s="52" t="str">
        <f t="shared" si="10"/>
        <v>TIANLONG 01</v>
      </c>
      <c r="F54" s="45"/>
      <c r="G54" s="45"/>
      <c r="H54" s="45"/>
      <c r="I54" s="45"/>
      <c r="J54" s="53" t="s">
        <v>20</v>
      </c>
      <c r="K54" s="53" t="s">
        <v>21</v>
      </c>
      <c r="L54" s="73">
        <v>15</v>
      </c>
      <c r="M54" s="74">
        <v>8000</v>
      </c>
      <c r="N54" s="74">
        <v>120000</v>
      </c>
      <c r="O54" s="71">
        <f t="shared" si="2"/>
        <v>960000000</v>
      </c>
      <c r="P54" s="46" t="s">
        <v>18</v>
      </c>
      <c r="Q54" s="46" t="s">
        <v>351</v>
      </c>
      <c r="R54" s="46" t="s">
        <v>18</v>
      </c>
      <c r="S54" s="46" t="s">
        <v>49</v>
      </c>
      <c r="T54" s="46" t="s">
        <v>19</v>
      </c>
      <c r="U54" t="str">
        <f>VLOOKUP(J54,Sheet1!$A$2:$D$200,4,0)</f>
        <v>NL300107</v>
      </c>
      <c r="V54" t="str">
        <f>VLOOKUP(U54,Sheet1!$D$2:$E$200,2,0)</f>
        <v>Ngô ngọt ( Bắp trái)</v>
      </c>
      <c r="W54" s="23" t="str">
        <f t="shared" si="3"/>
        <v>289NL300107</v>
      </c>
      <c r="X54" s="23" t="str">
        <f>COUNTIF($R$15:W54,W54)&amp;W54</f>
        <v>1289NL300107</v>
      </c>
      <c r="Y54" s="43">
        <f>IFERROR(VLOOKUP(X54,Sheet4!$B$7:$M$1187,12,0),"0")</f>
        <v>15</v>
      </c>
      <c r="Z54" s="27">
        <f>IFERROR(VLOOKUP(X54,Sheet4!$B$7:$N$1187,13,0),"0")</f>
        <v>8000</v>
      </c>
      <c r="AA54" s="26">
        <f t="shared" si="4"/>
        <v>120000</v>
      </c>
      <c r="AB54" s="33">
        <f t="shared" si="5"/>
        <v>0</v>
      </c>
      <c r="AC54" s="24">
        <f t="shared" si="6"/>
        <v>0</v>
      </c>
      <c r="AD54" s="24">
        <f t="shared" si="11"/>
        <v>0</v>
      </c>
    </row>
    <row r="55" spans="2:30" ht="24" x14ac:dyDescent="0.25">
      <c r="B55" s="45"/>
      <c r="C55" s="72" t="str">
        <f t="shared" ref="C55:C79" si="12">C54</f>
        <v>28/09/2025</v>
      </c>
      <c r="D55" s="52" t="str">
        <f t="shared" si="10"/>
        <v>TG-KS01163</v>
      </c>
      <c r="E55" s="52" t="str">
        <f t="shared" si="10"/>
        <v>TIANLONG 01</v>
      </c>
      <c r="F55" s="45"/>
      <c r="G55" s="45"/>
      <c r="H55" s="45"/>
      <c r="I55" s="45"/>
      <c r="J55" s="53" t="s">
        <v>22</v>
      </c>
      <c r="K55" s="53" t="s">
        <v>17</v>
      </c>
      <c r="L55" s="73">
        <v>1.3</v>
      </c>
      <c r="M55" s="74">
        <v>15000</v>
      </c>
      <c r="N55" s="74">
        <v>19500</v>
      </c>
      <c r="O55" s="71">
        <f t="shared" si="2"/>
        <v>292500000</v>
      </c>
      <c r="P55" s="46" t="s">
        <v>18</v>
      </c>
      <c r="Q55" s="46" t="s">
        <v>351</v>
      </c>
      <c r="R55" s="46" t="s">
        <v>18</v>
      </c>
      <c r="S55" s="46" t="s">
        <v>49</v>
      </c>
      <c r="T55" s="46" t="s">
        <v>19</v>
      </c>
      <c r="U55" t="str">
        <f>VLOOKUP(J55,Sheet1!$A$2:$D$200,4,0)</f>
        <v>NL300007</v>
      </c>
      <c r="V55" t="str">
        <f>VLOOKUP(U55,Sheet1!$D$2:$E$200,2,0)</f>
        <v>Bí đỏ</v>
      </c>
      <c r="W55" s="23" t="str">
        <f t="shared" si="3"/>
        <v>289NL300007</v>
      </c>
      <c r="X55" s="23" t="str">
        <f>COUNTIF($R$15:W55,W55)&amp;W55</f>
        <v>1289NL300007</v>
      </c>
      <c r="Y55" s="43">
        <f>IFERROR(VLOOKUP(X55,Sheet4!$B$7:$M$1187,12,0),"0")</f>
        <v>1.3</v>
      </c>
      <c r="Z55" s="27">
        <f>IFERROR(VLOOKUP(X55,Sheet4!$B$7:$N$1187,13,0),"0")</f>
        <v>15000</v>
      </c>
      <c r="AA55" s="26">
        <f t="shared" si="4"/>
        <v>19500</v>
      </c>
      <c r="AB55" s="33">
        <f t="shared" si="5"/>
        <v>0</v>
      </c>
      <c r="AC55" s="24">
        <f t="shared" si="6"/>
        <v>0</v>
      </c>
      <c r="AD55" s="24">
        <f t="shared" si="11"/>
        <v>0</v>
      </c>
    </row>
    <row r="56" spans="2:30" ht="24" x14ac:dyDescent="0.25">
      <c r="B56" s="45"/>
      <c r="C56" s="72" t="str">
        <f t="shared" si="12"/>
        <v>28/09/2025</v>
      </c>
      <c r="D56" s="52" t="str">
        <f t="shared" si="10"/>
        <v>TG-KS01163</v>
      </c>
      <c r="E56" s="52" t="str">
        <f t="shared" si="10"/>
        <v>TIANLONG 01</v>
      </c>
      <c r="F56" s="45"/>
      <c r="G56" s="45"/>
      <c r="H56" s="45"/>
      <c r="I56" s="45"/>
      <c r="J56" s="53" t="s">
        <v>328</v>
      </c>
      <c r="K56" s="53" t="s">
        <v>17</v>
      </c>
      <c r="L56" s="73">
        <v>4.2</v>
      </c>
      <c r="M56" s="74">
        <v>48000</v>
      </c>
      <c r="N56" s="74">
        <v>201600</v>
      </c>
      <c r="O56" s="71">
        <f t="shared" si="2"/>
        <v>9676800000</v>
      </c>
      <c r="P56" s="46" t="s">
        <v>18</v>
      </c>
      <c r="Q56" s="46" t="s">
        <v>351</v>
      </c>
      <c r="R56" s="46" t="s">
        <v>18</v>
      </c>
      <c r="S56" s="46" t="s">
        <v>49</v>
      </c>
      <c r="T56" s="46" t="s">
        <v>19</v>
      </c>
      <c r="U56" t="str">
        <f>VLOOKUP(J56,Sheet1!$A$2:$D$200,4,0)</f>
        <v>NL300203</v>
      </c>
      <c r="V56" t="str">
        <f>VLOOKUP(U56,Sheet1!$D$2:$E$200,2,0)</f>
        <v>Cải bó xôi</v>
      </c>
      <c r="W56" s="23" t="str">
        <f t="shared" si="3"/>
        <v>289NL300203</v>
      </c>
      <c r="X56" s="23" t="str">
        <f>COUNTIF($R$15:W56,W56)&amp;W56</f>
        <v>1289NL300203</v>
      </c>
      <c r="Y56" s="43">
        <f>IFERROR(VLOOKUP(X56,Sheet4!$B$7:$M$1187,12,0),"0")</f>
        <v>3.8</v>
      </c>
      <c r="Z56" s="27">
        <f>IFERROR(VLOOKUP(X56,Sheet4!$B$7:$N$1187,13,0),"0")</f>
        <v>48000</v>
      </c>
      <c r="AA56" s="26">
        <f t="shared" si="4"/>
        <v>182400</v>
      </c>
      <c r="AB56" s="33">
        <f t="shared" si="5"/>
        <v>-0.40000000000000036</v>
      </c>
      <c r="AC56" s="24">
        <f t="shared" si="6"/>
        <v>0</v>
      </c>
      <c r="AD56" s="24">
        <f t="shared" si="11"/>
        <v>-19200</v>
      </c>
    </row>
    <row r="57" spans="2:30" ht="24" x14ac:dyDescent="0.25">
      <c r="B57" s="45"/>
      <c r="C57" s="72" t="str">
        <f t="shared" si="12"/>
        <v>28/09/2025</v>
      </c>
      <c r="D57" s="52" t="str">
        <f t="shared" si="10"/>
        <v>TG-KS01163</v>
      </c>
      <c r="E57" s="52" t="str">
        <f t="shared" si="10"/>
        <v>TIANLONG 01</v>
      </c>
      <c r="F57" s="45"/>
      <c r="G57" s="45"/>
      <c r="H57" s="45"/>
      <c r="I57" s="45"/>
      <c r="J57" s="53" t="s">
        <v>111</v>
      </c>
      <c r="K57" s="53" t="s">
        <v>17</v>
      </c>
      <c r="L57" s="73">
        <v>15</v>
      </c>
      <c r="M57" s="74">
        <v>14000</v>
      </c>
      <c r="N57" s="74">
        <v>210000</v>
      </c>
      <c r="O57" s="71">
        <f t="shared" si="2"/>
        <v>2940000000</v>
      </c>
      <c r="P57" s="46" t="s">
        <v>344</v>
      </c>
      <c r="Q57" s="46" t="s">
        <v>351</v>
      </c>
      <c r="R57" s="46" t="s">
        <v>18</v>
      </c>
      <c r="S57" s="46" t="s">
        <v>49</v>
      </c>
      <c r="T57" s="46" t="s">
        <v>19</v>
      </c>
      <c r="U57" t="str">
        <f>VLOOKUP(J57,Sheet1!$A$2:$D$200,4,0)</f>
        <v>NL300022</v>
      </c>
      <c r="V57" t="str">
        <f>VLOOKUP(U57,Sheet1!$D$2:$E$200,2,0)</f>
        <v>Cải thảo</v>
      </c>
      <c r="W57" s="23" t="str">
        <f t="shared" si="3"/>
        <v>289NL300022</v>
      </c>
      <c r="X57" s="23" t="str">
        <f>COUNTIF($R$15:W57,W57)&amp;W57</f>
        <v>1289NL300022</v>
      </c>
      <c r="Y57" s="43">
        <f>IFERROR(VLOOKUP(X57,Sheet4!$B$7:$M$1187,12,0),"0")</f>
        <v>10.4</v>
      </c>
      <c r="Z57" s="27">
        <f>IFERROR(VLOOKUP(X57,Sheet4!$B$7:$N$1187,13,0),"0")</f>
        <v>14000</v>
      </c>
      <c r="AA57" s="26">
        <f t="shared" si="4"/>
        <v>145600</v>
      </c>
      <c r="AB57" s="33">
        <f t="shared" si="5"/>
        <v>-4.5999999999999996</v>
      </c>
      <c r="AC57" s="24">
        <f t="shared" si="6"/>
        <v>0</v>
      </c>
      <c r="AD57" s="24">
        <f t="shared" si="11"/>
        <v>-64400</v>
      </c>
    </row>
    <row r="58" spans="2:30" ht="24" x14ac:dyDescent="0.25">
      <c r="B58" s="45"/>
      <c r="C58" s="72" t="str">
        <f t="shared" si="12"/>
        <v>28/09/2025</v>
      </c>
      <c r="D58" s="52" t="str">
        <f t="shared" si="10"/>
        <v>TG-KS01163</v>
      </c>
      <c r="E58" s="52" t="str">
        <f t="shared" si="10"/>
        <v>TIANLONG 01</v>
      </c>
      <c r="F58" s="45"/>
      <c r="G58" s="45"/>
      <c r="H58" s="45"/>
      <c r="I58" s="45"/>
      <c r="J58" s="53" t="s">
        <v>72</v>
      </c>
      <c r="K58" s="53" t="s">
        <v>17</v>
      </c>
      <c r="L58" s="73">
        <v>0.6</v>
      </c>
      <c r="M58" s="74">
        <v>70000</v>
      </c>
      <c r="N58" s="74">
        <v>42000</v>
      </c>
      <c r="O58" s="71">
        <f t="shared" si="2"/>
        <v>2940000000</v>
      </c>
      <c r="P58" s="46" t="s">
        <v>18</v>
      </c>
      <c r="Q58" s="46" t="s">
        <v>351</v>
      </c>
      <c r="R58" s="46" t="s">
        <v>18</v>
      </c>
      <c r="S58" s="46" t="s">
        <v>49</v>
      </c>
      <c r="T58" s="46" t="s">
        <v>19</v>
      </c>
      <c r="U58" t="str">
        <f>VLOOKUP(J58,Sheet1!$A$2:$D$200,4,0)</f>
        <v>NL600067</v>
      </c>
      <c r="V58" t="str">
        <f>VLOOKUP(U58,Sheet1!$D$2:$E$200,2,0)</f>
        <v>Cam vàng</v>
      </c>
      <c r="W58" s="23" t="str">
        <f t="shared" si="3"/>
        <v>289NL600067</v>
      </c>
      <c r="X58" s="23" t="str">
        <f>COUNTIF($R$15:W58,W58)&amp;W58</f>
        <v>1289NL600067</v>
      </c>
      <c r="Y58" s="43">
        <f>IFERROR(VLOOKUP(X58,Sheet4!$B$7:$M$1187,12,0),"0")</f>
        <v>0.6</v>
      </c>
      <c r="Z58" s="27">
        <f>IFERROR(VLOOKUP(X58,Sheet4!$B$7:$N$1187,13,0),"0")</f>
        <v>70000</v>
      </c>
      <c r="AA58" s="26">
        <f t="shared" si="4"/>
        <v>42000</v>
      </c>
      <c r="AB58" s="33">
        <f t="shared" si="5"/>
        <v>0</v>
      </c>
      <c r="AC58" s="24">
        <f t="shared" si="6"/>
        <v>0</v>
      </c>
      <c r="AD58" s="24">
        <f t="shared" si="11"/>
        <v>0</v>
      </c>
    </row>
    <row r="59" spans="2:30" ht="24" x14ac:dyDescent="0.25">
      <c r="B59" s="45"/>
      <c r="C59" s="72" t="str">
        <f t="shared" si="12"/>
        <v>28/09/2025</v>
      </c>
      <c r="D59" s="52" t="str">
        <f t="shared" si="10"/>
        <v>TG-KS01163</v>
      </c>
      <c r="E59" s="52" t="str">
        <f t="shared" si="10"/>
        <v>TIANLONG 01</v>
      </c>
      <c r="F59" s="45"/>
      <c r="G59" s="45"/>
      <c r="H59" s="45"/>
      <c r="I59" s="45"/>
      <c r="J59" s="53" t="s">
        <v>73</v>
      </c>
      <c r="K59" s="53" t="s">
        <v>17</v>
      </c>
      <c r="L59" s="73">
        <v>0.6</v>
      </c>
      <c r="M59" s="74">
        <v>31000</v>
      </c>
      <c r="N59" s="74">
        <v>18600</v>
      </c>
      <c r="O59" s="71">
        <f t="shared" si="2"/>
        <v>576600000</v>
      </c>
      <c r="P59" s="46" t="s">
        <v>18</v>
      </c>
      <c r="Q59" s="46" t="s">
        <v>352</v>
      </c>
      <c r="R59" s="46" t="s">
        <v>18</v>
      </c>
      <c r="S59" s="46" t="s">
        <v>49</v>
      </c>
      <c r="T59" s="46" t="s">
        <v>19</v>
      </c>
      <c r="U59" t="str">
        <f>VLOOKUP(J59,Sheet1!$A$2:$D$200,4,0)</f>
        <v>NL300030</v>
      </c>
      <c r="V59" t="str">
        <f>VLOOKUP(U59,Sheet1!$D$2:$E$200,2,0)</f>
        <v>Chanh dây (chanh leo)</v>
      </c>
      <c r="W59" s="23" t="str">
        <f t="shared" si="3"/>
        <v>289NL300030</v>
      </c>
      <c r="X59" s="23" t="str">
        <f>COUNTIF($R$15:W59,W59)&amp;W59</f>
        <v>1289NL300030</v>
      </c>
      <c r="Y59" s="43">
        <f>IFERROR(VLOOKUP(X59,Sheet4!$B$7:$M$1187,12,0),"0")</f>
        <v>0.6</v>
      </c>
      <c r="Z59" s="27">
        <f>IFERROR(VLOOKUP(X59,Sheet4!$B$7:$N$1187,13,0),"0")</f>
        <v>31000</v>
      </c>
      <c r="AA59" s="26">
        <f t="shared" si="4"/>
        <v>18600</v>
      </c>
      <c r="AB59" s="33">
        <f t="shared" si="5"/>
        <v>0</v>
      </c>
      <c r="AC59" s="24">
        <f t="shared" si="6"/>
        <v>0</v>
      </c>
      <c r="AD59" s="24">
        <f t="shared" si="11"/>
        <v>0</v>
      </c>
    </row>
    <row r="60" spans="2:30" ht="24" x14ac:dyDescent="0.25">
      <c r="B60" s="45"/>
      <c r="C60" s="72" t="str">
        <f t="shared" si="12"/>
        <v>28/09/2025</v>
      </c>
      <c r="D60" s="52" t="str">
        <f t="shared" si="10"/>
        <v>TG-KS01163</v>
      </c>
      <c r="E60" s="52" t="str">
        <f t="shared" si="10"/>
        <v>TIANLONG 01</v>
      </c>
      <c r="F60" s="45"/>
      <c r="G60" s="45"/>
      <c r="H60" s="45"/>
      <c r="I60" s="45"/>
      <c r="J60" s="53" t="s">
        <v>46</v>
      </c>
      <c r="K60" s="53" t="s">
        <v>17</v>
      </c>
      <c r="L60" s="73">
        <v>0.5</v>
      </c>
      <c r="M60" s="74">
        <v>21000</v>
      </c>
      <c r="N60" s="74">
        <v>10500</v>
      </c>
      <c r="O60" s="71">
        <f t="shared" si="2"/>
        <v>220500000</v>
      </c>
      <c r="P60" s="46" t="s">
        <v>18</v>
      </c>
      <c r="Q60" s="46" t="s">
        <v>352</v>
      </c>
      <c r="R60" s="46" t="s">
        <v>18</v>
      </c>
      <c r="S60" s="46" t="s">
        <v>49</v>
      </c>
      <c r="T60" s="46" t="s">
        <v>19</v>
      </c>
      <c r="U60" t="str">
        <f>VLOOKUP(J60,Sheet1!$A$2:$D$200,4,0)</f>
        <v>NL300029</v>
      </c>
      <c r="V60" t="str">
        <f>VLOOKUP(U60,Sheet1!$D$2:$E$200,2,0)</f>
        <v>Chanh</v>
      </c>
      <c r="W60" s="23" t="str">
        <f t="shared" si="3"/>
        <v>289NL300029</v>
      </c>
      <c r="X60" s="23" t="str">
        <f>COUNTIF($R$15:W60,W60)&amp;W60</f>
        <v>1289NL300029</v>
      </c>
      <c r="Y60" s="43">
        <f>IFERROR(VLOOKUP(X60,Sheet4!$B$7:$M$1187,12,0),"0")</f>
        <v>0.5</v>
      </c>
      <c r="Z60" s="27">
        <f>IFERROR(VLOOKUP(X60,Sheet4!$B$7:$N$1187,13,0),"0")</f>
        <v>21000</v>
      </c>
      <c r="AA60" s="26">
        <f t="shared" si="4"/>
        <v>10500</v>
      </c>
      <c r="AB60" s="33">
        <f t="shared" si="5"/>
        <v>0</v>
      </c>
      <c r="AC60" s="24">
        <f t="shared" si="6"/>
        <v>0</v>
      </c>
      <c r="AD60" s="24">
        <f t="shared" si="11"/>
        <v>0</v>
      </c>
    </row>
    <row r="61" spans="2:30" ht="24" x14ac:dyDescent="0.25">
      <c r="B61" s="45"/>
      <c r="C61" s="72" t="str">
        <f t="shared" si="12"/>
        <v>28/09/2025</v>
      </c>
      <c r="D61" s="52" t="str">
        <f t="shared" si="10"/>
        <v>TG-KS01163</v>
      </c>
      <c r="E61" s="52" t="str">
        <f t="shared" si="10"/>
        <v>TIANLONG 01</v>
      </c>
      <c r="F61" s="45"/>
      <c r="G61" s="45"/>
      <c r="H61" s="45"/>
      <c r="I61" s="45"/>
      <c r="J61" s="53" t="s">
        <v>126</v>
      </c>
      <c r="K61" s="53" t="s">
        <v>17</v>
      </c>
      <c r="L61" s="73">
        <v>2</v>
      </c>
      <c r="M61" s="74">
        <v>11000</v>
      </c>
      <c r="N61" s="74">
        <v>22000</v>
      </c>
      <c r="O61" s="71">
        <f t="shared" si="2"/>
        <v>242000000</v>
      </c>
      <c r="P61" s="46" t="s">
        <v>18</v>
      </c>
      <c r="Q61" s="46" t="s">
        <v>352</v>
      </c>
      <c r="R61" s="46" t="s">
        <v>18</v>
      </c>
      <c r="S61" s="46" t="s">
        <v>49</v>
      </c>
      <c r="T61" s="46" t="s">
        <v>19</v>
      </c>
      <c r="U61" t="str">
        <f>VLOOKUP(J61,Sheet1!$A$2:$D$200,4,0)</f>
        <v>NL300033</v>
      </c>
      <c r="V61" t="str">
        <f>VLOOKUP(U61,Sheet1!$D$2:$E$200,2,0)</f>
        <v>Củ cải trắng</v>
      </c>
      <c r="W61" s="23" t="str">
        <f t="shared" si="3"/>
        <v>289NL300033</v>
      </c>
      <c r="X61" s="23" t="str">
        <f>COUNTIF($R$15:W61,W61)&amp;W61</f>
        <v>1289NL300033</v>
      </c>
      <c r="Y61" s="43">
        <f>IFERROR(VLOOKUP(X61,Sheet4!$B$7:$M$1187,12,0),"0")</f>
        <v>2</v>
      </c>
      <c r="Z61" s="27">
        <f>IFERROR(VLOOKUP(X61,Sheet4!$B$7:$N$1187,13,0),"0")</f>
        <v>11000</v>
      </c>
      <c r="AA61" s="26">
        <f t="shared" si="4"/>
        <v>22000</v>
      </c>
      <c r="AB61" s="33">
        <f t="shared" si="5"/>
        <v>0</v>
      </c>
      <c r="AC61" s="24">
        <f t="shared" si="6"/>
        <v>0</v>
      </c>
      <c r="AD61" s="24">
        <f t="shared" si="11"/>
        <v>0</v>
      </c>
    </row>
    <row r="62" spans="2:30" ht="24" x14ac:dyDescent="0.25">
      <c r="B62" s="45"/>
      <c r="C62" s="72" t="str">
        <f t="shared" si="12"/>
        <v>28/09/2025</v>
      </c>
      <c r="D62" s="52" t="str">
        <f t="shared" ref="D62:E68" si="13">D61</f>
        <v>TG-KS01163</v>
      </c>
      <c r="E62" s="52" t="str">
        <f t="shared" si="13"/>
        <v>TIANLONG 01</v>
      </c>
      <c r="F62" s="45"/>
      <c r="G62" s="45"/>
      <c r="H62" s="45"/>
      <c r="I62" s="45"/>
      <c r="J62" s="53" t="s">
        <v>27</v>
      </c>
      <c r="K62" s="53" t="s">
        <v>17</v>
      </c>
      <c r="L62" s="73">
        <v>2.6</v>
      </c>
      <c r="M62" s="74">
        <v>44000</v>
      </c>
      <c r="N62" s="74">
        <v>114400</v>
      </c>
      <c r="O62" s="71">
        <f t="shared" si="2"/>
        <v>5033600000</v>
      </c>
      <c r="P62" s="46" t="s">
        <v>18</v>
      </c>
      <c r="Q62" s="46" t="s">
        <v>352</v>
      </c>
      <c r="R62" s="46" t="s">
        <v>18</v>
      </c>
      <c r="S62" s="46" t="s">
        <v>49</v>
      </c>
      <c r="T62" s="46" t="s">
        <v>19</v>
      </c>
      <c r="U62" t="str">
        <f>VLOOKUP(J62,Sheet1!$A$2:$D$200,4,0)</f>
        <v>NL300036</v>
      </c>
      <c r="V62" t="str">
        <f>VLOOKUP(U62,Sheet1!$D$2:$E$200,2,0)</f>
        <v>Củ sen</v>
      </c>
      <c r="W62" s="23" t="str">
        <f t="shared" si="3"/>
        <v>289NL300036</v>
      </c>
      <c r="X62" s="23" t="str">
        <f>COUNTIF($R$15:W62,W62)&amp;W62</f>
        <v>1289NL300036</v>
      </c>
      <c r="Y62" s="43">
        <f>IFERROR(VLOOKUP(X62,Sheet4!$B$7:$M$1187,12,0),"0")</f>
        <v>2.6</v>
      </c>
      <c r="Z62" s="27">
        <f>IFERROR(VLOOKUP(X62,Sheet4!$B$7:$N$1187,13,0),"0")</f>
        <v>44000</v>
      </c>
      <c r="AA62" s="26">
        <f t="shared" si="4"/>
        <v>114400</v>
      </c>
      <c r="AB62" s="33">
        <f t="shared" si="5"/>
        <v>0</v>
      </c>
      <c r="AC62" s="24">
        <f t="shared" si="6"/>
        <v>0</v>
      </c>
      <c r="AD62" s="24">
        <f t="shared" si="11"/>
        <v>0</v>
      </c>
    </row>
    <row r="63" spans="2:30" ht="24" x14ac:dyDescent="0.25">
      <c r="B63" s="45"/>
      <c r="C63" s="72" t="str">
        <f t="shared" si="12"/>
        <v>28/09/2025</v>
      </c>
      <c r="D63" s="52" t="str">
        <f t="shared" si="13"/>
        <v>TG-KS01163</v>
      </c>
      <c r="E63" s="52" t="str">
        <f t="shared" si="13"/>
        <v>TIANLONG 01</v>
      </c>
      <c r="F63" s="45"/>
      <c r="G63" s="45"/>
      <c r="H63" s="45"/>
      <c r="I63" s="45"/>
      <c r="J63" s="53" t="s">
        <v>47</v>
      </c>
      <c r="K63" s="53" t="s">
        <v>17</v>
      </c>
      <c r="L63" s="73">
        <v>24</v>
      </c>
      <c r="M63" s="74">
        <v>16000</v>
      </c>
      <c r="N63" s="74">
        <v>384000</v>
      </c>
      <c r="O63" s="71">
        <f t="shared" si="2"/>
        <v>6144000000</v>
      </c>
      <c r="P63" s="46" t="s">
        <v>18</v>
      </c>
      <c r="Q63" s="46" t="s">
        <v>352</v>
      </c>
      <c r="R63" s="46" t="s">
        <v>18</v>
      </c>
      <c r="S63" s="46" t="s">
        <v>49</v>
      </c>
      <c r="T63" s="46" t="s">
        <v>19</v>
      </c>
      <c r="U63" t="str">
        <f>VLOOKUP(J63,Sheet1!$A$2:$D$200,4,0)</f>
        <v>NL600004</v>
      </c>
      <c r="V63" t="str">
        <f>VLOOKUP(U63,Sheet1!$D$2:$E$200,2,0)</f>
        <v>Dưa hấu</v>
      </c>
      <c r="W63" s="23" t="str">
        <f t="shared" si="3"/>
        <v>289NL600004</v>
      </c>
      <c r="X63" s="23" t="str">
        <f>COUNTIF($R$15:W63,W63)&amp;W63</f>
        <v>1289NL600004</v>
      </c>
      <c r="Y63" s="43">
        <f>IFERROR(VLOOKUP(X63,Sheet4!$B$7:$M$1187,12,0),"0")</f>
        <v>24</v>
      </c>
      <c r="Z63" s="27">
        <f>IFERROR(VLOOKUP(X63,Sheet4!$B$7:$N$1187,13,0),"0")</f>
        <v>16000</v>
      </c>
      <c r="AA63" s="26">
        <f t="shared" si="4"/>
        <v>384000</v>
      </c>
      <c r="AB63" s="33">
        <f t="shared" si="5"/>
        <v>0</v>
      </c>
      <c r="AC63" s="24">
        <f t="shared" si="6"/>
        <v>0</v>
      </c>
      <c r="AD63" s="24">
        <f t="shared" si="11"/>
        <v>0</v>
      </c>
    </row>
    <row r="64" spans="2:30" ht="24" x14ac:dyDescent="0.25">
      <c r="B64" s="45"/>
      <c r="C64" s="72" t="str">
        <f t="shared" si="12"/>
        <v>28/09/2025</v>
      </c>
      <c r="D64" s="52" t="str">
        <f t="shared" si="13"/>
        <v>TG-KS01163</v>
      </c>
      <c r="E64" s="52" t="str">
        <f t="shared" si="13"/>
        <v>TIANLONG 01</v>
      </c>
      <c r="F64" s="45"/>
      <c r="G64" s="45"/>
      <c r="H64" s="45"/>
      <c r="I64" s="45"/>
      <c r="J64" s="53" t="s">
        <v>346</v>
      </c>
      <c r="K64" s="53" t="s">
        <v>17</v>
      </c>
      <c r="L64" s="73">
        <v>0.5</v>
      </c>
      <c r="M64" s="74">
        <v>30000</v>
      </c>
      <c r="N64" s="74">
        <v>15000</v>
      </c>
      <c r="O64" s="71">
        <f t="shared" si="2"/>
        <v>450000000</v>
      </c>
      <c r="P64" s="46" t="s">
        <v>18</v>
      </c>
      <c r="Q64" s="46" t="s">
        <v>352</v>
      </c>
      <c r="R64" s="46" t="s">
        <v>18</v>
      </c>
      <c r="S64" s="46" t="s">
        <v>49</v>
      </c>
      <c r="T64" s="46" t="s">
        <v>19</v>
      </c>
      <c r="U64" t="str">
        <f>VLOOKUP(J64,Sheet1!$A$2:$D$200,4,0)</f>
        <v>NL300053</v>
      </c>
      <c r="V64" t="str">
        <f>VLOOKUP(U64,Sheet1!$D$2:$E$200,2,0)</f>
        <v>Gừng ta</v>
      </c>
      <c r="W64" s="23" t="str">
        <f t="shared" si="3"/>
        <v>289NL300053</v>
      </c>
      <c r="X64" s="23" t="str">
        <f>COUNTIF($R$15:W64,W64)&amp;W64</f>
        <v>1289NL300053</v>
      </c>
      <c r="Y64" s="43">
        <f>IFERROR(VLOOKUP(X64,Sheet4!$B$7:$M$1187,12,0),"0")</f>
        <v>0.5</v>
      </c>
      <c r="Z64" s="27">
        <f>IFERROR(VLOOKUP(X64,Sheet4!$B$7:$N$1187,13,0),"0")</f>
        <v>30000</v>
      </c>
      <c r="AA64" s="26">
        <f t="shared" si="4"/>
        <v>15000</v>
      </c>
      <c r="AB64" s="33">
        <f t="shared" si="5"/>
        <v>0</v>
      </c>
      <c r="AC64" s="24">
        <f t="shared" si="6"/>
        <v>0</v>
      </c>
      <c r="AD64" s="24">
        <f t="shared" si="11"/>
        <v>0</v>
      </c>
    </row>
    <row r="65" spans="2:30" ht="24" x14ac:dyDescent="0.25">
      <c r="B65" s="45"/>
      <c r="C65" s="72" t="str">
        <f t="shared" si="12"/>
        <v>28/09/2025</v>
      </c>
      <c r="D65" s="52" t="str">
        <f t="shared" si="13"/>
        <v>TG-KS01163</v>
      </c>
      <c r="E65" s="52" t="str">
        <f t="shared" si="13"/>
        <v>TIANLONG 01</v>
      </c>
      <c r="F65" s="45"/>
      <c r="G65" s="45"/>
      <c r="H65" s="45"/>
      <c r="I65" s="45"/>
      <c r="J65" s="53" t="s">
        <v>29</v>
      </c>
      <c r="K65" s="53" t="s">
        <v>17</v>
      </c>
      <c r="L65" s="73">
        <v>2</v>
      </c>
      <c r="M65" s="74">
        <v>31000</v>
      </c>
      <c r="N65" s="74">
        <v>62000</v>
      </c>
      <c r="O65" s="71">
        <f t="shared" si="2"/>
        <v>1922000000</v>
      </c>
      <c r="P65" s="46" t="s">
        <v>18</v>
      </c>
      <c r="Q65" s="46" t="s">
        <v>352</v>
      </c>
      <c r="R65" s="46" t="s">
        <v>18</v>
      </c>
      <c r="S65" s="46" t="s">
        <v>49</v>
      </c>
      <c r="T65" s="46" t="s">
        <v>19</v>
      </c>
      <c r="U65" t="str">
        <f>VLOOKUP(J65,Sheet1!$A$2:$D$200,4,0)</f>
        <v>NL300058</v>
      </c>
      <c r="V65" t="str">
        <f>VLOOKUP(U65,Sheet1!$D$2:$E$200,2,0)</f>
        <v>Hành lá</v>
      </c>
      <c r="W65" s="23" t="str">
        <f t="shared" si="3"/>
        <v>289NL300058</v>
      </c>
      <c r="X65" s="23" t="str">
        <f>COUNTIF($R$15:W65,W65)&amp;W65</f>
        <v>1289NL300058</v>
      </c>
      <c r="Y65" s="43">
        <f>IFERROR(VLOOKUP(X65,Sheet4!$B$7:$M$1187,12,0),"0")</f>
        <v>2</v>
      </c>
      <c r="Z65" s="27">
        <f>IFERROR(VLOOKUP(X65,Sheet4!$B$7:$N$1187,13,0),"0")</f>
        <v>31000</v>
      </c>
      <c r="AA65" s="26">
        <f t="shared" si="4"/>
        <v>62000</v>
      </c>
      <c r="AB65" s="33">
        <f t="shared" si="5"/>
        <v>0</v>
      </c>
      <c r="AC65" s="24">
        <f t="shared" si="6"/>
        <v>0</v>
      </c>
      <c r="AD65" s="24">
        <f t="shared" si="11"/>
        <v>0</v>
      </c>
    </row>
    <row r="66" spans="2:30" ht="24" x14ac:dyDescent="0.25">
      <c r="B66" s="45"/>
      <c r="C66" s="72" t="str">
        <f t="shared" si="12"/>
        <v>28/09/2025</v>
      </c>
      <c r="D66" s="52" t="str">
        <f t="shared" si="13"/>
        <v>TG-KS01163</v>
      </c>
      <c r="E66" s="52" t="str">
        <f t="shared" si="13"/>
        <v>TIANLONG 01</v>
      </c>
      <c r="F66" s="45"/>
      <c r="G66" s="45"/>
      <c r="H66" s="45"/>
      <c r="I66" s="45"/>
      <c r="J66" s="53" t="s">
        <v>163</v>
      </c>
      <c r="K66" s="53" t="s">
        <v>17</v>
      </c>
      <c r="L66" s="73">
        <v>5</v>
      </c>
      <c r="M66" s="74">
        <v>32000</v>
      </c>
      <c r="N66" s="74">
        <v>160000</v>
      </c>
      <c r="O66" s="71">
        <f t="shared" si="2"/>
        <v>5120000000</v>
      </c>
      <c r="P66" s="46" t="s">
        <v>18</v>
      </c>
      <c r="Q66" s="46" t="s">
        <v>352</v>
      </c>
      <c r="R66" s="46" t="s">
        <v>18</v>
      </c>
      <c r="S66" s="46" t="s">
        <v>49</v>
      </c>
      <c r="T66" s="46" t="s">
        <v>19</v>
      </c>
      <c r="U66" t="str">
        <f>VLOOKUP(J66,Sheet1!$A$2:$D$200,4,0)</f>
        <v>NL300209</v>
      </c>
      <c r="V66" t="str">
        <f>VLOOKUP(U66,Sheet1!$D$2:$E$200,2,0)</f>
        <v>Khoai môn</v>
      </c>
      <c r="W66" s="23" t="str">
        <f t="shared" si="3"/>
        <v>289NL300209</v>
      </c>
      <c r="X66" s="23" t="str">
        <f>COUNTIF($R$15:W66,W66)&amp;W66</f>
        <v>1289NL300209</v>
      </c>
      <c r="Y66" s="43">
        <f>IFERROR(VLOOKUP(X66,Sheet4!$B$7:$M$1187,12,0),"0")</f>
        <v>4</v>
      </c>
      <c r="Z66" s="27">
        <f>IFERROR(VLOOKUP(X66,Sheet4!$B$7:$N$1187,13,0),"0")</f>
        <v>32000</v>
      </c>
      <c r="AA66" s="26">
        <f t="shared" si="4"/>
        <v>128000</v>
      </c>
      <c r="AB66" s="33">
        <f t="shared" si="5"/>
        <v>-1</v>
      </c>
      <c r="AC66" s="24">
        <f t="shared" si="6"/>
        <v>0</v>
      </c>
      <c r="AD66" s="24">
        <f t="shared" si="11"/>
        <v>-32000</v>
      </c>
    </row>
    <row r="67" spans="2:30" ht="24" x14ac:dyDescent="0.25">
      <c r="B67" s="45"/>
      <c r="C67" s="72" t="str">
        <f t="shared" si="12"/>
        <v>28/09/2025</v>
      </c>
      <c r="D67" s="52" t="str">
        <f t="shared" si="13"/>
        <v>TG-KS01163</v>
      </c>
      <c r="E67" s="52" t="str">
        <f t="shared" si="13"/>
        <v>TIANLONG 01</v>
      </c>
      <c r="F67" s="45"/>
      <c r="G67" s="45"/>
      <c r="H67" s="45"/>
      <c r="I67" s="45"/>
      <c r="J67" s="53" t="s">
        <v>168</v>
      </c>
      <c r="K67" s="53" t="s">
        <v>17</v>
      </c>
      <c r="L67" s="73">
        <v>1</v>
      </c>
      <c r="M67" s="74">
        <v>18000</v>
      </c>
      <c r="N67" s="74">
        <v>18000</v>
      </c>
      <c r="O67" s="71">
        <f t="shared" si="2"/>
        <v>324000000</v>
      </c>
      <c r="P67" s="46" t="s">
        <v>18</v>
      </c>
      <c r="Q67" s="46" t="s">
        <v>352</v>
      </c>
      <c r="R67" s="46" t="s">
        <v>18</v>
      </c>
      <c r="S67" s="46" t="s">
        <v>49</v>
      </c>
      <c r="T67" s="46" t="s">
        <v>19</v>
      </c>
      <c r="U67" t="str">
        <f>VLOOKUP(J67,Sheet1!$A$2:$D$200,4,0)</f>
        <v>NL300074</v>
      </c>
      <c r="V67" t="str">
        <f>VLOOKUP(U67,Sheet1!$D$2:$E$200,2,0)</f>
        <v>Lá chuối</v>
      </c>
      <c r="W67" s="23" t="str">
        <f t="shared" si="3"/>
        <v>289NL300074</v>
      </c>
      <c r="X67" s="23" t="str">
        <f>COUNTIF($R$15:W67,W67)&amp;W67</f>
        <v>1289NL300074</v>
      </c>
      <c r="Y67" s="43">
        <f>IFERROR(VLOOKUP(X67,Sheet4!$B$7:$M$1187,12,0),"0")</f>
        <v>1</v>
      </c>
      <c r="Z67" s="27">
        <f>IFERROR(VLOOKUP(X67,Sheet4!$B$7:$N$1187,13,0),"0")</f>
        <v>18000</v>
      </c>
      <c r="AA67" s="26">
        <f t="shared" si="4"/>
        <v>18000</v>
      </c>
      <c r="AB67" s="33">
        <f t="shared" si="5"/>
        <v>0</v>
      </c>
      <c r="AC67" s="24">
        <f t="shared" si="6"/>
        <v>0</v>
      </c>
      <c r="AD67" s="24">
        <f t="shared" si="11"/>
        <v>0</v>
      </c>
    </row>
    <row r="68" spans="2:30" s="44" customFormat="1" ht="24" x14ac:dyDescent="0.25">
      <c r="B68" s="45"/>
      <c r="C68" s="72" t="str">
        <f t="shared" si="12"/>
        <v>28/09/2025</v>
      </c>
      <c r="D68" s="52" t="str">
        <f t="shared" si="13"/>
        <v>TG-KS01163</v>
      </c>
      <c r="E68" s="52" t="str">
        <f t="shared" si="13"/>
        <v>TIANLONG 01</v>
      </c>
      <c r="F68" s="45"/>
      <c r="G68" s="45"/>
      <c r="H68" s="45"/>
      <c r="I68" s="45"/>
      <c r="J68" s="53" t="s">
        <v>183</v>
      </c>
      <c r="K68" s="53" t="s">
        <v>17</v>
      </c>
      <c r="L68" s="73">
        <v>7</v>
      </c>
      <c r="M68" s="74">
        <v>20000</v>
      </c>
      <c r="N68" s="74">
        <v>140000</v>
      </c>
      <c r="O68" s="71">
        <f t="shared" si="2"/>
        <v>2800000000</v>
      </c>
      <c r="P68" s="46" t="s">
        <v>18</v>
      </c>
      <c r="Q68" s="46" t="s">
        <v>352</v>
      </c>
      <c r="R68" s="46" t="s">
        <v>18</v>
      </c>
      <c r="S68" s="46" t="s">
        <v>49</v>
      </c>
      <c r="T68" s="46" t="s">
        <v>19</v>
      </c>
      <c r="U68" t="str">
        <f>VLOOKUP(J68,Sheet1!$A$2:$D$200,4,0)</f>
        <v>NL300084</v>
      </c>
      <c r="V68" t="str">
        <f>VLOOKUP(U68,Sheet1!$D$2:$E$200,2,0)</f>
        <v>Mồng tơi nhặt</v>
      </c>
      <c r="W68" s="23" t="str">
        <f t="shared" si="3"/>
        <v>289NL300084</v>
      </c>
      <c r="X68" s="23" t="str">
        <f>COUNTIF($R$15:W68,W68)&amp;W68</f>
        <v>1289NL300084</v>
      </c>
      <c r="Y68" s="43">
        <f>IFERROR(VLOOKUP(X68,Sheet4!$B$7:$M$1187,12,0),"0")</f>
        <v>5.8</v>
      </c>
      <c r="Z68" s="27">
        <f>IFERROR(VLOOKUP(X68,Sheet4!$B$7:$N$1187,13,0),"0")</f>
        <v>20000</v>
      </c>
      <c r="AA68" s="26">
        <f t="shared" si="4"/>
        <v>116000</v>
      </c>
      <c r="AB68" s="33">
        <f t="shared" si="5"/>
        <v>-1.2000000000000002</v>
      </c>
      <c r="AC68" s="24">
        <f t="shared" si="6"/>
        <v>0</v>
      </c>
      <c r="AD68" s="24">
        <f t="shared" si="11"/>
        <v>-24000</v>
      </c>
    </row>
    <row r="69" spans="2:30" ht="24" x14ac:dyDescent="0.25">
      <c r="B69" s="45"/>
      <c r="C69" s="72" t="str">
        <f t="shared" si="12"/>
        <v>28/09/2025</v>
      </c>
      <c r="D69" s="52" t="s">
        <v>376</v>
      </c>
      <c r="E69" s="52" t="s">
        <v>359</v>
      </c>
      <c r="F69" s="45"/>
      <c r="G69" s="45"/>
      <c r="H69" s="45"/>
      <c r="I69" s="45"/>
      <c r="J69" s="53" t="s">
        <v>39</v>
      </c>
      <c r="K69" s="53" t="s">
        <v>17</v>
      </c>
      <c r="L69" s="73">
        <v>2.1</v>
      </c>
      <c r="M69" s="74">
        <v>138000</v>
      </c>
      <c r="N69" s="74">
        <v>289800</v>
      </c>
      <c r="O69" s="71">
        <f t="shared" si="2"/>
        <v>39992400000</v>
      </c>
      <c r="P69" s="46" t="s">
        <v>18</v>
      </c>
      <c r="Q69" s="46" t="s">
        <v>352</v>
      </c>
      <c r="R69" s="46" t="s">
        <v>18</v>
      </c>
      <c r="S69" s="46" t="s">
        <v>49</v>
      </c>
      <c r="T69" s="46" t="s">
        <v>19</v>
      </c>
      <c r="U69" t="str">
        <f>VLOOKUP(J69,Sheet1!$A$2:$D$200,4,0)</f>
        <v>NL300090</v>
      </c>
      <c r="V69" t="str">
        <f>VLOOKUP(U69,Sheet1!$D$2:$E$200,2,0)</f>
        <v>Nấm đông cô tươi</v>
      </c>
      <c r="W69" s="23" t="str">
        <f t="shared" si="3"/>
        <v>289NL300090</v>
      </c>
      <c r="X69" s="23" t="str">
        <f>COUNTIF($R$15:W69,W69)&amp;W69</f>
        <v>1289NL300090</v>
      </c>
      <c r="Y69" s="43">
        <f>IFERROR(VLOOKUP(X69,Sheet4!$B$7:$M$1187,12,0),"0")</f>
        <v>2.1</v>
      </c>
      <c r="Z69" s="27">
        <f>IFERROR(VLOOKUP(X69,Sheet4!$B$7:$N$1187,13,0),"0")</f>
        <v>138000</v>
      </c>
      <c r="AA69" s="26">
        <f t="shared" si="4"/>
        <v>289800</v>
      </c>
      <c r="AB69" s="33">
        <f t="shared" si="5"/>
        <v>0</v>
      </c>
      <c r="AC69" s="24">
        <f t="shared" si="6"/>
        <v>0</v>
      </c>
      <c r="AD69" s="24">
        <f t="shared" si="11"/>
        <v>0</v>
      </c>
    </row>
    <row r="70" spans="2:30" ht="24" x14ac:dyDescent="0.25">
      <c r="B70" s="45"/>
      <c r="C70" s="72" t="str">
        <f t="shared" si="12"/>
        <v>28/09/2025</v>
      </c>
      <c r="D70" s="52" t="str">
        <f t="shared" ref="D70:E85" si="14">D69</f>
        <v>TG-KS01163</v>
      </c>
      <c r="E70" s="52" t="str">
        <f t="shared" si="14"/>
        <v>TIANLONG 01</v>
      </c>
      <c r="F70" s="45"/>
      <c r="G70" s="45"/>
      <c r="H70" s="45"/>
      <c r="I70" s="45"/>
      <c r="J70" s="53" t="s">
        <v>40</v>
      </c>
      <c r="K70" s="53" t="s">
        <v>17</v>
      </c>
      <c r="L70" s="73">
        <v>8</v>
      </c>
      <c r="M70" s="74">
        <v>45000</v>
      </c>
      <c r="N70" s="74">
        <v>360000</v>
      </c>
      <c r="O70" s="71">
        <f t="shared" si="2"/>
        <v>16200000000</v>
      </c>
      <c r="P70" s="46" t="s">
        <v>18</v>
      </c>
      <c r="Q70" s="46" t="s">
        <v>352</v>
      </c>
      <c r="R70" s="46" t="s">
        <v>18</v>
      </c>
      <c r="S70" s="46" t="s">
        <v>49</v>
      </c>
      <c r="T70" s="46" t="s">
        <v>19</v>
      </c>
      <c r="U70" t="str">
        <f>VLOOKUP(J70,Sheet1!$A$2:$D$200,4,0)</f>
        <v>NL300091</v>
      </c>
      <c r="V70" t="str">
        <f>VLOOKUP(U70,Sheet1!$D$2:$E$200,2,0)</f>
        <v>Nấm đùi gà</v>
      </c>
      <c r="W70" s="23" t="str">
        <f t="shared" si="3"/>
        <v>289NL300091</v>
      </c>
      <c r="X70" s="23" t="str">
        <f>COUNTIF($R$15:W70,W70)&amp;W70</f>
        <v>1289NL300091</v>
      </c>
      <c r="Y70" s="43">
        <f>IFERROR(VLOOKUP(X70,Sheet4!$B$7:$M$1187,12,0),"0")</f>
        <v>8</v>
      </c>
      <c r="Z70" s="27">
        <f>IFERROR(VLOOKUP(X70,Sheet4!$B$7:$N$1187,13,0),"0")</f>
        <v>45000</v>
      </c>
      <c r="AA70" s="26">
        <f t="shared" si="4"/>
        <v>360000</v>
      </c>
      <c r="AB70" s="33">
        <f t="shared" si="5"/>
        <v>0</v>
      </c>
      <c r="AC70" s="24">
        <f t="shared" si="6"/>
        <v>0</v>
      </c>
      <c r="AD70" s="24">
        <f t="shared" si="11"/>
        <v>0</v>
      </c>
    </row>
    <row r="71" spans="2:30" ht="24" x14ac:dyDescent="0.25">
      <c r="B71" s="45"/>
      <c r="C71" s="72" t="str">
        <f t="shared" si="12"/>
        <v>28/09/2025</v>
      </c>
      <c r="D71" s="52" t="str">
        <f t="shared" si="14"/>
        <v>TG-KS01163</v>
      </c>
      <c r="E71" s="52" t="str">
        <f t="shared" si="14"/>
        <v>TIANLONG 01</v>
      </c>
      <c r="F71" s="45"/>
      <c r="G71" s="45"/>
      <c r="H71" s="45"/>
      <c r="I71" s="45"/>
      <c r="J71" s="53" t="s">
        <v>345</v>
      </c>
      <c r="K71" s="53" t="s">
        <v>340</v>
      </c>
      <c r="L71" s="73">
        <v>50</v>
      </c>
      <c r="M71" s="74">
        <v>11000</v>
      </c>
      <c r="N71" s="74">
        <v>550000</v>
      </c>
      <c r="O71" s="71">
        <f t="shared" si="2"/>
        <v>6050000000</v>
      </c>
      <c r="P71" s="46" t="s">
        <v>18</v>
      </c>
      <c r="Q71" s="46" t="s">
        <v>352</v>
      </c>
      <c r="R71" s="46" t="s">
        <v>18</v>
      </c>
      <c r="S71" s="46" t="s">
        <v>49</v>
      </c>
      <c r="T71" s="46" t="s">
        <v>19</v>
      </c>
      <c r="U71" t="str">
        <f>VLOOKUP(J71,Sheet1!$A$2:$D$200,4,0)</f>
        <v>NL300096</v>
      </c>
      <c r="V71" t="str">
        <f>VLOOKUP(U71,Sheet1!$D$2:$E$200,2,0)</f>
        <v>Nấm kim châm tươi</v>
      </c>
      <c r="W71" s="23" t="str">
        <f t="shared" si="3"/>
        <v>289NL300096</v>
      </c>
      <c r="X71" s="23" t="str">
        <f>COUNTIF($R$15:W71,W71)&amp;W71</f>
        <v>1289NL300096</v>
      </c>
      <c r="Y71" s="43">
        <f>IFERROR(VLOOKUP(X71,Sheet4!$B$7:$M$1187,12,0),"0")</f>
        <v>10</v>
      </c>
      <c r="Z71" s="27">
        <f>IFERROR(VLOOKUP(X71,Sheet4!$B$7:$N$1187,13,0),"0")</f>
        <v>45000</v>
      </c>
      <c r="AA71" s="26">
        <f t="shared" si="4"/>
        <v>450000</v>
      </c>
      <c r="AB71" s="33">
        <f t="shared" si="5"/>
        <v>-40</v>
      </c>
      <c r="AC71" s="24">
        <f t="shared" si="6"/>
        <v>34000</v>
      </c>
      <c r="AD71" s="24">
        <f t="shared" si="11"/>
        <v>-100000</v>
      </c>
    </row>
    <row r="72" spans="2:30" ht="24" x14ac:dyDescent="0.25">
      <c r="B72" s="45"/>
      <c r="C72" s="72" t="str">
        <f t="shared" si="12"/>
        <v>28/09/2025</v>
      </c>
      <c r="D72" s="52" t="str">
        <f t="shared" si="14"/>
        <v>TG-KS01163</v>
      </c>
      <c r="E72" s="52" t="str">
        <f t="shared" si="14"/>
        <v>TIANLONG 01</v>
      </c>
      <c r="F72" s="45"/>
      <c r="G72" s="45"/>
      <c r="H72" s="45"/>
      <c r="I72" s="45"/>
      <c r="J72" s="53" t="s">
        <v>42</v>
      </c>
      <c r="K72" s="53" t="s">
        <v>17</v>
      </c>
      <c r="L72" s="73">
        <v>1</v>
      </c>
      <c r="M72" s="74">
        <v>90000</v>
      </c>
      <c r="N72" s="74">
        <v>90000</v>
      </c>
      <c r="O72" s="71">
        <f t="shared" si="2"/>
        <v>8100000000</v>
      </c>
      <c r="P72" s="46" t="s">
        <v>18</v>
      </c>
      <c r="Q72" s="46" t="s">
        <v>352</v>
      </c>
      <c r="R72" s="46" t="s">
        <v>18</v>
      </c>
      <c r="S72" s="46" t="s">
        <v>49</v>
      </c>
      <c r="T72" s="46" t="s">
        <v>19</v>
      </c>
      <c r="U72" t="str">
        <f>VLOOKUP(J72,Sheet1!$A$2:$D$200,4,0)</f>
        <v>NL300097</v>
      </c>
      <c r="V72" t="str">
        <f>VLOOKUP(U72,Sheet1!$D$2:$E$200,2,0)</f>
        <v>Nấm Linh Chi nâu</v>
      </c>
      <c r="W72" s="23" t="str">
        <f t="shared" si="3"/>
        <v>289NL300097</v>
      </c>
      <c r="X72" s="23" t="str">
        <f>COUNTIF($R$15:W72,W72)&amp;W72</f>
        <v>1289NL300097</v>
      </c>
      <c r="Y72" s="43">
        <f>IFERROR(VLOOKUP(X72,Sheet4!$B$7:$M$1187,12,0),"0")</f>
        <v>1</v>
      </c>
      <c r="Z72" s="27">
        <f>IFERROR(VLOOKUP(X72,Sheet4!$B$7:$N$1187,13,0),"0")</f>
        <v>90000</v>
      </c>
      <c r="AA72" s="26">
        <f t="shared" si="4"/>
        <v>90000</v>
      </c>
      <c r="AB72" s="33">
        <f t="shared" si="5"/>
        <v>0</v>
      </c>
      <c r="AC72" s="24">
        <f t="shared" si="6"/>
        <v>0</v>
      </c>
      <c r="AD72" s="24">
        <f t="shared" si="11"/>
        <v>0</v>
      </c>
    </row>
    <row r="73" spans="2:30" ht="24" x14ac:dyDescent="0.25">
      <c r="B73" s="45"/>
      <c r="C73" s="72" t="str">
        <f t="shared" si="12"/>
        <v>28/09/2025</v>
      </c>
      <c r="D73" s="52" t="str">
        <f t="shared" si="14"/>
        <v>TG-KS01163</v>
      </c>
      <c r="E73" s="52" t="str">
        <f t="shared" si="14"/>
        <v>TIANLONG 01</v>
      </c>
      <c r="F73" s="45"/>
      <c r="G73" s="45"/>
      <c r="H73" s="45"/>
      <c r="I73" s="45"/>
      <c r="J73" s="53" t="s">
        <v>68</v>
      </c>
      <c r="K73" s="53" t="s">
        <v>17</v>
      </c>
      <c r="L73" s="73">
        <v>6.5</v>
      </c>
      <c r="M73" s="74">
        <v>90000</v>
      </c>
      <c r="N73" s="74">
        <v>585000</v>
      </c>
      <c r="O73" s="71">
        <f t="shared" si="2"/>
        <v>52650000000</v>
      </c>
      <c r="P73" s="46" t="s">
        <v>18</v>
      </c>
      <c r="Q73" s="46" t="s">
        <v>352</v>
      </c>
      <c r="R73" s="46" t="s">
        <v>18</v>
      </c>
      <c r="S73" s="46" t="s">
        <v>18</v>
      </c>
      <c r="T73" s="46" t="s">
        <v>19</v>
      </c>
      <c r="U73" t="str">
        <f>VLOOKUP(J73,Sheet1!$A$2:$D$200,4,0)</f>
        <v>NL300098</v>
      </c>
      <c r="V73" t="str">
        <f>VLOOKUP(U73,Sheet1!$D$2:$E$200,2,0)</f>
        <v>Nấm Linh Chi trắng</v>
      </c>
      <c r="W73" s="23" t="str">
        <f t="shared" si="3"/>
        <v>289NL300098</v>
      </c>
      <c r="X73" s="23" t="str">
        <f>COUNTIF($R$15:W73,W73)&amp;W73</f>
        <v>1289NL300098</v>
      </c>
      <c r="Y73" s="43">
        <f>IFERROR(VLOOKUP(X73,Sheet4!$B$7:$M$1187,12,0),"0")</f>
        <v>6</v>
      </c>
      <c r="Z73" s="27">
        <f>IFERROR(VLOOKUP(X73,Sheet4!$B$7:$N$1187,13,0),"0")</f>
        <v>90000</v>
      </c>
      <c r="AA73" s="26">
        <f t="shared" si="4"/>
        <v>540000</v>
      </c>
      <c r="AB73" s="33">
        <f t="shared" si="5"/>
        <v>-0.5</v>
      </c>
      <c r="AC73" s="24">
        <f t="shared" si="6"/>
        <v>0</v>
      </c>
      <c r="AD73" s="24">
        <f t="shared" si="11"/>
        <v>-45000</v>
      </c>
    </row>
    <row r="74" spans="2:30" ht="24" x14ac:dyDescent="0.25">
      <c r="B74" s="45"/>
      <c r="C74" s="72" t="str">
        <f t="shared" si="12"/>
        <v>28/09/2025</v>
      </c>
      <c r="D74" s="52" t="str">
        <f t="shared" si="14"/>
        <v>TG-KS01163</v>
      </c>
      <c r="E74" s="52" t="str">
        <f t="shared" si="14"/>
        <v>TIANLONG 01</v>
      </c>
      <c r="F74" s="45"/>
      <c r="G74" s="45"/>
      <c r="H74" s="45"/>
      <c r="I74" s="45"/>
      <c r="J74" s="53" t="s">
        <v>32</v>
      </c>
      <c r="K74" s="53" t="s">
        <v>17</v>
      </c>
      <c r="L74" s="73">
        <v>1.5</v>
      </c>
      <c r="M74" s="74">
        <v>45000</v>
      </c>
      <c r="N74" s="74">
        <v>67500</v>
      </c>
      <c r="O74" s="71">
        <f t="shared" si="2"/>
        <v>3037500000</v>
      </c>
      <c r="P74" s="46" t="s">
        <v>18</v>
      </c>
      <c r="Q74" s="46" t="s">
        <v>352</v>
      </c>
      <c r="R74" s="46" t="s">
        <v>18</v>
      </c>
      <c r="S74" s="46" t="s">
        <v>18</v>
      </c>
      <c r="T74" s="46" t="s">
        <v>19</v>
      </c>
      <c r="U74" t="str">
        <f>VLOOKUP(J74,Sheet1!$A$2:$D$200,4,0)</f>
        <v>NL300085</v>
      </c>
      <c r="V74" t="str">
        <f>VLOOKUP(U74,Sheet1!$D$2:$E$200,2,0)</f>
        <v>Mùi ta ( Ngò rí )</v>
      </c>
      <c r="W74" s="23" t="str">
        <f t="shared" si="3"/>
        <v>289NL300085</v>
      </c>
      <c r="X74" s="23" t="str">
        <f>COUNTIF($R$15:W74,W74)&amp;W74</f>
        <v>1289NL300085</v>
      </c>
      <c r="Y74" s="43">
        <f>IFERROR(VLOOKUP(X74,Sheet4!$B$7:$M$1187,12,0),"0")</f>
        <v>1.5</v>
      </c>
      <c r="Z74" s="27">
        <f>IFERROR(VLOOKUP(X74,Sheet4!$B$7:$N$1187,13,0),"0")</f>
        <v>45000</v>
      </c>
      <c r="AA74" s="26">
        <f t="shared" si="4"/>
        <v>67500</v>
      </c>
      <c r="AB74" s="33">
        <f t="shared" si="5"/>
        <v>0</v>
      </c>
      <c r="AC74" s="24">
        <f t="shared" si="6"/>
        <v>0</v>
      </c>
      <c r="AD74" s="24">
        <f t="shared" si="11"/>
        <v>0</v>
      </c>
    </row>
    <row r="75" spans="2:30" ht="24" x14ac:dyDescent="0.25">
      <c r="B75" s="45"/>
      <c r="C75" s="72" t="str">
        <f t="shared" si="12"/>
        <v>28/09/2025</v>
      </c>
      <c r="D75" s="52" t="str">
        <f t="shared" si="14"/>
        <v>TG-KS01163</v>
      </c>
      <c r="E75" s="52" t="str">
        <f t="shared" si="14"/>
        <v>TIANLONG 01</v>
      </c>
      <c r="F75" s="45"/>
      <c r="G75" s="45"/>
      <c r="H75" s="45"/>
      <c r="I75" s="45"/>
      <c r="J75" s="53" t="s">
        <v>33</v>
      </c>
      <c r="K75" s="53" t="s">
        <v>17</v>
      </c>
      <c r="L75" s="73">
        <v>2</v>
      </c>
      <c r="M75" s="74">
        <v>48000</v>
      </c>
      <c r="N75" s="74">
        <v>96000</v>
      </c>
      <c r="O75" s="71">
        <f t="shared" si="2"/>
        <v>4608000000</v>
      </c>
      <c r="P75" s="46" t="s">
        <v>18</v>
      </c>
      <c r="Q75" s="46" t="s">
        <v>352</v>
      </c>
      <c r="R75" s="46" t="s">
        <v>18</v>
      </c>
      <c r="S75" s="46" t="s">
        <v>49</v>
      </c>
      <c r="T75" s="46" t="s">
        <v>19</v>
      </c>
      <c r="U75" t="str">
        <f>VLOOKUP(J75,Sheet1!$A$2:$D$200,4,0)</f>
        <v>NL300113</v>
      </c>
      <c r="V75" t="str">
        <f>VLOOKUP(U75,Sheet1!$D$2:$E$200,2,0)</f>
        <v>Ớt hiểm đỏ</v>
      </c>
      <c r="W75" s="23" t="str">
        <f t="shared" si="3"/>
        <v>289NL300113</v>
      </c>
      <c r="X75" s="23" t="str">
        <f>COUNTIF($R$15:W75,W75)&amp;W75</f>
        <v>1289NL300113</v>
      </c>
      <c r="Y75" s="43">
        <f>IFERROR(VLOOKUP(X75,Sheet4!$B$7:$M$1187,12,0),"0")</f>
        <v>2</v>
      </c>
      <c r="Z75" s="27">
        <f>IFERROR(VLOOKUP(X75,Sheet4!$B$7:$N$1187,13,0),"0")</f>
        <v>48000</v>
      </c>
      <c r="AA75" s="26">
        <f t="shared" si="4"/>
        <v>96000</v>
      </c>
      <c r="AB75" s="33">
        <f t="shared" si="5"/>
        <v>0</v>
      </c>
      <c r="AC75" s="24">
        <f t="shared" si="6"/>
        <v>0</v>
      </c>
      <c r="AD75" s="24">
        <f t="shared" si="11"/>
        <v>0</v>
      </c>
    </row>
    <row r="76" spans="2:30" ht="24" x14ac:dyDescent="0.25">
      <c r="B76" s="45"/>
      <c r="C76" s="72" t="str">
        <f t="shared" si="12"/>
        <v>28/09/2025</v>
      </c>
      <c r="D76" s="52" t="str">
        <f t="shared" si="14"/>
        <v>TG-KS01163</v>
      </c>
      <c r="E76" s="52" t="str">
        <f t="shared" si="14"/>
        <v>TIANLONG 01</v>
      </c>
      <c r="F76" s="45"/>
      <c r="G76" s="45"/>
      <c r="H76" s="45"/>
      <c r="I76" s="45"/>
      <c r="J76" s="53" t="s">
        <v>60</v>
      </c>
      <c r="K76" s="53" t="s">
        <v>17</v>
      </c>
      <c r="L76" s="73">
        <v>10</v>
      </c>
      <c r="M76" s="74">
        <v>20000</v>
      </c>
      <c r="N76" s="74">
        <v>200000</v>
      </c>
      <c r="O76" s="71">
        <f t="shared" si="2"/>
        <v>4000000000</v>
      </c>
      <c r="P76" s="46" t="s">
        <v>18</v>
      </c>
      <c r="Q76" s="46" t="s">
        <v>352</v>
      </c>
      <c r="R76" s="46" t="s">
        <v>18</v>
      </c>
      <c r="S76" s="46" t="s">
        <v>49</v>
      </c>
      <c r="T76" s="46" t="s">
        <v>19</v>
      </c>
      <c r="U76" t="str">
        <f>VLOOKUP(J76,Sheet1!$A$2:$D$200,4,0)</f>
        <v>NL300119</v>
      </c>
      <c r="V76" t="str">
        <f>VLOOKUP(U76,Sheet1!$D$2:$E$200,2,0)</f>
        <v>Quất ( Tắc trái )</v>
      </c>
      <c r="W76" s="23" t="str">
        <f t="shared" si="3"/>
        <v>289NL300119</v>
      </c>
      <c r="X76" s="23" t="str">
        <f>COUNTIF($R$15:W76,W76)&amp;W76</f>
        <v>1289NL300119</v>
      </c>
      <c r="Y76" s="43">
        <f>IFERROR(VLOOKUP(X76,Sheet4!$B$7:$M$1187,12,0),"0")</f>
        <v>10</v>
      </c>
      <c r="Z76" s="27">
        <f>IFERROR(VLOOKUP(X76,Sheet4!$B$7:$N$1187,13,0),"0")</f>
        <v>20000</v>
      </c>
      <c r="AA76" s="26">
        <f t="shared" si="4"/>
        <v>200000</v>
      </c>
      <c r="AB76" s="33">
        <f t="shared" si="5"/>
        <v>0</v>
      </c>
      <c r="AC76" s="24">
        <f t="shared" si="6"/>
        <v>0</v>
      </c>
      <c r="AD76" s="24">
        <f t="shared" si="11"/>
        <v>0</v>
      </c>
    </row>
    <row r="77" spans="2:30" ht="24" x14ac:dyDescent="0.25">
      <c r="B77" s="45"/>
      <c r="C77" s="72" t="str">
        <f t="shared" si="12"/>
        <v>28/09/2025</v>
      </c>
      <c r="D77" s="52" t="str">
        <f t="shared" si="14"/>
        <v>TG-KS01163</v>
      </c>
      <c r="E77" s="52" t="str">
        <f t="shared" si="14"/>
        <v>TIANLONG 01</v>
      </c>
      <c r="F77" s="45"/>
      <c r="G77" s="45"/>
      <c r="H77" s="45"/>
      <c r="I77" s="45"/>
      <c r="J77" s="53" t="s">
        <v>243</v>
      </c>
      <c r="K77" s="53" t="s">
        <v>17</v>
      </c>
      <c r="L77" s="73">
        <v>8</v>
      </c>
      <c r="M77" s="74">
        <v>31000</v>
      </c>
      <c r="N77" s="74">
        <v>248000</v>
      </c>
      <c r="O77" s="71">
        <f t="shared" si="2"/>
        <v>7688000000</v>
      </c>
      <c r="P77" s="46" t="s">
        <v>18</v>
      </c>
      <c r="Q77" s="46" t="s">
        <v>352</v>
      </c>
      <c r="R77" s="46" t="s">
        <v>18</v>
      </c>
      <c r="S77" s="46" t="s">
        <v>49</v>
      </c>
      <c r="T77" s="46" t="s">
        <v>19</v>
      </c>
      <c r="U77" t="str">
        <f>VLOOKUP(J77,Sheet1!$A$2:$D$200,4,0)</f>
        <v>NL300018</v>
      </c>
      <c r="V77" t="str">
        <f>VLOOKUP(U77,Sheet1!$D$2:$E$200,2,0)</f>
        <v>Cải cúc</v>
      </c>
      <c r="W77" s="23" t="str">
        <f t="shared" si="3"/>
        <v>289NL300018</v>
      </c>
      <c r="X77" s="23" t="str">
        <f>COUNTIF($R$15:W77,W77)&amp;W77</f>
        <v>1289NL300018</v>
      </c>
      <c r="Y77" s="43">
        <f>IFERROR(VLOOKUP(X77,Sheet4!$B$7:$M$1187,12,0),"0")</f>
        <v>6.8</v>
      </c>
      <c r="Z77" s="27">
        <f>IFERROR(VLOOKUP(X77,Sheet4!$B$7:$N$1187,13,0),"0")</f>
        <v>31000</v>
      </c>
      <c r="AA77" s="26">
        <f t="shared" si="4"/>
        <v>210800</v>
      </c>
      <c r="AB77" s="33">
        <f t="shared" si="5"/>
        <v>-1.2000000000000002</v>
      </c>
      <c r="AC77" s="24">
        <f t="shared" si="6"/>
        <v>0</v>
      </c>
      <c r="AD77" s="24">
        <f t="shared" si="11"/>
        <v>-37200</v>
      </c>
    </row>
    <row r="78" spans="2:30" ht="24" x14ac:dyDescent="0.25">
      <c r="B78" s="45"/>
      <c r="C78" s="72" t="str">
        <f t="shared" si="12"/>
        <v>28/09/2025</v>
      </c>
      <c r="D78" s="52" t="str">
        <f t="shared" si="14"/>
        <v>TG-KS01163</v>
      </c>
      <c r="E78" s="52" t="str">
        <f t="shared" si="14"/>
        <v>TIANLONG 01</v>
      </c>
      <c r="F78" s="45"/>
      <c r="G78" s="45"/>
      <c r="H78" s="45"/>
      <c r="I78" s="45"/>
      <c r="J78" s="53" t="s">
        <v>38</v>
      </c>
      <c r="K78" s="53" t="s">
        <v>17</v>
      </c>
      <c r="L78" s="73">
        <v>2</v>
      </c>
      <c r="M78" s="74">
        <v>55000</v>
      </c>
      <c r="N78" s="74">
        <v>110000</v>
      </c>
      <c r="O78" s="71">
        <f t="shared" si="2"/>
        <v>6050000000</v>
      </c>
      <c r="P78" s="46" t="s">
        <v>18</v>
      </c>
      <c r="Q78" s="46" t="s">
        <v>352</v>
      </c>
      <c r="R78" s="46" t="s">
        <v>18</v>
      </c>
      <c r="S78" s="46" t="s">
        <v>49</v>
      </c>
      <c r="T78" s="46" t="s">
        <v>19</v>
      </c>
      <c r="U78" t="str">
        <f>VLOOKUP(J78,Sheet1!$A$2:$D$200,4,0)</f>
        <v>NL300142</v>
      </c>
      <c r="V78" t="str">
        <f>VLOOKUP(U78,Sheet1!$D$2:$E$200,2,0)</f>
        <v>Tỏi bóc</v>
      </c>
      <c r="W78" s="23" t="str">
        <f t="shared" si="3"/>
        <v>289NL300142</v>
      </c>
      <c r="X78" s="23" t="str">
        <f>COUNTIF($R$15:W78,W78)&amp;W78</f>
        <v>1289NL300142</v>
      </c>
      <c r="Y78" s="43">
        <f>IFERROR(VLOOKUP(X78,Sheet4!$B$7:$M$1187,12,0),"0")</f>
        <v>2</v>
      </c>
      <c r="Z78" s="27">
        <f>IFERROR(VLOOKUP(X78,Sheet4!$B$7:$N$1187,13,0),"0")</f>
        <v>55000</v>
      </c>
      <c r="AA78" s="26">
        <f t="shared" si="4"/>
        <v>110000</v>
      </c>
      <c r="AB78" s="33">
        <f t="shared" si="5"/>
        <v>0</v>
      </c>
      <c r="AC78" s="24">
        <f t="shared" si="6"/>
        <v>0</v>
      </c>
      <c r="AD78" s="24">
        <f t="shared" si="11"/>
        <v>0</v>
      </c>
    </row>
    <row r="79" spans="2:30" ht="24" x14ac:dyDescent="0.25">
      <c r="B79" s="45"/>
      <c r="C79" s="72" t="str">
        <f t="shared" si="12"/>
        <v>28/09/2025</v>
      </c>
      <c r="D79" s="52" t="str">
        <f t="shared" si="14"/>
        <v>TG-KS01163</v>
      </c>
      <c r="E79" s="52" t="str">
        <f t="shared" si="14"/>
        <v>TIANLONG 01</v>
      </c>
      <c r="F79" s="45"/>
      <c r="G79" s="45"/>
      <c r="H79" s="45"/>
      <c r="I79" s="45"/>
      <c r="J79" s="53" t="s">
        <v>37</v>
      </c>
      <c r="K79" s="53" t="s">
        <v>17</v>
      </c>
      <c r="L79" s="73">
        <v>10</v>
      </c>
      <c r="M79" s="74">
        <v>55000</v>
      </c>
      <c r="N79" s="74">
        <v>550000</v>
      </c>
      <c r="O79" s="71">
        <f t="shared" si="2"/>
        <v>30250000000</v>
      </c>
      <c r="P79" s="46" t="s">
        <v>344</v>
      </c>
      <c r="Q79" s="46" t="s">
        <v>352</v>
      </c>
      <c r="R79" s="46" t="s">
        <v>18</v>
      </c>
      <c r="S79" s="46" t="s">
        <v>49</v>
      </c>
      <c r="T79" s="46" t="s">
        <v>19</v>
      </c>
      <c r="U79" t="str">
        <f>VLOOKUP(J79,Sheet1!$A$2:$D$200,4,0)</f>
        <v>NL300147</v>
      </c>
      <c r="V79" t="str">
        <f>VLOOKUP(U79,Sheet1!$D$2:$E$200,2,0)</f>
        <v>Xà lách Roman</v>
      </c>
      <c r="W79" s="23" t="str">
        <f t="shared" si="3"/>
        <v>289NL300147</v>
      </c>
      <c r="X79" s="23" t="str">
        <f>COUNTIF($R$15:W79,W79)&amp;W79</f>
        <v>1289NL300147</v>
      </c>
      <c r="Y79" s="43">
        <f>IFERROR(VLOOKUP(X79,Sheet4!$B$7:$M$1187,12,0),"0")</f>
        <v>9</v>
      </c>
      <c r="Z79" s="27">
        <f>IFERROR(VLOOKUP(X79,Sheet4!$B$7:$N$1187,13,0),"0")</f>
        <v>55000</v>
      </c>
      <c r="AA79" s="26">
        <f t="shared" si="4"/>
        <v>495000</v>
      </c>
      <c r="AB79" s="33">
        <f t="shared" si="5"/>
        <v>-1</v>
      </c>
      <c r="AC79" s="24">
        <f t="shared" si="6"/>
        <v>0</v>
      </c>
      <c r="AD79" s="24">
        <f t="shared" si="11"/>
        <v>-55000</v>
      </c>
    </row>
    <row r="80" spans="2:30" ht="15" customHeight="1" x14ac:dyDescent="0.25">
      <c r="B80" s="45"/>
      <c r="C80" s="72" t="s">
        <v>382</v>
      </c>
      <c r="D80" s="52" t="str">
        <f t="shared" si="14"/>
        <v>TG-KS01163</v>
      </c>
      <c r="E80" s="52" t="str">
        <f t="shared" si="14"/>
        <v>TIANLONG 01</v>
      </c>
      <c r="F80" s="45"/>
      <c r="G80" s="45"/>
      <c r="H80" s="45"/>
      <c r="I80" s="45"/>
      <c r="J80" s="53" t="s">
        <v>20</v>
      </c>
      <c r="K80" s="53" t="s">
        <v>21</v>
      </c>
      <c r="L80" s="73">
        <v>3</v>
      </c>
      <c r="M80" s="74">
        <v>8000</v>
      </c>
      <c r="N80" s="74">
        <v>24000</v>
      </c>
      <c r="O80" s="71">
        <f t="shared" ref="O80:O118" si="15">M80*N80</f>
        <v>192000000</v>
      </c>
      <c r="P80" s="46" t="s">
        <v>18</v>
      </c>
      <c r="Q80" s="46" t="s">
        <v>352</v>
      </c>
      <c r="R80" s="46" t="s">
        <v>18</v>
      </c>
      <c r="S80" s="46" t="s">
        <v>49</v>
      </c>
      <c r="T80" s="46" t="s">
        <v>19</v>
      </c>
      <c r="U80" t="str">
        <f>VLOOKUP(J80,Sheet1!$A$2:$D$200,4,0)</f>
        <v>NL300107</v>
      </c>
      <c r="V80" t="str">
        <f>VLOOKUP(U80,Sheet1!$D$2:$E$200,2,0)</f>
        <v>Ngô ngọt ( Bắp trái)</v>
      </c>
      <c r="W80" s="23" t="str">
        <f t="shared" ref="W80:W118" si="16">DAY(C80)&amp;MONTH(C80)&amp;U80</f>
        <v>299NL300107</v>
      </c>
      <c r="X80" s="23" t="str">
        <f>COUNTIF($R$15:W80,W80)&amp;W80</f>
        <v>1299NL300107</v>
      </c>
      <c r="Y80" s="43">
        <f>IFERROR(VLOOKUP(X80,Sheet4!$B$7:$M$1187,12,0),"0")</f>
        <v>3</v>
      </c>
      <c r="Z80" s="27">
        <f>IFERROR(VLOOKUP(X80,Sheet4!$B$7:$N$1187,13,0),"0")</f>
        <v>8000</v>
      </c>
      <c r="AA80" s="26">
        <f t="shared" ref="AA80:AA118" si="17">Y80*Z80</f>
        <v>24000</v>
      </c>
      <c r="AB80" s="33">
        <f t="shared" ref="AB80:AB118" si="18">Y80-L80</f>
        <v>0</v>
      </c>
      <c r="AC80" s="24">
        <f t="shared" ref="AC80:AC118" si="19">Z80-M80</f>
        <v>0</v>
      </c>
      <c r="AD80" s="24">
        <f t="shared" si="11"/>
        <v>0</v>
      </c>
    </row>
    <row r="81" spans="2:30" ht="15" customHeight="1" x14ac:dyDescent="0.25">
      <c r="B81" s="45"/>
      <c r="C81" s="72" t="str">
        <f t="shared" ref="C81:C99" si="20">C80</f>
        <v>29/09/2025</v>
      </c>
      <c r="D81" s="52" t="str">
        <f t="shared" si="14"/>
        <v>TG-KS01163</v>
      </c>
      <c r="E81" s="52" t="str">
        <f t="shared" si="14"/>
        <v>TIANLONG 01</v>
      </c>
      <c r="F81" s="45"/>
      <c r="G81" s="45"/>
      <c r="H81" s="45"/>
      <c r="I81" s="45"/>
      <c r="J81" s="53" t="s">
        <v>328</v>
      </c>
      <c r="K81" s="53" t="s">
        <v>17</v>
      </c>
      <c r="L81" s="73">
        <v>1</v>
      </c>
      <c r="M81" s="74">
        <v>48000</v>
      </c>
      <c r="N81" s="74">
        <v>48000</v>
      </c>
      <c r="O81" s="71">
        <f t="shared" si="15"/>
        <v>2304000000</v>
      </c>
      <c r="P81" s="46" t="s">
        <v>18</v>
      </c>
      <c r="Q81" s="46" t="s">
        <v>355</v>
      </c>
      <c r="R81" s="46" t="s">
        <v>18</v>
      </c>
      <c r="S81" s="46" t="s">
        <v>49</v>
      </c>
      <c r="T81" s="46" t="s">
        <v>19</v>
      </c>
      <c r="U81" t="str">
        <f>VLOOKUP(J81,Sheet1!$A$2:$D$200,4,0)</f>
        <v>NL300203</v>
      </c>
      <c r="V81" t="str">
        <f>VLOOKUP(U81,Sheet1!$D$2:$E$200,2,0)</f>
        <v>Cải bó xôi</v>
      </c>
      <c r="W81" s="23" t="str">
        <f t="shared" si="16"/>
        <v>299NL300203</v>
      </c>
      <c r="X81" s="23" t="str">
        <f>COUNTIF($R$15:W81,W81)&amp;W81</f>
        <v>1299NL300203</v>
      </c>
      <c r="Y81" s="43">
        <f>IFERROR(VLOOKUP(X81,Sheet4!$B$7:$M$1187,12,0),"0")</f>
        <v>0.8</v>
      </c>
      <c r="Z81" s="27">
        <f>IFERROR(VLOOKUP(X81,Sheet4!$B$7:$N$1187,13,0),"0")</f>
        <v>48000</v>
      </c>
      <c r="AA81" s="26">
        <f t="shared" si="17"/>
        <v>38400</v>
      </c>
      <c r="AB81" s="33">
        <f t="shared" si="18"/>
        <v>-0.19999999999999996</v>
      </c>
      <c r="AC81" s="24">
        <f t="shared" si="19"/>
        <v>0</v>
      </c>
      <c r="AD81" s="24">
        <f t="shared" si="11"/>
        <v>-9600</v>
      </c>
    </row>
    <row r="82" spans="2:30" ht="24" x14ac:dyDescent="0.25">
      <c r="B82" s="45"/>
      <c r="C82" s="72" t="str">
        <f t="shared" si="20"/>
        <v>29/09/2025</v>
      </c>
      <c r="D82" s="52" t="str">
        <f t="shared" si="14"/>
        <v>TG-KS01163</v>
      </c>
      <c r="E82" s="52" t="str">
        <f t="shared" si="14"/>
        <v>TIANLONG 01</v>
      </c>
      <c r="F82" s="45"/>
      <c r="G82" s="45"/>
      <c r="H82" s="45"/>
      <c r="I82" s="45"/>
      <c r="J82" s="53" t="s">
        <v>101</v>
      </c>
      <c r="K82" s="53" t="s">
        <v>17</v>
      </c>
      <c r="L82" s="73">
        <v>2</v>
      </c>
      <c r="M82" s="74">
        <v>25000</v>
      </c>
      <c r="N82" s="74">
        <v>50000</v>
      </c>
      <c r="O82" s="71">
        <f t="shared" si="15"/>
        <v>1250000000</v>
      </c>
      <c r="P82" s="46" t="s">
        <v>18</v>
      </c>
      <c r="Q82" s="46" t="s">
        <v>355</v>
      </c>
      <c r="R82" s="46" t="s">
        <v>18</v>
      </c>
      <c r="S82" s="46" t="s">
        <v>49</v>
      </c>
      <c r="T82" s="46" t="s">
        <v>19</v>
      </c>
      <c r="U82" t="str">
        <f>VLOOKUP(J82,Sheet1!$A$2:$D$200,4,0)</f>
        <v>NL300013</v>
      </c>
      <c r="V82" t="str">
        <f>VLOOKUP(U82,Sheet1!$D$2:$E$200,2,0)</f>
        <v>Cà chua</v>
      </c>
      <c r="W82" s="23" t="str">
        <f t="shared" si="16"/>
        <v>299NL300013</v>
      </c>
      <c r="X82" s="23" t="str">
        <f>COUNTIF($R$15:W82,W82)&amp;W82</f>
        <v>1299NL300013</v>
      </c>
      <c r="Y82" s="43">
        <f>IFERROR(VLOOKUP(X82,Sheet4!$B$7:$M$1187,12,0),"0")</f>
        <v>1.9</v>
      </c>
      <c r="Z82" s="27">
        <f>IFERROR(VLOOKUP(X82,Sheet4!$B$7:$N$1187,13,0),"0")</f>
        <v>25000</v>
      </c>
      <c r="AA82" s="26">
        <f t="shared" si="17"/>
        <v>47500</v>
      </c>
      <c r="AB82" s="33">
        <f t="shared" si="18"/>
        <v>-0.10000000000000009</v>
      </c>
      <c r="AC82" s="24">
        <f t="shared" si="19"/>
        <v>0</v>
      </c>
      <c r="AD82" s="24">
        <f t="shared" si="11"/>
        <v>-2500</v>
      </c>
    </row>
    <row r="83" spans="2:30" ht="24" x14ac:dyDescent="0.25">
      <c r="B83" s="45"/>
      <c r="C83" s="72" t="str">
        <f t="shared" si="20"/>
        <v>29/09/2025</v>
      </c>
      <c r="D83" s="52" t="str">
        <f t="shared" si="14"/>
        <v>TG-KS01163</v>
      </c>
      <c r="E83" s="52" t="str">
        <f t="shared" si="14"/>
        <v>TIANLONG 01</v>
      </c>
      <c r="F83" s="45"/>
      <c r="G83" s="45"/>
      <c r="H83" s="45"/>
      <c r="I83" s="45"/>
      <c r="J83" s="53" t="s">
        <v>111</v>
      </c>
      <c r="K83" s="53" t="s">
        <v>17</v>
      </c>
      <c r="L83" s="73">
        <v>5.2</v>
      </c>
      <c r="M83" s="74">
        <v>14000</v>
      </c>
      <c r="N83" s="74">
        <v>72800</v>
      </c>
      <c r="O83" s="71">
        <f t="shared" si="15"/>
        <v>1019200000</v>
      </c>
      <c r="P83" s="46" t="s">
        <v>18</v>
      </c>
      <c r="Q83" s="46" t="s">
        <v>355</v>
      </c>
      <c r="R83" s="46" t="s">
        <v>18</v>
      </c>
      <c r="S83" s="46" t="s">
        <v>49</v>
      </c>
      <c r="T83" s="46" t="s">
        <v>19</v>
      </c>
      <c r="U83" t="str">
        <f>VLOOKUP(J83,Sheet1!$A$2:$D$200,4,0)</f>
        <v>NL300022</v>
      </c>
      <c r="V83" t="str">
        <f>VLOOKUP(U83,Sheet1!$D$2:$E$200,2,0)</f>
        <v>Cải thảo</v>
      </c>
      <c r="W83" s="23" t="str">
        <f t="shared" si="16"/>
        <v>299NL300022</v>
      </c>
      <c r="X83" s="23" t="str">
        <f>COUNTIF($R$15:W83,W83)&amp;W83</f>
        <v>1299NL300022</v>
      </c>
      <c r="Y83" s="43">
        <f>IFERROR(VLOOKUP(X83,Sheet4!$B$7:$M$1187,12,0),"0")</f>
        <v>4.8</v>
      </c>
      <c r="Z83" s="27">
        <f>IFERROR(VLOOKUP(X83,Sheet4!$B$7:$N$1187,13,0),"0")</f>
        <v>14000</v>
      </c>
      <c r="AA83" s="26">
        <f t="shared" si="17"/>
        <v>67200</v>
      </c>
      <c r="AB83" s="33">
        <f t="shared" si="18"/>
        <v>-0.40000000000000036</v>
      </c>
      <c r="AC83" s="24">
        <f t="shared" si="19"/>
        <v>0</v>
      </c>
      <c r="AD83" s="24">
        <f t="shared" si="11"/>
        <v>-5600</v>
      </c>
    </row>
    <row r="84" spans="2:30" ht="24" x14ac:dyDescent="0.25">
      <c r="B84" s="45"/>
      <c r="C84" s="72" t="str">
        <f t="shared" si="20"/>
        <v>29/09/2025</v>
      </c>
      <c r="D84" s="52" t="str">
        <f t="shared" si="14"/>
        <v>TG-KS01163</v>
      </c>
      <c r="E84" s="52" t="str">
        <f t="shared" si="14"/>
        <v>TIANLONG 01</v>
      </c>
      <c r="F84" s="45"/>
      <c r="G84" s="45"/>
      <c r="H84" s="45"/>
      <c r="I84" s="45"/>
      <c r="J84" s="53" t="s">
        <v>126</v>
      </c>
      <c r="K84" s="53" t="s">
        <v>17</v>
      </c>
      <c r="L84" s="73">
        <v>1.2</v>
      </c>
      <c r="M84" s="74">
        <v>11000</v>
      </c>
      <c r="N84" s="74">
        <v>13200</v>
      </c>
      <c r="O84" s="71">
        <f t="shared" si="15"/>
        <v>145200000</v>
      </c>
      <c r="P84" s="46" t="s">
        <v>18</v>
      </c>
      <c r="Q84" s="46" t="s">
        <v>355</v>
      </c>
      <c r="R84" s="46" t="s">
        <v>18</v>
      </c>
      <c r="S84" s="46" t="s">
        <v>49</v>
      </c>
      <c r="T84" s="46" t="s">
        <v>19</v>
      </c>
      <c r="U84" t="str">
        <f>VLOOKUP(J84,Sheet1!$A$2:$D$200,4,0)</f>
        <v>NL300033</v>
      </c>
      <c r="V84" t="str">
        <f>VLOOKUP(U84,Sheet1!$D$2:$E$200,2,0)</f>
        <v>Củ cải trắng</v>
      </c>
      <c r="W84" s="23" t="str">
        <f t="shared" si="16"/>
        <v>299NL300033</v>
      </c>
      <c r="X84" s="23" t="str">
        <f>COUNTIF($R$15:W84,W84)&amp;W84</f>
        <v>1299NL300033</v>
      </c>
      <c r="Y84" s="43">
        <f>IFERROR(VLOOKUP(X84,Sheet4!$B$7:$M$1187,12,0),"0")</f>
        <v>1.2</v>
      </c>
      <c r="Z84" s="27">
        <f>IFERROR(VLOOKUP(X84,Sheet4!$B$7:$N$1187,13,0),"0")</f>
        <v>11000</v>
      </c>
      <c r="AA84" s="26">
        <f t="shared" si="17"/>
        <v>13200</v>
      </c>
      <c r="AB84" s="33">
        <f t="shared" si="18"/>
        <v>0</v>
      </c>
      <c r="AC84" s="24">
        <f t="shared" si="19"/>
        <v>0</v>
      </c>
      <c r="AD84" s="24">
        <f t="shared" si="11"/>
        <v>0</v>
      </c>
    </row>
    <row r="85" spans="2:30" s="44" customFormat="1" ht="24" x14ac:dyDescent="0.25">
      <c r="B85" s="45"/>
      <c r="C85" s="72" t="str">
        <f t="shared" si="20"/>
        <v>29/09/2025</v>
      </c>
      <c r="D85" s="52" t="str">
        <f t="shared" si="14"/>
        <v>TG-KS01163</v>
      </c>
      <c r="E85" s="52" t="str">
        <f t="shared" si="14"/>
        <v>TIANLONG 01</v>
      </c>
      <c r="F85" s="45"/>
      <c r="G85" s="45"/>
      <c r="H85" s="45"/>
      <c r="I85" s="45"/>
      <c r="J85" s="53" t="s">
        <v>27</v>
      </c>
      <c r="K85" s="53" t="s">
        <v>17</v>
      </c>
      <c r="L85" s="73">
        <v>2.1</v>
      </c>
      <c r="M85" s="74">
        <v>44000</v>
      </c>
      <c r="N85" s="74">
        <v>92400</v>
      </c>
      <c r="O85" s="71">
        <f t="shared" si="15"/>
        <v>4065600000</v>
      </c>
      <c r="P85" s="46" t="s">
        <v>18</v>
      </c>
      <c r="Q85" s="46" t="s">
        <v>355</v>
      </c>
      <c r="R85" s="46" t="s">
        <v>18</v>
      </c>
      <c r="S85" s="46" t="s">
        <v>49</v>
      </c>
      <c r="T85" s="46" t="s">
        <v>19</v>
      </c>
      <c r="U85" t="str">
        <f>VLOOKUP(J85,Sheet1!$A$2:$D$200,4,0)</f>
        <v>NL300036</v>
      </c>
      <c r="V85" t="str">
        <f>VLOOKUP(U85,Sheet1!$D$2:$E$200,2,0)</f>
        <v>Củ sen</v>
      </c>
      <c r="W85" s="23" t="str">
        <f t="shared" si="16"/>
        <v>299NL300036</v>
      </c>
      <c r="X85" s="23" t="str">
        <f>COUNTIF($R$15:W85,W85)&amp;W85</f>
        <v>1299NL300036</v>
      </c>
      <c r="Y85" s="43">
        <f>IFERROR(VLOOKUP(X85,Sheet4!$B$7:$M$1187,12,0),"0")</f>
        <v>2.1</v>
      </c>
      <c r="Z85" s="27">
        <f>IFERROR(VLOOKUP(X85,Sheet4!$B$7:$N$1187,13,0),"0")</f>
        <v>44000</v>
      </c>
      <c r="AA85" s="26">
        <f t="shared" si="17"/>
        <v>92400</v>
      </c>
      <c r="AB85" s="33">
        <f t="shared" si="18"/>
        <v>0</v>
      </c>
      <c r="AC85" s="24">
        <f t="shared" si="19"/>
        <v>0</v>
      </c>
      <c r="AD85" s="24">
        <f t="shared" si="11"/>
        <v>0</v>
      </c>
    </row>
    <row r="86" spans="2:30" ht="24" x14ac:dyDescent="0.25">
      <c r="B86" s="45"/>
      <c r="C86" s="72" t="str">
        <f t="shared" si="20"/>
        <v>29/09/2025</v>
      </c>
      <c r="D86" s="52" t="str">
        <f t="shared" ref="D86:E91" si="21">D85</f>
        <v>TG-KS01163</v>
      </c>
      <c r="E86" s="52" t="str">
        <f t="shared" si="21"/>
        <v>TIANLONG 01</v>
      </c>
      <c r="F86" s="45"/>
      <c r="G86" s="45"/>
      <c r="H86" s="45"/>
      <c r="I86" s="45"/>
      <c r="J86" s="53" t="s">
        <v>47</v>
      </c>
      <c r="K86" s="53" t="s">
        <v>17</v>
      </c>
      <c r="L86" s="73">
        <v>25.5</v>
      </c>
      <c r="M86" s="74">
        <v>16000</v>
      </c>
      <c r="N86" s="74">
        <v>408000</v>
      </c>
      <c r="O86" s="71">
        <f t="shared" si="15"/>
        <v>6528000000</v>
      </c>
      <c r="P86" s="46" t="s">
        <v>18</v>
      </c>
      <c r="Q86" s="46" t="s">
        <v>355</v>
      </c>
      <c r="R86" s="46" t="s">
        <v>18</v>
      </c>
      <c r="S86" s="46" t="s">
        <v>49</v>
      </c>
      <c r="T86" s="46" t="s">
        <v>19</v>
      </c>
      <c r="U86" t="str">
        <f>VLOOKUP(J86,Sheet1!$A$2:$D$200,4,0)</f>
        <v>NL600004</v>
      </c>
      <c r="V86" t="str">
        <f>VLOOKUP(U86,Sheet1!$D$2:$E$200,2,0)</f>
        <v>Dưa hấu</v>
      </c>
      <c r="W86" s="23" t="str">
        <f t="shared" si="16"/>
        <v>299NL600004</v>
      </c>
      <c r="X86" s="23" t="str">
        <f>COUNTIF($R$15:W86,W86)&amp;W86</f>
        <v>1299NL600004</v>
      </c>
      <c r="Y86" s="43">
        <f>IFERROR(VLOOKUP(X86,Sheet4!$B$7:$M$1187,12,0),"0")</f>
        <v>25.5</v>
      </c>
      <c r="Z86" s="27">
        <f>IFERROR(VLOOKUP(X86,Sheet4!$B$7:$N$1187,13,0),"0")</f>
        <v>16000</v>
      </c>
      <c r="AA86" s="26">
        <f t="shared" si="17"/>
        <v>408000</v>
      </c>
      <c r="AB86" s="33">
        <f t="shared" si="18"/>
        <v>0</v>
      </c>
      <c r="AC86" s="24">
        <f t="shared" si="19"/>
        <v>0</v>
      </c>
      <c r="AD86" s="24">
        <f t="shared" si="11"/>
        <v>0</v>
      </c>
    </row>
    <row r="87" spans="2:30" ht="24" x14ac:dyDescent="0.25">
      <c r="B87" s="45"/>
      <c r="C87" s="72" t="str">
        <f t="shared" si="20"/>
        <v>29/09/2025</v>
      </c>
      <c r="D87" s="52" t="str">
        <f t="shared" si="21"/>
        <v>TG-KS01163</v>
      </c>
      <c r="E87" s="52" t="str">
        <f t="shared" si="21"/>
        <v>TIANLONG 01</v>
      </c>
      <c r="F87" s="45"/>
      <c r="G87" s="45"/>
      <c r="H87" s="45"/>
      <c r="I87" s="45"/>
      <c r="J87" s="53" t="s">
        <v>29</v>
      </c>
      <c r="K87" s="53" t="s">
        <v>17</v>
      </c>
      <c r="L87" s="73">
        <v>1</v>
      </c>
      <c r="M87" s="74">
        <v>31000</v>
      </c>
      <c r="N87" s="74">
        <v>31000</v>
      </c>
      <c r="O87" s="71">
        <f t="shared" si="15"/>
        <v>961000000</v>
      </c>
      <c r="P87" s="46" t="s">
        <v>18</v>
      </c>
      <c r="Q87" s="46" t="s">
        <v>355</v>
      </c>
      <c r="R87" s="46" t="s">
        <v>18</v>
      </c>
      <c r="S87" s="46" t="s">
        <v>49</v>
      </c>
      <c r="T87" s="46" t="s">
        <v>19</v>
      </c>
      <c r="U87" t="str">
        <f>VLOOKUP(J87,Sheet1!$A$2:$D$200,4,0)</f>
        <v>NL300058</v>
      </c>
      <c r="V87" t="str">
        <f>VLOOKUP(U87,Sheet1!$D$2:$E$200,2,0)</f>
        <v>Hành lá</v>
      </c>
      <c r="W87" s="23" t="str">
        <f t="shared" si="16"/>
        <v>299NL300058</v>
      </c>
      <c r="X87" s="23" t="str">
        <f>COUNTIF($R$15:W87,W87)&amp;W87</f>
        <v>1299NL300058</v>
      </c>
      <c r="Y87" s="43">
        <f>IFERROR(VLOOKUP(X87,Sheet4!$B$7:$M$1187,12,0),"0")</f>
        <v>0.7</v>
      </c>
      <c r="Z87" s="27">
        <f>IFERROR(VLOOKUP(X87,Sheet4!$B$7:$N$1187,13,0),"0")</f>
        <v>31000</v>
      </c>
      <c r="AA87" s="26">
        <f t="shared" si="17"/>
        <v>21700</v>
      </c>
      <c r="AB87" s="33">
        <f t="shared" si="18"/>
        <v>-0.30000000000000004</v>
      </c>
      <c r="AC87" s="24">
        <f t="shared" si="19"/>
        <v>0</v>
      </c>
      <c r="AD87" s="24">
        <f t="shared" si="11"/>
        <v>-9300</v>
      </c>
    </row>
    <row r="88" spans="2:30" ht="24" x14ac:dyDescent="0.25">
      <c r="B88" s="45"/>
      <c r="C88" s="72" t="str">
        <f t="shared" si="20"/>
        <v>29/09/2025</v>
      </c>
      <c r="D88" s="52" t="str">
        <f t="shared" si="21"/>
        <v>TG-KS01163</v>
      </c>
      <c r="E88" s="52" t="str">
        <f t="shared" si="21"/>
        <v>TIANLONG 01</v>
      </c>
      <c r="F88" s="45"/>
      <c r="G88" s="45"/>
      <c r="H88" s="45"/>
      <c r="I88" s="45"/>
      <c r="J88" s="53" t="s">
        <v>69</v>
      </c>
      <c r="K88" s="53" t="s">
        <v>17</v>
      </c>
      <c r="L88" s="73">
        <v>0.3</v>
      </c>
      <c r="M88" s="74">
        <v>54000</v>
      </c>
      <c r="N88" s="74">
        <v>16200</v>
      </c>
      <c r="O88" s="71">
        <f t="shared" si="15"/>
        <v>874800000</v>
      </c>
      <c r="P88" s="46" t="s">
        <v>18</v>
      </c>
      <c r="Q88" s="46" t="s">
        <v>355</v>
      </c>
      <c r="R88" s="46" t="s">
        <v>18</v>
      </c>
      <c r="S88" s="46" t="s">
        <v>49</v>
      </c>
      <c r="T88" s="46" t="s">
        <v>19</v>
      </c>
      <c r="U88" t="str">
        <f>VLOOKUP(J88,Sheet1!$A$2:$D$200,4,0)</f>
        <v>NL300062</v>
      </c>
      <c r="V88" t="str">
        <f>VLOOKUP(U88,Sheet1!$D$2:$E$200,2,0)</f>
        <v>Húng Bạc Hà</v>
      </c>
      <c r="W88" s="23" t="str">
        <f t="shared" si="16"/>
        <v>299NL300062</v>
      </c>
      <c r="X88" s="23" t="str">
        <f>COUNTIF($R$15:W88,W88)&amp;W88</f>
        <v>1299NL300062</v>
      </c>
      <c r="Y88" s="43">
        <f>IFERROR(VLOOKUP(X88,Sheet4!$B$7:$M$1187,12,0),"0")</f>
        <v>0.3</v>
      </c>
      <c r="Z88" s="27">
        <f>IFERROR(VLOOKUP(X88,Sheet4!$B$7:$N$1187,13,0),"0")</f>
        <v>54000</v>
      </c>
      <c r="AA88" s="26">
        <f t="shared" si="17"/>
        <v>16200</v>
      </c>
      <c r="AB88" s="33">
        <f t="shared" si="18"/>
        <v>0</v>
      </c>
      <c r="AC88" s="24">
        <f t="shared" si="19"/>
        <v>0</v>
      </c>
      <c r="AD88" s="24">
        <f t="shared" si="11"/>
        <v>0</v>
      </c>
    </row>
    <row r="89" spans="2:30" ht="24" x14ac:dyDescent="0.25">
      <c r="B89" s="45"/>
      <c r="C89" s="72" t="str">
        <f t="shared" si="20"/>
        <v>29/09/2025</v>
      </c>
      <c r="D89" s="52" t="str">
        <f t="shared" si="21"/>
        <v>TG-KS01163</v>
      </c>
      <c r="E89" s="52" t="str">
        <f t="shared" si="21"/>
        <v>TIANLONG 01</v>
      </c>
      <c r="F89" s="45"/>
      <c r="G89" s="45"/>
      <c r="H89" s="45"/>
      <c r="I89" s="45"/>
      <c r="J89" s="53" t="s">
        <v>163</v>
      </c>
      <c r="K89" s="53" t="s">
        <v>17</v>
      </c>
      <c r="L89" s="73">
        <v>2.5</v>
      </c>
      <c r="M89" s="74">
        <v>32000</v>
      </c>
      <c r="N89" s="74">
        <v>80000</v>
      </c>
      <c r="O89" s="71">
        <f t="shared" si="15"/>
        <v>2560000000</v>
      </c>
      <c r="P89" s="46" t="s">
        <v>18</v>
      </c>
      <c r="Q89" s="46" t="s">
        <v>355</v>
      </c>
      <c r="R89" s="46" t="s">
        <v>18</v>
      </c>
      <c r="S89" s="46" t="s">
        <v>49</v>
      </c>
      <c r="T89" s="46" t="s">
        <v>19</v>
      </c>
      <c r="U89" t="str">
        <f>VLOOKUP(J89,Sheet1!$A$2:$D$200,4,0)</f>
        <v>NL300209</v>
      </c>
      <c r="V89" t="str">
        <f>VLOOKUP(U89,Sheet1!$D$2:$E$200,2,0)</f>
        <v>Khoai môn</v>
      </c>
      <c r="W89" s="23" t="str">
        <f t="shared" si="16"/>
        <v>299NL300209</v>
      </c>
      <c r="X89" s="23" t="str">
        <f>COUNTIF($R$15:W89,W89)&amp;W89</f>
        <v>1299NL300209</v>
      </c>
      <c r="Y89" s="43">
        <f>IFERROR(VLOOKUP(X89,Sheet4!$B$7:$M$1187,12,0),"0")</f>
        <v>2.2999999999999998</v>
      </c>
      <c r="Z89" s="27">
        <f>IFERROR(VLOOKUP(X89,Sheet4!$B$7:$N$1187,13,0),"0")</f>
        <v>32000</v>
      </c>
      <c r="AA89" s="26">
        <f t="shared" si="17"/>
        <v>73600</v>
      </c>
      <c r="AB89" s="33">
        <f t="shared" si="18"/>
        <v>-0.20000000000000018</v>
      </c>
      <c r="AC89" s="24">
        <f t="shared" si="19"/>
        <v>0</v>
      </c>
      <c r="AD89" s="24">
        <f t="shared" si="11"/>
        <v>-6400</v>
      </c>
    </row>
    <row r="90" spans="2:30" s="44" customFormat="1" ht="24" x14ac:dyDescent="0.25">
      <c r="B90" s="45"/>
      <c r="C90" s="72" t="str">
        <f t="shared" si="20"/>
        <v>29/09/2025</v>
      </c>
      <c r="D90" s="52" t="str">
        <f t="shared" si="21"/>
        <v>TG-KS01163</v>
      </c>
      <c r="E90" s="52" t="str">
        <f t="shared" si="21"/>
        <v>TIANLONG 01</v>
      </c>
      <c r="F90" s="45"/>
      <c r="G90" s="45"/>
      <c r="H90" s="45"/>
      <c r="I90" s="45"/>
      <c r="J90" s="53" t="s">
        <v>183</v>
      </c>
      <c r="K90" s="53" t="s">
        <v>17</v>
      </c>
      <c r="L90" s="73">
        <v>5</v>
      </c>
      <c r="M90" s="74">
        <v>20000</v>
      </c>
      <c r="N90" s="74">
        <v>100000</v>
      </c>
      <c r="O90" s="71">
        <f t="shared" si="15"/>
        <v>2000000000</v>
      </c>
      <c r="P90" s="46" t="s">
        <v>18</v>
      </c>
      <c r="Q90" s="46" t="s">
        <v>355</v>
      </c>
      <c r="R90" s="46" t="s">
        <v>18</v>
      </c>
      <c r="S90" s="46" t="s">
        <v>49</v>
      </c>
      <c r="T90" s="46" t="s">
        <v>19</v>
      </c>
      <c r="U90" t="str">
        <f>VLOOKUP(J90,Sheet1!$A$2:$D$200,4,0)</f>
        <v>NL300084</v>
      </c>
      <c r="V90" t="str">
        <f>VLOOKUP(U90,Sheet1!$D$2:$E$200,2,0)</f>
        <v>Mồng tơi nhặt</v>
      </c>
      <c r="W90" s="23" t="str">
        <f t="shared" si="16"/>
        <v>299NL300084</v>
      </c>
      <c r="X90" s="23" t="str">
        <f>COUNTIF($R$15:W90,W90)&amp;W90</f>
        <v>1299NL300084</v>
      </c>
      <c r="Y90" s="43">
        <f>IFERROR(VLOOKUP(X90,Sheet4!$B$7:$M$1187,12,0),"0")</f>
        <v>4.7</v>
      </c>
      <c r="Z90" s="27">
        <f>IFERROR(VLOOKUP(X90,Sheet4!$B$7:$N$1187,13,0),"0")</f>
        <v>20000</v>
      </c>
      <c r="AA90" s="26">
        <f t="shared" si="17"/>
        <v>94000</v>
      </c>
      <c r="AB90" s="33">
        <f t="shared" si="18"/>
        <v>-0.29999999999999982</v>
      </c>
      <c r="AC90" s="24">
        <f t="shared" si="19"/>
        <v>0</v>
      </c>
      <c r="AD90" s="24">
        <f t="shared" si="11"/>
        <v>-6000</v>
      </c>
    </row>
    <row r="91" spans="2:30" ht="24" x14ac:dyDescent="0.25">
      <c r="B91" s="45"/>
      <c r="C91" s="72" t="str">
        <f t="shared" si="20"/>
        <v>29/09/2025</v>
      </c>
      <c r="D91" s="52" t="str">
        <f t="shared" si="21"/>
        <v>TG-KS01163</v>
      </c>
      <c r="E91" s="52" t="str">
        <f t="shared" si="21"/>
        <v>TIANLONG 01</v>
      </c>
      <c r="F91" s="45"/>
      <c r="G91" s="45"/>
      <c r="H91" s="45"/>
      <c r="I91" s="45"/>
      <c r="J91" s="53" t="s">
        <v>39</v>
      </c>
      <c r="K91" s="53" t="s">
        <v>17</v>
      </c>
      <c r="L91" s="73">
        <v>2</v>
      </c>
      <c r="M91" s="74">
        <v>138000</v>
      </c>
      <c r="N91" s="74">
        <v>276000</v>
      </c>
      <c r="O91" s="71">
        <f t="shared" si="15"/>
        <v>38088000000</v>
      </c>
      <c r="P91" s="46" t="s">
        <v>18</v>
      </c>
      <c r="Q91" s="46" t="s">
        <v>355</v>
      </c>
      <c r="R91" s="46" t="s">
        <v>18</v>
      </c>
      <c r="S91" s="46" t="s">
        <v>49</v>
      </c>
      <c r="T91" s="46" t="s">
        <v>19</v>
      </c>
      <c r="U91" t="str">
        <f>VLOOKUP(J91,Sheet1!$A$2:$D$200,4,0)</f>
        <v>NL300090</v>
      </c>
      <c r="V91" t="str">
        <f>VLOOKUP(U91,Sheet1!$D$2:$E$200,2,0)</f>
        <v>Nấm đông cô tươi</v>
      </c>
      <c r="W91" s="23" t="str">
        <f t="shared" si="16"/>
        <v>299NL300090</v>
      </c>
      <c r="X91" s="23" t="str">
        <f>COUNTIF($R$15:W91,W91)&amp;W91</f>
        <v>1299NL300090</v>
      </c>
      <c r="Y91" s="43">
        <f>IFERROR(VLOOKUP(X91,Sheet4!$B$7:$M$1187,12,0),"0")</f>
        <v>2</v>
      </c>
      <c r="Z91" s="27">
        <f>IFERROR(VLOOKUP(X91,Sheet4!$B$7:$N$1187,13,0),"0")</f>
        <v>138000</v>
      </c>
      <c r="AA91" s="26">
        <f t="shared" si="17"/>
        <v>276000</v>
      </c>
      <c r="AB91" s="33">
        <f t="shared" si="18"/>
        <v>0</v>
      </c>
      <c r="AC91" s="24">
        <f t="shared" si="19"/>
        <v>0</v>
      </c>
      <c r="AD91" s="24">
        <f t="shared" si="11"/>
        <v>0</v>
      </c>
    </row>
    <row r="92" spans="2:30" ht="24" x14ac:dyDescent="0.25">
      <c r="B92" s="45"/>
      <c r="C92" s="72" t="str">
        <f t="shared" si="20"/>
        <v>29/09/2025</v>
      </c>
      <c r="D92" s="52" t="s">
        <v>376</v>
      </c>
      <c r="E92" s="52" t="s">
        <v>359</v>
      </c>
      <c r="F92" s="45"/>
      <c r="G92" s="45"/>
      <c r="H92" s="45"/>
      <c r="I92" s="45"/>
      <c r="J92" s="53" t="s">
        <v>40</v>
      </c>
      <c r="K92" s="53" t="s">
        <v>17</v>
      </c>
      <c r="L92" s="73">
        <v>5</v>
      </c>
      <c r="M92" s="74">
        <v>45000</v>
      </c>
      <c r="N92" s="74">
        <v>225000</v>
      </c>
      <c r="O92" s="71">
        <f t="shared" si="15"/>
        <v>10125000000</v>
      </c>
      <c r="P92" s="46" t="s">
        <v>18</v>
      </c>
      <c r="Q92" s="46" t="s">
        <v>355</v>
      </c>
      <c r="R92" s="46" t="s">
        <v>18</v>
      </c>
      <c r="S92" s="46" t="s">
        <v>49</v>
      </c>
      <c r="T92" s="46" t="s">
        <v>19</v>
      </c>
      <c r="U92" t="str">
        <f>VLOOKUP(J92,Sheet1!$A$2:$D$200,4,0)</f>
        <v>NL300091</v>
      </c>
      <c r="V92" t="str">
        <f>VLOOKUP(U92,Sheet1!$D$2:$E$200,2,0)</f>
        <v>Nấm đùi gà</v>
      </c>
      <c r="W92" s="23" t="str">
        <f t="shared" si="16"/>
        <v>299NL300091</v>
      </c>
      <c r="X92" s="23" t="str">
        <f>COUNTIF($R$15:W92,W92)&amp;W92</f>
        <v>1299NL300091</v>
      </c>
      <c r="Y92" s="43">
        <f>IFERROR(VLOOKUP(X92,Sheet4!$B$7:$M$1187,12,0),"0")</f>
        <v>5</v>
      </c>
      <c r="Z92" s="27">
        <f>IFERROR(VLOOKUP(X92,Sheet4!$B$7:$N$1187,13,0),"0")</f>
        <v>45000</v>
      </c>
      <c r="AA92" s="26">
        <f t="shared" si="17"/>
        <v>225000</v>
      </c>
      <c r="AB92" s="33">
        <f t="shared" si="18"/>
        <v>0</v>
      </c>
      <c r="AC92" s="24">
        <f t="shared" si="19"/>
        <v>0</v>
      </c>
      <c r="AD92" s="24">
        <f t="shared" si="11"/>
        <v>0</v>
      </c>
    </row>
    <row r="93" spans="2:30" ht="24" x14ac:dyDescent="0.25">
      <c r="B93" s="45"/>
      <c r="C93" s="72" t="str">
        <f t="shared" si="20"/>
        <v>29/09/2025</v>
      </c>
      <c r="D93" s="52" t="str">
        <f t="shared" ref="D93:E100" si="22">D92</f>
        <v>TG-KS01163</v>
      </c>
      <c r="E93" s="52" t="str">
        <f t="shared" si="22"/>
        <v>TIANLONG 01</v>
      </c>
      <c r="F93" s="45"/>
      <c r="G93" s="45"/>
      <c r="H93" s="45"/>
      <c r="I93" s="45"/>
      <c r="J93" s="53" t="s">
        <v>68</v>
      </c>
      <c r="K93" s="53" t="s">
        <v>17</v>
      </c>
      <c r="L93" s="73">
        <v>4</v>
      </c>
      <c r="M93" s="74">
        <v>90000</v>
      </c>
      <c r="N93" s="74">
        <v>360000</v>
      </c>
      <c r="O93" s="71">
        <f t="shared" si="15"/>
        <v>32400000000</v>
      </c>
      <c r="P93" s="46" t="s">
        <v>18</v>
      </c>
      <c r="Q93" s="46" t="s">
        <v>355</v>
      </c>
      <c r="R93" s="46" t="s">
        <v>18</v>
      </c>
      <c r="S93" s="46" t="s">
        <v>49</v>
      </c>
      <c r="T93" s="46" t="s">
        <v>19</v>
      </c>
      <c r="U93" t="str">
        <f>VLOOKUP(J93,Sheet1!$A$2:$D$200,4,0)</f>
        <v>NL300098</v>
      </c>
      <c r="V93" t="str">
        <f>VLOOKUP(U93,Sheet1!$D$2:$E$200,2,0)</f>
        <v>Nấm Linh Chi trắng</v>
      </c>
      <c r="W93" s="23" t="str">
        <f t="shared" si="16"/>
        <v>299NL300098</v>
      </c>
      <c r="X93" s="23" t="str">
        <f>COUNTIF($R$15:W93,W93)&amp;W93</f>
        <v>1299NL300098</v>
      </c>
      <c r="Y93" s="43">
        <f>IFERROR(VLOOKUP(X93,Sheet4!$B$7:$M$1187,12,0),"0")</f>
        <v>4</v>
      </c>
      <c r="Z93" s="27">
        <f>IFERROR(VLOOKUP(X93,Sheet4!$B$7:$N$1187,13,0),"0")</f>
        <v>90000</v>
      </c>
      <c r="AA93" s="26">
        <f t="shared" si="17"/>
        <v>360000</v>
      </c>
      <c r="AB93" s="33">
        <f t="shared" si="18"/>
        <v>0</v>
      </c>
      <c r="AC93" s="24">
        <f t="shared" si="19"/>
        <v>0</v>
      </c>
      <c r="AD93" s="24">
        <f t="shared" si="11"/>
        <v>0</v>
      </c>
    </row>
    <row r="94" spans="2:30" ht="24" x14ac:dyDescent="0.25">
      <c r="B94" s="45"/>
      <c r="C94" s="72" t="str">
        <f t="shared" si="20"/>
        <v>29/09/2025</v>
      </c>
      <c r="D94" s="52" t="str">
        <f t="shared" si="22"/>
        <v>TG-KS01163</v>
      </c>
      <c r="E94" s="52" t="str">
        <f t="shared" si="22"/>
        <v>TIANLONG 01</v>
      </c>
      <c r="F94" s="45"/>
      <c r="G94" s="45"/>
      <c r="H94" s="45"/>
      <c r="I94" s="45"/>
      <c r="J94" s="53" t="s">
        <v>32</v>
      </c>
      <c r="K94" s="53" t="s">
        <v>17</v>
      </c>
      <c r="L94" s="73">
        <v>1</v>
      </c>
      <c r="M94" s="74">
        <v>45000</v>
      </c>
      <c r="N94" s="74">
        <v>45000</v>
      </c>
      <c r="O94" s="71">
        <f t="shared" si="15"/>
        <v>2025000000</v>
      </c>
      <c r="P94" s="46" t="s">
        <v>18</v>
      </c>
      <c r="Q94" s="46" t="s">
        <v>355</v>
      </c>
      <c r="R94" s="46" t="s">
        <v>18</v>
      </c>
      <c r="S94" s="46" t="s">
        <v>49</v>
      </c>
      <c r="T94" s="46" t="s">
        <v>19</v>
      </c>
      <c r="U94" t="str">
        <f>VLOOKUP(J94,Sheet1!$A$2:$D$200,4,0)</f>
        <v>NL300085</v>
      </c>
      <c r="V94" t="str">
        <f>VLOOKUP(U94,Sheet1!$D$2:$E$200,2,0)</f>
        <v>Mùi ta ( Ngò rí )</v>
      </c>
      <c r="W94" s="23" t="str">
        <f t="shared" si="16"/>
        <v>299NL300085</v>
      </c>
      <c r="X94" s="23" t="str">
        <f>COUNTIF($R$15:W94,W94)&amp;W94</f>
        <v>1299NL300085</v>
      </c>
      <c r="Y94" s="43">
        <f>IFERROR(VLOOKUP(X94,Sheet4!$B$7:$M$1187,12,0),"0")</f>
        <v>0.7</v>
      </c>
      <c r="Z94" s="27">
        <f>IFERROR(VLOOKUP(X94,Sheet4!$B$7:$N$1187,13,0),"0")</f>
        <v>45000</v>
      </c>
      <c r="AA94" s="26">
        <f t="shared" si="17"/>
        <v>31499.999999999996</v>
      </c>
      <c r="AB94" s="33">
        <f t="shared" si="18"/>
        <v>-0.30000000000000004</v>
      </c>
      <c r="AC94" s="24">
        <f t="shared" si="19"/>
        <v>0</v>
      </c>
      <c r="AD94" s="24">
        <f t="shared" si="11"/>
        <v>-13500.000000000004</v>
      </c>
    </row>
    <row r="95" spans="2:30" ht="24" x14ac:dyDescent="0.25">
      <c r="B95" s="45"/>
      <c r="C95" s="72" t="str">
        <f t="shared" si="20"/>
        <v>29/09/2025</v>
      </c>
      <c r="D95" s="52" t="str">
        <f t="shared" si="22"/>
        <v>TG-KS01163</v>
      </c>
      <c r="E95" s="52" t="str">
        <f t="shared" si="22"/>
        <v>TIANLONG 01</v>
      </c>
      <c r="F95" s="45"/>
      <c r="G95" s="45"/>
      <c r="H95" s="45"/>
      <c r="I95" s="45"/>
      <c r="J95" s="53" t="s">
        <v>66</v>
      </c>
      <c r="K95" s="53" t="s">
        <v>17</v>
      </c>
      <c r="L95" s="73">
        <v>0.2</v>
      </c>
      <c r="M95" s="74">
        <v>90000</v>
      </c>
      <c r="N95" s="74">
        <v>18000</v>
      </c>
      <c r="O95" s="71">
        <f t="shared" si="15"/>
        <v>1620000000</v>
      </c>
      <c r="P95" s="46" t="s">
        <v>18</v>
      </c>
      <c r="Q95" s="46" t="s">
        <v>355</v>
      </c>
      <c r="R95" s="46" t="s">
        <v>18</v>
      </c>
      <c r="S95" s="46" t="s">
        <v>18</v>
      </c>
      <c r="T95" s="46" t="s">
        <v>19</v>
      </c>
      <c r="U95" t="str">
        <f>VLOOKUP(J95,Sheet1!$A$2:$D$200,4,0)</f>
        <v>NL300126</v>
      </c>
      <c r="V95" t="str">
        <f>VLOOKUP(U95,Sheet1!$D$2:$E$200,2,0)</f>
        <v>Rau mùi tây</v>
      </c>
      <c r="W95" s="23" t="str">
        <f t="shared" si="16"/>
        <v>299NL300126</v>
      </c>
      <c r="X95" s="23" t="str">
        <f>COUNTIF($R$15:W95,W95)&amp;W95</f>
        <v>1299NL300126</v>
      </c>
      <c r="Y95" s="43">
        <f>IFERROR(VLOOKUP(X95,Sheet4!$B$7:$M$1187,12,0),"0")</f>
        <v>0.2</v>
      </c>
      <c r="Z95" s="27">
        <f>IFERROR(VLOOKUP(X95,Sheet4!$B$7:$N$1187,13,0),"0")</f>
        <v>90000</v>
      </c>
      <c r="AA95" s="26">
        <f t="shared" si="17"/>
        <v>18000</v>
      </c>
      <c r="AB95" s="33">
        <f t="shared" si="18"/>
        <v>0</v>
      </c>
      <c r="AC95" s="24">
        <f t="shared" si="19"/>
        <v>0</v>
      </c>
      <c r="AD95" s="24">
        <f t="shared" si="11"/>
        <v>0</v>
      </c>
    </row>
    <row r="96" spans="2:30" ht="24" x14ac:dyDescent="0.25">
      <c r="B96" s="45"/>
      <c r="C96" s="72" t="str">
        <f t="shared" si="20"/>
        <v>29/09/2025</v>
      </c>
      <c r="D96" s="52" t="str">
        <f t="shared" si="22"/>
        <v>TG-KS01163</v>
      </c>
      <c r="E96" s="52" t="str">
        <f t="shared" si="22"/>
        <v>TIANLONG 01</v>
      </c>
      <c r="F96" s="45"/>
      <c r="G96" s="45"/>
      <c r="H96" s="45"/>
      <c r="I96" s="45"/>
      <c r="J96" s="53" t="s">
        <v>33</v>
      </c>
      <c r="K96" s="53" t="s">
        <v>17</v>
      </c>
      <c r="L96" s="73">
        <v>1</v>
      </c>
      <c r="M96" s="74">
        <v>48000</v>
      </c>
      <c r="N96" s="74">
        <v>48000</v>
      </c>
      <c r="O96" s="71">
        <f t="shared" si="15"/>
        <v>2304000000</v>
      </c>
      <c r="P96" s="46" t="s">
        <v>18</v>
      </c>
      <c r="Q96" s="46" t="s">
        <v>355</v>
      </c>
      <c r="R96" s="46" t="s">
        <v>18</v>
      </c>
      <c r="S96" s="46" t="s">
        <v>49</v>
      </c>
      <c r="T96" s="46" t="s">
        <v>19</v>
      </c>
      <c r="U96" t="str">
        <f>VLOOKUP(J96,Sheet1!$A$2:$D$200,4,0)</f>
        <v>NL300113</v>
      </c>
      <c r="V96" t="str">
        <f>VLOOKUP(U96,Sheet1!$D$2:$E$200,2,0)</f>
        <v>Ớt hiểm đỏ</v>
      </c>
      <c r="W96" s="23" t="str">
        <f t="shared" si="16"/>
        <v>299NL300113</v>
      </c>
      <c r="X96" s="23" t="str">
        <f>COUNTIF($R$15:W96,W96)&amp;W96</f>
        <v>1299NL300113</v>
      </c>
      <c r="Y96" s="43">
        <f>IFERROR(VLOOKUP(X96,Sheet4!$B$7:$M$1187,12,0),"0")</f>
        <v>1</v>
      </c>
      <c r="Z96" s="27">
        <f>IFERROR(VLOOKUP(X96,Sheet4!$B$7:$N$1187,13,0),"0")</f>
        <v>48000</v>
      </c>
      <c r="AA96" s="26">
        <f t="shared" si="17"/>
        <v>48000</v>
      </c>
      <c r="AB96" s="33">
        <f t="shared" si="18"/>
        <v>0</v>
      </c>
      <c r="AC96" s="24">
        <f t="shared" si="19"/>
        <v>0</v>
      </c>
      <c r="AD96" s="24">
        <f t="shared" si="11"/>
        <v>0</v>
      </c>
    </row>
    <row r="97" spans="2:30" ht="24" x14ac:dyDescent="0.25">
      <c r="B97" s="45"/>
      <c r="C97" s="72" t="str">
        <f t="shared" si="20"/>
        <v>29/09/2025</v>
      </c>
      <c r="D97" s="52" t="str">
        <f t="shared" si="22"/>
        <v>TG-KS01163</v>
      </c>
      <c r="E97" s="52" t="str">
        <f t="shared" si="22"/>
        <v>TIANLONG 01</v>
      </c>
      <c r="F97" s="45"/>
      <c r="G97" s="45"/>
      <c r="H97" s="45"/>
      <c r="I97" s="45"/>
      <c r="J97" s="53" t="s">
        <v>243</v>
      </c>
      <c r="K97" s="53" t="s">
        <v>17</v>
      </c>
      <c r="L97" s="73">
        <v>4</v>
      </c>
      <c r="M97" s="74">
        <v>31000</v>
      </c>
      <c r="N97" s="74">
        <v>124000</v>
      </c>
      <c r="O97" s="71">
        <f t="shared" si="15"/>
        <v>3844000000</v>
      </c>
      <c r="P97" s="46" t="s">
        <v>18</v>
      </c>
      <c r="Q97" s="46" t="s">
        <v>355</v>
      </c>
      <c r="R97" s="46" t="s">
        <v>18</v>
      </c>
      <c r="S97" s="46" t="s">
        <v>49</v>
      </c>
      <c r="T97" s="46" t="s">
        <v>19</v>
      </c>
      <c r="U97" t="str">
        <f>VLOOKUP(J97,Sheet1!$A$2:$D$200,4,0)</f>
        <v>NL300018</v>
      </c>
      <c r="V97" t="str">
        <f>VLOOKUP(U97,Sheet1!$D$2:$E$200,2,0)</f>
        <v>Cải cúc</v>
      </c>
      <c r="W97" s="23" t="str">
        <f t="shared" si="16"/>
        <v>299NL300018</v>
      </c>
      <c r="X97" s="23" t="str">
        <f>COUNTIF($R$15:W97,W97)&amp;W97</f>
        <v>1299NL300018</v>
      </c>
      <c r="Y97" s="43">
        <f>IFERROR(VLOOKUP(X97,Sheet4!$B$7:$M$1187,12,0),"0")</f>
        <v>3.7</v>
      </c>
      <c r="Z97" s="27">
        <f>IFERROR(VLOOKUP(X97,Sheet4!$B$7:$N$1187,13,0),"0")</f>
        <v>31000</v>
      </c>
      <c r="AA97" s="26">
        <f t="shared" si="17"/>
        <v>114700</v>
      </c>
      <c r="AB97" s="33">
        <f t="shared" si="18"/>
        <v>-0.29999999999999982</v>
      </c>
      <c r="AC97" s="24">
        <f t="shared" si="19"/>
        <v>0</v>
      </c>
      <c r="AD97" s="24">
        <f t="shared" si="11"/>
        <v>-9300</v>
      </c>
    </row>
    <row r="98" spans="2:30" ht="24" x14ac:dyDescent="0.25">
      <c r="B98" s="45"/>
      <c r="C98" s="72" t="str">
        <f t="shared" si="20"/>
        <v>29/09/2025</v>
      </c>
      <c r="D98" s="52" t="str">
        <f t="shared" si="22"/>
        <v>TG-KS01163</v>
      </c>
      <c r="E98" s="52" t="str">
        <f t="shared" si="22"/>
        <v>TIANLONG 01</v>
      </c>
      <c r="F98" s="45"/>
      <c r="G98" s="45"/>
      <c r="H98" s="45"/>
      <c r="I98" s="45"/>
      <c r="J98" s="53" t="s">
        <v>38</v>
      </c>
      <c r="K98" s="53" t="s">
        <v>17</v>
      </c>
      <c r="L98" s="73">
        <v>1</v>
      </c>
      <c r="M98" s="74">
        <v>55000</v>
      </c>
      <c r="N98" s="74">
        <v>55000</v>
      </c>
      <c r="O98" s="71">
        <f t="shared" si="15"/>
        <v>3025000000</v>
      </c>
      <c r="P98" s="46" t="s">
        <v>18</v>
      </c>
      <c r="Q98" s="46" t="s">
        <v>355</v>
      </c>
      <c r="R98" s="46" t="s">
        <v>18</v>
      </c>
      <c r="S98" s="46" t="s">
        <v>49</v>
      </c>
      <c r="T98" s="46" t="s">
        <v>19</v>
      </c>
      <c r="U98" t="str">
        <f>VLOOKUP(J98,Sheet1!$A$2:$D$200,4,0)</f>
        <v>NL300142</v>
      </c>
      <c r="V98" t="str">
        <f>VLOOKUP(U98,Sheet1!$D$2:$E$200,2,0)</f>
        <v>Tỏi bóc</v>
      </c>
      <c r="W98" s="23" t="str">
        <f t="shared" si="16"/>
        <v>299NL300142</v>
      </c>
      <c r="X98" s="23" t="str">
        <f>COUNTIF($R$15:W98,W98)&amp;W98</f>
        <v>1299NL300142</v>
      </c>
      <c r="Y98" s="43">
        <f>IFERROR(VLOOKUP(X98,Sheet4!$B$7:$M$1187,12,0),"0")</f>
        <v>1</v>
      </c>
      <c r="Z98" s="27">
        <f>IFERROR(VLOOKUP(X98,Sheet4!$B$7:$N$1187,13,0),"0")</f>
        <v>55000</v>
      </c>
      <c r="AA98" s="26">
        <f t="shared" si="17"/>
        <v>55000</v>
      </c>
      <c r="AB98" s="33">
        <f t="shared" si="18"/>
        <v>0</v>
      </c>
      <c r="AC98" s="24">
        <f t="shared" si="19"/>
        <v>0</v>
      </c>
      <c r="AD98" s="24">
        <f t="shared" si="11"/>
        <v>0</v>
      </c>
    </row>
    <row r="99" spans="2:30" ht="24" x14ac:dyDescent="0.25">
      <c r="B99" s="45"/>
      <c r="C99" s="72" t="str">
        <f t="shared" si="20"/>
        <v>29/09/2025</v>
      </c>
      <c r="D99" s="52" t="str">
        <f t="shared" si="22"/>
        <v>TG-KS01163</v>
      </c>
      <c r="E99" s="52" t="str">
        <f t="shared" si="22"/>
        <v>TIANLONG 01</v>
      </c>
      <c r="F99" s="45"/>
      <c r="G99" s="45"/>
      <c r="H99" s="45"/>
      <c r="I99" s="45"/>
      <c r="J99" s="53" t="s">
        <v>37</v>
      </c>
      <c r="K99" s="53" t="s">
        <v>17</v>
      </c>
      <c r="L99" s="73">
        <v>5</v>
      </c>
      <c r="M99" s="74">
        <v>55000</v>
      </c>
      <c r="N99" s="74">
        <v>275000</v>
      </c>
      <c r="O99" s="71">
        <f t="shared" si="15"/>
        <v>15125000000</v>
      </c>
      <c r="P99" s="46" t="s">
        <v>344</v>
      </c>
      <c r="Q99" s="46" t="s">
        <v>355</v>
      </c>
      <c r="R99" s="46" t="s">
        <v>18</v>
      </c>
      <c r="S99" s="46" t="s">
        <v>49</v>
      </c>
      <c r="T99" s="46" t="s">
        <v>19</v>
      </c>
      <c r="U99" t="str">
        <f>VLOOKUP(J99,Sheet1!$A$2:$D$200,4,0)</f>
        <v>NL300147</v>
      </c>
      <c r="V99" t="str">
        <f>VLOOKUP(U99,Sheet1!$D$2:$E$200,2,0)</f>
        <v>Xà lách Roman</v>
      </c>
      <c r="W99" s="23" t="str">
        <f t="shared" si="16"/>
        <v>299NL300147</v>
      </c>
      <c r="X99" s="23" t="str">
        <f>COUNTIF($R$15:W99,W99)&amp;W99</f>
        <v>1299NL300147</v>
      </c>
      <c r="Y99" s="43">
        <f>IFERROR(VLOOKUP(X99,Sheet4!$B$7:$M$1187,12,0),"0")</f>
        <v>4.7</v>
      </c>
      <c r="Z99" s="27">
        <f>IFERROR(VLOOKUP(X99,Sheet4!$B$7:$N$1187,13,0),"0")</f>
        <v>55000</v>
      </c>
      <c r="AA99" s="26">
        <f t="shared" si="17"/>
        <v>258500</v>
      </c>
      <c r="AB99" s="33">
        <f t="shared" si="18"/>
        <v>-0.29999999999999982</v>
      </c>
      <c r="AC99" s="24">
        <f t="shared" si="19"/>
        <v>0</v>
      </c>
      <c r="AD99" s="24">
        <f t="shared" si="11"/>
        <v>-16500</v>
      </c>
    </row>
    <row r="100" spans="2:30" ht="24" x14ac:dyDescent="0.25">
      <c r="B100" s="45"/>
      <c r="C100" s="72" t="s">
        <v>383</v>
      </c>
      <c r="D100" s="52" t="str">
        <f t="shared" si="22"/>
        <v>TG-KS01163</v>
      </c>
      <c r="E100" s="52" t="str">
        <f t="shared" si="22"/>
        <v>TIANLONG 01</v>
      </c>
      <c r="F100" s="45"/>
      <c r="G100" s="45"/>
      <c r="H100" s="45"/>
      <c r="I100" s="45"/>
      <c r="J100" s="53" t="s">
        <v>328</v>
      </c>
      <c r="K100" s="53" t="s">
        <v>17</v>
      </c>
      <c r="L100" s="73">
        <v>1.9</v>
      </c>
      <c r="M100" s="74">
        <v>48000</v>
      </c>
      <c r="N100" s="74">
        <v>91200</v>
      </c>
      <c r="O100" s="71">
        <f t="shared" si="15"/>
        <v>4377600000</v>
      </c>
      <c r="P100" s="46" t="s">
        <v>18</v>
      </c>
      <c r="Q100" s="46" t="s">
        <v>355</v>
      </c>
      <c r="R100" s="46" t="s">
        <v>18</v>
      </c>
      <c r="S100" s="46" t="s">
        <v>49</v>
      </c>
      <c r="T100" s="46" t="s">
        <v>19</v>
      </c>
      <c r="U100" t="str">
        <f>VLOOKUP(J100,Sheet1!$A$2:$D$200,4,0)</f>
        <v>NL300203</v>
      </c>
      <c r="V100" t="str">
        <f>VLOOKUP(U100,Sheet1!$D$2:$E$200,2,0)</f>
        <v>Cải bó xôi</v>
      </c>
      <c r="W100" s="23" t="str">
        <f t="shared" si="16"/>
        <v>309NL300203</v>
      </c>
      <c r="X100" s="23" t="str">
        <f>COUNTIF($R$15:W100,W100)&amp;W100</f>
        <v>1309NL300203</v>
      </c>
      <c r="Y100" s="43">
        <f>IFERROR(VLOOKUP(X100,Sheet4!$B$7:$M$1187,12,0),"0")</f>
        <v>1.7</v>
      </c>
      <c r="Z100" s="27">
        <f>IFERROR(VLOOKUP(X100,Sheet4!$B$7:$N$1187,13,0),"0")</f>
        <v>48000</v>
      </c>
      <c r="AA100" s="26">
        <f t="shared" si="17"/>
        <v>81600</v>
      </c>
      <c r="AB100" s="33">
        <f t="shared" si="18"/>
        <v>-0.19999999999999996</v>
      </c>
      <c r="AC100" s="24">
        <f t="shared" si="19"/>
        <v>0</v>
      </c>
      <c r="AD100" s="24">
        <f t="shared" si="11"/>
        <v>-9600</v>
      </c>
    </row>
    <row r="101" spans="2:30" ht="24" x14ac:dyDescent="0.25">
      <c r="B101" s="45"/>
      <c r="C101" s="72" t="str">
        <f t="shared" ref="C101:C118" si="23">C100</f>
        <v>30/09/2025</v>
      </c>
      <c r="D101" s="52" t="s">
        <v>376</v>
      </c>
      <c r="E101" s="52" t="s">
        <v>359</v>
      </c>
      <c r="F101" s="45"/>
      <c r="G101" s="45"/>
      <c r="H101" s="45"/>
      <c r="I101" s="45"/>
      <c r="J101" s="53" t="s">
        <v>111</v>
      </c>
      <c r="K101" s="53" t="s">
        <v>17</v>
      </c>
      <c r="L101" s="73">
        <v>4.2</v>
      </c>
      <c r="M101" s="74">
        <v>14000</v>
      </c>
      <c r="N101" s="74">
        <v>58800</v>
      </c>
      <c r="O101" s="71">
        <f t="shared" si="15"/>
        <v>823200000</v>
      </c>
      <c r="P101" s="46" t="s">
        <v>18</v>
      </c>
      <c r="Q101" s="46" t="s">
        <v>356</v>
      </c>
      <c r="R101" s="46" t="s">
        <v>18</v>
      </c>
      <c r="S101" s="46" t="s">
        <v>49</v>
      </c>
      <c r="T101" s="46" t="s">
        <v>19</v>
      </c>
      <c r="U101" t="str">
        <f>VLOOKUP(J101,Sheet1!$A$2:$D$200,4,0)</f>
        <v>NL300022</v>
      </c>
      <c r="V101" t="str">
        <f>VLOOKUP(U101,Sheet1!$D$2:$E$200,2,0)</f>
        <v>Cải thảo</v>
      </c>
      <c r="W101" s="23" t="str">
        <f t="shared" si="16"/>
        <v>309NL300022</v>
      </c>
      <c r="X101" s="23" t="str">
        <f>COUNTIF($R$15:W101,W101)&amp;W101</f>
        <v>1309NL300022</v>
      </c>
      <c r="Y101" s="43">
        <f>IFERROR(VLOOKUP(X101,Sheet4!$B$7:$M$1187,12,0),"0")</f>
        <v>4</v>
      </c>
      <c r="Z101" s="27">
        <f>IFERROR(VLOOKUP(X101,Sheet4!$B$7:$N$1187,13,0),"0")</f>
        <v>14000</v>
      </c>
      <c r="AA101" s="26">
        <f t="shared" si="17"/>
        <v>56000</v>
      </c>
      <c r="AB101" s="33">
        <f t="shared" si="18"/>
        <v>-0.20000000000000018</v>
      </c>
      <c r="AC101" s="24">
        <f t="shared" si="19"/>
        <v>0</v>
      </c>
      <c r="AD101" s="24">
        <f t="shared" si="11"/>
        <v>-2800</v>
      </c>
    </row>
    <row r="102" spans="2:30" ht="24" x14ac:dyDescent="0.25">
      <c r="B102" s="45"/>
      <c r="C102" s="72" t="str">
        <f t="shared" si="23"/>
        <v>30/09/2025</v>
      </c>
      <c r="D102" s="52" t="str">
        <f t="shared" ref="D102:E109" si="24">D101</f>
        <v>TG-KS01163</v>
      </c>
      <c r="E102" s="52" t="str">
        <f t="shared" si="24"/>
        <v>TIANLONG 01</v>
      </c>
      <c r="F102" s="45"/>
      <c r="G102" s="45"/>
      <c r="H102" s="45"/>
      <c r="I102" s="45"/>
      <c r="J102" s="53" t="s">
        <v>72</v>
      </c>
      <c r="K102" s="53" t="s">
        <v>17</v>
      </c>
      <c r="L102" s="73">
        <v>0.5</v>
      </c>
      <c r="M102" s="74">
        <v>70000</v>
      </c>
      <c r="N102" s="74">
        <v>35000</v>
      </c>
      <c r="O102" s="71">
        <f t="shared" si="15"/>
        <v>2450000000</v>
      </c>
      <c r="P102" s="46" t="s">
        <v>18</v>
      </c>
      <c r="Q102" s="46" t="s">
        <v>356</v>
      </c>
      <c r="R102" s="46" t="s">
        <v>18</v>
      </c>
      <c r="S102" s="46" t="s">
        <v>49</v>
      </c>
      <c r="T102" s="46" t="s">
        <v>19</v>
      </c>
      <c r="U102" t="str">
        <f>VLOOKUP(J102,Sheet1!$A$2:$D$200,4,0)</f>
        <v>NL600067</v>
      </c>
      <c r="V102" t="str">
        <f>VLOOKUP(U102,Sheet1!$D$2:$E$200,2,0)</f>
        <v>Cam vàng</v>
      </c>
      <c r="W102" s="23" t="str">
        <f t="shared" si="16"/>
        <v>309NL600067</v>
      </c>
      <c r="X102" s="23" t="str">
        <f>COUNTIF($R$15:W102,W102)&amp;W102</f>
        <v>1309NL600067</v>
      </c>
      <c r="Y102" s="43">
        <f>IFERROR(VLOOKUP(X102,Sheet4!$B$7:$M$1187,12,0),"0")</f>
        <v>0.5</v>
      </c>
      <c r="Z102" s="27">
        <f>IFERROR(VLOOKUP(X102,Sheet4!$B$7:$N$1187,13,0),"0")</f>
        <v>70000</v>
      </c>
      <c r="AA102" s="26">
        <f t="shared" si="17"/>
        <v>35000</v>
      </c>
      <c r="AB102" s="33">
        <f t="shared" si="18"/>
        <v>0</v>
      </c>
      <c r="AC102" s="24">
        <f t="shared" si="19"/>
        <v>0</v>
      </c>
      <c r="AD102" s="24">
        <f t="shared" si="11"/>
        <v>0</v>
      </c>
    </row>
    <row r="103" spans="2:30" ht="24" x14ac:dyDescent="0.25">
      <c r="B103" s="45"/>
      <c r="C103" s="72" t="str">
        <f t="shared" si="23"/>
        <v>30/09/2025</v>
      </c>
      <c r="D103" s="52" t="str">
        <f t="shared" si="24"/>
        <v>TG-KS01163</v>
      </c>
      <c r="E103" s="52" t="str">
        <f t="shared" si="24"/>
        <v>TIANLONG 01</v>
      </c>
      <c r="F103" s="45"/>
      <c r="G103" s="45"/>
      <c r="H103" s="45"/>
      <c r="I103" s="45"/>
      <c r="J103" s="53" t="s">
        <v>46</v>
      </c>
      <c r="K103" s="53" t="s">
        <v>17</v>
      </c>
      <c r="L103" s="73">
        <v>0.5</v>
      </c>
      <c r="M103" s="74">
        <v>21000</v>
      </c>
      <c r="N103" s="74">
        <v>10500</v>
      </c>
      <c r="O103" s="71">
        <f t="shared" si="15"/>
        <v>220500000</v>
      </c>
      <c r="P103" s="46" t="s">
        <v>18</v>
      </c>
      <c r="Q103" s="46" t="s">
        <v>356</v>
      </c>
      <c r="R103" s="46" t="s">
        <v>18</v>
      </c>
      <c r="S103" s="46" t="s">
        <v>49</v>
      </c>
      <c r="T103" s="46" t="s">
        <v>19</v>
      </c>
      <c r="U103" t="str">
        <f>VLOOKUP(J103,Sheet1!$A$2:$D$200,4,0)</f>
        <v>NL300029</v>
      </c>
      <c r="V103" t="str">
        <f>VLOOKUP(U103,Sheet1!$D$2:$E$200,2,0)</f>
        <v>Chanh</v>
      </c>
      <c r="W103" s="23" t="str">
        <f t="shared" si="16"/>
        <v>309NL300029</v>
      </c>
      <c r="X103" s="23" t="str">
        <f>COUNTIF($R$15:W103,W103)&amp;W103</f>
        <v>1309NL300029</v>
      </c>
      <c r="Y103" s="43">
        <f>IFERROR(VLOOKUP(X103,Sheet4!$B$7:$M$1187,12,0),"0")</f>
        <v>0.5</v>
      </c>
      <c r="Z103" s="27">
        <f>IFERROR(VLOOKUP(X103,Sheet4!$B$7:$N$1187,13,0),"0")</f>
        <v>21000</v>
      </c>
      <c r="AA103" s="26">
        <f t="shared" si="17"/>
        <v>10500</v>
      </c>
      <c r="AB103" s="33">
        <f t="shared" si="18"/>
        <v>0</v>
      </c>
      <c r="AC103" s="24">
        <f t="shared" si="19"/>
        <v>0</v>
      </c>
      <c r="AD103" s="24">
        <f t="shared" si="11"/>
        <v>0</v>
      </c>
    </row>
    <row r="104" spans="2:30" ht="24" x14ac:dyDescent="0.25">
      <c r="B104" s="45"/>
      <c r="C104" s="72" t="str">
        <f t="shared" si="23"/>
        <v>30/09/2025</v>
      </c>
      <c r="D104" s="52" t="str">
        <f t="shared" si="24"/>
        <v>TG-KS01163</v>
      </c>
      <c r="E104" s="52" t="str">
        <f t="shared" si="24"/>
        <v>TIANLONG 01</v>
      </c>
      <c r="F104" s="45"/>
      <c r="G104" s="45"/>
      <c r="H104" s="45"/>
      <c r="I104" s="45"/>
      <c r="J104" s="53" t="s">
        <v>126</v>
      </c>
      <c r="K104" s="53" t="s">
        <v>17</v>
      </c>
      <c r="L104" s="73">
        <v>1.3</v>
      </c>
      <c r="M104" s="74">
        <v>11000</v>
      </c>
      <c r="N104" s="74">
        <v>14300</v>
      </c>
      <c r="O104" s="71">
        <f t="shared" si="15"/>
        <v>157300000</v>
      </c>
      <c r="P104" s="46" t="s">
        <v>18</v>
      </c>
      <c r="Q104" s="46" t="s">
        <v>356</v>
      </c>
      <c r="R104" s="46" t="s">
        <v>18</v>
      </c>
      <c r="S104" s="46" t="s">
        <v>49</v>
      </c>
      <c r="T104" s="46" t="s">
        <v>19</v>
      </c>
      <c r="U104" t="str">
        <f>VLOOKUP(J104,Sheet1!$A$2:$D$200,4,0)</f>
        <v>NL300033</v>
      </c>
      <c r="V104" t="str">
        <f>VLOOKUP(U104,Sheet1!$D$2:$E$200,2,0)</f>
        <v>Củ cải trắng</v>
      </c>
      <c r="W104" s="23" t="str">
        <f t="shared" si="16"/>
        <v>309NL300033</v>
      </c>
      <c r="X104" s="23" t="str">
        <f>COUNTIF($R$15:W104,W104)&amp;W104</f>
        <v>1309NL300033</v>
      </c>
      <c r="Y104" s="43">
        <f>IFERROR(VLOOKUP(X104,Sheet4!$B$7:$M$1187,12,0),"0")</f>
        <v>1.3</v>
      </c>
      <c r="Z104" s="27">
        <f>IFERROR(VLOOKUP(X104,Sheet4!$B$7:$N$1187,13,0),"0")</f>
        <v>11000</v>
      </c>
      <c r="AA104" s="26">
        <f t="shared" si="17"/>
        <v>14300</v>
      </c>
      <c r="AB104" s="33">
        <f t="shared" si="18"/>
        <v>0</v>
      </c>
      <c r="AC104" s="24">
        <f t="shared" si="19"/>
        <v>0</v>
      </c>
      <c r="AD104" s="24">
        <f t="shared" si="11"/>
        <v>0</v>
      </c>
    </row>
    <row r="105" spans="2:30" ht="24" x14ac:dyDescent="0.25">
      <c r="B105" s="45"/>
      <c r="C105" s="72" t="str">
        <f t="shared" si="23"/>
        <v>30/09/2025</v>
      </c>
      <c r="D105" s="52" t="str">
        <f t="shared" si="24"/>
        <v>TG-KS01163</v>
      </c>
      <c r="E105" s="52" t="str">
        <f t="shared" si="24"/>
        <v>TIANLONG 01</v>
      </c>
      <c r="F105" s="45"/>
      <c r="G105" s="45"/>
      <c r="H105" s="45"/>
      <c r="I105" s="45"/>
      <c r="J105" s="53" t="s">
        <v>27</v>
      </c>
      <c r="K105" s="53" t="s">
        <v>17</v>
      </c>
      <c r="L105" s="73">
        <v>0.8</v>
      </c>
      <c r="M105" s="74">
        <v>44000</v>
      </c>
      <c r="N105" s="74">
        <v>35200</v>
      </c>
      <c r="O105" s="71">
        <f t="shared" si="15"/>
        <v>1548800000</v>
      </c>
      <c r="P105" s="46" t="s">
        <v>18</v>
      </c>
      <c r="Q105" s="46" t="s">
        <v>356</v>
      </c>
      <c r="R105" s="46" t="s">
        <v>18</v>
      </c>
      <c r="S105" s="46" t="s">
        <v>49</v>
      </c>
      <c r="T105" s="46" t="s">
        <v>19</v>
      </c>
      <c r="U105" t="str">
        <f>VLOOKUP(J105,Sheet1!$A$2:$D$200,4,0)</f>
        <v>NL300036</v>
      </c>
      <c r="V105" t="str">
        <f>VLOOKUP(U105,Sheet1!$D$2:$E$200,2,0)</f>
        <v>Củ sen</v>
      </c>
      <c r="W105" s="23" t="str">
        <f t="shared" si="16"/>
        <v>309NL300036</v>
      </c>
      <c r="X105" s="23" t="str">
        <f>COUNTIF($R$15:W105,W105)&amp;W105</f>
        <v>1309NL300036</v>
      </c>
      <c r="Y105" s="43">
        <f>IFERROR(VLOOKUP(X105,Sheet4!$B$7:$M$1187,12,0),"0")</f>
        <v>0.8</v>
      </c>
      <c r="Z105" s="27">
        <f>IFERROR(VLOOKUP(X105,Sheet4!$B$7:$N$1187,13,0),"0")</f>
        <v>44000</v>
      </c>
      <c r="AA105" s="26">
        <f t="shared" si="17"/>
        <v>35200</v>
      </c>
      <c r="AB105" s="33">
        <f t="shared" si="18"/>
        <v>0</v>
      </c>
      <c r="AC105" s="24">
        <f t="shared" si="19"/>
        <v>0</v>
      </c>
      <c r="AD105" s="24">
        <f t="shared" si="11"/>
        <v>0</v>
      </c>
    </row>
    <row r="106" spans="2:30" ht="24" x14ac:dyDescent="0.25">
      <c r="B106" s="45"/>
      <c r="C106" s="72" t="str">
        <f t="shared" si="23"/>
        <v>30/09/2025</v>
      </c>
      <c r="D106" s="52" t="str">
        <f t="shared" si="24"/>
        <v>TG-KS01163</v>
      </c>
      <c r="E106" s="52" t="str">
        <f t="shared" si="24"/>
        <v>TIANLONG 01</v>
      </c>
      <c r="F106" s="45"/>
      <c r="G106" s="45"/>
      <c r="H106" s="45"/>
      <c r="I106" s="45"/>
      <c r="J106" s="53" t="s">
        <v>47</v>
      </c>
      <c r="K106" s="53" t="s">
        <v>17</v>
      </c>
      <c r="L106" s="73">
        <v>15.5</v>
      </c>
      <c r="M106" s="74">
        <v>16000</v>
      </c>
      <c r="N106" s="74">
        <v>248000</v>
      </c>
      <c r="O106" s="71">
        <f t="shared" si="15"/>
        <v>3968000000</v>
      </c>
      <c r="P106" s="46" t="s">
        <v>18</v>
      </c>
      <c r="Q106" s="46" t="s">
        <v>356</v>
      </c>
      <c r="R106" s="46" t="s">
        <v>18</v>
      </c>
      <c r="S106" s="46" t="s">
        <v>49</v>
      </c>
      <c r="T106" s="46" t="s">
        <v>19</v>
      </c>
      <c r="U106" t="str">
        <f>VLOOKUP(J106,Sheet1!$A$2:$D$200,4,0)</f>
        <v>NL600004</v>
      </c>
      <c r="V106" t="str">
        <f>VLOOKUP(U106,Sheet1!$D$2:$E$200,2,0)</f>
        <v>Dưa hấu</v>
      </c>
      <c r="W106" s="23" t="str">
        <f t="shared" si="16"/>
        <v>309NL600004</v>
      </c>
      <c r="X106" s="23" t="str">
        <f>COUNTIF($R$15:W106,W106)&amp;W106</f>
        <v>1309NL600004</v>
      </c>
      <c r="Y106" s="43">
        <f>IFERROR(VLOOKUP(X106,Sheet4!$B$7:$M$1187,12,0),"0")</f>
        <v>15.5</v>
      </c>
      <c r="Z106" s="27">
        <f>IFERROR(VLOOKUP(X106,Sheet4!$B$7:$N$1187,13,0),"0")</f>
        <v>16000</v>
      </c>
      <c r="AA106" s="26">
        <f t="shared" si="17"/>
        <v>248000</v>
      </c>
      <c r="AB106" s="33">
        <f t="shared" si="18"/>
        <v>0</v>
      </c>
      <c r="AC106" s="24">
        <f t="shared" si="19"/>
        <v>0</v>
      </c>
      <c r="AD106" s="24">
        <f t="shared" si="11"/>
        <v>0</v>
      </c>
    </row>
    <row r="107" spans="2:30" s="44" customFormat="1" ht="24" x14ac:dyDescent="0.25">
      <c r="B107" s="45"/>
      <c r="C107" s="72" t="str">
        <f t="shared" si="23"/>
        <v>30/09/2025</v>
      </c>
      <c r="D107" s="52" t="str">
        <f t="shared" si="24"/>
        <v>TG-KS01163</v>
      </c>
      <c r="E107" s="52" t="str">
        <f t="shared" si="24"/>
        <v>TIANLONG 01</v>
      </c>
      <c r="F107" s="45"/>
      <c r="G107" s="45"/>
      <c r="H107" s="45"/>
      <c r="I107" s="45"/>
      <c r="J107" s="53" t="s">
        <v>346</v>
      </c>
      <c r="K107" s="53" t="s">
        <v>17</v>
      </c>
      <c r="L107" s="73">
        <v>0.6</v>
      </c>
      <c r="M107" s="74">
        <v>30000</v>
      </c>
      <c r="N107" s="74">
        <v>18000</v>
      </c>
      <c r="O107" s="71">
        <f t="shared" si="15"/>
        <v>540000000</v>
      </c>
      <c r="P107" s="46" t="s">
        <v>18</v>
      </c>
      <c r="Q107" s="46" t="s">
        <v>356</v>
      </c>
      <c r="R107" s="46" t="s">
        <v>18</v>
      </c>
      <c r="S107" s="46" t="s">
        <v>49</v>
      </c>
      <c r="T107" s="46" t="s">
        <v>19</v>
      </c>
      <c r="U107" t="str">
        <f>VLOOKUP(J107,Sheet1!$A$2:$D$200,4,0)</f>
        <v>NL300053</v>
      </c>
      <c r="V107" t="str">
        <f>VLOOKUP(U107,Sheet1!$D$2:$E$200,2,0)</f>
        <v>Gừng ta</v>
      </c>
      <c r="W107" s="23" t="str">
        <f t="shared" si="16"/>
        <v>309NL300053</v>
      </c>
      <c r="X107" s="23" t="str">
        <f>COUNTIF($R$15:W107,W107)&amp;W107</f>
        <v>1309NL300053</v>
      </c>
      <c r="Y107" s="43">
        <f>IFERROR(VLOOKUP(X107,Sheet4!$B$7:$M$1187,12,0),"0")</f>
        <v>0.5</v>
      </c>
      <c r="Z107" s="27">
        <f>IFERROR(VLOOKUP(X107,Sheet4!$B$7:$N$1187,13,0),"0")</f>
        <v>30000</v>
      </c>
      <c r="AA107" s="26">
        <f t="shared" si="17"/>
        <v>15000</v>
      </c>
      <c r="AB107" s="33">
        <f t="shared" si="18"/>
        <v>-9.9999999999999978E-2</v>
      </c>
      <c r="AC107" s="24">
        <f t="shared" si="19"/>
        <v>0</v>
      </c>
      <c r="AD107" s="24">
        <f t="shared" si="11"/>
        <v>-3000</v>
      </c>
    </row>
    <row r="108" spans="2:30" ht="24" x14ac:dyDescent="0.25">
      <c r="B108" s="45"/>
      <c r="C108" s="72" t="str">
        <f t="shared" si="23"/>
        <v>30/09/2025</v>
      </c>
      <c r="D108" s="52" t="str">
        <f t="shared" si="24"/>
        <v>TG-KS01163</v>
      </c>
      <c r="E108" s="52" t="str">
        <f t="shared" si="24"/>
        <v>TIANLONG 01</v>
      </c>
      <c r="F108" s="45"/>
      <c r="G108" s="45"/>
      <c r="H108" s="45"/>
      <c r="I108" s="45"/>
      <c r="J108" s="53" t="s">
        <v>29</v>
      </c>
      <c r="K108" s="53" t="s">
        <v>17</v>
      </c>
      <c r="L108" s="73">
        <v>1</v>
      </c>
      <c r="M108" s="74">
        <v>31000</v>
      </c>
      <c r="N108" s="74">
        <v>31000</v>
      </c>
      <c r="O108" s="71">
        <f t="shared" si="15"/>
        <v>961000000</v>
      </c>
      <c r="P108" s="46" t="s">
        <v>18</v>
      </c>
      <c r="Q108" s="46" t="s">
        <v>356</v>
      </c>
      <c r="R108" s="46" t="s">
        <v>18</v>
      </c>
      <c r="S108" s="46" t="s">
        <v>49</v>
      </c>
      <c r="T108" s="46" t="s">
        <v>19</v>
      </c>
      <c r="U108" t="str">
        <f>VLOOKUP(J108,Sheet1!$A$2:$D$200,4,0)</f>
        <v>NL300058</v>
      </c>
      <c r="V108" t="str">
        <f>VLOOKUP(U108,Sheet1!$D$2:$E$200,2,0)</f>
        <v>Hành lá</v>
      </c>
      <c r="W108" s="23" t="str">
        <f t="shared" si="16"/>
        <v>309NL300058</v>
      </c>
      <c r="X108" s="23" t="str">
        <f>COUNTIF($R$15:W108,W108)&amp;W108</f>
        <v>1309NL300058</v>
      </c>
      <c r="Y108" s="43">
        <f>IFERROR(VLOOKUP(X108,Sheet4!$B$7:$M$1187,12,0),"0")</f>
        <v>1</v>
      </c>
      <c r="Z108" s="27">
        <f>IFERROR(VLOOKUP(X108,Sheet4!$B$7:$N$1187,13,0),"0")</f>
        <v>31000</v>
      </c>
      <c r="AA108" s="26">
        <f t="shared" si="17"/>
        <v>31000</v>
      </c>
      <c r="AB108" s="33">
        <f t="shared" si="18"/>
        <v>0</v>
      </c>
      <c r="AC108" s="24">
        <f t="shared" si="19"/>
        <v>0</v>
      </c>
      <c r="AD108" s="24">
        <f t="shared" si="11"/>
        <v>0</v>
      </c>
    </row>
    <row r="109" spans="2:30" ht="24" x14ac:dyDescent="0.25">
      <c r="B109" s="45"/>
      <c r="C109" s="72" t="str">
        <f t="shared" si="23"/>
        <v>30/09/2025</v>
      </c>
      <c r="D109" s="52" t="str">
        <f t="shared" si="24"/>
        <v>TG-KS01163</v>
      </c>
      <c r="E109" s="52" t="str">
        <f t="shared" si="24"/>
        <v>TIANLONG 01</v>
      </c>
      <c r="F109" s="45"/>
      <c r="G109" s="45"/>
      <c r="H109" s="45"/>
      <c r="I109" s="45"/>
      <c r="J109" s="53" t="s">
        <v>183</v>
      </c>
      <c r="K109" s="53" t="s">
        <v>17</v>
      </c>
      <c r="L109" s="73">
        <v>2.5</v>
      </c>
      <c r="M109" s="74">
        <v>20000</v>
      </c>
      <c r="N109" s="74">
        <v>50000</v>
      </c>
      <c r="O109" s="71">
        <f t="shared" si="15"/>
        <v>1000000000</v>
      </c>
      <c r="P109" s="46" t="s">
        <v>18</v>
      </c>
      <c r="Q109" s="46" t="s">
        <v>356</v>
      </c>
      <c r="R109" s="46" t="s">
        <v>18</v>
      </c>
      <c r="S109" s="46" t="s">
        <v>49</v>
      </c>
      <c r="T109" s="46" t="s">
        <v>19</v>
      </c>
      <c r="U109" t="str">
        <f>VLOOKUP(J109,Sheet1!$A$2:$D$200,4,0)</f>
        <v>NL300084</v>
      </c>
      <c r="V109" t="str">
        <f>VLOOKUP(U109,Sheet1!$D$2:$E$200,2,0)</f>
        <v>Mồng tơi nhặt</v>
      </c>
      <c r="W109" s="23" t="str">
        <f t="shared" si="16"/>
        <v>309NL300084</v>
      </c>
      <c r="X109" s="23" t="str">
        <f>COUNTIF($R$15:W109,W109)&amp;W109</f>
        <v>1309NL300084</v>
      </c>
      <c r="Y109" s="43">
        <f>IFERROR(VLOOKUP(X109,Sheet4!$B$7:$M$1187,12,0),"0")</f>
        <v>2</v>
      </c>
      <c r="Z109" s="27">
        <f>IFERROR(VLOOKUP(X109,Sheet4!$B$7:$N$1187,13,0),"0")</f>
        <v>20000</v>
      </c>
      <c r="AA109" s="26">
        <f t="shared" si="17"/>
        <v>40000</v>
      </c>
      <c r="AB109" s="33">
        <f t="shared" si="18"/>
        <v>-0.5</v>
      </c>
      <c r="AC109" s="24">
        <f t="shared" si="19"/>
        <v>0</v>
      </c>
      <c r="AD109" s="24">
        <f t="shared" si="11"/>
        <v>-10000</v>
      </c>
    </row>
    <row r="110" spans="2:30" ht="24" x14ac:dyDescent="0.25">
      <c r="B110" s="45"/>
      <c r="C110" s="72" t="str">
        <f t="shared" si="23"/>
        <v>30/09/2025</v>
      </c>
      <c r="D110" s="52" t="s">
        <v>376</v>
      </c>
      <c r="E110" s="52" t="s">
        <v>359</v>
      </c>
      <c r="F110" s="45"/>
      <c r="G110" s="45"/>
      <c r="H110" s="45"/>
      <c r="I110" s="45"/>
      <c r="J110" s="53" t="s">
        <v>39</v>
      </c>
      <c r="K110" s="53" t="s">
        <v>17</v>
      </c>
      <c r="L110" s="73">
        <v>2</v>
      </c>
      <c r="M110" s="74">
        <v>138000</v>
      </c>
      <c r="N110" s="74">
        <v>276000</v>
      </c>
      <c r="O110" s="71">
        <f t="shared" si="15"/>
        <v>38088000000</v>
      </c>
      <c r="P110" s="46" t="s">
        <v>18</v>
      </c>
      <c r="Q110" s="46" t="s">
        <v>356</v>
      </c>
      <c r="R110" s="46" t="s">
        <v>18</v>
      </c>
      <c r="S110" s="46" t="s">
        <v>49</v>
      </c>
      <c r="T110" s="46" t="s">
        <v>19</v>
      </c>
      <c r="U110" t="str">
        <f>VLOOKUP(J110,Sheet1!$A$2:$D$200,4,0)</f>
        <v>NL300090</v>
      </c>
      <c r="V110" t="str">
        <f>VLOOKUP(U110,Sheet1!$D$2:$E$200,2,0)</f>
        <v>Nấm đông cô tươi</v>
      </c>
      <c r="W110" s="23" t="str">
        <f t="shared" si="16"/>
        <v>309NL300090</v>
      </c>
      <c r="X110" s="23" t="str">
        <f>COUNTIF($R$15:W110,W110)&amp;W110</f>
        <v>1309NL300090</v>
      </c>
      <c r="Y110" s="43">
        <f>IFERROR(VLOOKUP(X110,Sheet4!$B$7:$M$1187,12,0),"0")</f>
        <v>2</v>
      </c>
      <c r="Z110" s="27">
        <f>IFERROR(VLOOKUP(X110,Sheet4!$B$7:$N$1187,13,0),"0")</f>
        <v>138000</v>
      </c>
      <c r="AA110" s="26">
        <f t="shared" si="17"/>
        <v>276000</v>
      </c>
      <c r="AB110" s="33">
        <f t="shared" si="18"/>
        <v>0</v>
      </c>
      <c r="AC110" s="24">
        <f t="shared" si="19"/>
        <v>0</v>
      </c>
      <c r="AD110" s="24">
        <f t="shared" si="11"/>
        <v>0</v>
      </c>
    </row>
    <row r="111" spans="2:30" ht="24" x14ac:dyDescent="0.25">
      <c r="B111" s="45"/>
      <c r="C111" s="72" t="str">
        <f t="shared" si="23"/>
        <v>30/09/2025</v>
      </c>
      <c r="D111" s="52" t="str">
        <f t="shared" ref="D111:E118" si="25">D110</f>
        <v>TG-KS01163</v>
      </c>
      <c r="E111" s="52" t="str">
        <f t="shared" si="25"/>
        <v>TIANLONG 01</v>
      </c>
      <c r="F111" s="45"/>
      <c r="G111" s="45"/>
      <c r="H111" s="45"/>
      <c r="I111" s="45"/>
      <c r="J111" s="53" t="s">
        <v>40</v>
      </c>
      <c r="K111" s="53" t="s">
        <v>17</v>
      </c>
      <c r="L111" s="73">
        <v>6</v>
      </c>
      <c r="M111" s="74">
        <v>45000</v>
      </c>
      <c r="N111" s="74">
        <v>270000</v>
      </c>
      <c r="O111" s="71">
        <f t="shared" si="15"/>
        <v>12150000000</v>
      </c>
      <c r="P111" s="46" t="s">
        <v>18</v>
      </c>
      <c r="Q111" s="46" t="s">
        <v>356</v>
      </c>
      <c r="R111" s="46" t="s">
        <v>18</v>
      </c>
      <c r="S111" s="46" t="s">
        <v>49</v>
      </c>
      <c r="T111" s="46" t="s">
        <v>19</v>
      </c>
      <c r="U111" t="str">
        <f>VLOOKUP(J111,Sheet1!$A$2:$D$200,4,0)</f>
        <v>NL300091</v>
      </c>
      <c r="V111" t="str">
        <f>VLOOKUP(U111,Sheet1!$D$2:$E$200,2,0)</f>
        <v>Nấm đùi gà</v>
      </c>
      <c r="W111" s="23" t="str">
        <f t="shared" si="16"/>
        <v>309NL300091</v>
      </c>
      <c r="X111" s="23" t="str">
        <f>COUNTIF($R$15:W111,W111)&amp;W111</f>
        <v>1309NL300091</v>
      </c>
      <c r="Y111" s="43">
        <f>IFERROR(VLOOKUP(X111,Sheet4!$B$7:$M$1187,12,0),"0")</f>
        <v>6</v>
      </c>
      <c r="Z111" s="27">
        <f>IFERROR(VLOOKUP(X111,Sheet4!$B$7:$N$1187,13,0),"0")</f>
        <v>45000</v>
      </c>
      <c r="AA111" s="26">
        <f t="shared" si="17"/>
        <v>270000</v>
      </c>
      <c r="AB111" s="33">
        <f t="shared" si="18"/>
        <v>0</v>
      </c>
      <c r="AC111" s="24">
        <f t="shared" si="19"/>
        <v>0</v>
      </c>
      <c r="AD111" s="24">
        <f t="shared" si="11"/>
        <v>0</v>
      </c>
    </row>
    <row r="112" spans="2:30" ht="24" x14ac:dyDescent="0.25">
      <c r="B112" s="45"/>
      <c r="C112" s="72" t="str">
        <f t="shared" si="23"/>
        <v>30/09/2025</v>
      </c>
      <c r="D112" s="52" t="str">
        <f t="shared" si="25"/>
        <v>TG-KS01163</v>
      </c>
      <c r="E112" s="52" t="str">
        <f t="shared" si="25"/>
        <v>TIANLONG 01</v>
      </c>
      <c r="F112" s="45"/>
      <c r="G112" s="45"/>
      <c r="H112" s="45"/>
      <c r="I112" s="45"/>
      <c r="J112" s="53" t="s">
        <v>345</v>
      </c>
      <c r="K112" s="53" t="s">
        <v>340</v>
      </c>
      <c r="L112" s="73">
        <v>20</v>
      </c>
      <c r="M112" s="74">
        <v>11000</v>
      </c>
      <c r="N112" s="74">
        <v>220000</v>
      </c>
      <c r="O112" s="71">
        <f t="shared" si="15"/>
        <v>2420000000</v>
      </c>
      <c r="P112" s="46" t="s">
        <v>18</v>
      </c>
      <c r="Q112" s="46" t="s">
        <v>356</v>
      </c>
      <c r="R112" s="46" t="s">
        <v>18</v>
      </c>
      <c r="S112" s="46" t="s">
        <v>18</v>
      </c>
      <c r="T112" s="46" t="s">
        <v>19</v>
      </c>
      <c r="U112" t="str">
        <f>VLOOKUP(J112,Sheet1!$A$2:$D$200,4,0)</f>
        <v>NL300096</v>
      </c>
      <c r="V112" t="str">
        <f>VLOOKUP(U112,Sheet1!$D$2:$E$200,2,0)</f>
        <v>Nấm kim châm tươi</v>
      </c>
      <c r="W112" s="23" t="str">
        <f t="shared" si="16"/>
        <v>309NL300096</v>
      </c>
      <c r="X112" s="23" t="str">
        <f>COUNTIF($R$15:W112,W112)&amp;W112</f>
        <v>1309NL300096</v>
      </c>
      <c r="Y112" s="43">
        <f>IFERROR(VLOOKUP(X112,Sheet4!$B$7:$M$1187,12,0),"0")</f>
        <v>4</v>
      </c>
      <c r="Z112" s="27">
        <f>IFERROR(VLOOKUP(X112,Sheet4!$B$7:$N$1187,13,0),"0")</f>
        <v>45000</v>
      </c>
      <c r="AA112" s="26">
        <f t="shared" si="17"/>
        <v>180000</v>
      </c>
      <c r="AB112" s="33">
        <f t="shared" si="18"/>
        <v>-16</v>
      </c>
      <c r="AC112" s="24">
        <f t="shared" si="19"/>
        <v>34000</v>
      </c>
      <c r="AD112" s="24">
        <f t="shared" si="11"/>
        <v>-40000</v>
      </c>
    </row>
    <row r="113" spans="2:30" ht="24" x14ac:dyDescent="0.25">
      <c r="B113" s="45"/>
      <c r="C113" s="72" t="str">
        <f t="shared" si="23"/>
        <v>30/09/2025</v>
      </c>
      <c r="D113" s="52" t="str">
        <f t="shared" si="25"/>
        <v>TG-KS01163</v>
      </c>
      <c r="E113" s="52" t="str">
        <f t="shared" si="25"/>
        <v>TIANLONG 01</v>
      </c>
      <c r="F113" s="45"/>
      <c r="G113" s="45"/>
      <c r="H113" s="45"/>
      <c r="I113" s="45"/>
      <c r="J113" s="53" t="s">
        <v>68</v>
      </c>
      <c r="K113" s="53" t="s">
        <v>17</v>
      </c>
      <c r="L113" s="73">
        <v>4</v>
      </c>
      <c r="M113" s="74">
        <v>90000</v>
      </c>
      <c r="N113" s="74">
        <v>360000</v>
      </c>
      <c r="O113" s="71">
        <f t="shared" si="15"/>
        <v>32400000000</v>
      </c>
      <c r="P113" s="46" t="s">
        <v>18</v>
      </c>
      <c r="Q113" s="46" t="s">
        <v>356</v>
      </c>
      <c r="R113" s="46" t="s">
        <v>18</v>
      </c>
      <c r="S113" s="46" t="s">
        <v>49</v>
      </c>
      <c r="T113" s="46" t="s">
        <v>19</v>
      </c>
      <c r="U113" t="str">
        <f>VLOOKUP(J113,Sheet1!$A$2:$D$200,4,0)</f>
        <v>NL300098</v>
      </c>
      <c r="V113" t="str">
        <f>VLOOKUP(U113,Sheet1!$D$2:$E$200,2,0)</f>
        <v>Nấm Linh Chi trắng</v>
      </c>
      <c r="W113" s="23" t="str">
        <f t="shared" si="16"/>
        <v>309NL300098</v>
      </c>
      <c r="X113" s="23" t="str">
        <f>COUNTIF($R$15:W113,W113)&amp;W113</f>
        <v>1309NL300098</v>
      </c>
      <c r="Y113" s="43">
        <f>IFERROR(VLOOKUP(X113,Sheet4!$B$7:$M$1187,12,0),"0")</f>
        <v>4</v>
      </c>
      <c r="Z113" s="27">
        <f>IFERROR(VLOOKUP(X113,Sheet4!$B$7:$N$1187,13,0),"0")</f>
        <v>90000</v>
      </c>
      <c r="AA113" s="26">
        <f t="shared" si="17"/>
        <v>360000</v>
      </c>
      <c r="AB113" s="33">
        <f t="shared" si="18"/>
        <v>0</v>
      </c>
      <c r="AC113" s="24">
        <f t="shared" si="19"/>
        <v>0</v>
      </c>
      <c r="AD113" s="24">
        <f t="shared" ref="AD113:AD118" si="26">AA113-N113</f>
        <v>0</v>
      </c>
    </row>
    <row r="114" spans="2:30" ht="24" x14ac:dyDescent="0.25">
      <c r="B114" s="45"/>
      <c r="C114" s="72" t="str">
        <f t="shared" si="23"/>
        <v>30/09/2025</v>
      </c>
      <c r="D114" s="52" t="str">
        <f t="shared" si="25"/>
        <v>TG-KS01163</v>
      </c>
      <c r="E114" s="52" t="str">
        <f t="shared" si="25"/>
        <v>TIANLONG 01</v>
      </c>
      <c r="F114" s="45"/>
      <c r="G114" s="45"/>
      <c r="H114" s="45"/>
      <c r="I114" s="45"/>
      <c r="J114" s="53" t="s">
        <v>32</v>
      </c>
      <c r="K114" s="53" t="s">
        <v>17</v>
      </c>
      <c r="L114" s="73">
        <v>1.5</v>
      </c>
      <c r="M114" s="74">
        <v>45000</v>
      </c>
      <c r="N114" s="74">
        <v>67500</v>
      </c>
      <c r="O114" s="71">
        <f t="shared" si="15"/>
        <v>3037500000</v>
      </c>
      <c r="P114" s="46" t="s">
        <v>18</v>
      </c>
      <c r="Q114" s="46" t="s">
        <v>356</v>
      </c>
      <c r="R114" s="46" t="s">
        <v>18</v>
      </c>
      <c r="S114" s="46" t="s">
        <v>49</v>
      </c>
      <c r="T114" s="46" t="s">
        <v>19</v>
      </c>
      <c r="U114" t="str">
        <f>VLOOKUP(J114,Sheet1!$A$2:$D$200,4,0)</f>
        <v>NL300085</v>
      </c>
      <c r="V114" t="str">
        <f>VLOOKUP(U114,Sheet1!$D$2:$E$200,2,0)</f>
        <v>Mùi ta ( Ngò rí )</v>
      </c>
      <c r="W114" s="23" t="str">
        <f t="shared" si="16"/>
        <v>309NL300085</v>
      </c>
      <c r="X114" s="23" t="str">
        <f>COUNTIF($R$15:W114,W114)&amp;W114</f>
        <v>1309NL300085</v>
      </c>
      <c r="Y114" s="43">
        <f>IFERROR(VLOOKUP(X114,Sheet4!$B$7:$M$1187,12,0),"0")</f>
        <v>1.3</v>
      </c>
      <c r="Z114" s="27">
        <f>IFERROR(VLOOKUP(X114,Sheet4!$B$7:$N$1187,13,0),"0")</f>
        <v>45000</v>
      </c>
      <c r="AA114" s="26">
        <f t="shared" si="17"/>
        <v>58500</v>
      </c>
      <c r="AB114" s="33">
        <f t="shared" si="18"/>
        <v>-0.19999999999999996</v>
      </c>
      <c r="AC114" s="24">
        <f t="shared" si="19"/>
        <v>0</v>
      </c>
      <c r="AD114" s="24">
        <f t="shared" si="26"/>
        <v>-9000</v>
      </c>
    </row>
    <row r="115" spans="2:30" ht="24" x14ac:dyDescent="0.25">
      <c r="B115" s="45"/>
      <c r="C115" s="72" t="str">
        <f t="shared" si="23"/>
        <v>30/09/2025</v>
      </c>
      <c r="D115" s="52" t="str">
        <f t="shared" si="25"/>
        <v>TG-KS01163</v>
      </c>
      <c r="E115" s="52" t="str">
        <f t="shared" si="25"/>
        <v>TIANLONG 01</v>
      </c>
      <c r="F115" s="45"/>
      <c r="G115" s="45"/>
      <c r="H115" s="45"/>
      <c r="I115" s="45"/>
      <c r="J115" s="53" t="s">
        <v>66</v>
      </c>
      <c r="K115" s="53" t="s">
        <v>17</v>
      </c>
      <c r="L115" s="73">
        <v>0.3</v>
      </c>
      <c r="M115" s="74">
        <v>90000</v>
      </c>
      <c r="N115" s="74">
        <v>27000</v>
      </c>
      <c r="O115" s="71">
        <f t="shared" si="15"/>
        <v>2430000000</v>
      </c>
      <c r="P115" s="46" t="s">
        <v>18</v>
      </c>
      <c r="Q115" s="46" t="s">
        <v>356</v>
      </c>
      <c r="R115" s="46" t="s">
        <v>18</v>
      </c>
      <c r="S115" s="46" t="s">
        <v>49</v>
      </c>
      <c r="T115" s="46" t="s">
        <v>19</v>
      </c>
      <c r="U115" t="str">
        <f>VLOOKUP(J115,Sheet1!$A$2:$D$200,4,0)</f>
        <v>NL300126</v>
      </c>
      <c r="V115" t="str">
        <f>VLOOKUP(U115,Sheet1!$D$2:$E$200,2,0)</f>
        <v>Rau mùi tây</v>
      </c>
      <c r="W115" s="23" t="str">
        <f t="shared" si="16"/>
        <v>309NL300126</v>
      </c>
      <c r="X115" s="23" t="str">
        <f>COUNTIF($R$15:W115,W115)&amp;W115</f>
        <v>1309NL300126</v>
      </c>
      <c r="Y115" s="43">
        <f>IFERROR(VLOOKUP(X115,Sheet4!$B$7:$M$1187,12,0),"0")</f>
        <v>0.3</v>
      </c>
      <c r="Z115" s="27">
        <f>IFERROR(VLOOKUP(X115,Sheet4!$B$7:$N$1187,13,0),"0")</f>
        <v>90000</v>
      </c>
      <c r="AA115" s="26">
        <f t="shared" si="17"/>
        <v>27000</v>
      </c>
      <c r="AB115" s="33">
        <f t="shared" si="18"/>
        <v>0</v>
      </c>
      <c r="AC115" s="24">
        <f t="shared" si="19"/>
        <v>0</v>
      </c>
      <c r="AD115" s="24">
        <f t="shared" si="26"/>
        <v>0</v>
      </c>
    </row>
    <row r="116" spans="2:30" ht="24" x14ac:dyDescent="0.25">
      <c r="B116" s="45"/>
      <c r="C116" s="72" t="str">
        <f t="shared" si="23"/>
        <v>30/09/2025</v>
      </c>
      <c r="D116" s="52" t="str">
        <f t="shared" si="25"/>
        <v>TG-KS01163</v>
      </c>
      <c r="E116" s="52" t="str">
        <f t="shared" si="25"/>
        <v>TIANLONG 01</v>
      </c>
      <c r="F116" s="45"/>
      <c r="G116" s="45"/>
      <c r="H116" s="45"/>
      <c r="I116" s="45"/>
      <c r="J116" s="53" t="s">
        <v>60</v>
      </c>
      <c r="K116" s="53" t="s">
        <v>17</v>
      </c>
      <c r="L116" s="73">
        <v>5</v>
      </c>
      <c r="M116" s="74">
        <v>20000</v>
      </c>
      <c r="N116" s="74">
        <v>100000</v>
      </c>
      <c r="O116" s="71">
        <f t="shared" si="15"/>
        <v>2000000000</v>
      </c>
      <c r="P116" s="46" t="s">
        <v>18</v>
      </c>
      <c r="Q116" s="46" t="s">
        <v>356</v>
      </c>
      <c r="R116" s="46" t="s">
        <v>18</v>
      </c>
      <c r="S116" s="46" t="s">
        <v>49</v>
      </c>
      <c r="T116" s="46" t="s">
        <v>19</v>
      </c>
      <c r="U116" t="str">
        <f>VLOOKUP(J116,Sheet1!$A$2:$D$200,4,0)</f>
        <v>NL300119</v>
      </c>
      <c r="V116" t="str">
        <f>VLOOKUP(U116,Sheet1!$D$2:$E$200,2,0)</f>
        <v>Quất ( Tắc trái )</v>
      </c>
      <c r="W116" s="23" t="str">
        <f t="shared" si="16"/>
        <v>309NL300119</v>
      </c>
      <c r="X116" s="23" t="str">
        <f>COUNTIF($R$15:W116,W116)&amp;W116</f>
        <v>1309NL300119</v>
      </c>
      <c r="Y116" s="43">
        <f>IFERROR(VLOOKUP(X116,Sheet4!$B$7:$M$1187,12,0),"0")</f>
        <v>5</v>
      </c>
      <c r="Z116" s="27">
        <f>IFERROR(VLOOKUP(X116,Sheet4!$B$7:$N$1187,13,0),"0")</f>
        <v>20000</v>
      </c>
      <c r="AA116" s="26">
        <f t="shared" si="17"/>
        <v>100000</v>
      </c>
      <c r="AB116" s="33">
        <f t="shared" si="18"/>
        <v>0</v>
      </c>
      <c r="AC116" s="24">
        <f t="shared" si="19"/>
        <v>0</v>
      </c>
      <c r="AD116" s="24">
        <f t="shared" si="26"/>
        <v>0</v>
      </c>
    </row>
    <row r="117" spans="2:30" ht="24" x14ac:dyDescent="0.25">
      <c r="B117" s="45"/>
      <c r="C117" s="72" t="str">
        <f t="shared" si="23"/>
        <v>30/09/2025</v>
      </c>
      <c r="D117" s="52" t="str">
        <f t="shared" si="25"/>
        <v>TG-KS01163</v>
      </c>
      <c r="E117" s="52" t="str">
        <f t="shared" si="25"/>
        <v>TIANLONG 01</v>
      </c>
      <c r="F117" s="45"/>
      <c r="G117" s="45"/>
      <c r="H117" s="45"/>
      <c r="I117" s="45"/>
      <c r="J117" s="53" t="s">
        <v>243</v>
      </c>
      <c r="K117" s="53" t="s">
        <v>17</v>
      </c>
      <c r="L117" s="73">
        <v>5</v>
      </c>
      <c r="M117" s="74">
        <v>31000</v>
      </c>
      <c r="N117" s="74">
        <v>155000</v>
      </c>
      <c r="O117" s="71">
        <f t="shared" si="15"/>
        <v>4805000000</v>
      </c>
      <c r="P117" s="46" t="s">
        <v>18</v>
      </c>
      <c r="Q117" s="46" t="s">
        <v>356</v>
      </c>
      <c r="R117" s="46" t="s">
        <v>18</v>
      </c>
      <c r="S117" s="46" t="s">
        <v>49</v>
      </c>
      <c r="T117" s="46" t="s">
        <v>19</v>
      </c>
      <c r="U117" t="str">
        <f>VLOOKUP(J117,Sheet1!$A$2:$D$200,4,0)</f>
        <v>NL300018</v>
      </c>
      <c r="V117" t="str">
        <f>VLOOKUP(U117,Sheet1!$D$2:$E$200,2,0)</f>
        <v>Cải cúc</v>
      </c>
      <c r="W117" s="23" t="str">
        <f t="shared" si="16"/>
        <v>309NL300018</v>
      </c>
      <c r="X117" s="23" t="str">
        <f>COUNTIF($R$15:W117,W117)&amp;W117</f>
        <v>1309NL300018</v>
      </c>
      <c r="Y117" s="43">
        <f>IFERROR(VLOOKUP(X117,Sheet4!$B$7:$M$1187,12,0),"0")</f>
        <v>4</v>
      </c>
      <c r="Z117" s="27">
        <f>IFERROR(VLOOKUP(X117,Sheet4!$B$7:$N$1187,13,0),"0")</f>
        <v>31000</v>
      </c>
      <c r="AA117" s="26">
        <f t="shared" si="17"/>
        <v>124000</v>
      </c>
      <c r="AB117" s="33">
        <f t="shared" si="18"/>
        <v>-1</v>
      </c>
      <c r="AC117" s="24">
        <f t="shared" si="19"/>
        <v>0</v>
      </c>
      <c r="AD117" s="24">
        <f t="shared" si="26"/>
        <v>-31000</v>
      </c>
    </row>
    <row r="118" spans="2:30" ht="24" x14ac:dyDescent="0.25">
      <c r="B118" s="45"/>
      <c r="C118" s="72" t="str">
        <f t="shared" si="23"/>
        <v>30/09/2025</v>
      </c>
      <c r="D118" s="52" t="str">
        <f t="shared" si="25"/>
        <v>TG-KS01163</v>
      </c>
      <c r="E118" s="52" t="str">
        <f t="shared" si="25"/>
        <v>TIANLONG 01</v>
      </c>
      <c r="F118" s="45"/>
      <c r="G118" s="45"/>
      <c r="H118" s="45"/>
      <c r="I118" s="45"/>
      <c r="J118" s="53" t="s">
        <v>37</v>
      </c>
      <c r="K118" s="53" t="s">
        <v>17</v>
      </c>
      <c r="L118" s="73">
        <v>5</v>
      </c>
      <c r="M118" s="74">
        <v>55000</v>
      </c>
      <c r="N118" s="74">
        <v>275000</v>
      </c>
      <c r="O118" s="71">
        <f t="shared" si="15"/>
        <v>15125000000</v>
      </c>
      <c r="P118" s="46" t="s">
        <v>18</v>
      </c>
      <c r="Q118" s="46" t="s">
        <v>356</v>
      </c>
      <c r="R118" s="46" t="s">
        <v>18</v>
      </c>
      <c r="S118" s="46" t="s">
        <v>49</v>
      </c>
      <c r="T118" s="46" t="s">
        <v>19</v>
      </c>
      <c r="U118" t="str">
        <f>VLOOKUP(J118,Sheet1!$A$2:$D$200,4,0)</f>
        <v>NL300147</v>
      </c>
      <c r="V118" t="str">
        <f>VLOOKUP(U118,Sheet1!$D$2:$E$200,2,0)</f>
        <v>Xà lách Roman</v>
      </c>
      <c r="W118" s="23" t="str">
        <f t="shared" si="16"/>
        <v>309NL300147</v>
      </c>
      <c r="X118" s="23" t="str">
        <f>COUNTIF($R$15:W118,W118)&amp;W118</f>
        <v>1309NL300147</v>
      </c>
      <c r="Y118" s="43">
        <f>IFERROR(VLOOKUP(X118,Sheet4!$B$7:$M$1187,12,0),"0")</f>
        <v>5</v>
      </c>
      <c r="Z118" s="27">
        <f>IFERROR(VLOOKUP(X118,Sheet4!$B$7:$N$1187,13,0),"0")</f>
        <v>55000</v>
      </c>
      <c r="AA118" s="26">
        <f t="shared" si="17"/>
        <v>275000</v>
      </c>
      <c r="AB118" s="33">
        <f t="shared" si="18"/>
        <v>0</v>
      </c>
      <c r="AC118" s="24">
        <f t="shared" si="19"/>
        <v>0</v>
      </c>
      <c r="AD118" s="24">
        <f t="shared" si="26"/>
        <v>0</v>
      </c>
    </row>
  </sheetData>
  <mergeCells count="7">
    <mergeCell ref="B12:L12"/>
    <mergeCell ref="B10:L10"/>
    <mergeCell ref="B2:D2"/>
    <mergeCell ref="E2:L2"/>
    <mergeCell ref="B4:L4"/>
    <mergeCell ref="B6:L6"/>
    <mergeCell ref="B8:L8"/>
  </mergeCells>
  <conditionalFormatting sqref="AD15:AD1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2:W402"/>
  <sheetViews>
    <sheetView topLeftCell="A82" zoomScaleNormal="100" workbookViewId="0">
      <selection activeCell="E28" sqref="E28"/>
    </sheetView>
  </sheetViews>
  <sheetFormatPr defaultColWidth="9.140625" defaultRowHeight="15" x14ac:dyDescent="0.25"/>
  <cols>
    <col min="1" max="1" width="12.140625" style="6" bestFit="1" customWidth="1"/>
    <col min="2" max="2" width="13.28515625" style="6" bestFit="1" customWidth="1"/>
    <col min="3" max="3" width="15.28515625" customWidth="1"/>
    <col min="4" max="4" width="11.42578125" customWidth="1"/>
    <col min="5" max="5" width="15.28515625" customWidth="1"/>
    <col min="6" max="6" width="4.140625" customWidth="1"/>
    <col min="7" max="7" width="4.28515625" customWidth="1"/>
    <col min="8" max="8" width="17.42578125" customWidth="1"/>
    <col min="9" max="9" width="40.85546875" customWidth="1"/>
    <col min="10" max="10" width="11" customWidth="1"/>
    <col min="11" max="11" width="24.42578125" customWidth="1"/>
    <col min="12" max="12" width="6.42578125" customWidth="1"/>
    <col min="13" max="13" width="18.28515625" customWidth="1"/>
    <col min="14" max="14" width="13.7109375" bestFit="1" customWidth="1"/>
    <col min="15" max="15" width="4.7109375" customWidth="1"/>
    <col min="16" max="17" width="13.7109375" bestFit="1" customWidth="1"/>
    <col min="18" max="18" width="12.85546875" customWidth="1"/>
    <col min="19" max="19" width="8.42578125" customWidth="1"/>
    <col min="20" max="20" width="3.42578125" customWidth="1"/>
    <col min="21" max="22" width="19" customWidth="1"/>
    <col min="23" max="23" width="9.42578125" bestFit="1" customWidth="1"/>
  </cols>
  <sheetData>
    <row r="2" spans="1:23" x14ac:dyDescent="0.25">
      <c r="C2" s="50" t="s">
        <v>18</v>
      </c>
    </row>
    <row r="3" spans="1:23" x14ac:dyDescent="0.25">
      <c r="C3" s="129" t="s">
        <v>273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</row>
    <row r="4" spans="1:23" x14ac:dyDescent="0.25">
      <c r="C4" s="131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</row>
    <row r="5" spans="1:23" x14ac:dyDescent="0.25">
      <c r="A5" s="36"/>
      <c r="B5" s="36"/>
      <c r="M5" s="39">
        <f>SUBTOTAL(9,M7:M687)</f>
        <v>393.00000000000006</v>
      </c>
      <c r="N5" s="39"/>
      <c r="P5" s="39">
        <f>SUBTOTAL(9,P7:P687)</f>
        <v>13383700</v>
      </c>
      <c r="Q5" s="39"/>
    </row>
    <row r="6" spans="1:23" x14ac:dyDescent="0.25">
      <c r="C6" s="51" t="s">
        <v>274</v>
      </c>
      <c r="D6" s="51" t="s">
        <v>275</v>
      </c>
      <c r="E6" s="51" t="s">
        <v>276</v>
      </c>
      <c r="F6" s="51" t="s">
        <v>277</v>
      </c>
      <c r="G6" s="51" t="s">
        <v>278</v>
      </c>
      <c r="H6" s="51" t="s">
        <v>279</v>
      </c>
      <c r="I6" s="51" t="s">
        <v>280</v>
      </c>
      <c r="J6" s="51" t="s">
        <v>281</v>
      </c>
      <c r="K6" s="51" t="s">
        <v>282</v>
      </c>
      <c r="L6" s="51" t="s">
        <v>283</v>
      </c>
      <c r="M6" s="51" t="s">
        <v>284</v>
      </c>
      <c r="N6" s="51" t="s">
        <v>285</v>
      </c>
      <c r="O6" s="51" t="s">
        <v>286</v>
      </c>
      <c r="P6" s="51" t="s">
        <v>287</v>
      </c>
      <c r="Q6" s="51" t="s">
        <v>288</v>
      </c>
      <c r="R6" s="51" t="s">
        <v>289</v>
      </c>
      <c r="S6" s="51" t="s">
        <v>290</v>
      </c>
      <c r="T6" s="51" t="s">
        <v>291</v>
      </c>
      <c r="U6" s="51" t="s">
        <v>292</v>
      </c>
      <c r="V6" s="51" t="s">
        <v>293</v>
      </c>
    </row>
    <row r="7" spans="1:23" x14ac:dyDescent="0.25">
      <c r="A7" s="9" t="str">
        <f>DAY(C7)&amp;MONTH(C7)&amp;J7</f>
        <v>269NL300013</v>
      </c>
      <c r="B7" s="9" t="str">
        <f>COUNTIF($A$7:A7,A7)&amp;A7</f>
        <v>1269NL300013</v>
      </c>
      <c r="C7" s="54">
        <v>45926</v>
      </c>
      <c r="D7" s="55" t="s">
        <v>294</v>
      </c>
      <c r="E7" s="56" t="s">
        <v>385</v>
      </c>
      <c r="F7" s="56" t="s">
        <v>295</v>
      </c>
      <c r="G7" s="55" t="s">
        <v>296</v>
      </c>
      <c r="H7" s="55" t="s">
        <v>297</v>
      </c>
      <c r="I7" s="55" t="s">
        <v>386</v>
      </c>
      <c r="J7" s="55" t="s">
        <v>102</v>
      </c>
      <c r="K7" s="55" t="s">
        <v>101</v>
      </c>
      <c r="L7" s="55" t="s">
        <v>92</v>
      </c>
      <c r="M7" s="57">
        <v>3</v>
      </c>
      <c r="N7" s="58">
        <v>25000</v>
      </c>
      <c r="O7" s="58">
        <v>0</v>
      </c>
      <c r="P7" s="59">
        <v>75000</v>
      </c>
      <c r="Q7" s="58">
        <v>25000</v>
      </c>
      <c r="R7" s="55" t="s">
        <v>362</v>
      </c>
      <c r="S7" s="55" t="s">
        <v>363</v>
      </c>
      <c r="T7" s="55" t="s">
        <v>18</v>
      </c>
      <c r="U7" s="55" t="s">
        <v>364</v>
      </c>
      <c r="V7" s="55" t="s">
        <v>18</v>
      </c>
      <c r="W7" s="47">
        <f>VLOOKUP(B7,titan!$X$15:$Y$718,2,0)-M7</f>
        <v>0</v>
      </c>
    </row>
    <row r="8" spans="1:23" x14ac:dyDescent="0.25">
      <c r="A8" s="9" t="str">
        <f t="shared" ref="A8:A71" si="0">DAY(C8)&amp;MONTH(C8)&amp;J8</f>
        <v>269NL300022</v>
      </c>
      <c r="B8" s="9" t="str">
        <f>COUNTIF($A$7:A8,A8)&amp;A8</f>
        <v>1269NL300022</v>
      </c>
      <c r="C8" s="54">
        <v>45926</v>
      </c>
      <c r="D8" s="55" t="s">
        <v>294</v>
      </c>
      <c r="E8" s="56" t="s">
        <v>385</v>
      </c>
      <c r="F8" s="56" t="s">
        <v>295</v>
      </c>
      <c r="G8" s="55" t="s">
        <v>296</v>
      </c>
      <c r="H8" s="55" t="s">
        <v>297</v>
      </c>
      <c r="I8" s="55" t="s">
        <v>386</v>
      </c>
      <c r="J8" s="55" t="s">
        <v>112</v>
      </c>
      <c r="K8" s="55" t="s">
        <v>111</v>
      </c>
      <c r="L8" s="55" t="s">
        <v>92</v>
      </c>
      <c r="M8" s="57">
        <v>9</v>
      </c>
      <c r="N8" s="58">
        <v>14000</v>
      </c>
      <c r="O8" s="58">
        <v>0</v>
      </c>
      <c r="P8" s="59">
        <v>126000</v>
      </c>
      <c r="Q8" s="58">
        <v>14000</v>
      </c>
      <c r="R8" s="55" t="s">
        <v>362</v>
      </c>
      <c r="S8" s="55" t="s">
        <v>363</v>
      </c>
      <c r="T8" s="55" t="s">
        <v>18</v>
      </c>
      <c r="U8" s="55" t="s">
        <v>364</v>
      </c>
      <c r="V8" s="55" t="s">
        <v>18</v>
      </c>
      <c r="W8" s="47">
        <f>VLOOKUP(B8,titan!$X$15:$Y$718,2,0)-M8</f>
        <v>0</v>
      </c>
    </row>
    <row r="9" spans="1:23" x14ac:dyDescent="0.25">
      <c r="A9" s="9" t="str">
        <f t="shared" si="0"/>
        <v>269NL300033</v>
      </c>
      <c r="B9" s="9" t="str">
        <f>COUNTIF($A$7:A9,A9)&amp;A9</f>
        <v>1269NL300033</v>
      </c>
      <c r="C9" s="54">
        <v>45926</v>
      </c>
      <c r="D9" s="55" t="s">
        <v>294</v>
      </c>
      <c r="E9" s="56" t="s">
        <v>385</v>
      </c>
      <c r="F9" s="56" t="s">
        <v>295</v>
      </c>
      <c r="G9" s="55" t="s">
        <v>296</v>
      </c>
      <c r="H9" s="55" t="s">
        <v>297</v>
      </c>
      <c r="I9" s="55" t="s">
        <v>386</v>
      </c>
      <c r="J9" s="55" t="s">
        <v>127</v>
      </c>
      <c r="K9" s="55" t="s">
        <v>365</v>
      </c>
      <c r="L9" s="55" t="s">
        <v>92</v>
      </c>
      <c r="M9" s="57">
        <v>2</v>
      </c>
      <c r="N9" s="58">
        <v>11000</v>
      </c>
      <c r="O9" s="58">
        <v>0</v>
      </c>
      <c r="P9" s="59">
        <v>22000</v>
      </c>
      <c r="Q9" s="58">
        <v>11000</v>
      </c>
      <c r="R9" s="55" t="s">
        <v>362</v>
      </c>
      <c r="S9" s="55" t="s">
        <v>363</v>
      </c>
      <c r="T9" s="55" t="s">
        <v>18</v>
      </c>
      <c r="U9" s="55" t="s">
        <v>364</v>
      </c>
      <c r="V9" s="55" t="s">
        <v>18</v>
      </c>
      <c r="W9" s="47">
        <f>VLOOKUP(B9,titan!$X$15:$Y$718,2,0)-M9</f>
        <v>0</v>
      </c>
    </row>
    <row r="10" spans="1:23" x14ac:dyDescent="0.25">
      <c r="A10" s="9" t="str">
        <f t="shared" si="0"/>
        <v>269NL300036</v>
      </c>
      <c r="B10" s="9" t="str">
        <f>COUNTIF($A$7:A10,A10)&amp;A10</f>
        <v>1269NL300036</v>
      </c>
      <c r="C10" s="54">
        <v>45926</v>
      </c>
      <c r="D10" s="55" t="s">
        <v>294</v>
      </c>
      <c r="E10" s="56" t="s">
        <v>385</v>
      </c>
      <c r="F10" s="56" t="s">
        <v>295</v>
      </c>
      <c r="G10" s="55" t="s">
        <v>296</v>
      </c>
      <c r="H10" s="55" t="s">
        <v>297</v>
      </c>
      <c r="I10" s="55" t="s">
        <v>386</v>
      </c>
      <c r="J10" s="55" t="s">
        <v>131</v>
      </c>
      <c r="K10" s="55" t="s">
        <v>27</v>
      </c>
      <c r="L10" s="55" t="s">
        <v>92</v>
      </c>
      <c r="M10" s="57">
        <v>2</v>
      </c>
      <c r="N10" s="58">
        <v>44000</v>
      </c>
      <c r="O10" s="58">
        <v>0</v>
      </c>
      <c r="P10" s="59">
        <v>88000</v>
      </c>
      <c r="Q10" s="58">
        <v>44000</v>
      </c>
      <c r="R10" s="55" t="s">
        <v>362</v>
      </c>
      <c r="S10" s="55" t="s">
        <v>363</v>
      </c>
      <c r="T10" s="55" t="s">
        <v>18</v>
      </c>
      <c r="U10" s="55" t="s">
        <v>364</v>
      </c>
      <c r="V10" s="55" t="s">
        <v>18</v>
      </c>
      <c r="W10" s="47">
        <f>VLOOKUP(B10,titan!$X$15:$Y$718,2,0)-M10</f>
        <v>0</v>
      </c>
    </row>
    <row r="11" spans="1:23" x14ac:dyDescent="0.25">
      <c r="A11" s="9" t="str">
        <f t="shared" si="0"/>
        <v>269NL300058</v>
      </c>
      <c r="B11" s="9" t="str">
        <f>COUNTIF($A$7:A11,A11)&amp;A11</f>
        <v>1269NL300058</v>
      </c>
      <c r="C11" s="54">
        <v>45926</v>
      </c>
      <c r="D11" s="55" t="s">
        <v>294</v>
      </c>
      <c r="E11" s="56" t="s">
        <v>385</v>
      </c>
      <c r="F11" s="56" t="s">
        <v>295</v>
      </c>
      <c r="G11" s="55" t="s">
        <v>296</v>
      </c>
      <c r="H11" s="55" t="s">
        <v>297</v>
      </c>
      <c r="I11" s="55" t="s">
        <v>386</v>
      </c>
      <c r="J11" s="55" t="s">
        <v>147</v>
      </c>
      <c r="K11" s="55" t="s">
        <v>29</v>
      </c>
      <c r="L11" s="55" t="s">
        <v>92</v>
      </c>
      <c r="M11" s="57">
        <v>0.9</v>
      </c>
      <c r="N11" s="58">
        <v>31000</v>
      </c>
      <c r="O11" s="58">
        <v>0</v>
      </c>
      <c r="P11" s="59">
        <v>27900</v>
      </c>
      <c r="Q11" s="58">
        <v>31000</v>
      </c>
      <c r="R11" s="55" t="s">
        <v>362</v>
      </c>
      <c r="S11" s="55" t="s">
        <v>363</v>
      </c>
      <c r="T11" s="55" t="s">
        <v>18</v>
      </c>
      <c r="U11" s="55" t="s">
        <v>364</v>
      </c>
      <c r="V11" s="55" t="s">
        <v>18</v>
      </c>
      <c r="W11" s="47">
        <f>VLOOKUP(B11,titan!$X$15:$Y$718,2,0)-M11</f>
        <v>0</v>
      </c>
    </row>
    <row r="12" spans="1:23" x14ac:dyDescent="0.25">
      <c r="A12" s="9" t="str">
        <f t="shared" si="0"/>
        <v>269NL300085</v>
      </c>
      <c r="B12" s="9" t="str">
        <f>COUNTIF($A$7:A12,A12)&amp;A12</f>
        <v>1269NL300085</v>
      </c>
      <c r="C12" s="54">
        <v>45926</v>
      </c>
      <c r="D12" s="55" t="s">
        <v>294</v>
      </c>
      <c r="E12" s="56" t="s">
        <v>385</v>
      </c>
      <c r="F12" s="56" t="s">
        <v>295</v>
      </c>
      <c r="G12" s="55" t="s">
        <v>296</v>
      </c>
      <c r="H12" s="55" t="s">
        <v>297</v>
      </c>
      <c r="I12" s="55" t="s">
        <v>386</v>
      </c>
      <c r="J12" s="55" t="s">
        <v>205</v>
      </c>
      <c r="K12" s="55" t="s">
        <v>306</v>
      </c>
      <c r="L12" s="55" t="s">
        <v>92</v>
      </c>
      <c r="M12" s="57">
        <v>0.8</v>
      </c>
      <c r="N12" s="58">
        <v>45000</v>
      </c>
      <c r="O12" s="58">
        <v>0</v>
      </c>
      <c r="P12" s="59">
        <v>36000</v>
      </c>
      <c r="Q12" s="58">
        <v>45000</v>
      </c>
      <c r="R12" s="55" t="s">
        <v>362</v>
      </c>
      <c r="S12" s="55" t="s">
        <v>363</v>
      </c>
      <c r="T12" s="55" t="s">
        <v>18</v>
      </c>
      <c r="U12" s="55" t="s">
        <v>364</v>
      </c>
      <c r="V12" s="55" t="s">
        <v>18</v>
      </c>
      <c r="W12" s="47">
        <f>VLOOKUP(B12,titan!$X$15:$Y$718,2,0)-M12</f>
        <v>0</v>
      </c>
    </row>
    <row r="13" spans="1:23" x14ac:dyDescent="0.25">
      <c r="A13" s="9" t="str">
        <f t="shared" si="0"/>
        <v>269NL300090</v>
      </c>
      <c r="B13" s="9" t="str">
        <f>COUNTIF($A$7:A13,A13)&amp;A13</f>
        <v>1269NL300090</v>
      </c>
      <c r="C13" s="54">
        <v>45926</v>
      </c>
      <c r="D13" s="55" t="s">
        <v>294</v>
      </c>
      <c r="E13" s="56" t="s">
        <v>385</v>
      </c>
      <c r="F13" s="56" t="s">
        <v>295</v>
      </c>
      <c r="G13" s="55" t="s">
        <v>296</v>
      </c>
      <c r="H13" s="55" t="s">
        <v>297</v>
      </c>
      <c r="I13" s="55" t="s">
        <v>386</v>
      </c>
      <c r="J13" s="55" t="s">
        <v>189</v>
      </c>
      <c r="K13" s="55" t="s">
        <v>39</v>
      </c>
      <c r="L13" s="55" t="s">
        <v>92</v>
      </c>
      <c r="M13" s="57">
        <v>2</v>
      </c>
      <c r="N13" s="58">
        <v>138000</v>
      </c>
      <c r="O13" s="58">
        <v>0</v>
      </c>
      <c r="P13" s="59">
        <v>276000</v>
      </c>
      <c r="Q13" s="58">
        <v>138000</v>
      </c>
      <c r="R13" s="55" t="s">
        <v>362</v>
      </c>
      <c r="S13" s="55" t="s">
        <v>363</v>
      </c>
      <c r="T13" s="55" t="s">
        <v>18</v>
      </c>
      <c r="U13" s="55" t="s">
        <v>364</v>
      </c>
      <c r="V13" s="55" t="s">
        <v>18</v>
      </c>
      <c r="W13" s="47">
        <f>VLOOKUP(B13,titan!$X$15:$Y$718,2,0)-M13</f>
        <v>0</v>
      </c>
    </row>
    <row r="14" spans="1:23" x14ac:dyDescent="0.25">
      <c r="A14" s="9" t="str">
        <f t="shared" si="0"/>
        <v>269NL300096</v>
      </c>
      <c r="B14" s="9" t="str">
        <f>COUNTIF($A$7:A14,A14)&amp;A14</f>
        <v>1269NL300096</v>
      </c>
      <c r="C14" s="54">
        <v>45926</v>
      </c>
      <c r="D14" s="55" t="s">
        <v>294</v>
      </c>
      <c r="E14" s="56" t="s">
        <v>385</v>
      </c>
      <c r="F14" s="56" t="s">
        <v>295</v>
      </c>
      <c r="G14" s="55" t="s">
        <v>296</v>
      </c>
      <c r="H14" s="55" t="s">
        <v>297</v>
      </c>
      <c r="I14" s="55" t="s">
        <v>386</v>
      </c>
      <c r="J14" s="55" t="s">
        <v>193</v>
      </c>
      <c r="K14" s="55" t="s">
        <v>41</v>
      </c>
      <c r="L14" s="55" t="s">
        <v>92</v>
      </c>
      <c r="M14" s="57">
        <v>3</v>
      </c>
      <c r="N14" s="58">
        <v>45000</v>
      </c>
      <c r="O14" s="58">
        <v>0</v>
      </c>
      <c r="P14" s="59">
        <v>135000</v>
      </c>
      <c r="Q14" s="58">
        <v>45000</v>
      </c>
      <c r="R14" s="55" t="s">
        <v>362</v>
      </c>
      <c r="S14" s="55" t="s">
        <v>363</v>
      </c>
      <c r="T14" s="55" t="s">
        <v>18</v>
      </c>
      <c r="U14" s="55" t="s">
        <v>364</v>
      </c>
      <c r="V14" s="55" t="s">
        <v>18</v>
      </c>
      <c r="W14" s="47">
        <f>VLOOKUP(B14,titan!$X$15:$Y$718,2,0)-M14</f>
        <v>0</v>
      </c>
    </row>
    <row r="15" spans="1:23" x14ac:dyDescent="0.25">
      <c r="A15" s="9" t="str">
        <f t="shared" si="0"/>
        <v>269NL300098</v>
      </c>
      <c r="B15" s="9" t="str">
        <f>COUNTIF($A$7:A15,A15)&amp;A15</f>
        <v>1269NL300098</v>
      </c>
      <c r="C15" s="54">
        <v>45926</v>
      </c>
      <c r="D15" s="55" t="s">
        <v>294</v>
      </c>
      <c r="E15" s="56" t="s">
        <v>385</v>
      </c>
      <c r="F15" s="56" t="s">
        <v>295</v>
      </c>
      <c r="G15" s="55" t="s">
        <v>296</v>
      </c>
      <c r="H15" s="55" t="s">
        <v>297</v>
      </c>
      <c r="I15" s="55" t="s">
        <v>386</v>
      </c>
      <c r="J15" s="55" t="s">
        <v>195</v>
      </c>
      <c r="K15" s="55" t="s">
        <v>320</v>
      </c>
      <c r="L15" s="55" t="s">
        <v>92</v>
      </c>
      <c r="M15" s="57">
        <v>5</v>
      </c>
      <c r="N15" s="58">
        <v>90000</v>
      </c>
      <c r="O15" s="58">
        <v>0</v>
      </c>
      <c r="P15" s="59">
        <v>450000</v>
      </c>
      <c r="Q15" s="58">
        <v>90000</v>
      </c>
      <c r="R15" s="55" t="s">
        <v>362</v>
      </c>
      <c r="S15" s="55" t="s">
        <v>363</v>
      </c>
      <c r="T15" s="55" t="s">
        <v>18</v>
      </c>
      <c r="U15" s="55" t="s">
        <v>364</v>
      </c>
      <c r="V15" s="55" t="s">
        <v>18</v>
      </c>
      <c r="W15" s="47">
        <f>VLOOKUP(B15,titan!$X$15:$Y$718,2,0)-M15</f>
        <v>0</v>
      </c>
    </row>
    <row r="16" spans="1:23" x14ac:dyDescent="0.25">
      <c r="A16" s="9" t="str">
        <f t="shared" si="0"/>
        <v>269NL300107</v>
      </c>
      <c r="B16" s="9" t="str">
        <f>COUNTIF($A$7:A16,A16)&amp;A16</f>
        <v>1269NL300107</v>
      </c>
      <c r="C16" s="54">
        <v>45926</v>
      </c>
      <c r="D16" s="55" t="s">
        <v>294</v>
      </c>
      <c r="E16" s="56" t="s">
        <v>385</v>
      </c>
      <c r="F16" s="56" t="s">
        <v>295</v>
      </c>
      <c r="G16" s="55" t="s">
        <v>296</v>
      </c>
      <c r="H16" s="55" t="s">
        <v>297</v>
      </c>
      <c r="I16" s="55" t="s">
        <v>386</v>
      </c>
      <c r="J16" s="55" t="s">
        <v>87</v>
      </c>
      <c r="K16" s="55" t="s">
        <v>299</v>
      </c>
      <c r="L16" s="55" t="s">
        <v>300</v>
      </c>
      <c r="M16" s="57">
        <v>10</v>
      </c>
      <c r="N16" s="58">
        <v>8000</v>
      </c>
      <c r="O16" s="58">
        <v>0</v>
      </c>
      <c r="P16" s="59">
        <v>80000</v>
      </c>
      <c r="Q16" s="58">
        <v>8000</v>
      </c>
      <c r="R16" s="55" t="s">
        <v>362</v>
      </c>
      <c r="S16" s="55" t="s">
        <v>363</v>
      </c>
      <c r="T16" s="55" t="s">
        <v>18</v>
      </c>
      <c r="U16" s="55" t="s">
        <v>364</v>
      </c>
      <c r="V16" s="55" t="s">
        <v>18</v>
      </c>
      <c r="W16" s="47">
        <f>VLOOKUP(B16,titan!$X$15:$Y$718,2,0)-M16</f>
        <v>0</v>
      </c>
    </row>
    <row r="17" spans="1:23" x14ac:dyDescent="0.25">
      <c r="A17" s="9" t="str">
        <f t="shared" si="0"/>
        <v>269NL300126</v>
      </c>
      <c r="B17" s="9" t="str">
        <f>COUNTIF($A$7:A17,A17)&amp;A17</f>
        <v>1269NL300126</v>
      </c>
      <c r="C17" s="54">
        <v>45926</v>
      </c>
      <c r="D17" s="55" t="s">
        <v>294</v>
      </c>
      <c r="E17" s="56" t="s">
        <v>385</v>
      </c>
      <c r="F17" s="56" t="s">
        <v>295</v>
      </c>
      <c r="G17" s="55" t="s">
        <v>296</v>
      </c>
      <c r="H17" s="55" t="s">
        <v>297</v>
      </c>
      <c r="I17" s="55" t="s">
        <v>386</v>
      </c>
      <c r="J17" s="55" t="s">
        <v>206</v>
      </c>
      <c r="K17" s="55" t="s">
        <v>315</v>
      </c>
      <c r="L17" s="55" t="s">
        <v>92</v>
      </c>
      <c r="M17" s="57">
        <v>0.2</v>
      </c>
      <c r="N17" s="58">
        <v>90000</v>
      </c>
      <c r="O17" s="58">
        <v>0</v>
      </c>
      <c r="P17" s="59">
        <v>18000</v>
      </c>
      <c r="Q17" s="58">
        <v>90000</v>
      </c>
      <c r="R17" s="55" t="s">
        <v>362</v>
      </c>
      <c r="S17" s="55" t="s">
        <v>363</v>
      </c>
      <c r="T17" s="55" t="s">
        <v>18</v>
      </c>
      <c r="U17" s="55" t="s">
        <v>364</v>
      </c>
      <c r="V17" s="55" t="s">
        <v>18</v>
      </c>
      <c r="W17" s="47">
        <f>VLOOKUP(B17,titan!$X$15:$Y$718,2,0)-M17</f>
        <v>0</v>
      </c>
    </row>
    <row r="18" spans="1:23" x14ac:dyDescent="0.25">
      <c r="A18" s="9" t="str">
        <f t="shared" si="0"/>
        <v>269NL300142</v>
      </c>
      <c r="B18" s="9" t="str">
        <f>COUNTIF($A$7:A18,A18)&amp;A18</f>
        <v>1269NL300142</v>
      </c>
      <c r="C18" s="54">
        <v>45926</v>
      </c>
      <c r="D18" s="55" t="s">
        <v>294</v>
      </c>
      <c r="E18" s="56" t="s">
        <v>385</v>
      </c>
      <c r="F18" s="56" t="s">
        <v>295</v>
      </c>
      <c r="G18" s="55" t="s">
        <v>296</v>
      </c>
      <c r="H18" s="55" t="s">
        <v>297</v>
      </c>
      <c r="I18" s="55" t="s">
        <v>386</v>
      </c>
      <c r="J18" s="55" t="s">
        <v>259</v>
      </c>
      <c r="K18" s="55" t="s">
        <v>308</v>
      </c>
      <c r="L18" s="55" t="s">
        <v>92</v>
      </c>
      <c r="M18" s="57">
        <v>2</v>
      </c>
      <c r="N18" s="58">
        <v>55000</v>
      </c>
      <c r="O18" s="58">
        <v>0</v>
      </c>
      <c r="P18" s="59">
        <v>110000</v>
      </c>
      <c r="Q18" s="58">
        <v>55000</v>
      </c>
      <c r="R18" s="55" t="s">
        <v>362</v>
      </c>
      <c r="S18" s="55" t="s">
        <v>363</v>
      </c>
      <c r="T18" s="55" t="s">
        <v>18</v>
      </c>
      <c r="U18" s="55" t="s">
        <v>364</v>
      </c>
      <c r="V18" s="55" t="s">
        <v>18</v>
      </c>
      <c r="W18" s="47">
        <f>VLOOKUP(B18,titan!$X$15:$Y$718,2,0)-M18</f>
        <v>0</v>
      </c>
    </row>
    <row r="19" spans="1:23" x14ac:dyDescent="0.25">
      <c r="A19" s="9" t="str">
        <f t="shared" si="0"/>
        <v>269NL300147</v>
      </c>
      <c r="B19" s="9" t="str">
        <f>COUNTIF($A$7:A19,A19)&amp;A19</f>
        <v>1269NL300147</v>
      </c>
      <c r="C19" s="54">
        <v>45926</v>
      </c>
      <c r="D19" s="55" t="s">
        <v>294</v>
      </c>
      <c r="E19" s="56" t="s">
        <v>385</v>
      </c>
      <c r="F19" s="56" t="s">
        <v>295</v>
      </c>
      <c r="G19" s="55" t="s">
        <v>296</v>
      </c>
      <c r="H19" s="55" t="s">
        <v>297</v>
      </c>
      <c r="I19" s="55" t="s">
        <v>386</v>
      </c>
      <c r="J19" s="55" t="s">
        <v>270</v>
      </c>
      <c r="K19" s="55" t="s">
        <v>309</v>
      </c>
      <c r="L19" s="55" t="s">
        <v>92</v>
      </c>
      <c r="M19" s="57">
        <v>6</v>
      </c>
      <c r="N19" s="58">
        <v>55000</v>
      </c>
      <c r="O19" s="58">
        <v>0</v>
      </c>
      <c r="P19" s="59">
        <v>330000</v>
      </c>
      <c r="Q19" s="58">
        <v>55000</v>
      </c>
      <c r="R19" s="55" t="s">
        <v>362</v>
      </c>
      <c r="S19" s="55" t="s">
        <v>363</v>
      </c>
      <c r="T19" s="55" t="s">
        <v>18</v>
      </c>
      <c r="U19" s="55" t="s">
        <v>364</v>
      </c>
      <c r="V19" s="55" t="s">
        <v>18</v>
      </c>
      <c r="W19" s="47">
        <f>VLOOKUP(B19,titan!$X$15:$Y$718,2,0)-M19</f>
        <v>0</v>
      </c>
    </row>
    <row r="20" spans="1:23" x14ac:dyDescent="0.25">
      <c r="A20" s="9" t="str">
        <f t="shared" si="0"/>
        <v>269NL300203</v>
      </c>
      <c r="B20" s="9" t="str">
        <f>COUNTIF($A$7:A20,A20)&amp;A20</f>
        <v>1269NL300203</v>
      </c>
      <c r="C20" s="54">
        <v>45926</v>
      </c>
      <c r="D20" s="55" t="s">
        <v>294</v>
      </c>
      <c r="E20" s="56" t="s">
        <v>385</v>
      </c>
      <c r="F20" s="56" t="s">
        <v>295</v>
      </c>
      <c r="G20" s="55" t="s">
        <v>296</v>
      </c>
      <c r="H20" s="55" t="s">
        <v>297</v>
      </c>
      <c r="I20" s="55" t="s">
        <v>386</v>
      </c>
      <c r="J20" s="55" t="s">
        <v>337</v>
      </c>
      <c r="K20" s="55" t="s">
        <v>366</v>
      </c>
      <c r="L20" s="55" t="s">
        <v>92</v>
      </c>
      <c r="M20" s="57">
        <v>1.8</v>
      </c>
      <c r="N20" s="58">
        <v>48000</v>
      </c>
      <c r="O20" s="58">
        <v>0</v>
      </c>
      <c r="P20" s="59">
        <v>86400</v>
      </c>
      <c r="Q20" s="58">
        <v>48000</v>
      </c>
      <c r="R20" s="55" t="s">
        <v>362</v>
      </c>
      <c r="S20" s="55" t="s">
        <v>363</v>
      </c>
      <c r="T20" s="55" t="s">
        <v>18</v>
      </c>
      <c r="U20" s="55" t="s">
        <v>364</v>
      </c>
      <c r="V20" s="55" t="s">
        <v>18</v>
      </c>
      <c r="W20" s="47">
        <f>VLOOKUP(B20,titan!$X$15:$Y$718,2,0)-M20</f>
        <v>0</v>
      </c>
    </row>
    <row r="21" spans="1:23" x14ac:dyDescent="0.25">
      <c r="A21" s="9" t="str">
        <f t="shared" si="0"/>
        <v>269NL300018</v>
      </c>
      <c r="B21" s="9" t="str">
        <f>COUNTIF($A$7:A21,A21)&amp;A21</f>
        <v>1269NL300018</v>
      </c>
      <c r="C21" s="54">
        <v>45926</v>
      </c>
      <c r="D21" s="55" t="s">
        <v>294</v>
      </c>
      <c r="E21" s="56" t="s">
        <v>385</v>
      </c>
      <c r="F21" s="56" t="s">
        <v>295</v>
      </c>
      <c r="G21" s="55" t="s">
        <v>296</v>
      </c>
      <c r="H21" s="55" t="s">
        <v>297</v>
      </c>
      <c r="I21" s="55" t="s">
        <v>386</v>
      </c>
      <c r="J21" s="55" t="s">
        <v>244</v>
      </c>
      <c r="K21" s="55" t="s">
        <v>378</v>
      </c>
      <c r="L21" s="55" t="s">
        <v>92</v>
      </c>
      <c r="M21" s="57">
        <v>3.5</v>
      </c>
      <c r="N21" s="58">
        <v>31000</v>
      </c>
      <c r="O21" s="58">
        <v>0</v>
      </c>
      <c r="P21" s="59">
        <v>108500</v>
      </c>
      <c r="Q21" s="58">
        <v>31000</v>
      </c>
      <c r="R21" s="55" t="s">
        <v>362</v>
      </c>
      <c r="S21" s="55" t="s">
        <v>363</v>
      </c>
      <c r="T21" s="55" t="s">
        <v>18</v>
      </c>
      <c r="U21" s="55" t="s">
        <v>364</v>
      </c>
      <c r="V21" s="55" t="s">
        <v>18</v>
      </c>
      <c r="W21" s="47">
        <f>VLOOKUP(B21,titan!$X$15:$Y$718,2,0)-M21</f>
        <v>0</v>
      </c>
    </row>
    <row r="22" spans="1:23" x14ac:dyDescent="0.25">
      <c r="A22" s="9" t="str">
        <f t="shared" si="0"/>
        <v>269NL300113</v>
      </c>
      <c r="B22" s="9" t="str">
        <f>COUNTIF($A$7:A22,A22)&amp;A22</f>
        <v>1269NL300113</v>
      </c>
      <c r="C22" s="54">
        <v>45926</v>
      </c>
      <c r="D22" s="55" t="s">
        <v>294</v>
      </c>
      <c r="E22" s="56" t="s">
        <v>385</v>
      </c>
      <c r="F22" s="56" t="s">
        <v>295</v>
      </c>
      <c r="G22" s="55" t="s">
        <v>296</v>
      </c>
      <c r="H22" s="55" t="s">
        <v>297</v>
      </c>
      <c r="I22" s="55" t="s">
        <v>386</v>
      </c>
      <c r="J22" s="55" t="s">
        <v>216</v>
      </c>
      <c r="K22" s="55" t="s">
        <v>33</v>
      </c>
      <c r="L22" s="55" t="s">
        <v>92</v>
      </c>
      <c r="M22" s="57">
        <v>1</v>
      </c>
      <c r="N22" s="58">
        <v>48000</v>
      </c>
      <c r="O22" s="58">
        <v>0</v>
      </c>
      <c r="P22" s="59">
        <v>48000</v>
      </c>
      <c r="Q22" s="58">
        <v>48000</v>
      </c>
      <c r="R22" s="55" t="s">
        <v>362</v>
      </c>
      <c r="S22" s="55" t="s">
        <v>363</v>
      </c>
      <c r="T22" s="55" t="s">
        <v>18</v>
      </c>
      <c r="U22" s="55" t="s">
        <v>364</v>
      </c>
      <c r="V22" s="55" t="s">
        <v>18</v>
      </c>
      <c r="W22" s="47">
        <f>VLOOKUP(B22,titan!$X$15:$Y$718,2,0)-M22</f>
        <v>0</v>
      </c>
    </row>
    <row r="23" spans="1:23" x14ac:dyDescent="0.25">
      <c r="A23" s="9" t="str">
        <f t="shared" si="0"/>
        <v>269NL300084</v>
      </c>
      <c r="B23" s="9" t="str">
        <f>COUNTIF($A$7:A23,A23)&amp;A23</f>
        <v>1269NL300084</v>
      </c>
      <c r="C23" s="54">
        <v>45926</v>
      </c>
      <c r="D23" s="55" t="s">
        <v>294</v>
      </c>
      <c r="E23" s="56" t="s">
        <v>385</v>
      </c>
      <c r="F23" s="56" t="s">
        <v>295</v>
      </c>
      <c r="G23" s="55" t="s">
        <v>296</v>
      </c>
      <c r="H23" s="55" t="s">
        <v>297</v>
      </c>
      <c r="I23" s="55" t="s">
        <v>386</v>
      </c>
      <c r="J23" s="55" t="s">
        <v>184</v>
      </c>
      <c r="K23" s="55" t="s">
        <v>367</v>
      </c>
      <c r="L23" s="55" t="s">
        <v>92</v>
      </c>
      <c r="M23" s="57">
        <v>4</v>
      </c>
      <c r="N23" s="58">
        <v>20000</v>
      </c>
      <c r="O23" s="58">
        <v>0</v>
      </c>
      <c r="P23" s="59">
        <v>80000</v>
      </c>
      <c r="Q23" s="58">
        <v>20000</v>
      </c>
      <c r="R23" s="55" t="s">
        <v>362</v>
      </c>
      <c r="S23" s="55" t="s">
        <v>363</v>
      </c>
      <c r="T23" s="55" t="s">
        <v>18</v>
      </c>
      <c r="U23" s="55" t="s">
        <v>364</v>
      </c>
      <c r="V23" s="55" t="s">
        <v>18</v>
      </c>
      <c r="W23" s="47">
        <f>VLOOKUP(B23,titan!$X$15:$Y$718,2,0)-M23</f>
        <v>0</v>
      </c>
    </row>
    <row r="24" spans="1:23" x14ac:dyDescent="0.25">
      <c r="A24" s="9" t="str">
        <f t="shared" si="0"/>
        <v>269NL300029</v>
      </c>
      <c r="B24" s="9" t="str">
        <f>COUNTIF($A$7:A24,A24)&amp;A24</f>
        <v>1269NL300029</v>
      </c>
      <c r="C24" s="54">
        <v>45926</v>
      </c>
      <c r="D24" s="55" t="s">
        <v>294</v>
      </c>
      <c r="E24" s="56" t="s">
        <v>385</v>
      </c>
      <c r="F24" s="56" t="s">
        <v>295</v>
      </c>
      <c r="G24" s="55" t="s">
        <v>296</v>
      </c>
      <c r="H24" s="55" t="s">
        <v>297</v>
      </c>
      <c r="I24" s="55" t="s">
        <v>386</v>
      </c>
      <c r="J24" s="55" t="s">
        <v>121</v>
      </c>
      <c r="K24" s="55" t="s">
        <v>298</v>
      </c>
      <c r="L24" s="55" t="s">
        <v>92</v>
      </c>
      <c r="M24" s="57">
        <v>0.5</v>
      </c>
      <c r="N24" s="58">
        <v>21000</v>
      </c>
      <c r="O24" s="58">
        <v>0</v>
      </c>
      <c r="P24" s="59">
        <v>10500</v>
      </c>
      <c r="Q24" s="58">
        <v>21000</v>
      </c>
      <c r="R24" s="55" t="s">
        <v>362</v>
      </c>
      <c r="S24" s="55" t="s">
        <v>363</v>
      </c>
      <c r="T24" s="55" t="s">
        <v>18</v>
      </c>
      <c r="U24" s="55" t="s">
        <v>364</v>
      </c>
      <c r="V24" s="55" t="s">
        <v>18</v>
      </c>
      <c r="W24" s="47">
        <f>VLOOKUP(B24,titan!$X$15:$Y$718,2,0)-M24</f>
        <v>0</v>
      </c>
    </row>
    <row r="25" spans="1:23" x14ac:dyDescent="0.25">
      <c r="A25" s="9" t="str">
        <f t="shared" si="0"/>
        <v>269NL600067</v>
      </c>
      <c r="B25" s="9" t="str">
        <f>COUNTIF($A$7:A25,A25)&amp;A25</f>
        <v>1269NL600067</v>
      </c>
      <c r="C25" s="54">
        <v>45926</v>
      </c>
      <c r="D25" s="55" t="s">
        <v>294</v>
      </c>
      <c r="E25" s="56" t="s">
        <v>385</v>
      </c>
      <c r="F25" s="56" t="s">
        <v>295</v>
      </c>
      <c r="G25" s="55" t="s">
        <v>296</v>
      </c>
      <c r="H25" s="55" t="s">
        <v>297</v>
      </c>
      <c r="I25" s="55" t="s">
        <v>386</v>
      </c>
      <c r="J25" s="55" t="s">
        <v>115</v>
      </c>
      <c r="K25" s="55" t="s">
        <v>72</v>
      </c>
      <c r="L25" s="55" t="s">
        <v>92</v>
      </c>
      <c r="M25" s="57">
        <v>1.1000000000000001</v>
      </c>
      <c r="N25" s="58">
        <v>70000</v>
      </c>
      <c r="O25" s="58">
        <v>0</v>
      </c>
      <c r="P25" s="59">
        <v>77000</v>
      </c>
      <c r="Q25" s="58">
        <v>70000</v>
      </c>
      <c r="R25" s="55" t="s">
        <v>362</v>
      </c>
      <c r="S25" s="55" t="s">
        <v>363</v>
      </c>
      <c r="T25" s="55" t="s">
        <v>18</v>
      </c>
      <c r="U25" s="55" t="s">
        <v>364</v>
      </c>
      <c r="V25" s="55" t="s">
        <v>18</v>
      </c>
      <c r="W25" s="47">
        <f>VLOOKUP(B25,titan!$X$15:$Y$718,2,0)-M25</f>
        <v>0</v>
      </c>
    </row>
    <row r="26" spans="1:23" x14ac:dyDescent="0.25">
      <c r="A26" s="9" t="str">
        <f t="shared" si="0"/>
        <v>269NL300119</v>
      </c>
      <c r="B26" s="9" t="str">
        <f>COUNTIF($A$7:A26,A26)&amp;A26</f>
        <v>1269NL300119</v>
      </c>
      <c r="C26" s="54">
        <v>45926</v>
      </c>
      <c r="D26" s="55" t="s">
        <v>294</v>
      </c>
      <c r="E26" s="56" t="s">
        <v>385</v>
      </c>
      <c r="F26" s="56" t="s">
        <v>295</v>
      </c>
      <c r="G26" s="55" t="s">
        <v>296</v>
      </c>
      <c r="H26" s="55" t="s">
        <v>297</v>
      </c>
      <c r="I26" s="55" t="s">
        <v>386</v>
      </c>
      <c r="J26" s="55" t="s">
        <v>242</v>
      </c>
      <c r="K26" s="55" t="s">
        <v>307</v>
      </c>
      <c r="L26" s="55" t="s">
        <v>92</v>
      </c>
      <c r="M26" s="57">
        <v>4.5</v>
      </c>
      <c r="N26" s="58">
        <v>20000</v>
      </c>
      <c r="O26" s="58">
        <v>0</v>
      </c>
      <c r="P26" s="59">
        <v>90000</v>
      </c>
      <c r="Q26" s="58">
        <v>20000</v>
      </c>
      <c r="R26" s="55" t="s">
        <v>362</v>
      </c>
      <c r="S26" s="55" t="s">
        <v>363</v>
      </c>
      <c r="T26" s="55" t="s">
        <v>18</v>
      </c>
      <c r="U26" s="55" t="s">
        <v>364</v>
      </c>
      <c r="V26" s="55" t="s">
        <v>18</v>
      </c>
      <c r="W26" s="47">
        <f>VLOOKUP(B26,titan!$X$15:$Y$718,2,0)-M26</f>
        <v>0</v>
      </c>
    </row>
    <row r="27" spans="1:23" x14ac:dyDescent="0.25">
      <c r="A27" s="9" t="str">
        <f t="shared" si="0"/>
        <v>269NL300091</v>
      </c>
      <c r="B27" s="9" t="str">
        <f>COUNTIF($A$7:A27,A27)&amp;A27</f>
        <v>1269NL300091</v>
      </c>
      <c r="C27" s="54">
        <v>45926</v>
      </c>
      <c r="D27" s="55" t="s">
        <v>294</v>
      </c>
      <c r="E27" s="56" t="s">
        <v>387</v>
      </c>
      <c r="F27" s="56" t="s">
        <v>295</v>
      </c>
      <c r="G27" s="55" t="s">
        <v>296</v>
      </c>
      <c r="H27" s="55" t="s">
        <v>297</v>
      </c>
      <c r="I27" s="55" t="s">
        <v>386</v>
      </c>
      <c r="J27" s="55" t="s">
        <v>190</v>
      </c>
      <c r="K27" s="55" t="s">
        <v>40</v>
      </c>
      <c r="L27" s="55" t="s">
        <v>92</v>
      </c>
      <c r="M27" s="57">
        <v>7</v>
      </c>
      <c r="N27" s="58">
        <v>45000</v>
      </c>
      <c r="O27" s="58">
        <v>0</v>
      </c>
      <c r="P27" s="59">
        <v>315000</v>
      </c>
      <c r="Q27" s="58">
        <v>45000</v>
      </c>
      <c r="R27" s="55" t="s">
        <v>362</v>
      </c>
      <c r="S27" s="55" t="s">
        <v>363</v>
      </c>
      <c r="T27" s="55" t="s">
        <v>18</v>
      </c>
      <c r="U27" s="55" t="s">
        <v>364</v>
      </c>
      <c r="V27" s="55" t="s">
        <v>18</v>
      </c>
      <c r="W27" s="47">
        <f>VLOOKUP(B27,titan!$X$15:$Y$718,2,0)-M27</f>
        <v>0</v>
      </c>
    </row>
    <row r="28" spans="1:23" x14ac:dyDescent="0.25">
      <c r="A28" s="9" t="str">
        <f t="shared" si="0"/>
        <v>279NL300013</v>
      </c>
      <c r="B28" s="9" t="str">
        <f>COUNTIF($A$7:A28,A28)&amp;A28</f>
        <v>1279NL300013</v>
      </c>
      <c r="C28" s="54">
        <v>45927</v>
      </c>
      <c r="D28" s="55" t="s">
        <v>294</v>
      </c>
      <c r="E28" s="56" t="s">
        <v>388</v>
      </c>
      <c r="F28" s="56" t="s">
        <v>295</v>
      </c>
      <c r="G28" s="55" t="s">
        <v>296</v>
      </c>
      <c r="H28" s="55" t="s">
        <v>297</v>
      </c>
      <c r="I28" s="55" t="s">
        <v>389</v>
      </c>
      <c r="J28" s="55" t="s">
        <v>102</v>
      </c>
      <c r="K28" s="55" t="s">
        <v>101</v>
      </c>
      <c r="L28" s="55" t="s">
        <v>92</v>
      </c>
      <c r="M28" s="57">
        <v>2</v>
      </c>
      <c r="N28" s="58">
        <v>25000</v>
      </c>
      <c r="O28" s="58">
        <v>0</v>
      </c>
      <c r="P28" s="59">
        <v>50000</v>
      </c>
      <c r="Q28" s="58">
        <v>25000</v>
      </c>
      <c r="R28" s="55" t="s">
        <v>362</v>
      </c>
      <c r="S28" s="55" t="s">
        <v>363</v>
      </c>
      <c r="T28" s="55" t="s">
        <v>18</v>
      </c>
      <c r="U28" s="55" t="s">
        <v>364</v>
      </c>
      <c r="V28" s="55" t="s">
        <v>18</v>
      </c>
      <c r="W28" s="47">
        <f>VLOOKUP(B28,titan!$X$15:$Y$718,2,0)-M28</f>
        <v>0</v>
      </c>
    </row>
    <row r="29" spans="1:23" x14ac:dyDescent="0.25">
      <c r="A29" s="9" t="str">
        <f t="shared" si="0"/>
        <v>279NL300022</v>
      </c>
      <c r="B29" s="9" t="str">
        <f>COUNTIF($A$7:A29,A29)&amp;A29</f>
        <v>1279NL300022</v>
      </c>
      <c r="C29" s="54">
        <v>45927</v>
      </c>
      <c r="D29" s="55" t="s">
        <v>294</v>
      </c>
      <c r="E29" s="56" t="s">
        <v>388</v>
      </c>
      <c r="F29" s="56" t="s">
        <v>295</v>
      </c>
      <c r="G29" s="55" t="s">
        <v>296</v>
      </c>
      <c r="H29" s="55" t="s">
        <v>297</v>
      </c>
      <c r="I29" s="55" t="s">
        <v>389</v>
      </c>
      <c r="J29" s="55" t="s">
        <v>112</v>
      </c>
      <c r="K29" s="55" t="s">
        <v>111</v>
      </c>
      <c r="L29" s="55" t="s">
        <v>92</v>
      </c>
      <c r="M29" s="57">
        <v>9</v>
      </c>
      <c r="N29" s="58">
        <v>14000</v>
      </c>
      <c r="O29" s="58">
        <v>0</v>
      </c>
      <c r="P29" s="59">
        <v>126000</v>
      </c>
      <c r="Q29" s="58">
        <v>14000</v>
      </c>
      <c r="R29" s="55" t="s">
        <v>362</v>
      </c>
      <c r="S29" s="55" t="s">
        <v>363</v>
      </c>
      <c r="T29" s="55" t="s">
        <v>18</v>
      </c>
      <c r="U29" s="55" t="s">
        <v>364</v>
      </c>
      <c r="V29" s="55" t="s">
        <v>18</v>
      </c>
      <c r="W29" s="47">
        <f>VLOOKUP(B29,titan!$X$15:$Y$718,2,0)-M29</f>
        <v>0</v>
      </c>
    </row>
    <row r="30" spans="1:23" x14ac:dyDescent="0.25">
      <c r="A30" s="9" t="str">
        <f t="shared" si="0"/>
        <v>279NL300058</v>
      </c>
      <c r="B30" s="9" t="str">
        <f>COUNTIF($A$7:A30,A30)&amp;A30</f>
        <v>1279NL300058</v>
      </c>
      <c r="C30" s="54">
        <v>45927</v>
      </c>
      <c r="D30" s="55" t="s">
        <v>294</v>
      </c>
      <c r="E30" s="56" t="s">
        <v>388</v>
      </c>
      <c r="F30" s="56" t="s">
        <v>295</v>
      </c>
      <c r="G30" s="55" t="s">
        <v>296</v>
      </c>
      <c r="H30" s="55" t="s">
        <v>297</v>
      </c>
      <c r="I30" s="55" t="s">
        <v>389</v>
      </c>
      <c r="J30" s="55" t="s">
        <v>147</v>
      </c>
      <c r="K30" s="55" t="s">
        <v>29</v>
      </c>
      <c r="L30" s="55" t="s">
        <v>92</v>
      </c>
      <c r="M30" s="57">
        <v>1</v>
      </c>
      <c r="N30" s="58">
        <v>31000</v>
      </c>
      <c r="O30" s="58">
        <v>0</v>
      </c>
      <c r="P30" s="59">
        <v>31000</v>
      </c>
      <c r="Q30" s="58">
        <v>31000</v>
      </c>
      <c r="R30" s="55" t="s">
        <v>362</v>
      </c>
      <c r="S30" s="55" t="s">
        <v>363</v>
      </c>
      <c r="T30" s="55" t="s">
        <v>18</v>
      </c>
      <c r="U30" s="55" t="s">
        <v>364</v>
      </c>
      <c r="V30" s="55" t="s">
        <v>18</v>
      </c>
      <c r="W30" s="47">
        <f>VLOOKUP(B30,titan!$X$15:$Y$718,2,0)-M30</f>
        <v>0</v>
      </c>
    </row>
    <row r="31" spans="1:23" x14ac:dyDescent="0.25">
      <c r="A31" s="9" t="str">
        <f t="shared" si="0"/>
        <v>279NL300074</v>
      </c>
      <c r="B31" s="9" t="str">
        <f>COUNTIF($A$7:A31,A31)&amp;A31</f>
        <v>1279NL300074</v>
      </c>
      <c r="C31" s="54">
        <v>45927</v>
      </c>
      <c r="D31" s="55" t="s">
        <v>294</v>
      </c>
      <c r="E31" s="56" t="s">
        <v>388</v>
      </c>
      <c r="F31" s="56" t="s">
        <v>295</v>
      </c>
      <c r="G31" s="55" t="s">
        <v>296</v>
      </c>
      <c r="H31" s="55" t="s">
        <v>297</v>
      </c>
      <c r="I31" s="55" t="s">
        <v>389</v>
      </c>
      <c r="J31" s="55" t="s">
        <v>169</v>
      </c>
      <c r="K31" s="55" t="s">
        <v>168</v>
      </c>
      <c r="L31" s="55" t="s">
        <v>92</v>
      </c>
      <c r="M31" s="57">
        <v>1.1000000000000001</v>
      </c>
      <c r="N31" s="58">
        <v>18000</v>
      </c>
      <c r="O31" s="58">
        <v>0</v>
      </c>
      <c r="P31" s="59">
        <v>19800</v>
      </c>
      <c r="Q31" s="58">
        <v>18000</v>
      </c>
      <c r="R31" s="55" t="s">
        <v>362</v>
      </c>
      <c r="S31" s="55" t="s">
        <v>363</v>
      </c>
      <c r="T31" s="55" t="s">
        <v>18</v>
      </c>
      <c r="U31" s="55" t="s">
        <v>364</v>
      </c>
      <c r="V31" s="55" t="s">
        <v>18</v>
      </c>
      <c r="W31" s="47">
        <f>VLOOKUP(B31,titan!$X$15:$Y$718,2,0)-M31</f>
        <v>0</v>
      </c>
    </row>
    <row r="32" spans="1:23" x14ac:dyDescent="0.25">
      <c r="A32" s="9" t="str">
        <f t="shared" si="0"/>
        <v>279NL300090</v>
      </c>
      <c r="B32" s="9" t="str">
        <f>COUNTIF($A$7:A32,A32)&amp;A32</f>
        <v>1279NL300090</v>
      </c>
      <c r="C32" s="54">
        <v>45927</v>
      </c>
      <c r="D32" s="55" t="s">
        <v>294</v>
      </c>
      <c r="E32" s="56" t="s">
        <v>388</v>
      </c>
      <c r="F32" s="56" t="s">
        <v>295</v>
      </c>
      <c r="G32" s="55" t="s">
        <v>296</v>
      </c>
      <c r="H32" s="55" t="s">
        <v>297</v>
      </c>
      <c r="I32" s="55" t="s">
        <v>389</v>
      </c>
      <c r="J32" s="55" t="s">
        <v>189</v>
      </c>
      <c r="K32" s="55" t="s">
        <v>39</v>
      </c>
      <c r="L32" s="55" t="s">
        <v>92</v>
      </c>
      <c r="M32" s="57">
        <v>2</v>
      </c>
      <c r="N32" s="58">
        <v>138000</v>
      </c>
      <c r="O32" s="58">
        <v>0</v>
      </c>
      <c r="P32" s="59">
        <v>276000</v>
      </c>
      <c r="Q32" s="58">
        <v>138000</v>
      </c>
      <c r="R32" s="55" t="s">
        <v>362</v>
      </c>
      <c r="S32" s="55" t="s">
        <v>363</v>
      </c>
      <c r="T32" s="55" t="s">
        <v>18</v>
      </c>
      <c r="U32" s="55" t="s">
        <v>364</v>
      </c>
      <c r="V32" s="55" t="s">
        <v>18</v>
      </c>
      <c r="W32" s="47">
        <f>VLOOKUP(B32,titan!$X$15:$Y$718,2,0)-M32</f>
        <v>0</v>
      </c>
    </row>
    <row r="33" spans="1:23" x14ac:dyDescent="0.25">
      <c r="A33" s="9" t="str">
        <f t="shared" si="0"/>
        <v>279NL300094</v>
      </c>
      <c r="B33" s="9" t="str">
        <f>COUNTIF($A$7:A33,A33)&amp;A33</f>
        <v>1279NL300094</v>
      </c>
      <c r="C33" s="54">
        <v>45927</v>
      </c>
      <c r="D33" s="55" t="s">
        <v>294</v>
      </c>
      <c r="E33" s="56" t="s">
        <v>388</v>
      </c>
      <c r="F33" s="56" t="s">
        <v>295</v>
      </c>
      <c r="G33" s="55" t="s">
        <v>296</v>
      </c>
      <c r="H33" s="55" t="s">
        <v>297</v>
      </c>
      <c r="I33" s="55" t="s">
        <v>389</v>
      </c>
      <c r="J33" s="55" t="s">
        <v>192</v>
      </c>
      <c r="K33" s="55" t="s">
        <v>312</v>
      </c>
      <c r="L33" s="55" t="s">
        <v>92</v>
      </c>
      <c r="M33" s="57">
        <v>1</v>
      </c>
      <c r="N33" s="58">
        <v>63000</v>
      </c>
      <c r="O33" s="58">
        <v>0</v>
      </c>
      <c r="P33" s="59">
        <v>63000</v>
      </c>
      <c r="Q33" s="58">
        <v>63000</v>
      </c>
      <c r="R33" s="55" t="s">
        <v>362</v>
      </c>
      <c r="S33" s="55" t="s">
        <v>363</v>
      </c>
      <c r="T33" s="55" t="s">
        <v>18</v>
      </c>
      <c r="U33" s="55" t="s">
        <v>364</v>
      </c>
      <c r="V33" s="55" t="s">
        <v>18</v>
      </c>
      <c r="W33" s="47">
        <f>VLOOKUP(B33,titan!$X$15:$Y$718,2,0)-M33</f>
        <v>0</v>
      </c>
    </row>
    <row r="34" spans="1:23" x14ac:dyDescent="0.25">
      <c r="A34" s="9" t="str">
        <f t="shared" si="0"/>
        <v>279NL300096</v>
      </c>
      <c r="B34" s="9" t="str">
        <f>COUNTIF($A$7:A34,A34)&amp;A34</f>
        <v>1279NL300096</v>
      </c>
      <c r="C34" s="54">
        <v>45927</v>
      </c>
      <c r="D34" s="55" t="s">
        <v>294</v>
      </c>
      <c r="E34" s="56" t="s">
        <v>388</v>
      </c>
      <c r="F34" s="56" t="s">
        <v>295</v>
      </c>
      <c r="G34" s="55" t="s">
        <v>296</v>
      </c>
      <c r="H34" s="55" t="s">
        <v>297</v>
      </c>
      <c r="I34" s="55" t="s">
        <v>389</v>
      </c>
      <c r="J34" s="55" t="s">
        <v>193</v>
      </c>
      <c r="K34" s="55" t="s">
        <v>41</v>
      </c>
      <c r="L34" s="55" t="s">
        <v>92</v>
      </c>
      <c r="M34" s="57">
        <v>4</v>
      </c>
      <c r="N34" s="58">
        <v>45000</v>
      </c>
      <c r="O34" s="58">
        <v>0</v>
      </c>
      <c r="P34" s="59">
        <v>180000</v>
      </c>
      <c r="Q34" s="58">
        <v>45000</v>
      </c>
      <c r="R34" s="55" t="s">
        <v>362</v>
      </c>
      <c r="S34" s="55" t="s">
        <v>363</v>
      </c>
      <c r="T34" s="55" t="s">
        <v>18</v>
      </c>
      <c r="U34" s="55" t="s">
        <v>364</v>
      </c>
      <c r="V34" s="55" t="s">
        <v>18</v>
      </c>
      <c r="W34" s="47">
        <f>VLOOKUP(B34,titan!$X$15:$Y$718,2,0)-M34</f>
        <v>0</v>
      </c>
    </row>
    <row r="35" spans="1:23" x14ac:dyDescent="0.25">
      <c r="A35" s="9" t="str">
        <f t="shared" si="0"/>
        <v>279NL300098</v>
      </c>
      <c r="B35" s="9" t="str">
        <f>COUNTIF($A$7:A35,A35)&amp;A35</f>
        <v>1279NL300098</v>
      </c>
      <c r="C35" s="54">
        <v>45927</v>
      </c>
      <c r="D35" s="55" t="s">
        <v>294</v>
      </c>
      <c r="E35" s="56" t="s">
        <v>388</v>
      </c>
      <c r="F35" s="56" t="s">
        <v>295</v>
      </c>
      <c r="G35" s="55" t="s">
        <v>296</v>
      </c>
      <c r="H35" s="55" t="s">
        <v>297</v>
      </c>
      <c r="I35" s="55" t="s">
        <v>389</v>
      </c>
      <c r="J35" s="55" t="s">
        <v>195</v>
      </c>
      <c r="K35" s="55" t="s">
        <v>320</v>
      </c>
      <c r="L35" s="55" t="s">
        <v>92</v>
      </c>
      <c r="M35" s="57">
        <v>3</v>
      </c>
      <c r="N35" s="58">
        <v>90000</v>
      </c>
      <c r="O35" s="58">
        <v>0</v>
      </c>
      <c r="P35" s="59">
        <v>270000</v>
      </c>
      <c r="Q35" s="58">
        <v>90000</v>
      </c>
      <c r="R35" s="55" t="s">
        <v>362</v>
      </c>
      <c r="S35" s="55" t="s">
        <v>363</v>
      </c>
      <c r="T35" s="55" t="s">
        <v>18</v>
      </c>
      <c r="U35" s="55" t="s">
        <v>364</v>
      </c>
      <c r="V35" s="55" t="s">
        <v>18</v>
      </c>
      <c r="W35" s="47">
        <f>VLOOKUP(B35,titan!$X$15:$Y$718,2,0)-M35</f>
        <v>0</v>
      </c>
    </row>
    <row r="36" spans="1:23" x14ac:dyDescent="0.25">
      <c r="A36" s="9" t="str">
        <f t="shared" si="0"/>
        <v>279NL300126</v>
      </c>
      <c r="B36" s="9" t="str">
        <f>COUNTIF($A$7:A36,A36)&amp;A36</f>
        <v>1279NL300126</v>
      </c>
      <c r="C36" s="54">
        <v>45927</v>
      </c>
      <c r="D36" s="55" t="s">
        <v>294</v>
      </c>
      <c r="E36" s="56" t="s">
        <v>388</v>
      </c>
      <c r="F36" s="56" t="s">
        <v>295</v>
      </c>
      <c r="G36" s="55" t="s">
        <v>296</v>
      </c>
      <c r="H36" s="55" t="s">
        <v>297</v>
      </c>
      <c r="I36" s="55" t="s">
        <v>389</v>
      </c>
      <c r="J36" s="55" t="s">
        <v>206</v>
      </c>
      <c r="K36" s="55" t="s">
        <v>315</v>
      </c>
      <c r="L36" s="55" t="s">
        <v>92</v>
      </c>
      <c r="M36" s="57">
        <v>0.3</v>
      </c>
      <c r="N36" s="58">
        <v>90000</v>
      </c>
      <c r="O36" s="58">
        <v>0</v>
      </c>
      <c r="P36" s="59">
        <v>27000</v>
      </c>
      <c r="Q36" s="58">
        <v>90000</v>
      </c>
      <c r="R36" s="55" t="s">
        <v>362</v>
      </c>
      <c r="S36" s="55" t="s">
        <v>363</v>
      </c>
      <c r="T36" s="55" t="s">
        <v>18</v>
      </c>
      <c r="U36" s="55" t="s">
        <v>364</v>
      </c>
      <c r="V36" s="55" t="s">
        <v>18</v>
      </c>
      <c r="W36" s="47">
        <f>VLOOKUP(B36,titan!$X$15:$Y$718,2,0)-M36</f>
        <v>0</v>
      </c>
    </row>
    <row r="37" spans="1:23" x14ac:dyDescent="0.25">
      <c r="A37" s="9" t="str">
        <f t="shared" si="0"/>
        <v>279NL300142</v>
      </c>
      <c r="B37" s="9" t="str">
        <f>COUNTIF($A$7:A37,A37)&amp;A37</f>
        <v>1279NL300142</v>
      </c>
      <c r="C37" s="54">
        <v>45927</v>
      </c>
      <c r="D37" s="55" t="s">
        <v>294</v>
      </c>
      <c r="E37" s="56" t="s">
        <v>388</v>
      </c>
      <c r="F37" s="56" t="s">
        <v>295</v>
      </c>
      <c r="G37" s="55" t="s">
        <v>296</v>
      </c>
      <c r="H37" s="55" t="s">
        <v>297</v>
      </c>
      <c r="I37" s="55" t="s">
        <v>389</v>
      </c>
      <c r="J37" s="55" t="s">
        <v>259</v>
      </c>
      <c r="K37" s="55" t="s">
        <v>308</v>
      </c>
      <c r="L37" s="55" t="s">
        <v>92</v>
      </c>
      <c r="M37" s="57">
        <v>2</v>
      </c>
      <c r="N37" s="58">
        <v>55000</v>
      </c>
      <c r="O37" s="58">
        <v>0</v>
      </c>
      <c r="P37" s="59">
        <v>110000</v>
      </c>
      <c r="Q37" s="58">
        <v>55000</v>
      </c>
      <c r="R37" s="55" t="s">
        <v>362</v>
      </c>
      <c r="S37" s="55" t="s">
        <v>363</v>
      </c>
      <c r="T37" s="55" t="s">
        <v>18</v>
      </c>
      <c r="U37" s="55" t="s">
        <v>364</v>
      </c>
      <c r="V37" s="55" t="s">
        <v>18</v>
      </c>
      <c r="W37" s="47">
        <f>VLOOKUP(B37,titan!$X$15:$Y$718,2,0)-M37</f>
        <v>0</v>
      </c>
    </row>
    <row r="38" spans="1:23" x14ac:dyDescent="0.25">
      <c r="A38" s="9" t="str">
        <f t="shared" si="0"/>
        <v>279NL300147</v>
      </c>
      <c r="B38" s="9" t="str">
        <f>COUNTIF($A$7:A38,A38)&amp;A38</f>
        <v>1279NL300147</v>
      </c>
      <c r="C38" s="54">
        <v>45927</v>
      </c>
      <c r="D38" s="55" t="s">
        <v>294</v>
      </c>
      <c r="E38" s="56" t="s">
        <v>388</v>
      </c>
      <c r="F38" s="56" t="s">
        <v>295</v>
      </c>
      <c r="G38" s="55" t="s">
        <v>296</v>
      </c>
      <c r="H38" s="55" t="s">
        <v>297</v>
      </c>
      <c r="I38" s="55" t="s">
        <v>389</v>
      </c>
      <c r="J38" s="55" t="s">
        <v>270</v>
      </c>
      <c r="K38" s="55" t="s">
        <v>309</v>
      </c>
      <c r="L38" s="55" t="s">
        <v>92</v>
      </c>
      <c r="M38" s="57">
        <v>2.6</v>
      </c>
      <c r="N38" s="58">
        <v>55000</v>
      </c>
      <c r="O38" s="58">
        <v>0</v>
      </c>
      <c r="P38" s="59">
        <v>143000</v>
      </c>
      <c r="Q38" s="58">
        <v>55000</v>
      </c>
      <c r="R38" s="55" t="s">
        <v>362</v>
      </c>
      <c r="S38" s="55" t="s">
        <v>363</v>
      </c>
      <c r="T38" s="55" t="s">
        <v>18</v>
      </c>
      <c r="U38" s="55" t="s">
        <v>364</v>
      </c>
      <c r="V38" s="55" t="s">
        <v>18</v>
      </c>
      <c r="W38" s="47">
        <f>VLOOKUP(B38,titan!$X$15:$Y$718,2,0)-M38</f>
        <v>0</v>
      </c>
    </row>
    <row r="39" spans="1:23" x14ac:dyDescent="0.25">
      <c r="A39" s="9" t="str">
        <f t="shared" si="0"/>
        <v>279NL300018</v>
      </c>
      <c r="B39" s="9" t="str">
        <f>COUNTIF($A$7:A39,A39)&amp;A39</f>
        <v>1279NL300018</v>
      </c>
      <c r="C39" s="54">
        <v>45927</v>
      </c>
      <c r="D39" s="55" t="s">
        <v>294</v>
      </c>
      <c r="E39" s="56" t="s">
        <v>388</v>
      </c>
      <c r="F39" s="56" t="s">
        <v>295</v>
      </c>
      <c r="G39" s="55" t="s">
        <v>296</v>
      </c>
      <c r="H39" s="55" t="s">
        <v>297</v>
      </c>
      <c r="I39" s="55" t="s">
        <v>389</v>
      </c>
      <c r="J39" s="55" t="s">
        <v>244</v>
      </c>
      <c r="K39" s="55" t="s">
        <v>378</v>
      </c>
      <c r="L39" s="55" t="s">
        <v>92</v>
      </c>
      <c r="M39" s="57">
        <v>2.5</v>
      </c>
      <c r="N39" s="58">
        <v>31000</v>
      </c>
      <c r="O39" s="58">
        <v>0</v>
      </c>
      <c r="P39" s="59">
        <v>77500</v>
      </c>
      <c r="Q39" s="58">
        <v>31000</v>
      </c>
      <c r="R39" s="55" t="s">
        <v>362</v>
      </c>
      <c r="S39" s="55" t="s">
        <v>363</v>
      </c>
      <c r="T39" s="55" t="s">
        <v>18</v>
      </c>
      <c r="U39" s="55" t="s">
        <v>364</v>
      </c>
      <c r="V39" s="55" t="s">
        <v>18</v>
      </c>
      <c r="W39" s="47">
        <f>VLOOKUP(B39,titan!$X$15:$Y$718,2,0)-M39</f>
        <v>0</v>
      </c>
    </row>
    <row r="40" spans="1:23" x14ac:dyDescent="0.25">
      <c r="A40" s="9" t="str">
        <f t="shared" si="0"/>
        <v>279NL300113</v>
      </c>
      <c r="B40" s="9" t="str">
        <f>COUNTIF($A$7:A40,A40)&amp;A40</f>
        <v>1279NL300113</v>
      </c>
      <c r="C40" s="54">
        <v>45927</v>
      </c>
      <c r="D40" s="55" t="s">
        <v>294</v>
      </c>
      <c r="E40" s="56" t="s">
        <v>388</v>
      </c>
      <c r="F40" s="56" t="s">
        <v>295</v>
      </c>
      <c r="G40" s="55" t="s">
        <v>296</v>
      </c>
      <c r="H40" s="55" t="s">
        <v>297</v>
      </c>
      <c r="I40" s="55" t="s">
        <v>389</v>
      </c>
      <c r="J40" s="55" t="s">
        <v>216</v>
      </c>
      <c r="K40" s="55" t="s">
        <v>33</v>
      </c>
      <c r="L40" s="55" t="s">
        <v>92</v>
      </c>
      <c r="M40" s="57">
        <v>1</v>
      </c>
      <c r="N40" s="58">
        <v>48000</v>
      </c>
      <c r="O40" s="58">
        <v>0</v>
      </c>
      <c r="P40" s="59">
        <v>48000</v>
      </c>
      <c r="Q40" s="58">
        <v>48000</v>
      </c>
      <c r="R40" s="55" t="s">
        <v>362</v>
      </c>
      <c r="S40" s="55" t="s">
        <v>363</v>
      </c>
      <c r="T40" s="55" t="s">
        <v>18</v>
      </c>
      <c r="U40" s="55" t="s">
        <v>364</v>
      </c>
      <c r="V40" s="55" t="s">
        <v>18</v>
      </c>
      <c r="W40" s="47">
        <f>VLOOKUP(B40,titan!$X$15:$Y$718,2,0)-M40</f>
        <v>0</v>
      </c>
    </row>
    <row r="41" spans="1:23" x14ac:dyDescent="0.25">
      <c r="A41" s="9" t="str">
        <f t="shared" si="0"/>
        <v>279NL300084</v>
      </c>
      <c r="B41" s="9" t="str">
        <f>COUNTIF($A$7:A41,A41)&amp;A41</f>
        <v>1279NL300084</v>
      </c>
      <c r="C41" s="54">
        <v>45927</v>
      </c>
      <c r="D41" s="55" t="s">
        <v>294</v>
      </c>
      <c r="E41" s="56" t="s">
        <v>388</v>
      </c>
      <c r="F41" s="56" t="s">
        <v>295</v>
      </c>
      <c r="G41" s="55" t="s">
        <v>296</v>
      </c>
      <c r="H41" s="55" t="s">
        <v>297</v>
      </c>
      <c r="I41" s="55" t="s">
        <v>389</v>
      </c>
      <c r="J41" s="55" t="s">
        <v>184</v>
      </c>
      <c r="K41" s="55" t="s">
        <v>367</v>
      </c>
      <c r="L41" s="55" t="s">
        <v>92</v>
      </c>
      <c r="M41" s="57">
        <v>2.7</v>
      </c>
      <c r="N41" s="58">
        <v>20000</v>
      </c>
      <c r="O41" s="58">
        <v>0</v>
      </c>
      <c r="P41" s="59">
        <v>54000</v>
      </c>
      <c r="Q41" s="58">
        <v>20000</v>
      </c>
      <c r="R41" s="55" t="s">
        <v>362</v>
      </c>
      <c r="S41" s="55" t="s">
        <v>363</v>
      </c>
      <c r="T41" s="55" t="s">
        <v>18</v>
      </c>
      <c r="U41" s="55" t="s">
        <v>364</v>
      </c>
      <c r="V41" s="55" t="s">
        <v>18</v>
      </c>
      <c r="W41" s="47">
        <f>VLOOKUP(B41,titan!$X$15:$Y$718,2,0)-M41</f>
        <v>0</v>
      </c>
    </row>
    <row r="42" spans="1:23" x14ac:dyDescent="0.25">
      <c r="A42" s="9" t="str">
        <f t="shared" si="0"/>
        <v>279NL600004</v>
      </c>
      <c r="B42" s="9" t="str">
        <f>COUNTIF($A$7:A42,A42)&amp;A42</f>
        <v>1279NL600004</v>
      </c>
      <c r="C42" s="54">
        <v>45927</v>
      </c>
      <c r="D42" s="55" t="s">
        <v>294</v>
      </c>
      <c r="E42" s="56" t="s">
        <v>388</v>
      </c>
      <c r="F42" s="56" t="s">
        <v>295</v>
      </c>
      <c r="G42" s="55" t="s">
        <v>296</v>
      </c>
      <c r="H42" s="55" t="s">
        <v>297</v>
      </c>
      <c r="I42" s="55" t="s">
        <v>389</v>
      </c>
      <c r="J42" s="55" t="s">
        <v>144</v>
      </c>
      <c r="K42" s="55" t="s">
        <v>47</v>
      </c>
      <c r="L42" s="55" t="s">
        <v>92</v>
      </c>
      <c r="M42" s="57">
        <v>21.5</v>
      </c>
      <c r="N42" s="58">
        <v>16000</v>
      </c>
      <c r="O42" s="58">
        <v>0</v>
      </c>
      <c r="P42" s="59">
        <v>344000</v>
      </c>
      <c r="Q42" s="58">
        <v>16000</v>
      </c>
      <c r="R42" s="55" t="s">
        <v>362</v>
      </c>
      <c r="S42" s="55" t="s">
        <v>363</v>
      </c>
      <c r="T42" s="55" t="s">
        <v>18</v>
      </c>
      <c r="U42" s="55" t="s">
        <v>364</v>
      </c>
      <c r="V42" s="55" t="s">
        <v>18</v>
      </c>
      <c r="W42" s="47">
        <f>VLOOKUP(B42,titan!$X$15:$Y$718,2,0)-M42</f>
        <v>0</v>
      </c>
    </row>
    <row r="43" spans="1:23" x14ac:dyDescent="0.25">
      <c r="A43" s="9" t="str">
        <f t="shared" si="0"/>
        <v>279NL300029</v>
      </c>
      <c r="B43" s="9" t="str">
        <f>COUNTIF($A$7:A43,A43)&amp;A43</f>
        <v>1279NL300029</v>
      </c>
      <c r="C43" s="54">
        <v>45927</v>
      </c>
      <c r="D43" s="55" t="s">
        <v>294</v>
      </c>
      <c r="E43" s="56" t="s">
        <v>388</v>
      </c>
      <c r="F43" s="56" t="s">
        <v>295</v>
      </c>
      <c r="G43" s="55" t="s">
        <v>296</v>
      </c>
      <c r="H43" s="55" t="s">
        <v>297</v>
      </c>
      <c r="I43" s="55" t="s">
        <v>389</v>
      </c>
      <c r="J43" s="55" t="s">
        <v>121</v>
      </c>
      <c r="K43" s="55" t="s">
        <v>298</v>
      </c>
      <c r="L43" s="55" t="s">
        <v>92</v>
      </c>
      <c r="M43" s="57">
        <v>1</v>
      </c>
      <c r="N43" s="58">
        <v>21000</v>
      </c>
      <c r="O43" s="58">
        <v>0</v>
      </c>
      <c r="P43" s="59">
        <v>21000</v>
      </c>
      <c r="Q43" s="58">
        <v>21000</v>
      </c>
      <c r="R43" s="55" t="s">
        <v>362</v>
      </c>
      <c r="S43" s="55" t="s">
        <v>363</v>
      </c>
      <c r="T43" s="55" t="s">
        <v>18</v>
      </c>
      <c r="U43" s="55" t="s">
        <v>364</v>
      </c>
      <c r="V43" s="55" t="s">
        <v>18</v>
      </c>
      <c r="W43" s="47">
        <f>VLOOKUP(B43,titan!$X$15:$Y$718,2,0)-M43</f>
        <v>0</v>
      </c>
    </row>
    <row r="44" spans="1:23" x14ac:dyDescent="0.25">
      <c r="A44" s="9" t="str">
        <f t="shared" si="0"/>
        <v>279NL300119</v>
      </c>
      <c r="B44" s="9" t="str">
        <f>COUNTIF($A$7:A44,A44)&amp;A44</f>
        <v>1279NL300119</v>
      </c>
      <c r="C44" s="54">
        <v>45927</v>
      </c>
      <c r="D44" s="55" t="s">
        <v>294</v>
      </c>
      <c r="E44" s="56" t="s">
        <v>388</v>
      </c>
      <c r="F44" s="56" t="s">
        <v>295</v>
      </c>
      <c r="G44" s="55" t="s">
        <v>296</v>
      </c>
      <c r="H44" s="55" t="s">
        <v>297</v>
      </c>
      <c r="I44" s="55" t="s">
        <v>389</v>
      </c>
      <c r="J44" s="55" t="s">
        <v>242</v>
      </c>
      <c r="K44" s="55" t="s">
        <v>307</v>
      </c>
      <c r="L44" s="55" t="s">
        <v>92</v>
      </c>
      <c r="M44" s="57">
        <v>5</v>
      </c>
      <c r="N44" s="58">
        <v>20000</v>
      </c>
      <c r="O44" s="58">
        <v>0</v>
      </c>
      <c r="P44" s="59">
        <v>100000</v>
      </c>
      <c r="Q44" s="58">
        <v>20000</v>
      </c>
      <c r="R44" s="55" t="s">
        <v>362</v>
      </c>
      <c r="S44" s="55" t="s">
        <v>363</v>
      </c>
      <c r="T44" s="55" t="s">
        <v>18</v>
      </c>
      <c r="U44" s="55" t="s">
        <v>364</v>
      </c>
      <c r="V44" s="55" t="s">
        <v>18</v>
      </c>
      <c r="W44" s="47">
        <f>VLOOKUP(B44,titan!$X$15:$Y$718,2,0)-M44</f>
        <v>0</v>
      </c>
    </row>
    <row r="45" spans="1:23" x14ac:dyDescent="0.25">
      <c r="A45" s="9" t="str">
        <f t="shared" si="0"/>
        <v>279NL300062</v>
      </c>
      <c r="B45" s="9" t="str">
        <f>COUNTIF($A$7:A45,A45)&amp;A45</f>
        <v>1279NL300062</v>
      </c>
      <c r="C45" s="54">
        <v>45927</v>
      </c>
      <c r="D45" s="55" t="s">
        <v>294</v>
      </c>
      <c r="E45" s="56" t="s">
        <v>388</v>
      </c>
      <c r="F45" s="56" t="s">
        <v>295</v>
      </c>
      <c r="G45" s="55" t="s">
        <v>296</v>
      </c>
      <c r="H45" s="55" t="s">
        <v>297</v>
      </c>
      <c r="I45" s="55" t="s">
        <v>389</v>
      </c>
      <c r="J45" s="55" t="s">
        <v>159</v>
      </c>
      <c r="K45" s="55" t="s">
        <v>316</v>
      </c>
      <c r="L45" s="55" t="s">
        <v>92</v>
      </c>
      <c r="M45" s="57">
        <v>0.5</v>
      </c>
      <c r="N45" s="58">
        <v>54000</v>
      </c>
      <c r="O45" s="58">
        <v>0</v>
      </c>
      <c r="P45" s="59">
        <v>27000</v>
      </c>
      <c r="Q45" s="58">
        <v>54000</v>
      </c>
      <c r="R45" s="55" t="s">
        <v>362</v>
      </c>
      <c r="S45" s="55" t="s">
        <v>363</v>
      </c>
      <c r="T45" s="55" t="s">
        <v>18</v>
      </c>
      <c r="U45" s="55" t="s">
        <v>364</v>
      </c>
      <c r="V45" s="55" t="s">
        <v>18</v>
      </c>
      <c r="W45" s="47">
        <f>VLOOKUP(B45,titan!$X$15:$Y$718,2,0)-M45</f>
        <v>0</v>
      </c>
    </row>
    <row r="46" spans="1:23" x14ac:dyDescent="0.25">
      <c r="A46" s="9" t="str">
        <f t="shared" si="0"/>
        <v>289NL300209</v>
      </c>
      <c r="B46" s="9" t="str">
        <f>COUNTIF($A$7:A46,A46)&amp;A46</f>
        <v>1289NL300209</v>
      </c>
      <c r="C46" s="54">
        <v>45928</v>
      </c>
      <c r="D46" s="55" t="s">
        <v>294</v>
      </c>
      <c r="E46" s="56" t="s">
        <v>390</v>
      </c>
      <c r="F46" s="56" t="s">
        <v>295</v>
      </c>
      <c r="G46" s="55" t="s">
        <v>296</v>
      </c>
      <c r="H46" s="55" t="s">
        <v>297</v>
      </c>
      <c r="I46" s="55" t="s">
        <v>391</v>
      </c>
      <c r="J46" s="55" t="s">
        <v>338</v>
      </c>
      <c r="K46" s="55" t="s">
        <v>368</v>
      </c>
      <c r="L46" s="55" t="s">
        <v>92</v>
      </c>
      <c r="M46" s="57">
        <v>4</v>
      </c>
      <c r="N46" s="58">
        <v>32000</v>
      </c>
      <c r="O46" s="58">
        <v>0</v>
      </c>
      <c r="P46" s="59">
        <v>128000</v>
      </c>
      <c r="Q46" s="58">
        <v>32000</v>
      </c>
      <c r="R46" s="55" t="s">
        <v>362</v>
      </c>
      <c r="S46" s="55" t="s">
        <v>363</v>
      </c>
      <c r="T46" s="55" t="s">
        <v>18</v>
      </c>
      <c r="U46" s="55" t="s">
        <v>364</v>
      </c>
      <c r="V46" s="55" t="s">
        <v>18</v>
      </c>
      <c r="W46" s="47">
        <f>VLOOKUP(B46,titan!$X$15:$Y$718,2,0)-M46</f>
        <v>0</v>
      </c>
    </row>
    <row r="47" spans="1:23" x14ac:dyDescent="0.25">
      <c r="A47" s="9" t="str">
        <f t="shared" si="0"/>
        <v>289NL300018</v>
      </c>
      <c r="B47" s="9" t="str">
        <f>COUNTIF($A$7:A47,A47)&amp;A47</f>
        <v>1289NL300018</v>
      </c>
      <c r="C47" s="54">
        <v>45928</v>
      </c>
      <c r="D47" s="55" t="s">
        <v>294</v>
      </c>
      <c r="E47" s="56" t="s">
        <v>390</v>
      </c>
      <c r="F47" s="56" t="s">
        <v>295</v>
      </c>
      <c r="G47" s="55" t="s">
        <v>296</v>
      </c>
      <c r="H47" s="55" t="s">
        <v>297</v>
      </c>
      <c r="I47" s="55" t="s">
        <v>391</v>
      </c>
      <c r="J47" s="55" t="s">
        <v>244</v>
      </c>
      <c r="K47" s="55" t="s">
        <v>378</v>
      </c>
      <c r="L47" s="55" t="s">
        <v>92</v>
      </c>
      <c r="M47" s="57">
        <v>6.8</v>
      </c>
      <c r="N47" s="58">
        <v>31000</v>
      </c>
      <c r="O47" s="58">
        <v>0</v>
      </c>
      <c r="P47" s="59">
        <v>210800</v>
      </c>
      <c r="Q47" s="58">
        <v>31000</v>
      </c>
      <c r="R47" s="55" t="s">
        <v>362</v>
      </c>
      <c r="S47" s="55" t="s">
        <v>363</v>
      </c>
      <c r="T47" s="55" t="s">
        <v>18</v>
      </c>
      <c r="U47" s="55" t="s">
        <v>364</v>
      </c>
      <c r="V47" s="55" t="s">
        <v>18</v>
      </c>
      <c r="W47" s="47">
        <f>VLOOKUP(B47,titan!$X$15:$Y$718,2,0)-M47</f>
        <v>0</v>
      </c>
    </row>
    <row r="48" spans="1:23" x14ac:dyDescent="0.25">
      <c r="A48" s="9" t="str">
        <f t="shared" si="0"/>
        <v>289NL300113</v>
      </c>
      <c r="B48" s="9" t="str">
        <f>COUNTIF($A$7:A48,A48)&amp;A48</f>
        <v>1289NL300113</v>
      </c>
      <c r="C48" s="54">
        <v>45928</v>
      </c>
      <c r="D48" s="55" t="s">
        <v>294</v>
      </c>
      <c r="E48" s="56" t="s">
        <v>390</v>
      </c>
      <c r="F48" s="56" t="s">
        <v>295</v>
      </c>
      <c r="G48" s="55" t="s">
        <v>296</v>
      </c>
      <c r="H48" s="55" t="s">
        <v>297</v>
      </c>
      <c r="I48" s="55" t="s">
        <v>391</v>
      </c>
      <c r="J48" s="55" t="s">
        <v>216</v>
      </c>
      <c r="K48" s="55" t="s">
        <v>33</v>
      </c>
      <c r="L48" s="55" t="s">
        <v>92</v>
      </c>
      <c r="M48" s="57">
        <v>2</v>
      </c>
      <c r="N48" s="58">
        <v>48000</v>
      </c>
      <c r="O48" s="58">
        <v>0</v>
      </c>
      <c r="P48" s="59">
        <v>96000</v>
      </c>
      <c r="Q48" s="58">
        <v>48000</v>
      </c>
      <c r="R48" s="55" t="s">
        <v>362</v>
      </c>
      <c r="S48" s="55" t="s">
        <v>363</v>
      </c>
      <c r="T48" s="55" t="s">
        <v>18</v>
      </c>
      <c r="U48" s="55" t="s">
        <v>364</v>
      </c>
      <c r="V48" s="55" t="s">
        <v>18</v>
      </c>
      <c r="W48" s="47">
        <f>VLOOKUP(B48,titan!$X$15:$Y$718,2,0)-M48</f>
        <v>0</v>
      </c>
    </row>
    <row r="49" spans="1:23" x14ac:dyDescent="0.25">
      <c r="A49" s="9" t="str">
        <f t="shared" si="0"/>
        <v>289NL300084</v>
      </c>
      <c r="B49" s="9" t="str">
        <f>COUNTIF($A$7:A49,A49)&amp;A49</f>
        <v>1289NL300084</v>
      </c>
      <c r="C49" s="54">
        <v>45928</v>
      </c>
      <c r="D49" s="55" t="s">
        <v>294</v>
      </c>
      <c r="E49" s="56" t="s">
        <v>390</v>
      </c>
      <c r="F49" s="56" t="s">
        <v>295</v>
      </c>
      <c r="G49" s="55" t="s">
        <v>296</v>
      </c>
      <c r="H49" s="55" t="s">
        <v>297</v>
      </c>
      <c r="I49" s="55" t="s">
        <v>391</v>
      </c>
      <c r="J49" s="55" t="s">
        <v>184</v>
      </c>
      <c r="K49" s="55" t="s">
        <v>367</v>
      </c>
      <c r="L49" s="55" t="s">
        <v>92</v>
      </c>
      <c r="M49" s="57">
        <v>5.8</v>
      </c>
      <c r="N49" s="58">
        <v>20000</v>
      </c>
      <c r="O49" s="58">
        <v>0</v>
      </c>
      <c r="P49" s="59">
        <v>116000</v>
      </c>
      <c r="Q49" s="58">
        <v>20000</v>
      </c>
      <c r="R49" s="55" t="s">
        <v>362</v>
      </c>
      <c r="S49" s="55" t="s">
        <v>363</v>
      </c>
      <c r="T49" s="55" t="s">
        <v>18</v>
      </c>
      <c r="U49" s="55" t="s">
        <v>364</v>
      </c>
      <c r="V49" s="55" t="s">
        <v>18</v>
      </c>
      <c r="W49" s="47">
        <f>VLOOKUP(B49,titan!$X$15:$Y$718,2,0)-M49</f>
        <v>0</v>
      </c>
    </row>
    <row r="50" spans="1:23" x14ac:dyDescent="0.25">
      <c r="A50" s="9" t="str">
        <f t="shared" si="0"/>
        <v>289NL300022</v>
      </c>
      <c r="B50" s="9" t="str">
        <f>COUNTIF($A$7:A50,A50)&amp;A50</f>
        <v>1289NL300022</v>
      </c>
      <c r="C50" s="54">
        <v>45928</v>
      </c>
      <c r="D50" s="55" t="s">
        <v>294</v>
      </c>
      <c r="E50" s="56" t="s">
        <v>390</v>
      </c>
      <c r="F50" s="56" t="s">
        <v>295</v>
      </c>
      <c r="G50" s="55" t="s">
        <v>296</v>
      </c>
      <c r="H50" s="55" t="s">
        <v>297</v>
      </c>
      <c r="I50" s="55" t="s">
        <v>391</v>
      </c>
      <c r="J50" s="55" t="s">
        <v>112</v>
      </c>
      <c r="K50" s="55" t="s">
        <v>111</v>
      </c>
      <c r="L50" s="55" t="s">
        <v>92</v>
      </c>
      <c r="M50" s="57">
        <v>10.4</v>
      </c>
      <c r="N50" s="58">
        <v>14000</v>
      </c>
      <c r="O50" s="58">
        <v>0</v>
      </c>
      <c r="P50" s="59">
        <v>145600</v>
      </c>
      <c r="Q50" s="58">
        <v>14000</v>
      </c>
      <c r="R50" s="55" t="s">
        <v>362</v>
      </c>
      <c r="S50" s="55" t="s">
        <v>363</v>
      </c>
      <c r="T50" s="55" t="s">
        <v>18</v>
      </c>
      <c r="U50" s="55" t="s">
        <v>364</v>
      </c>
      <c r="V50" s="55" t="s">
        <v>18</v>
      </c>
      <c r="W50" s="47">
        <f>VLOOKUP(B50,titan!$X$15:$Y$718,2,0)-M50</f>
        <v>0</v>
      </c>
    </row>
    <row r="51" spans="1:23" x14ac:dyDescent="0.25">
      <c r="A51" s="9" t="str">
        <f t="shared" si="0"/>
        <v>289NL300033</v>
      </c>
      <c r="B51" s="9" t="str">
        <f>COUNTIF($A$7:A51,A51)&amp;A51</f>
        <v>1289NL300033</v>
      </c>
      <c r="C51" s="54">
        <v>45928</v>
      </c>
      <c r="D51" s="55" t="s">
        <v>294</v>
      </c>
      <c r="E51" s="56" t="s">
        <v>390</v>
      </c>
      <c r="F51" s="56" t="s">
        <v>295</v>
      </c>
      <c r="G51" s="55" t="s">
        <v>296</v>
      </c>
      <c r="H51" s="55" t="s">
        <v>297</v>
      </c>
      <c r="I51" s="55" t="s">
        <v>391</v>
      </c>
      <c r="J51" s="55" t="s">
        <v>127</v>
      </c>
      <c r="K51" s="55" t="s">
        <v>365</v>
      </c>
      <c r="L51" s="55" t="s">
        <v>92</v>
      </c>
      <c r="M51" s="57">
        <v>2</v>
      </c>
      <c r="N51" s="58">
        <v>11000</v>
      </c>
      <c r="O51" s="58">
        <v>0</v>
      </c>
      <c r="P51" s="59">
        <v>22000</v>
      </c>
      <c r="Q51" s="58">
        <v>11000</v>
      </c>
      <c r="R51" s="55" t="s">
        <v>362</v>
      </c>
      <c r="S51" s="55" t="s">
        <v>363</v>
      </c>
      <c r="T51" s="55" t="s">
        <v>18</v>
      </c>
      <c r="U51" s="55" t="s">
        <v>364</v>
      </c>
      <c r="V51" s="55" t="s">
        <v>18</v>
      </c>
      <c r="W51" s="47">
        <f>VLOOKUP(B51,titan!$X$15:$Y$718,2,0)-M51</f>
        <v>0</v>
      </c>
    </row>
    <row r="52" spans="1:23" x14ac:dyDescent="0.25">
      <c r="A52" s="9" t="str">
        <f t="shared" si="0"/>
        <v>289NL300036</v>
      </c>
      <c r="B52" s="9" t="str">
        <f>COUNTIF($A$7:A52,A52)&amp;A52</f>
        <v>1289NL300036</v>
      </c>
      <c r="C52" s="54">
        <v>45928</v>
      </c>
      <c r="D52" s="55" t="s">
        <v>294</v>
      </c>
      <c r="E52" s="56" t="s">
        <v>390</v>
      </c>
      <c r="F52" s="56" t="s">
        <v>295</v>
      </c>
      <c r="G52" s="55" t="s">
        <v>296</v>
      </c>
      <c r="H52" s="55" t="s">
        <v>297</v>
      </c>
      <c r="I52" s="55" t="s">
        <v>391</v>
      </c>
      <c r="J52" s="55" t="s">
        <v>131</v>
      </c>
      <c r="K52" s="55" t="s">
        <v>27</v>
      </c>
      <c r="L52" s="55" t="s">
        <v>92</v>
      </c>
      <c r="M52" s="57">
        <v>2.6</v>
      </c>
      <c r="N52" s="58">
        <v>44000</v>
      </c>
      <c r="O52" s="58">
        <v>0</v>
      </c>
      <c r="P52" s="59">
        <v>114400</v>
      </c>
      <c r="Q52" s="58">
        <v>44000</v>
      </c>
      <c r="R52" s="55" t="s">
        <v>362</v>
      </c>
      <c r="S52" s="55" t="s">
        <v>363</v>
      </c>
      <c r="T52" s="55" t="s">
        <v>18</v>
      </c>
      <c r="U52" s="55" t="s">
        <v>364</v>
      </c>
      <c r="V52" s="55" t="s">
        <v>18</v>
      </c>
      <c r="W52" s="47">
        <f>VLOOKUP(B52,titan!$X$15:$Y$718,2,0)-M52</f>
        <v>0</v>
      </c>
    </row>
    <row r="53" spans="1:23" x14ac:dyDescent="0.25">
      <c r="A53" s="9" t="str">
        <f t="shared" si="0"/>
        <v>289NL300058</v>
      </c>
      <c r="B53" s="9" t="str">
        <f>COUNTIF($A$7:A53,A53)&amp;A53</f>
        <v>1289NL300058</v>
      </c>
      <c r="C53" s="54">
        <v>45928</v>
      </c>
      <c r="D53" s="55" t="s">
        <v>294</v>
      </c>
      <c r="E53" s="56" t="s">
        <v>390</v>
      </c>
      <c r="F53" s="56" t="s">
        <v>295</v>
      </c>
      <c r="G53" s="55" t="s">
        <v>296</v>
      </c>
      <c r="H53" s="55" t="s">
        <v>297</v>
      </c>
      <c r="I53" s="55" t="s">
        <v>391</v>
      </c>
      <c r="J53" s="55" t="s">
        <v>147</v>
      </c>
      <c r="K53" s="55" t="s">
        <v>29</v>
      </c>
      <c r="L53" s="55" t="s">
        <v>92</v>
      </c>
      <c r="M53" s="57">
        <v>2</v>
      </c>
      <c r="N53" s="58">
        <v>31000</v>
      </c>
      <c r="O53" s="58">
        <v>0</v>
      </c>
      <c r="P53" s="59">
        <v>62000</v>
      </c>
      <c r="Q53" s="58">
        <v>31000</v>
      </c>
      <c r="R53" s="55" t="s">
        <v>362</v>
      </c>
      <c r="S53" s="55" t="s">
        <v>363</v>
      </c>
      <c r="T53" s="55" t="s">
        <v>18</v>
      </c>
      <c r="U53" s="55" t="s">
        <v>364</v>
      </c>
      <c r="V53" s="55" t="s">
        <v>18</v>
      </c>
      <c r="W53" s="47">
        <f>VLOOKUP(B53,titan!$X$15:$Y$718,2,0)-M53</f>
        <v>0</v>
      </c>
    </row>
    <row r="54" spans="1:23" x14ac:dyDescent="0.25">
      <c r="A54" s="9" t="str">
        <f t="shared" si="0"/>
        <v>289NL300074</v>
      </c>
      <c r="B54" s="9" t="str">
        <f>COUNTIF($A$7:A54,A54)&amp;A54</f>
        <v>1289NL300074</v>
      </c>
      <c r="C54" s="54">
        <v>45928</v>
      </c>
      <c r="D54" s="55" t="s">
        <v>294</v>
      </c>
      <c r="E54" s="56" t="s">
        <v>390</v>
      </c>
      <c r="F54" s="56" t="s">
        <v>295</v>
      </c>
      <c r="G54" s="55" t="s">
        <v>296</v>
      </c>
      <c r="H54" s="55" t="s">
        <v>297</v>
      </c>
      <c r="I54" s="55" t="s">
        <v>391</v>
      </c>
      <c r="J54" s="55" t="s">
        <v>169</v>
      </c>
      <c r="K54" s="55" t="s">
        <v>168</v>
      </c>
      <c r="L54" s="55" t="s">
        <v>92</v>
      </c>
      <c r="M54" s="57">
        <v>1</v>
      </c>
      <c r="N54" s="58">
        <v>18000</v>
      </c>
      <c r="O54" s="58">
        <v>0</v>
      </c>
      <c r="P54" s="59">
        <v>18000</v>
      </c>
      <c r="Q54" s="58">
        <v>18000</v>
      </c>
      <c r="R54" s="55" t="s">
        <v>362</v>
      </c>
      <c r="S54" s="55" t="s">
        <v>363</v>
      </c>
      <c r="T54" s="55" t="s">
        <v>18</v>
      </c>
      <c r="U54" s="55" t="s">
        <v>364</v>
      </c>
      <c r="V54" s="55" t="s">
        <v>18</v>
      </c>
      <c r="W54" s="47">
        <f>VLOOKUP(B54,titan!$X$15:$Y$718,2,0)-M54</f>
        <v>0</v>
      </c>
    </row>
    <row r="55" spans="1:23" x14ac:dyDescent="0.25">
      <c r="A55" s="9" t="str">
        <f t="shared" si="0"/>
        <v>289NL300085</v>
      </c>
      <c r="B55" s="9" t="str">
        <f>COUNTIF($A$7:A55,A55)&amp;A55</f>
        <v>1289NL300085</v>
      </c>
      <c r="C55" s="54">
        <v>45928</v>
      </c>
      <c r="D55" s="55" t="s">
        <v>294</v>
      </c>
      <c r="E55" s="56" t="s">
        <v>390</v>
      </c>
      <c r="F55" s="56" t="s">
        <v>295</v>
      </c>
      <c r="G55" s="55" t="s">
        <v>296</v>
      </c>
      <c r="H55" s="55" t="s">
        <v>297</v>
      </c>
      <c r="I55" s="55" t="s">
        <v>391</v>
      </c>
      <c r="J55" s="55" t="s">
        <v>205</v>
      </c>
      <c r="K55" s="55" t="s">
        <v>306</v>
      </c>
      <c r="L55" s="55" t="s">
        <v>92</v>
      </c>
      <c r="M55" s="57">
        <v>1.5</v>
      </c>
      <c r="N55" s="58">
        <v>45000</v>
      </c>
      <c r="O55" s="58">
        <v>0</v>
      </c>
      <c r="P55" s="59">
        <v>67500</v>
      </c>
      <c r="Q55" s="58">
        <v>45000</v>
      </c>
      <c r="R55" s="55" t="s">
        <v>362</v>
      </c>
      <c r="S55" s="55" t="s">
        <v>363</v>
      </c>
      <c r="T55" s="55" t="s">
        <v>18</v>
      </c>
      <c r="U55" s="55" t="s">
        <v>364</v>
      </c>
      <c r="V55" s="55" t="s">
        <v>18</v>
      </c>
      <c r="W55" s="47">
        <f>VLOOKUP(B55,titan!$X$15:$Y$718,2,0)-M55</f>
        <v>0</v>
      </c>
    </row>
    <row r="56" spans="1:23" x14ac:dyDescent="0.25">
      <c r="A56" s="9" t="str">
        <f t="shared" si="0"/>
        <v>289NL300090</v>
      </c>
      <c r="B56" s="9" t="str">
        <f>COUNTIF($A$7:A56,A56)&amp;A56</f>
        <v>1289NL300090</v>
      </c>
      <c r="C56" s="54">
        <v>45928</v>
      </c>
      <c r="D56" s="55" t="s">
        <v>294</v>
      </c>
      <c r="E56" s="56" t="s">
        <v>390</v>
      </c>
      <c r="F56" s="56" t="s">
        <v>295</v>
      </c>
      <c r="G56" s="55" t="s">
        <v>296</v>
      </c>
      <c r="H56" s="55" t="s">
        <v>297</v>
      </c>
      <c r="I56" s="55" t="s">
        <v>391</v>
      </c>
      <c r="J56" s="55" t="s">
        <v>189</v>
      </c>
      <c r="K56" s="55" t="s">
        <v>39</v>
      </c>
      <c r="L56" s="55" t="s">
        <v>92</v>
      </c>
      <c r="M56" s="57">
        <v>2.1</v>
      </c>
      <c r="N56" s="58">
        <v>138000</v>
      </c>
      <c r="O56" s="58">
        <v>0</v>
      </c>
      <c r="P56" s="59">
        <v>289800</v>
      </c>
      <c r="Q56" s="58">
        <v>138000</v>
      </c>
      <c r="R56" s="55" t="s">
        <v>362</v>
      </c>
      <c r="S56" s="55" t="s">
        <v>363</v>
      </c>
      <c r="T56" s="55" t="s">
        <v>18</v>
      </c>
      <c r="U56" s="55" t="s">
        <v>364</v>
      </c>
      <c r="V56" s="55" t="s">
        <v>18</v>
      </c>
      <c r="W56" s="47">
        <f>VLOOKUP(B56,titan!$X$15:$Y$718,2,0)-M56</f>
        <v>0</v>
      </c>
    </row>
    <row r="57" spans="1:23" x14ac:dyDescent="0.25">
      <c r="A57" s="9" t="str">
        <f t="shared" si="0"/>
        <v>289NL300091</v>
      </c>
      <c r="B57" s="9" t="str">
        <f>COUNTIF($A$7:A57,A57)&amp;A57</f>
        <v>1289NL300091</v>
      </c>
      <c r="C57" s="54">
        <v>45928</v>
      </c>
      <c r="D57" s="55" t="s">
        <v>294</v>
      </c>
      <c r="E57" s="56" t="s">
        <v>390</v>
      </c>
      <c r="F57" s="56" t="s">
        <v>295</v>
      </c>
      <c r="G57" s="55" t="s">
        <v>296</v>
      </c>
      <c r="H57" s="55" t="s">
        <v>297</v>
      </c>
      <c r="I57" s="55" t="s">
        <v>391</v>
      </c>
      <c r="J57" s="55" t="s">
        <v>190</v>
      </c>
      <c r="K57" s="55" t="s">
        <v>40</v>
      </c>
      <c r="L57" s="55" t="s">
        <v>92</v>
      </c>
      <c r="M57" s="57">
        <v>8</v>
      </c>
      <c r="N57" s="58">
        <v>45000</v>
      </c>
      <c r="O57" s="58">
        <v>0</v>
      </c>
      <c r="P57" s="59">
        <v>360000</v>
      </c>
      <c r="Q57" s="58">
        <v>45000</v>
      </c>
      <c r="R57" s="55" t="s">
        <v>362</v>
      </c>
      <c r="S57" s="55" t="s">
        <v>363</v>
      </c>
      <c r="T57" s="55" t="s">
        <v>18</v>
      </c>
      <c r="U57" s="55" t="s">
        <v>364</v>
      </c>
      <c r="V57" s="55" t="s">
        <v>18</v>
      </c>
      <c r="W57" s="47">
        <f>VLOOKUP(B57,titan!$X$15:$Y$718,2,0)-M57</f>
        <v>0</v>
      </c>
    </row>
    <row r="58" spans="1:23" x14ac:dyDescent="0.25">
      <c r="A58" s="9" t="str">
        <f t="shared" si="0"/>
        <v>289NL300096</v>
      </c>
      <c r="B58" s="9" t="str">
        <f>COUNTIF($A$7:A58,A58)&amp;A58</f>
        <v>1289NL300096</v>
      </c>
      <c r="C58" s="54">
        <v>45928</v>
      </c>
      <c r="D58" s="55" t="s">
        <v>294</v>
      </c>
      <c r="E58" s="56" t="s">
        <v>390</v>
      </c>
      <c r="F58" s="56" t="s">
        <v>295</v>
      </c>
      <c r="G58" s="55" t="s">
        <v>296</v>
      </c>
      <c r="H58" s="55" t="s">
        <v>297</v>
      </c>
      <c r="I58" s="55" t="s">
        <v>391</v>
      </c>
      <c r="J58" s="55" t="s">
        <v>193</v>
      </c>
      <c r="K58" s="55" t="s">
        <v>41</v>
      </c>
      <c r="L58" s="55" t="s">
        <v>92</v>
      </c>
      <c r="M58" s="57">
        <v>10</v>
      </c>
      <c r="N58" s="58">
        <v>45000</v>
      </c>
      <c r="O58" s="58">
        <v>0</v>
      </c>
      <c r="P58" s="59">
        <v>450000</v>
      </c>
      <c r="Q58" s="58">
        <v>45000</v>
      </c>
      <c r="R58" s="55" t="s">
        <v>362</v>
      </c>
      <c r="S58" s="55" t="s">
        <v>363</v>
      </c>
      <c r="T58" s="55" t="s">
        <v>18</v>
      </c>
      <c r="U58" s="55" t="s">
        <v>364</v>
      </c>
      <c r="V58" s="55" t="s">
        <v>18</v>
      </c>
      <c r="W58" s="47">
        <f>VLOOKUP(B58,titan!$X$15:$Y$718,2,0)-M58</f>
        <v>0</v>
      </c>
    </row>
    <row r="59" spans="1:23" x14ac:dyDescent="0.25">
      <c r="A59" s="9" t="str">
        <f t="shared" si="0"/>
        <v>289NL300098</v>
      </c>
      <c r="B59" s="9" t="str">
        <f>COUNTIF($A$7:A59,A59)&amp;A59</f>
        <v>1289NL300098</v>
      </c>
      <c r="C59" s="54">
        <v>45928</v>
      </c>
      <c r="D59" s="55" t="s">
        <v>294</v>
      </c>
      <c r="E59" s="56" t="s">
        <v>390</v>
      </c>
      <c r="F59" s="56" t="s">
        <v>295</v>
      </c>
      <c r="G59" s="55" t="s">
        <v>296</v>
      </c>
      <c r="H59" s="55" t="s">
        <v>297</v>
      </c>
      <c r="I59" s="55" t="s">
        <v>391</v>
      </c>
      <c r="J59" s="55" t="s">
        <v>195</v>
      </c>
      <c r="K59" s="55" t="s">
        <v>320</v>
      </c>
      <c r="L59" s="55" t="s">
        <v>92</v>
      </c>
      <c r="M59" s="57">
        <v>6</v>
      </c>
      <c r="N59" s="58">
        <v>90000</v>
      </c>
      <c r="O59" s="58">
        <v>0</v>
      </c>
      <c r="P59" s="59">
        <v>540000</v>
      </c>
      <c r="Q59" s="58">
        <v>90000</v>
      </c>
      <c r="R59" s="55" t="s">
        <v>362</v>
      </c>
      <c r="S59" s="55" t="s">
        <v>363</v>
      </c>
      <c r="T59" s="55" t="s">
        <v>18</v>
      </c>
      <c r="U59" s="55" t="s">
        <v>364</v>
      </c>
      <c r="V59" s="55" t="s">
        <v>18</v>
      </c>
      <c r="W59" s="47">
        <f>VLOOKUP(B59,titan!$X$15:$Y$718,2,0)-M59</f>
        <v>0</v>
      </c>
    </row>
    <row r="60" spans="1:23" x14ac:dyDescent="0.25">
      <c r="A60" s="9" t="str">
        <f t="shared" si="0"/>
        <v>289NL300107</v>
      </c>
      <c r="B60" s="9" t="str">
        <f>COUNTIF($A$7:A60,A60)&amp;A60</f>
        <v>1289NL300107</v>
      </c>
      <c r="C60" s="54">
        <v>45928</v>
      </c>
      <c r="D60" s="55" t="s">
        <v>294</v>
      </c>
      <c r="E60" s="56" t="s">
        <v>390</v>
      </c>
      <c r="F60" s="56" t="s">
        <v>295</v>
      </c>
      <c r="G60" s="55" t="s">
        <v>296</v>
      </c>
      <c r="H60" s="55" t="s">
        <v>297</v>
      </c>
      <c r="I60" s="55" t="s">
        <v>391</v>
      </c>
      <c r="J60" s="55" t="s">
        <v>87</v>
      </c>
      <c r="K60" s="55" t="s">
        <v>299</v>
      </c>
      <c r="L60" s="55" t="s">
        <v>300</v>
      </c>
      <c r="M60" s="57">
        <v>15</v>
      </c>
      <c r="N60" s="58">
        <v>8000</v>
      </c>
      <c r="O60" s="58">
        <v>0</v>
      </c>
      <c r="P60" s="59">
        <v>120000</v>
      </c>
      <c r="Q60" s="58">
        <v>8000</v>
      </c>
      <c r="R60" s="55" t="s">
        <v>362</v>
      </c>
      <c r="S60" s="55" t="s">
        <v>363</v>
      </c>
      <c r="T60" s="55" t="s">
        <v>18</v>
      </c>
      <c r="U60" s="55" t="s">
        <v>364</v>
      </c>
      <c r="V60" s="55" t="s">
        <v>18</v>
      </c>
      <c r="W60" s="47">
        <f>VLOOKUP(B60,titan!$X$15:$Y$718,2,0)-M60</f>
        <v>0</v>
      </c>
    </row>
    <row r="61" spans="1:23" x14ac:dyDescent="0.25">
      <c r="A61" s="9" t="str">
        <f t="shared" si="0"/>
        <v>289NL300142</v>
      </c>
      <c r="B61" s="9" t="str">
        <f>COUNTIF($A$7:A61,A61)&amp;A61</f>
        <v>1289NL300142</v>
      </c>
      <c r="C61" s="54">
        <v>45928</v>
      </c>
      <c r="D61" s="55" t="s">
        <v>294</v>
      </c>
      <c r="E61" s="56" t="s">
        <v>390</v>
      </c>
      <c r="F61" s="56" t="s">
        <v>295</v>
      </c>
      <c r="G61" s="55" t="s">
        <v>296</v>
      </c>
      <c r="H61" s="55" t="s">
        <v>297</v>
      </c>
      <c r="I61" s="55" t="s">
        <v>391</v>
      </c>
      <c r="J61" s="55" t="s">
        <v>259</v>
      </c>
      <c r="K61" s="55" t="s">
        <v>308</v>
      </c>
      <c r="L61" s="55" t="s">
        <v>92</v>
      </c>
      <c r="M61" s="57">
        <v>2</v>
      </c>
      <c r="N61" s="58">
        <v>55000</v>
      </c>
      <c r="O61" s="58">
        <v>0</v>
      </c>
      <c r="P61" s="59">
        <v>110000</v>
      </c>
      <c r="Q61" s="58">
        <v>55000</v>
      </c>
      <c r="R61" s="55" t="s">
        <v>362</v>
      </c>
      <c r="S61" s="55" t="s">
        <v>363</v>
      </c>
      <c r="T61" s="55" t="s">
        <v>18</v>
      </c>
      <c r="U61" s="55" t="s">
        <v>364</v>
      </c>
      <c r="V61" s="55" t="s">
        <v>18</v>
      </c>
      <c r="W61" s="47">
        <f>VLOOKUP(B61,titan!$X$15:$Y$718,2,0)-M61</f>
        <v>0</v>
      </c>
    </row>
    <row r="62" spans="1:23" x14ac:dyDescent="0.25">
      <c r="A62" s="9" t="str">
        <f t="shared" si="0"/>
        <v>289NL300147</v>
      </c>
      <c r="B62" s="9" t="str">
        <f>COUNTIF($A$7:A62,A62)&amp;A62</f>
        <v>1289NL300147</v>
      </c>
      <c r="C62" s="54">
        <v>45928</v>
      </c>
      <c r="D62" s="55" t="s">
        <v>294</v>
      </c>
      <c r="E62" s="56" t="s">
        <v>390</v>
      </c>
      <c r="F62" s="56" t="s">
        <v>295</v>
      </c>
      <c r="G62" s="55" t="s">
        <v>296</v>
      </c>
      <c r="H62" s="55" t="s">
        <v>297</v>
      </c>
      <c r="I62" s="55" t="s">
        <v>391</v>
      </c>
      <c r="J62" s="55" t="s">
        <v>270</v>
      </c>
      <c r="K62" s="55" t="s">
        <v>309</v>
      </c>
      <c r="L62" s="55" t="s">
        <v>92</v>
      </c>
      <c r="M62" s="57">
        <v>9</v>
      </c>
      <c r="N62" s="58">
        <v>55000</v>
      </c>
      <c r="O62" s="58">
        <v>0</v>
      </c>
      <c r="P62" s="59">
        <v>495000</v>
      </c>
      <c r="Q62" s="58">
        <v>55000</v>
      </c>
      <c r="R62" s="55" t="s">
        <v>362</v>
      </c>
      <c r="S62" s="55" t="s">
        <v>363</v>
      </c>
      <c r="T62" s="55" t="s">
        <v>18</v>
      </c>
      <c r="U62" s="55" t="s">
        <v>364</v>
      </c>
      <c r="V62" s="55" t="s">
        <v>18</v>
      </c>
      <c r="W62" s="47">
        <f>VLOOKUP(B62,titan!$X$15:$Y$718,2,0)-M62</f>
        <v>0</v>
      </c>
    </row>
    <row r="63" spans="1:23" x14ac:dyDescent="0.25">
      <c r="A63" s="9" t="str">
        <f t="shared" si="0"/>
        <v>289NL300203</v>
      </c>
      <c r="B63" s="9" t="str">
        <f>COUNTIF($A$7:A63,A63)&amp;A63</f>
        <v>1289NL300203</v>
      </c>
      <c r="C63" s="54">
        <v>45928</v>
      </c>
      <c r="D63" s="55" t="s">
        <v>294</v>
      </c>
      <c r="E63" s="56" t="s">
        <v>390</v>
      </c>
      <c r="F63" s="56" t="s">
        <v>295</v>
      </c>
      <c r="G63" s="55" t="s">
        <v>296</v>
      </c>
      <c r="H63" s="55" t="s">
        <v>297</v>
      </c>
      <c r="I63" s="55" t="s">
        <v>391</v>
      </c>
      <c r="J63" s="55" t="s">
        <v>337</v>
      </c>
      <c r="K63" s="55" t="s">
        <v>366</v>
      </c>
      <c r="L63" s="55" t="s">
        <v>92</v>
      </c>
      <c r="M63" s="57">
        <v>3.8</v>
      </c>
      <c r="N63" s="58">
        <v>48000</v>
      </c>
      <c r="O63" s="58">
        <v>0</v>
      </c>
      <c r="P63" s="59">
        <v>182400</v>
      </c>
      <c r="Q63" s="58">
        <v>48000</v>
      </c>
      <c r="R63" s="55" t="s">
        <v>362</v>
      </c>
      <c r="S63" s="55" t="s">
        <v>363</v>
      </c>
      <c r="T63" s="55" t="s">
        <v>18</v>
      </c>
      <c r="U63" s="55" t="s">
        <v>364</v>
      </c>
      <c r="V63" s="55" t="s">
        <v>18</v>
      </c>
      <c r="W63" s="47">
        <f>VLOOKUP(B63,titan!$X$15:$Y$718,2,0)-M63</f>
        <v>0</v>
      </c>
    </row>
    <row r="64" spans="1:23" x14ac:dyDescent="0.25">
      <c r="A64" s="9" t="str">
        <f t="shared" si="0"/>
        <v>289NL300097</v>
      </c>
      <c r="B64" s="9" t="str">
        <f>COUNTIF($A$7:A64,A64)&amp;A64</f>
        <v>1289NL300097</v>
      </c>
      <c r="C64" s="54">
        <v>45928</v>
      </c>
      <c r="D64" s="55" t="s">
        <v>294</v>
      </c>
      <c r="E64" s="56" t="s">
        <v>390</v>
      </c>
      <c r="F64" s="56" t="s">
        <v>295</v>
      </c>
      <c r="G64" s="55" t="s">
        <v>296</v>
      </c>
      <c r="H64" s="55" t="s">
        <v>297</v>
      </c>
      <c r="I64" s="55" t="s">
        <v>391</v>
      </c>
      <c r="J64" s="55" t="s">
        <v>194</v>
      </c>
      <c r="K64" s="55" t="s">
        <v>317</v>
      </c>
      <c r="L64" s="55" t="s">
        <v>92</v>
      </c>
      <c r="M64" s="57">
        <v>1</v>
      </c>
      <c r="N64" s="58">
        <v>90000</v>
      </c>
      <c r="O64" s="58">
        <v>0</v>
      </c>
      <c r="P64" s="59">
        <v>90000</v>
      </c>
      <c r="Q64" s="58">
        <v>90000</v>
      </c>
      <c r="R64" s="55" t="s">
        <v>362</v>
      </c>
      <c r="S64" s="55" t="s">
        <v>363</v>
      </c>
      <c r="T64" s="55" t="s">
        <v>18</v>
      </c>
      <c r="U64" s="55" t="s">
        <v>364</v>
      </c>
      <c r="V64" s="55" t="s">
        <v>18</v>
      </c>
      <c r="W64" s="47">
        <f>VLOOKUP(B64,titan!$X$15:$Y$718,2,0)-M64</f>
        <v>0</v>
      </c>
    </row>
    <row r="65" spans="1:23" x14ac:dyDescent="0.25">
      <c r="A65" s="9" t="str">
        <f t="shared" si="0"/>
        <v>289NL300053</v>
      </c>
      <c r="B65" s="9" t="str">
        <f>COUNTIF($A$7:A65,A65)&amp;A65</f>
        <v>1289NL300053</v>
      </c>
      <c r="C65" s="54">
        <v>45928</v>
      </c>
      <c r="D65" s="55" t="s">
        <v>294</v>
      </c>
      <c r="E65" s="56" t="s">
        <v>390</v>
      </c>
      <c r="F65" s="56" t="s">
        <v>295</v>
      </c>
      <c r="G65" s="55" t="s">
        <v>296</v>
      </c>
      <c r="H65" s="55" t="s">
        <v>297</v>
      </c>
      <c r="I65" s="55" t="s">
        <v>391</v>
      </c>
      <c r="J65" s="55" t="s">
        <v>357</v>
      </c>
      <c r="K65" s="55" t="s">
        <v>358</v>
      </c>
      <c r="L65" s="55" t="s">
        <v>92</v>
      </c>
      <c r="M65" s="57">
        <v>0.5</v>
      </c>
      <c r="N65" s="58">
        <v>30000</v>
      </c>
      <c r="O65" s="58">
        <v>0</v>
      </c>
      <c r="P65" s="59">
        <v>15000</v>
      </c>
      <c r="Q65" s="58">
        <v>30000</v>
      </c>
      <c r="R65" s="55" t="s">
        <v>362</v>
      </c>
      <c r="S65" s="55" t="s">
        <v>363</v>
      </c>
      <c r="T65" s="55" t="s">
        <v>18</v>
      </c>
      <c r="U65" s="55" t="s">
        <v>364</v>
      </c>
      <c r="V65" s="55" t="s">
        <v>18</v>
      </c>
      <c r="W65" s="47">
        <f>VLOOKUP(B65,titan!$X$15:$Y$718,2,0)-M65</f>
        <v>0</v>
      </c>
    </row>
    <row r="66" spans="1:23" x14ac:dyDescent="0.25">
      <c r="A66" s="9" t="str">
        <f t="shared" si="0"/>
        <v>289NL300007</v>
      </c>
      <c r="B66" s="9" t="str">
        <f>COUNTIF($A$7:A66,A66)&amp;A66</f>
        <v>1289NL300007</v>
      </c>
      <c r="C66" s="54">
        <v>45928</v>
      </c>
      <c r="D66" s="55" t="s">
        <v>294</v>
      </c>
      <c r="E66" s="56" t="s">
        <v>390</v>
      </c>
      <c r="F66" s="56" t="s">
        <v>295</v>
      </c>
      <c r="G66" s="55" t="s">
        <v>296</v>
      </c>
      <c r="H66" s="55" t="s">
        <v>297</v>
      </c>
      <c r="I66" s="55" t="s">
        <v>391</v>
      </c>
      <c r="J66" s="55" t="s">
        <v>90</v>
      </c>
      <c r="K66" s="55" t="s">
        <v>91</v>
      </c>
      <c r="L66" s="55" t="s">
        <v>92</v>
      </c>
      <c r="M66" s="57">
        <v>1.3</v>
      </c>
      <c r="N66" s="58">
        <v>15000</v>
      </c>
      <c r="O66" s="58">
        <v>0</v>
      </c>
      <c r="P66" s="59">
        <v>19500</v>
      </c>
      <c r="Q66" s="58">
        <v>15000</v>
      </c>
      <c r="R66" s="55" t="s">
        <v>362</v>
      </c>
      <c r="S66" s="55" t="s">
        <v>363</v>
      </c>
      <c r="T66" s="55" t="s">
        <v>18</v>
      </c>
      <c r="U66" s="55" t="s">
        <v>364</v>
      </c>
      <c r="V66" s="55" t="s">
        <v>18</v>
      </c>
      <c r="W66" s="47">
        <f>VLOOKUP(B66,titan!$X$15:$Y$718,2,0)-M66</f>
        <v>0</v>
      </c>
    </row>
    <row r="67" spans="1:23" x14ac:dyDescent="0.25">
      <c r="A67" s="9" t="str">
        <f t="shared" si="0"/>
        <v>289NL600004</v>
      </c>
      <c r="B67" s="9" t="str">
        <f>COUNTIF($A$7:A67,A67)&amp;A67</f>
        <v>1289NL600004</v>
      </c>
      <c r="C67" s="54">
        <v>45928</v>
      </c>
      <c r="D67" s="55" t="s">
        <v>294</v>
      </c>
      <c r="E67" s="56" t="s">
        <v>390</v>
      </c>
      <c r="F67" s="56" t="s">
        <v>295</v>
      </c>
      <c r="G67" s="55" t="s">
        <v>296</v>
      </c>
      <c r="H67" s="55" t="s">
        <v>297</v>
      </c>
      <c r="I67" s="55" t="s">
        <v>391</v>
      </c>
      <c r="J67" s="55" t="s">
        <v>144</v>
      </c>
      <c r="K67" s="55" t="s">
        <v>47</v>
      </c>
      <c r="L67" s="55" t="s">
        <v>92</v>
      </c>
      <c r="M67" s="57">
        <v>24</v>
      </c>
      <c r="N67" s="58">
        <v>16000</v>
      </c>
      <c r="O67" s="58">
        <v>0</v>
      </c>
      <c r="P67" s="59">
        <v>384000</v>
      </c>
      <c r="Q67" s="58">
        <v>16000</v>
      </c>
      <c r="R67" s="55" t="s">
        <v>362</v>
      </c>
      <c r="S67" s="55" t="s">
        <v>363</v>
      </c>
      <c r="T67" s="55" t="s">
        <v>18</v>
      </c>
      <c r="U67" s="55" t="s">
        <v>364</v>
      </c>
      <c r="V67" s="55" t="s">
        <v>18</v>
      </c>
      <c r="W67" s="47">
        <f>VLOOKUP(B67,titan!$X$15:$Y$718,2,0)-M67</f>
        <v>0</v>
      </c>
    </row>
    <row r="68" spans="1:23" x14ac:dyDescent="0.25">
      <c r="A68" s="9" t="str">
        <f t="shared" si="0"/>
        <v>289NL300029</v>
      </c>
      <c r="B68" s="9" t="str">
        <f>COUNTIF($A$7:A68,A68)&amp;A68</f>
        <v>1289NL300029</v>
      </c>
      <c r="C68" s="54">
        <v>45928</v>
      </c>
      <c r="D68" s="55" t="s">
        <v>294</v>
      </c>
      <c r="E68" s="56" t="s">
        <v>390</v>
      </c>
      <c r="F68" s="56" t="s">
        <v>295</v>
      </c>
      <c r="G68" s="55" t="s">
        <v>296</v>
      </c>
      <c r="H68" s="55" t="s">
        <v>297</v>
      </c>
      <c r="I68" s="55" t="s">
        <v>391</v>
      </c>
      <c r="J68" s="55" t="s">
        <v>121</v>
      </c>
      <c r="K68" s="55" t="s">
        <v>298</v>
      </c>
      <c r="L68" s="55" t="s">
        <v>92</v>
      </c>
      <c r="M68" s="57">
        <v>0.5</v>
      </c>
      <c r="N68" s="58">
        <v>21000</v>
      </c>
      <c r="O68" s="58">
        <v>0</v>
      </c>
      <c r="P68" s="59">
        <v>10500</v>
      </c>
      <c r="Q68" s="58">
        <v>21000</v>
      </c>
      <c r="R68" s="55" t="s">
        <v>362</v>
      </c>
      <c r="S68" s="55" t="s">
        <v>363</v>
      </c>
      <c r="T68" s="55" t="s">
        <v>18</v>
      </c>
      <c r="U68" s="55" t="s">
        <v>364</v>
      </c>
      <c r="V68" s="55" t="s">
        <v>18</v>
      </c>
      <c r="W68" s="47">
        <f>VLOOKUP(B68,titan!$X$15:$Y$718,2,0)-M68</f>
        <v>0</v>
      </c>
    </row>
    <row r="69" spans="1:23" x14ac:dyDescent="0.25">
      <c r="A69" s="9" t="str">
        <f t="shared" si="0"/>
        <v>289NL600067</v>
      </c>
      <c r="B69" s="9" t="str">
        <f>COUNTIF($A$7:A69,A69)&amp;A69</f>
        <v>1289NL600067</v>
      </c>
      <c r="C69" s="54">
        <v>45928</v>
      </c>
      <c r="D69" s="55" t="s">
        <v>294</v>
      </c>
      <c r="E69" s="56" t="s">
        <v>390</v>
      </c>
      <c r="F69" s="56" t="s">
        <v>295</v>
      </c>
      <c r="G69" s="55" t="s">
        <v>296</v>
      </c>
      <c r="H69" s="55" t="s">
        <v>297</v>
      </c>
      <c r="I69" s="55" t="s">
        <v>391</v>
      </c>
      <c r="J69" s="55" t="s">
        <v>115</v>
      </c>
      <c r="K69" s="55" t="s">
        <v>72</v>
      </c>
      <c r="L69" s="55" t="s">
        <v>92</v>
      </c>
      <c r="M69" s="57">
        <v>0.6</v>
      </c>
      <c r="N69" s="58">
        <v>70000</v>
      </c>
      <c r="O69" s="58">
        <v>0</v>
      </c>
      <c r="P69" s="59">
        <v>42000</v>
      </c>
      <c r="Q69" s="58">
        <v>70000</v>
      </c>
      <c r="R69" s="55" t="s">
        <v>362</v>
      </c>
      <c r="S69" s="55" t="s">
        <v>363</v>
      </c>
      <c r="T69" s="55" t="s">
        <v>18</v>
      </c>
      <c r="U69" s="55" t="s">
        <v>364</v>
      </c>
      <c r="V69" s="55" t="s">
        <v>18</v>
      </c>
      <c r="W69" s="47">
        <f>VLOOKUP(B69,titan!$X$15:$Y$718,2,0)-M69</f>
        <v>0</v>
      </c>
    </row>
    <row r="70" spans="1:23" x14ac:dyDescent="0.25">
      <c r="A70" s="9" t="str">
        <f t="shared" si="0"/>
        <v>289NL300119</v>
      </c>
      <c r="B70" s="9" t="str">
        <f>COUNTIF($A$7:A70,A70)&amp;A70</f>
        <v>1289NL300119</v>
      </c>
      <c r="C70" s="54">
        <v>45928</v>
      </c>
      <c r="D70" s="55" t="s">
        <v>294</v>
      </c>
      <c r="E70" s="56" t="s">
        <v>390</v>
      </c>
      <c r="F70" s="56" t="s">
        <v>295</v>
      </c>
      <c r="G70" s="55" t="s">
        <v>296</v>
      </c>
      <c r="H70" s="55" t="s">
        <v>297</v>
      </c>
      <c r="I70" s="55" t="s">
        <v>391</v>
      </c>
      <c r="J70" s="55" t="s">
        <v>242</v>
      </c>
      <c r="K70" s="55" t="s">
        <v>307</v>
      </c>
      <c r="L70" s="55" t="s">
        <v>92</v>
      </c>
      <c r="M70" s="57">
        <v>10</v>
      </c>
      <c r="N70" s="58">
        <v>20000</v>
      </c>
      <c r="O70" s="58">
        <v>0</v>
      </c>
      <c r="P70" s="59">
        <v>200000</v>
      </c>
      <c r="Q70" s="58">
        <v>20000</v>
      </c>
      <c r="R70" s="55" t="s">
        <v>362</v>
      </c>
      <c r="S70" s="55" t="s">
        <v>363</v>
      </c>
      <c r="T70" s="55" t="s">
        <v>18</v>
      </c>
      <c r="U70" s="55" t="s">
        <v>364</v>
      </c>
      <c r="V70" s="55" t="s">
        <v>18</v>
      </c>
      <c r="W70" s="47">
        <f>VLOOKUP(B70,titan!$X$15:$Y$718,2,0)-M70</f>
        <v>0</v>
      </c>
    </row>
    <row r="71" spans="1:23" x14ac:dyDescent="0.25">
      <c r="A71" s="9" t="str">
        <f t="shared" si="0"/>
        <v>289NL300030</v>
      </c>
      <c r="B71" s="9" t="str">
        <f>COUNTIF($A$7:A71,A71)&amp;A71</f>
        <v>1289NL300030</v>
      </c>
      <c r="C71" s="54">
        <v>45928</v>
      </c>
      <c r="D71" s="55" t="s">
        <v>294</v>
      </c>
      <c r="E71" s="56" t="s">
        <v>390</v>
      </c>
      <c r="F71" s="56" t="s">
        <v>295</v>
      </c>
      <c r="G71" s="55" t="s">
        <v>296</v>
      </c>
      <c r="H71" s="55" t="s">
        <v>297</v>
      </c>
      <c r="I71" s="55" t="s">
        <v>391</v>
      </c>
      <c r="J71" s="55" t="s">
        <v>120</v>
      </c>
      <c r="K71" s="55" t="s">
        <v>310</v>
      </c>
      <c r="L71" s="55" t="s">
        <v>92</v>
      </c>
      <c r="M71" s="57">
        <v>0.6</v>
      </c>
      <c r="N71" s="58">
        <v>31000</v>
      </c>
      <c r="O71" s="58">
        <v>0</v>
      </c>
      <c r="P71" s="59">
        <v>18600</v>
      </c>
      <c r="Q71" s="58">
        <v>31000</v>
      </c>
      <c r="R71" s="55" t="s">
        <v>362</v>
      </c>
      <c r="S71" s="55" t="s">
        <v>363</v>
      </c>
      <c r="T71" s="55" t="s">
        <v>18</v>
      </c>
      <c r="U71" s="55" t="s">
        <v>364</v>
      </c>
      <c r="V71" s="55" t="s">
        <v>18</v>
      </c>
      <c r="W71" s="47">
        <f>VLOOKUP(B71,titan!$X$15:$Y$718,2,0)-M71</f>
        <v>0</v>
      </c>
    </row>
    <row r="72" spans="1:23" x14ac:dyDescent="0.25">
      <c r="A72" s="9" t="str">
        <f t="shared" ref="A72:A110" si="1">DAY(C72)&amp;MONTH(C72)&amp;J72</f>
        <v>299NL300022</v>
      </c>
      <c r="B72" s="9" t="str">
        <f>COUNTIF($A$7:A72,A72)&amp;A72</f>
        <v>1299NL300022</v>
      </c>
      <c r="C72" s="54">
        <v>45929</v>
      </c>
      <c r="D72" s="55" t="s">
        <v>294</v>
      </c>
      <c r="E72" s="56" t="s">
        <v>392</v>
      </c>
      <c r="F72" s="56" t="s">
        <v>295</v>
      </c>
      <c r="G72" s="55" t="s">
        <v>296</v>
      </c>
      <c r="H72" s="55" t="s">
        <v>297</v>
      </c>
      <c r="I72" s="55" t="s">
        <v>389</v>
      </c>
      <c r="J72" s="55" t="s">
        <v>112</v>
      </c>
      <c r="K72" s="55" t="s">
        <v>111</v>
      </c>
      <c r="L72" s="55" t="s">
        <v>92</v>
      </c>
      <c r="M72" s="57">
        <v>4.8</v>
      </c>
      <c r="N72" s="58">
        <v>14000</v>
      </c>
      <c r="O72" s="58">
        <v>0</v>
      </c>
      <c r="P72" s="59">
        <v>67200</v>
      </c>
      <c r="Q72" s="58">
        <v>14000</v>
      </c>
      <c r="R72" s="55" t="s">
        <v>362</v>
      </c>
      <c r="S72" s="55" t="s">
        <v>363</v>
      </c>
      <c r="T72" s="55" t="s">
        <v>18</v>
      </c>
      <c r="U72" s="55" t="s">
        <v>364</v>
      </c>
      <c r="V72" s="55" t="s">
        <v>18</v>
      </c>
      <c r="W72" s="47">
        <f>VLOOKUP(B72,titan!$X$15:$Y$718,2,0)-M72</f>
        <v>0</v>
      </c>
    </row>
    <row r="73" spans="1:23" x14ac:dyDescent="0.25">
      <c r="A73" s="9" t="str">
        <f t="shared" si="1"/>
        <v>299NL300033</v>
      </c>
      <c r="B73" s="9" t="str">
        <f>COUNTIF($A$7:A73,A73)&amp;A73</f>
        <v>1299NL300033</v>
      </c>
      <c r="C73" s="54">
        <v>45929</v>
      </c>
      <c r="D73" s="55" t="s">
        <v>294</v>
      </c>
      <c r="E73" s="56" t="s">
        <v>392</v>
      </c>
      <c r="F73" s="56" t="s">
        <v>295</v>
      </c>
      <c r="G73" s="55" t="s">
        <v>296</v>
      </c>
      <c r="H73" s="55" t="s">
        <v>297</v>
      </c>
      <c r="I73" s="55" t="s">
        <v>389</v>
      </c>
      <c r="J73" s="55" t="s">
        <v>127</v>
      </c>
      <c r="K73" s="55" t="s">
        <v>365</v>
      </c>
      <c r="L73" s="55" t="s">
        <v>92</v>
      </c>
      <c r="M73" s="57">
        <v>1.2</v>
      </c>
      <c r="N73" s="58">
        <v>11000</v>
      </c>
      <c r="O73" s="58">
        <v>0</v>
      </c>
      <c r="P73" s="59">
        <v>13200</v>
      </c>
      <c r="Q73" s="58">
        <v>11000</v>
      </c>
      <c r="R73" s="55" t="s">
        <v>362</v>
      </c>
      <c r="S73" s="55" t="s">
        <v>363</v>
      </c>
      <c r="T73" s="55" t="s">
        <v>18</v>
      </c>
      <c r="U73" s="55" t="s">
        <v>364</v>
      </c>
      <c r="V73" s="55" t="s">
        <v>18</v>
      </c>
      <c r="W73" s="47">
        <f>VLOOKUP(B73,titan!$X$15:$Y$718,2,0)-M73</f>
        <v>0</v>
      </c>
    </row>
    <row r="74" spans="1:23" x14ac:dyDescent="0.25">
      <c r="A74" s="9" t="str">
        <f t="shared" si="1"/>
        <v>299NL300036</v>
      </c>
      <c r="B74" s="9" t="str">
        <f>COUNTIF($A$7:A74,A74)&amp;A74</f>
        <v>1299NL300036</v>
      </c>
      <c r="C74" s="54">
        <v>45929</v>
      </c>
      <c r="D74" s="55" t="s">
        <v>294</v>
      </c>
      <c r="E74" s="56" t="s">
        <v>392</v>
      </c>
      <c r="F74" s="56" t="s">
        <v>295</v>
      </c>
      <c r="G74" s="55" t="s">
        <v>296</v>
      </c>
      <c r="H74" s="55" t="s">
        <v>297</v>
      </c>
      <c r="I74" s="55" t="s">
        <v>389</v>
      </c>
      <c r="J74" s="55" t="s">
        <v>131</v>
      </c>
      <c r="K74" s="55" t="s">
        <v>27</v>
      </c>
      <c r="L74" s="55" t="s">
        <v>92</v>
      </c>
      <c r="M74" s="57">
        <v>2.1</v>
      </c>
      <c r="N74" s="58">
        <v>44000</v>
      </c>
      <c r="O74" s="58">
        <v>0</v>
      </c>
      <c r="P74" s="59">
        <v>92400</v>
      </c>
      <c r="Q74" s="58">
        <v>44000</v>
      </c>
      <c r="R74" s="55" t="s">
        <v>362</v>
      </c>
      <c r="S74" s="55" t="s">
        <v>363</v>
      </c>
      <c r="T74" s="55" t="s">
        <v>18</v>
      </c>
      <c r="U74" s="55" t="s">
        <v>364</v>
      </c>
      <c r="V74" s="55" t="s">
        <v>18</v>
      </c>
      <c r="W74" s="47">
        <f>VLOOKUP(B74,titan!$X$15:$Y$718,2,0)-M74</f>
        <v>0</v>
      </c>
    </row>
    <row r="75" spans="1:23" x14ac:dyDescent="0.25">
      <c r="A75" s="9" t="str">
        <f t="shared" si="1"/>
        <v>299NL300058</v>
      </c>
      <c r="B75" s="9" t="str">
        <f>COUNTIF($A$7:A75,A75)&amp;A75</f>
        <v>1299NL300058</v>
      </c>
      <c r="C75" s="54">
        <v>45929</v>
      </c>
      <c r="D75" s="55" t="s">
        <v>294</v>
      </c>
      <c r="E75" s="56" t="s">
        <v>392</v>
      </c>
      <c r="F75" s="56" t="s">
        <v>295</v>
      </c>
      <c r="G75" s="55" t="s">
        <v>296</v>
      </c>
      <c r="H75" s="55" t="s">
        <v>297</v>
      </c>
      <c r="I75" s="55" t="s">
        <v>389</v>
      </c>
      <c r="J75" s="55" t="s">
        <v>147</v>
      </c>
      <c r="K75" s="55" t="s">
        <v>29</v>
      </c>
      <c r="L75" s="55" t="s">
        <v>92</v>
      </c>
      <c r="M75" s="57">
        <v>0.7</v>
      </c>
      <c r="N75" s="58">
        <v>31000</v>
      </c>
      <c r="O75" s="58">
        <v>0</v>
      </c>
      <c r="P75" s="59">
        <v>21700</v>
      </c>
      <c r="Q75" s="58">
        <v>31000</v>
      </c>
      <c r="R75" s="55" t="s">
        <v>362</v>
      </c>
      <c r="S75" s="55" t="s">
        <v>363</v>
      </c>
      <c r="T75" s="55" t="s">
        <v>18</v>
      </c>
      <c r="U75" s="55" t="s">
        <v>364</v>
      </c>
      <c r="V75" s="55" t="s">
        <v>18</v>
      </c>
      <c r="W75" s="47">
        <f>VLOOKUP(B75,titan!$X$15:$Y$718,2,0)-M75</f>
        <v>0</v>
      </c>
    </row>
    <row r="76" spans="1:23" x14ac:dyDescent="0.25">
      <c r="A76" s="9" t="str">
        <f t="shared" si="1"/>
        <v>299NL300085</v>
      </c>
      <c r="B76" s="9" t="str">
        <f>COUNTIF($A$7:A76,A76)&amp;A76</f>
        <v>1299NL300085</v>
      </c>
      <c r="C76" s="54">
        <v>45929</v>
      </c>
      <c r="D76" s="55" t="s">
        <v>294</v>
      </c>
      <c r="E76" s="56" t="s">
        <v>392</v>
      </c>
      <c r="F76" s="56" t="s">
        <v>295</v>
      </c>
      <c r="G76" s="55" t="s">
        <v>296</v>
      </c>
      <c r="H76" s="55" t="s">
        <v>297</v>
      </c>
      <c r="I76" s="55" t="s">
        <v>389</v>
      </c>
      <c r="J76" s="55" t="s">
        <v>205</v>
      </c>
      <c r="K76" s="55" t="s">
        <v>306</v>
      </c>
      <c r="L76" s="55" t="s">
        <v>92</v>
      </c>
      <c r="M76" s="57">
        <v>0.7</v>
      </c>
      <c r="N76" s="58">
        <v>45000</v>
      </c>
      <c r="O76" s="58">
        <v>0</v>
      </c>
      <c r="P76" s="59">
        <v>31500</v>
      </c>
      <c r="Q76" s="58">
        <v>45000</v>
      </c>
      <c r="R76" s="55" t="s">
        <v>362</v>
      </c>
      <c r="S76" s="55" t="s">
        <v>363</v>
      </c>
      <c r="T76" s="55" t="s">
        <v>18</v>
      </c>
      <c r="U76" s="55" t="s">
        <v>364</v>
      </c>
      <c r="V76" s="55" t="s">
        <v>18</v>
      </c>
      <c r="W76" s="47">
        <f>VLOOKUP(B76,titan!$X$15:$Y$718,2,0)-M76</f>
        <v>0</v>
      </c>
    </row>
    <row r="77" spans="1:23" x14ac:dyDescent="0.25">
      <c r="A77" s="9" t="str">
        <f t="shared" si="1"/>
        <v>299NL300090</v>
      </c>
      <c r="B77" s="9" t="str">
        <f>COUNTIF($A$7:A77,A77)&amp;A77</f>
        <v>1299NL300090</v>
      </c>
      <c r="C77" s="54">
        <v>45929</v>
      </c>
      <c r="D77" s="55" t="s">
        <v>294</v>
      </c>
      <c r="E77" s="56" t="s">
        <v>392</v>
      </c>
      <c r="F77" s="56" t="s">
        <v>295</v>
      </c>
      <c r="G77" s="55" t="s">
        <v>296</v>
      </c>
      <c r="H77" s="55" t="s">
        <v>297</v>
      </c>
      <c r="I77" s="55" t="s">
        <v>389</v>
      </c>
      <c r="J77" s="55" t="s">
        <v>189</v>
      </c>
      <c r="K77" s="55" t="s">
        <v>39</v>
      </c>
      <c r="L77" s="55" t="s">
        <v>92</v>
      </c>
      <c r="M77" s="57">
        <v>2</v>
      </c>
      <c r="N77" s="58">
        <v>138000</v>
      </c>
      <c r="O77" s="58">
        <v>0</v>
      </c>
      <c r="P77" s="59">
        <v>276000</v>
      </c>
      <c r="Q77" s="58">
        <v>138000</v>
      </c>
      <c r="R77" s="55" t="s">
        <v>362</v>
      </c>
      <c r="S77" s="55" t="s">
        <v>363</v>
      </c>
      <c r="T77" s="55" t="s">
        <v>18</v>
      </c>
      <c r="U77" s="55" t="s">
        <v>364</v>
      </c>
      <c r="V77" s="55" t="s">
        <v>18</v>
      </c>
      <c r="W77" s="47">
        <f>VLOOKUP(B77,titan!$X$15:$Y$718,2,0)-M77</f>
        <v>0</v>
      </c>
    </row>
    <row r="78" spans="1:23" x14ac:dyDescent="0.25">
      <c r="A78" s="9" t="str">
        <f t="shared" si="1"/>
        <v>299NL300091</v>
      </c>
      <c r="B78" s="9" t="str">
        <f>COUNTIF($A$7:A78,A78)&amp;A78</f>
        <v>1299NL300091</v>
      </c>
      <c r="C78" s="54">
        <v>45929</v>
      </c>
      <c r="D78" s="55" t="s">
        <v>294</v>
      </c>
      <c r="E78" s="56" t="s">
        <v>392</v>
      </c>
      <c r="F78" s="56" t="s">
        <v>295</v>
      </c>
      <c r="G78" s="55" t="s">
        <v>296</v>
      </c>
      <c r="H78" s="55" t="s">
        <v>297</v>
      </c>
      <c r="I78" s="55" t="s">
        <v>389</v>
      </c>
      <c r="J78" s="55" t="s">
        <v>190</v>
      </c>
      <c r="K78" s="55" t="s">
        <v>40</v>
      </c>
      <c r="L78" s="55" t="s">
        <v>92</v>
      </c>
      <c r="M78" s="57">
        <v>5</v>
      </c>
      <c r="N78" s="58">
        <v>45000</v>
      </c>
      <c r="O78" s="58">
        <v>0</v>
      </c>
      <c r="P78" s="59">
        <v>225000</v>
      </c>
      <c r="Q78" s="58">
        <v>45000</v>
      </c>
      <c r="R78" s="55" t="s">
        <v>362</v>
      </c>
      <c r="S78" s="55" t="s">
        <v>363</v>
      </c>
      <c r="T78" s="55" t="s">
        <v>18</v>
      </c>
      <c r="U78" s="55" t="s">
        <v>364</v>
      </c>
      <c r="V78" s="55" t="s">
        <v>18</v>
      </c>
      <c r="W78" s="47">
        <f>VLOOKUP(B78,titan!$X$15:$Y$718,2,0)-M78</f>
        <v>0</v>
      </c>
    </row>
    <row r="79" spans="1:23" x14ac:dyDescent="0.25">
      <c r="A79" s="9" t="str">
        <f t="shared" si="1"/>
        <v>299NL300098</v>
      </c>
      <c r="B79" s="9" t="str">
        <f>COUNTIF($A$7:A79,A79)&amp;A79</f>
        <v>1299NL300098</v>
      </c>
      <c r="C79" s="54">
        <v>45929</v>
      </c>
      <c r="D79" s="55" t="s">
        <v>294</v>
      </c>
      <c r="E79" s="56" t="s">
        <v>392</v>
      </c>
      <c r="F79" s="56" t="s">
        <v>295</v>
      </c>
      <c r="G79" s="55" t="s">
        <v>296</v>
      </c>
      <c r="H79" s="55" t="s">
        <v>297</v>
      </c>
      <c r="I79" s="55" t="s">
        <v>389</v>
      </c>
      <c r="J79" s="55" t="s">
        <v>195</v>
      </c>
      <c r="K79" s="55" t="s">
        <v>320</v>
      </c>
      <c r="L79" s="55" t="s">
        <v>92</v>
      </c>
      <c r="M79" s="57">
        <v>4</v>
      </c>
      <c r="N79" s="58">
        <v>90000</v>
      </c>
      <c r="O79" s="58">
        <v>0</v>
      </c>
      <c r="P79" s="59">
        <v>360000</v>
      </c>
      <c r="Q79" s="58">
        <v>90000</v>
      </c>
      <c r="R79" s="55" t="s">
        <v>362</v>
      </c>
      <c r="S79" s="55" t="s">
        <v>363</v>
      </c>
      <c r="T79" s="55" t="s">
        <v>18</v>
      </c>
      <c r="U79" s="55" t="s">
        <v>364</v>
      </c>
      <c r="V79" s="55" t="s">
        <v>18</v>
      </c>
      <c r="W79" s="47">
        <f>VLOOKUP(B79,titan!$X$15:$Y$718,2,0)-M79</f>
        <v>0</v>
      </c>
    </row>
    <row r="80" spans="1:23" x14ac:dyDescent="0.25">
      <c r="A80" s="9" t="str">
        <f t="shared" si="1"/>
        <v>299NL300107</v>
      </c>
      <c r="B80" s="9" t="str">
        <f>COUNTIF($A$7:A80,A80)&amp;A80</f>
        <v>1299NL300107</v>
      </c>
      <c r="C80" s="54">
        <v>45929</v>
      </c>
      <c r="D80" s="55" t="s">
        <v>294</v>
      </c>
      <c r="E80" s="56" t="s">
        <v>392</v>
      </c>
      <c r="F80" s="56" t="s">
        <v>295</v>
      </c>
      <c r="G80" s="55" t="s">
        <v>296</v>
      </c>
      <c r="H80" s="55" t="s">
        <v>297</v>
      </c>
      <c r="I80" s="55" t="s">
        <v>389</v>
      </c>
      <c r="J80" s="55" t="s">
        <v>87</v>
      </c>
      <c r="K80" s="55" t="s">
        <v>299</v>
      </c>
      <c r="L80" s="55" t="s">
        <v>300</v>
      </c>
      <c r="M80" s="57">
        <v>3</v>
      </c>
      <c r="N80" s="58">
        <v>8000</v>
      </c>
      <c r="O80" s="58">
        <v>0</v>
      </c>
      <c r="P80" s="59">
        <v>24000</v>
      </c>
      <c r="Q80" s="58">
        <v>8000</v>
      </c>
      <c r="R80" s="55" t="s">
        <v>362</v>
      </c>
      <c r="S80" s="55" t="s">
        <v>363</v>
      </c>
      <c r="T80" s="55" t="s">
        <v>18</v>
      </c>
      <c r="U80" s="55" t="s">
        <v>364</v>
      </c>
      <c r="V80" s="55" t="s">
        <v>18</v>
      </c>
      <c r="W80" s="47">
        <f>VLOOKUP(B80,titan!$X$15:$Y$718,2,0)-M80</f>
        <v>0</v>
      </c>
    </row>
    <row r="81" spans="1:23" x14ac:dyDescent="0.25">
      <c r="A81" s="9" t="str">
        <f t="shared" si="1"/>
        <v>299NL300126</v>
      </c>
      <c r="B81" s="9" t="str">
        <f>COUNTIF($A$7:A81,A81)&amp;A81</f>
        <v>1299NL300126</v>
      </c>
      <c r="C81" s="54">
        <v>45929</v>
      </c>
      <c r="D81" s="55" t="s">
        <v>294</v>
      </c>
      <c r="E81" s="56" t="s">
        <v>392</v>
      </c>
      <c r="F81" s="56" t="s">
        <v>295</v>
      </c>
      <c r="G81" s="55" t="s">
        <v>296</v>
      </c>
      <c r="H81" s="55" t="s">
        <v>297</v>
      </c>
      <c r="I81" s="55" t="s">
        <v>389</v>
      </c>
      <c r="J81" s="55" t="s">
        <v>206</v>
      </c>
      <c r="K81" s="55" t="s">
        <v>315</v>
      </c>
      <c r="L81" s="55" t="s">
        <v>92</v>
      </c>
      <c r="M81" s="57">
        <v>0.2</v>
      </c>
      <c r="N81" s="58">
        <v>90000</v>
      </c>
      <c r="O81" s="58">
        <v>0</v>
      </c>
      <c r="P81" s="59">
        <v>18000</v>
      </c>
      <c r="Q81" s="58">
        <v>90000</v>
      </c>
      <c r="R81" s="55" t="s">
        <v>362</v>
      </c>
      <c r="S81" s="55" t="s">
        <v>363</v>
      </c>
      <c r="T81" s="55" t="s">
        <v>18</v>
      </c>
      <c r="U81" s="55" t="s">
        <v>364</v>
      </c>
      <c r="V81" s="55" t="s">
        <v>18</v>
      </c>
      <c r="W81" s="47">
        <f>VLOOKUP(B81,titan!$X$15:$Y$718,2,0)-M81</f>
        <v>0</v>
      </c>
    </row>
    <row r="82" spans="1:23" x14ac:dyDescent="0.25">
      <c r="A82" s="9" t="str">
        <f t="shared" si="1"/>
        <v>299NL300142</v>
      </c>
      <c r="B82" s="9" t="str">
        <f>COUNTIF($A$7:A82,A82)&amp;A82</f>
        <v>1299NL300142</v>
      </c>
      <c r="C82" s="54">
        <v>45929</v>
      </c>
      <c r="D82" s="55" t="s">
        <v>294</v>
      </c>
      <c r="E82" s="56" t="s">
        <v>392</v>
      </c>
      <c r="F82" s="56" t="s">
        <v>295</v>
      </c>
      <c r="G82" s="55" t="s">
        <v>296</v>
      </c>
      <c r="H82" s="55" t="s">
        <v>297</v>
      </c>
      <c r="I82" s="55" t="s">
        <v>389</v>
      </c>
      <c r="J82" s="55" t="s">
        <v>259</v>
      </c>
      <c r="K82" s="55" t="s">
        <v>308</v>
      </c>
      <c r="L82" s="55" t="s">
        <v>92</v>
      </c>
      <c r="M82" s="57">
        <v>1</v>
      </c>
      <c r="N82" s="58">
        <v>55000</v>
      </c>
      <c r="O82" s="58">
        <v>0</v>
      </c>
      <c r="P82" s="59">
        <v>55000</v>
      </c>
      <c r="Q82" s="58">
        <v>55000</v>
      </c>
      <c r="R82" s="55" t="s">
        <v>362</v>
      </c>
      <c r="S82" s="55" t="s">
        <v>363</v>
      </c>
      <c r="T82" s="55" t="s">
        <v>18</v>
      </c>
      <c r="U82" s="55" t="s">
        <v>364</v>
      </c>
      <c r="V82" s="55" t="s">
        <v>18</v>
      </c>
      <c r="W82" s="47">
        <f>VLOOKUP(B82,titan!$X$15:$Y$718,2,0)-M82</f>
        <v>0</v>
      </c>
    </row>
    <row r="83" spans="1:23" x14ac:dyDescent="0.25">
      <c r="A83" s="9" t="str">
        <f t="shared" si="1"/>
        <v>299NL300147</v>
      </c>
      <c r="B83" s="9" t="str">
        <f>COUNTIF($A$7:A83,A83)&amp;A83</f>
        <v>1299NL300147</v>
      </c>
      <c r="C83" s="54">
        <v>45929</v>
      </c>
      <c r="D83" s="55" t="s">
        <v>294</v>
      </c>
      <c r="E83" s="56" t="s">
        <v>392</v>
      </c>
      <c r="F83" s="56" t="s">
        <v>295</v>
      </c>
      <c r="G83" s="55" t="s">
        <v>296</v>
      </c>
      <c r="H83" s="55" t="s">
        <v>297</v>
      </c>
      <c r="I83" s="55" t="s">
        <v>389</v>
      </c>
      <c r="J83" s="55" t="s">
        <v>270</v>
      </c>
      <c r="K83" s="55" t="s">
        <v>309</v>
      </c>
      <c r="L83" s="55" t="s">
        <v>92</v>
      </c>
      <c r="M83" s="57">
        <v>4.7</v>
      </c>
      <c r="N83" s="58">
        <v>55000</v>
      </c>
      <c r="O83" s="58">
        <v>0</v>
      </c>
      <c r="P83" s="59">
        <v>258500</v>
      </c>
      <c r="Q83" s="58">
        <v>55000</v>
      </c>
      <c r="R83" s="55" t="s">
        <v>362</v>
      </c>
      <c r="S83" s="55" t="s">
        <v>363</v>
      </c>
      <c r="T83" s="55" t="s">
        <v>18</v>
      </c>
      <c r="U83" s="55" t="s">
        <v>364</v>
      </c>
      <c r="V83" s="55" t="s">
        <v>18</v>
      </c>
      <c r="W83" s="47">
        <f>VLOOKUP(B83,titan!$X$15:$Y$718,2,0)-M83</f>
        <v>0</v>
      </c>
    </row>
    <row r="84" spans="1:23" x14ac:dyDescent="0.25">
      <c r="A84" s="9" t="str">
        <f t="shared" si="1"/>
        <v>299NL300203</v>
      </c>
      <c r="B84" s="9" t="str">
        <f>COUNTIF($A$7:A84,A84)&amp;A84</f>
        <v>1299NL300203</v>
      </c>
      <c r="C84" s="54">
        <v>45929</v>
      </c>
      <c r="D84" s="55" t="s">
        <v>294</v>
      </c>
      <c r="E84" s="56" t="s">
        <v>392</v>
      </c>
      <c r="F84" s="56" t="s">
        <v>295</v>
      </c>
      <c r="G84" s="55" t="s">
        <v>296</v>
      </c>
      <c r="H84" s="55" t="s">
        <v>297</v>
      </c>
      <c r="I84" s="55" t="s">
        <v>389</v>
      </c>
      <c r="J84" s="55" t="s">
        <v>337</v>
      </c>
      <c r="K84" s="55" t="s">
        <v>366</v>
      </c>
      <c r="L84" s="55" t="s">
        <v>92</v>
      </c>
      <c r="M84" s="57">
        <v>0.8</v>
      </c>
      <c r="N84" s="58">
        <v>48000</v>
      </c>
      <c r="O84" s="58">
        <v>0</v>
      </c>
      <c r="P84" s="59">
        <v>38400</v>
      </c>
      <c r="Q84" s="58">
        <v>48000</v>
      </c>
      <c r="R84" s="55" t="s">
        <v>362</v>
      </c>
      <c r="S84" s="55" t="s">
        <v>363</v>
      </c>
      <c r="T84" s="55" t="s">
        <v>18</v>
      </c>
      <c r="U84" s="55" t="s">
        <v>364</v>
      </c>
      <c r="V84" s="55" t="s">
        <v>18</v>
      </c>
      <c r="W84" s="47">
        <f>VLOOKUP(B84,titan!$X$15:$Y$718,2,0)-M84</f>
        <v>0</v>
      </c>
    </row>
    <row r="85" spans="1:23" x14ac:dyDescent="0.25">
      <c r="A85" s="9" t="str">
        <f t="shared" si="1"/>
        <v>299NL300209</v>
      </c>
      <c r="B85" s="9" t="str">
        <f>COUNTIF($A$7:A85,A85)&amp;A85</f>
        <v>1299NL300209</v>
      </c>
      <c r="C85" s="54">
        <v>45929</v>
      </c>
      <c r="D85" s="55" t="s">
        <v>294</v>
      </c>
      <c r="E85" s="56" t="s">
        <v>392</v>
      </c>
      <c r="F85" s="56" t="s">
        <v>295</v>
      </c>
      <c r="G85" s="55" t="s">
        <v>296</v>
      </c>
      <c r="H85" s="55" t="s">
        <v>297</v>
      </c>
      <c r="I85" s="55" t="s">
        <v>389</v>
      </c>
      <c r="J85" s="55" t="s">
        <v>338</v>
      </c>
      <c r="K85" s="55" t="s">
        <v>368</v>
      </c>
      <c r="L85" s="55" t="s">
        <v>92</v>
      </c>
      <c r="M85" s="57">
        <v>2.2999999999999998</v>
      </c>
      <c r="N85" s="58">
        <v>32000</v>
      </c>
      <c r="O85" s="58">
        <v>0</v>
      </c>
      <c r="P85" s="59">
        <v>73600</v>
      </c>
      <c r="Q85" s="58">
        <v>32000</v>
      </c>
      <c r="R85" s="55" t="s">
        <v>362</v>
      </c>
      <c r="S85" s="55" t="s">
        <v>363</v>
      </c>
      <c r="T85" s="55" t="s">
        <v>18</v>
      </c>
      <c r="U85" s="55" t="s">
        <v>364</v>
      </c>
      <c r="V85" s="55" t="s">
        <v>18</v>
      </c>
      <c r="W85" s="47">
        <f>VLOOKUP(B85,titan!$X$15:$Y$718,2,0)-M85</f>
        <v>0</v>
      </c>
    </row>
    <row r="86" spans="1:23" x14ac:dyDescent="0.25">
      <c r="A86" s="9" t="str">
        <f t="shared" si="1"/>
        <v>299NL300018</v>
      </c>
      <c r="B86" s="9" t="str">
        <f>COUNTIF($A$7:A86,A86)&amp;A86</f>
        <v>1299NL300018</v>
      </c>
      <c r="C86" s="54">
        <v>45929</v>
      </c>
      <c r="D86" s="55" t="s">
        <v>294</v>
      </c>
      <c r="E86" s="56" t="s">
        <v>392</v>
      </c>
      <c r="F86" s="56" t="s">
        <v>295</v>
      </c>
      <c r="G86" s="55" t="s">
        <v>296</v>
      </c>
      <c r="H86" s="55" t="s">
        <v>297</v>
      </c>
      <c r="I86" s="55" t="s">
        <v>389</v>
      </c>
      <c r="J86" s="55" t="s">
        <v>244</v>
      </c>
      <c r="K86" s="55" t="s">
        <v>378</v>
      </c>
      <c r="L86" s="55" t="s">
        <v>92</v>
      </c>
      <c r="M86" s="57">
        <v>3.7</v>
      </c>
      <c r="N86" s="58">
        <v>31000</v>
      </c>
      <c r="O86" s="58">
        <v>0</v>
      </c>
      <c r="P86" s="59">
        <v>114700</v>
      </c>
      <c r="Q86" s="58">
        <v>31000</v>
      </c>
      <c r="R86" s="55" t="s">
        <v>362</v>
      </c>
      <c r="S86" s="55" t="s">
        <v>363</v>
      </c>
      <c r="T86" s="55" t="s">
        <v>18</v>
      </c>
      <c r="U86" s="55" t="s">
        <v>364</v>
      </c>
      <c r="V86" s="55" t="s">
        <v>18</v>
      </c>
      <c r="W86" s="47">
        <f>VLOOKUP(B86,titan!$X$15:$Y$718,2,0)-M86</f>
        <v>0</v>
      </c>
    </row>
    <row r="87" spans="1:23" x14ac:dyDescent="0.25">
      <c r="A87" s="9" t="str">
        <f t="shared" si="1"/>
        <v>299NL300113</v>
      </c>
      <c r="B87" s="9" t="str">
        <f>COUNTIF($A$7:A87,A87)&amp;A87</f>
        <v>1299NL300113</v>
      </c>
      <c r="C87" s="54">
        <v>45929</v>
      </c>
      <c r="D87" s="55" t="s">
        <v>294</v>
      </c>
      <c r="E87" s="56" t="s">
        <v>392</v>
      </c>
      <c r="F87" s="56" t="s">
        <v>295</v>
      </c>
      <c r="G87" s="55" t="s">
        <v>296</v>
      </c>
      <c r="H87" s="55" t="s">
        <v>297</v>
      </c>
      <c r="I87" s="55" t="s">
        <v>389</v>
      </c>
      <c r="J87" s="55" t="s">
        <v>216</v>
      </c>
      <c r="K87" s="55" t="s">
        <v>33</v>
      </c>
      <c r="L87" s="55" t="s">
        <v>92</v>
      </c>
      <c r="M87" s="57">
        <v>1</v>
      </c>
      <c r="N87" s="58">
        <v>48000</v>
      </c>
      <c r="O87" s="58">
        <v>0</v>
      </c>
      <c r="P87" s="59">
        <v>48000</v>
      </c>
      <c r="Q87" s="58">
        <v>48000</v>
      </c>
      <c r="R87" s="55" t="s">
        <v>362</v>
      </c>
      <c r="S87" s="55" t="s">
        <v>363</v>
      </c>
      <c r="T87" s="55" t="s">
        <v>18</v>
      </c>
      <c r="U87" s="55" t="s">
        <v>364</v>
      </c>
      <c r="V87" s="55" t="s">
        <v>18</v>
      </c>
      <c r="W87" s="47">
        <f>VLOOKUP(B87,titan!$X$15:$Y$718,2,0)-M87</f>
        <v>0</v>
      </c>
    </row>
    <row r="88" spans="1:23" x14ac:dyDescent="0.25">
      <c r="A88" s="9" t="str">
        <f t="shared" si="1"/>
        <v>299NL300084</v>
      </c>
      <c r="B88" s="9" t="str">
        <f>COUNTIF($A$7:A88,A88)&amp;A88</f>
        <v>1299NL300084</v>
      </c>
      <c r="C88" s="54">
        <v>45929</v>
      </c>
      <c r="D88" s="55" t="s">
        <v>294</v>
      </c>
      <c r="E88" s="56" t="s">
        <v>392</v>
      </c>
      <c r="F88" s="56" t="s">
        <v>295</v>
      </c>
      <c r="G88" s="55" t="s">
        <v>296</v>
      </c>
      <c r="H88" s="55" t="s">
        <v>297</v>
      </c>
      <c r="I88" s="55" t="s">
        <v>389</v>
      </c>
      <c r="J88" s="55" t="s">
        <v>184</v>
      </c>
      <c r="K88" s="55" t="s">
        <v>367</v>
      </c>
      <c r="L88" s="55" t="s">
        <v>92</v>
      </c>
      <c r="M88" s="57">
        <v>4.7</v>
      </c>
      <c r="N88" s="58">
        <v>20000</v>
      </c>
      <c r="O88" s="58">
        <v>0</v>
      </c>
      <c r="P88" s="59">
        <v>94000</v>
      </c>
      <c r="Q88" s="58">
        <v>20000</v>
      </c>
      <c r="R88" s="55" t="s">
        <v>362</v>
      </c>
      <c r="S88" s="55" t="s">
        <v>363</v>
      </c>
      <c r="T88" s="55" t="s">
        <v>18</v>
      </c>
      <c r="U88" s="55" t="s">
        <v>364</v>
      </c>
      <c r="V88" s="55" t="s">
        <v>18</v>
      </c>
      <c r="W88" s="47">
        <f>VLOOKUP(B88,titan!$X$15:$Y$718,2,0)-M88</f>
        <v>0</v>
      </c>
    </row>
    <row r="89" spans="1:23" x14ac:dyDescent="0.25">
      <c r="A89" s="9" t="str">
        <f t="shared" si="1"/>
        <v>299NL600004</v>
      </c>
      <c r="B89" s="9" t="str">
        <f>COUNTIF($A$7:A89,A89)&amp;A89</f>
        <v>1299NL600004</v>
      </c>
      <c r="C89" s="54">
        <v>45929</v>
      </c>
      <c r="D89" s="55" t="s">
        <v>294</v>
      </c>
      <c r="E89" s="56" t="s">
        <v>392</v>
      </c>
      <c r="F89" s="56" t="s">
        <v>295</v>
      </c>
      <c r="G89" s="55" t="s">
        <v>296</v>
      </c>
      <c r="H89" s="55" t="s">
        <v>297</v>
      </c>
      <c r="I89" s="55" t="s">
        <v>389</v>
      </c>
      <c r="J89" s="55" t="s">
        <v>144</v>
      </c>
      <c r="K89" s="55" t="s">
        <v>47</v>
      </c>
      <c r="L89" s="55" t="s">
        <v>92</v>
      </c>
      <c r="M89" s="57">
        <v>25.5</v>
      </c>
      <c r="N89" s="58">
        <v>16000</v>
      </c>
      <c r="O89" s="58">
        <v>0</v>
      </c>
      <c r="P89" s="59">
        <v>408000</v>
      </c>
      <c r="Q89" s="58">
        <v>16000</v>
      </c>
      <c r="R89" s="55" t="s">
        <v>362</v>
      </c>
      <c r="S89" s="55" t="s">
        <v>363</v>
      </c>
      <c r="T89" s="55" t="s">
        <v>18</v>
      </c>
      <c r="U89" s="55" t="s">
        <v>364</v>
      </c>
      <c r="V89" s="55" t="s">
        <v>18</v>
      </c>
      <c r="W89" s="47">
        <f>VLOOKUP(B89,titan!$X$15:$Y$718,2,0)-M89</f>
        <v>0</v>
      </c>
    </row>
    <row r="90" spans="1:23" x14ac:dyDescent="0.25">
      <c r="A90" s="9" t="str">
        <f t="shared" si="1"/>
        <v>299NL300062</v>
      </c>
      <c r="B90" s="9" t="str">
        <f>COUNTIF($A$7:A90,A90)&amp;A90</f>
        <v>1299NL300062</v>
      </c>
      <c r="C90" s="54">
        <v>45929</v>
      </c>
      <c r="D90" s="55" t="s">
        <v>294</v>
      </c>
      <c r="E90" s="56" t="s">
        <v>392</v>
      </c>
      <c r="F90" s="56" t="s">
        <v>295</v>
      </c>
      <c r="G90" s="55" t="s">
        <v>296</v>
      </c>
      <c r="H90" s="55" t="s">
        <v>297</v>
      </c>
      <c r="I90" s="55" t="s">
        <v>389</v>
      </c>
      <c r="J90" s="55" t="s">
        <v>159</v>
      </c>
      <c r="K90" s="55" t="s">
        <v>316</v>
      </c>
      <c r="L90" s="55" t="s">
        <v>92</v>
      </c>
      <c r="M90" s="57">
        <v>0.3</v>
      </c>
      <c r="N90" s="58">
        <v>54000</v>
      </c>
      <c r="O90" s="58">
        <v>0</v>
      </c>
      <c r="P90" s="59">
        <v>16200</v>
      </c>
      <c r="Q90" s="58">
        <v>54000</v>
      </c>
      <c r="R90" s="55" t="s">
        <v>362</v>
      </c>
      <c r="S90" s="55" t="s">
        <v>363</v>
      </c>
      <c r="T90" s="55" t="s">
        <v>18</v>
      </c>
      <c r="U90" s="55" t="s">
        <v>364</v>
      </c>
      <c r="V90" s="55" t="s">
        <v>18</v>
      </c>
      <c r="W90" s="47">
        <f>VLOOKUP(B90,titan!$X$15:$Y$718,2,0)-M90</f>
        <v>0</v>
      </c>
    </row>
    <row r="91" spans="1:23" x14ac:dyDescent="0.25">
      <c r="A91" s="9" t="str">
        <f t="shared" si="1"/>
        <v>299NL300013</v>
      </c>
      <c r="B91" s="9" t="str">
        <f>COUNTIF($A$7:A91,A91)&amp;A91</f>
        <v>1299NL300013</v>
      </c>
      <c r="C91" s="54">
        <v>45929</v>
      </c>
      <c r="D91" s="55" t="s">
        <v>294</v>
      </c>
      <c r="E91" s="56" t="s">
        <v>393</v>
      </c>
      <c r="F91" s="56" t="s">
        <v>295</v>
      </c>
      <c r="G91" s="55" t="s">
        <v>296</v>
      </c>
      <c r="H91" s="55" t="s">
        <v>297</v>
      </c>
      <c r="I91" s="55" t="s">
        <v>389</v>
      </c>
      <c r="J91" s="55" t="s">
        <v>102</v>
      </c>
      <c r="K91" s="55" t="s">
        <v>101</v>
      </c>
      <c r="L91" s="55" t="s">
        <v>92</v>
      </c>
      <c r="M91" s="57">
        <v>1.9</v>
      </c>
      <c r="N91" s="58">
        <v>25000</v>
      </c>
      <c r="O91" s="58">
        <v>0</v>
      </c>
      <c r="P91" s="59">
        <v>47500</v>
      </c>
      <c r="Q91" s="58">
        <v>25000</v>
      </c>
      <c r="R91" s="55" t="s">
        <v>362</v>
      </c>
      <c r="S91" s="55" t="s">
        <v>363</v>
      </c>
      <c r="T91" s="55" t="s">
        <v>18</v>
      </c>
      <c r="U91" s="55" t="s">
        <v>364</v>
      </c>
      <c r="V91" s="55" t="s">
        <v>18</v>
      </c>
      <c r="W91" s="47">
        <f>VLOOKUP(B91,titan!$X$15:$Y$718,2,0)-M91</f>
        <v>0</v>
      </c>
    </row>
    <row r="92" spans="1:23" x14ac:dyDescent="0.25">
      <c r="A92" s="9" t="str">
        <f t="shared" si="1"/>
        <v>309NL300022</v>
      </c>
      <c r="B92" s="9" t="str">
        <f>COUNTIF($A$7:A92,A92)&amp;A92</f>
        <v>1309NL300022</v>
      </c>
      <c r="C92" s="54">
        <v>45930</v>
      </c>
      <c r="D92" s="55" t="s">
        <v>294</v>
      </c>
      <c r="E92" s="56" t="s">
        <v>394</v>
      </c>
      <c r="F92" s="56" t="s">
        <v>295</v>
      </c>
      <c r="G92" s="55" t="s">
        <v>296</v>
      </c>
      <c r="H92" s="55" t="s">
        <v>297</v>
      </c>
      <c r="I92" s="55" t="s">
        <v>395</v>
      </c>
      <c r="J92" s="55" t="s">
        <v>112</v>
      </c>
      <c r="K92" s="55" t="s">
        <v>111</v>
      </c>
      <c r="L92" s="55" t="s">
        <v>92</v>
      </c>
      <c r="M92" s="57">
        <v>4</v>
      </c>
      <c r="N92" s="58">
        <v>14000</v>
      </c>
      <c r="O92" s="58">
        <v>0</v>
      </c>
      <c r="P92" s="59">
        <v>56000</v>
      </c>
      <c r="Q92" s="58">
        <v>14000</v>
      </c>
      <c r="R92" s="55" t="s">
        <v>362</v>
      </c>
      <c r="S92" s="55" t="s">
        <v>363</v>
      </c>
      <c r="T92" s="55" t="s">
        <v>18</v>
      </c>
      <c r="U92" s="55" t="s">
        <v>364</v>
      </c>
      <c r="V92" s="55" t="s">
        <v>18</v>
      </c>
      <c r="W92" s="47">
        <f>VLOOKUP(B92,titan!$X$15:$Y$718,2,0)-M92</f>
        <v>0</v>
      </c>
    </row>
    <row r="93" spans="1:23" x14ac:dyDescent="0.25">
      <c r="A93" s="9" t="str">
        <f t="shared" si="1"/>
        <v>309NL300033</v>
      </c>
      <c r="B93" s="9" t="str">
        <f>COUNTIF($A$7:A93,A93)&amp;A93</f>
        <v>1309NL300033</v>
      </c>
      <c r="C93" s="54">
        <v>45930</v>
      </c>
      <c r="D93" s="55" t="s">
        <v>294</v>
      </c>
      <c r="E93" s="56" t="s">
        <v>394</v>
      </c>
      <c r="F93" s="56" t="s">
        <v>295</v>
      </c>
      <c r="G93" s="55" t="s">
        <v>296</v>
      </c>
      <c r="H93" s="55" t="s">
        <v>297</v>
      </c>
      <c r="I93" s="55" t="s">
        <v>395</v>
      </c>
      <c r="J93" s="55" t="s">
        <v>127</v>
      </c>
      <c r="K93" s="55" t="s">
        <v>365</v>
      </c>
      <c r="L93" s="55" t="s">
        <v>92</v>
      </c>
      <c r="M93" s="57">
        <v>1.3</v>
      </c>
      <c r="N93" s="58">
        <v>11000</v>
      </c>
      <c r="O93" s="58">
        <v>0</v>
      </c>
      <c r="P93" s="59">
        <v>14300</v>
      </c>
      <c r="Q93" s="58">
        <v>11000</v>
      </c>
      <c r="R93" s="55" t="s">
        <v>362</v>
      </c>
      <c r="S93" s="55" t="s">
        <v>363</v>
      </c>
      <c r="T93" s="55" t="s">
        <v>18</v>
      </c>
      <c r="U93" s="55" t="s">
        <v>364</v>
      </c>
      <c r="V93" s="55" t="s">
        <v>18</v>
      </c>
      <c r="W93" s="47">
        <f>VLOOKUP(B93,titan!$X$15:$Y$718,2,0)-M93</f>
        <v>0</v>
      </c>
    </row>
    <row r="94" spans="1:23" x14ac:dyDescent="0.25">
      <c r="A94" s="9" t="str">
        <f t="shared" si="1"/>
        <v>309NL300058</v>
      </c>
      <c r="B94" s="9" t="str">
        <f>COUNTIF($A$7:A94,A94)&amp;A94</f>
        <v>1309NL300058</v>
      </c>
      <c r="C94" s="54">
        <v>45930</v>
      </c>
      <c r="D94" s="55" t="s">
        <v>294</v>
      </c>
      <c r="E94" s="56" t="s">
        <v>394</v>
      </c>
      <c r="F94" s="56" t="s">
        <v>295</v>
      </c>
      <c r="G94" s="55" t="s">
        <v>296</v>
      </c>
      <c r="H94" s="55" t="s">
        <v>297</v>
      </c>
      <c r="I94" s="55" t="s">
        <v>395</v>
      </c>
      <c r="J94" s="55" t="s">
        <v>147</v>
      </c>
      <c r="K94" s="55" t="s">
        <v>29</v>
      </c>
      <c r="L94" s="55" t="s">
        <v>92</v>
      </c>
      <c r="M94" s="57">
        <v>1</v>
      </c>
      <c r="N94" s="58">
        <v>31000</v>
      </c>
      <c r="O94" s="58">
        <v>0</v>
      </c>
      <c r="P94" s="59">
        <v>31000</v>
      </c>
      <c r="Q94" s="58">
        <v>31000</v>
      </c>
      <c r="R94" s="55" t="s">
        <v>362</v>
      </c>
      <c r="S94" s="55" t="s">
        <v>363</v>
      </c>
      <c r="T94" s="55" t="s">
        <v>18</v>
      </c>
      <c r="U94" s="55" t="s">
        <v>364</v>
      </c>
      <c r="V94" s="55" t="s">
        <v>18</v>
      </c>
      <c r="W94" s="47">
        <f>VLOOKUP(B94,titan!$X$15:$Y$718,2,0)-M94</f>
        <v>0</v>
      </c>
    </row>
    <row r="95" spans="1:23" x14ac:dyDescent="0.25">
      <c r="A95" s="9" t="str">
        <f t="shared" si="1"/>
        <v>309NL300090</v>
      </c>
      <c r="B95" s="9" t="str">
        <f>COUNTIF($A$7:A95,A95)&amp;A95</f>
        <v>1309NL300090</v>
      </c>
      <c r="C95" s="54">
        <v>45930</v>
      </c>
      <c r="D95" s="55" t="s">
        <v>294</v>
      </c>
      <c r="E95" s="56" t="s">
        <v>394</v>
      </c>
      <c r="F95" s="56" t="s">
        <v>295</v>
      </c>
      <c r="G95" s="55" t="s">
        <v>296</v>
      </c>
      <c r="H95" s="55" t="s">
        <v>297</v>
      </c>
      <c r="I95" s="55" t="s">
        <v>395</v>
      </c>
      <c r="J95" s="55" t="s">
        <v>189</v>
      </c>
      <c r="K95" s="55" t="s">
        <v>39</v>
      </c>
      <c r="L95" s="55" t="s">
        <v>92</v>
      </c>
      <c r="M95" s="57">
        <v>2</v>
      </c>
      <c r="N95" s="58">
        <v>138000</v>
      </c>
      <c r="O95" s="58">
        <v>0</v>
      </c>
      <c r="P95" s="59">
        <v>276000</v>
      </c>
      <c r="Q95" s="58">
        <v>138000</v>
      </c>
      <c r="R95" s="55" t="s">
        <v>362</v>
      </c>
      <c r="S95" s="55" t="s">
        <v>363</v>
      </c>
      <c r="T95" s="55" t="s">
        <v>18</v>
      </c>
      <c r="U95" s="55" t="s">
        <v>364</v>
      </c>
      <c r="V95" s="55" t="s">
        <v>18</v>
      </c>
      <c r="W95" s="47">
        <f>VLOOKUP(B95,titan!$X$15:$Y$718,2,0)-M95</f>
        <v>0</v>
      </c>
    </row>
    <row r="96" spans="1:23" x14ac:dyDescent="0.25">
      <c r="A96" s="9" t="str">
        <f t="shared" si="1"/>
        <v>309NL300096</v>
      </c>
      <c r="B96" s="9" t="str">
        <f>COUNTIF($A$7:A96,A96)&amp;A96</f>
        <v>1309NL300096</v>
      </c>
      <c r="C96" s="54">
        <v>45930</v>
      </c>
      <c r="D96" s="55" t="s">
        <v>294</v>
      </c>
      <c r="E96" s="56" t="s">
        <v>394</v>
      </c>
      <c r="F96" s="56" t="s">
        <v>295</v>
      </c>
      <c r="G96" s="55" t="s">
        <v>296</v>
      </c>
      <c r="H96" s="55" t="s">
        <v>297</v>
      </c>
      <c r="I96" s="55" t="s">
        <v>395</v>
      </c>
      <c r="J96" s="55" t="s">
        <v>193</v>
      </c>
      <c r="K96" s="55" t="s">
        <v>41</v>
      </c>
      <c r="L96" s="55" t="s">
        <v>92</v>
      </c>
      <c r="M96" s="57">
        <v>4</v>
      </c>
      <c r="N96" s="58">
        <v>45000</v>
      </c>
      <c r="O96" s="58">
        <v>0</v>
      </c>
      <c r="P96" s="59">
        <v>180000</v>
      </c>
      <c r="Q96" s="58">
        <v>45000</v>
      </c>
      <c r="R96" s="55" t="s">
        <v>362</v>
      </c>
      <c r="S96" s="55" t="s">
        <v>363</v>
      </c>
      <c r="T96" s="55" t="s">
        <v>18</v>
      </c>
      <c r="U96" s="55" t="s">
        <v>364</v>
      </c>
      <c r="V96" s="55" t="s">
        <v>18</v>
      </c>
      <c r="W96" s="47">
        <f>VLOOKUP(B96,titan!$X$15:$Y$718,2,0)-M96</f>
        <v>0</v>
      </c>
    </row>
    <row r="97" spans="1:23" x14ac:dyDescent="0.25">
      <c r="A97" s="9" t="str">
        <f t="shared" si="1"/>
        <v>309NL300098</v>
      </c>
      <c r="B97" s="9" t="str">
        <f>COUNTIF($A$7:A97,A97)&amp;A97</f>
        <v>1309NL300098</v>
      </c>
      <c r="C97" s="54">
        <v>45930</v>
      </c>
      <c r="D97" s="55" t="s">
        <v>294</v>
      </c>
      <c r="E97" s="56" t="s">
        <v>394</v>
      </c>
      <c r="F97" s="56" t="s">
        <v>295</v>
      </c>
      <c r="G97" s="55" t="s">
        <v>296</v>
      </c>
      <c r="H97" s="55" t="s">
        <v>297</v>
      </c>
      <c r="I97" s="55" t="s">
        <v>395</v>
      </c>
      <c r="J97" s="55" t="s">
        <v>195</v>
      </c>
      <c r="K97" s="55" t="s">
        <v>320</v>
      </c>
      <c r="L97" s="55" t="s">
        <v>92</v>
      </c>
      <c r="M97" s="57">
        <v>4</v>
      </c>
      <c r="N97" s="58">
        <v>90000</v>
      </c>
      <c r="O97" s="58">
        <v>0</v>
      </c>
      <c r="P97" s="59">
        <v>360000</v>
      </c>
      <c r="Q97" s="58">
        <v>90000</v>
      </c>
      <c r="R97" s="55" t="s">
        <v>362</v>
      </c>
      <c r="S97" s="55" t="s">
        <v>363</v>
      </c>
      <c r="T97" s="55" t="s">
        <v>18</v>
      </c>
      <c r="U97" s="55" t="s">
        <v>364</v>
      </c>
      <c r="V97" s="55" t="s">
        <v>18</v>
      </c>
      <c r="W97" s="47">
        <f>VLOOKUP(B97,titan!$X$15:$Y$718,2,0)-M97</f>
        <v>0</v>
      </c>
    </row>
    <row r="98" spans="1:23" x14ac:dyDescent="0.25">
      <c r="A98" s="9" t="str">
        <f t="shared" si="1"/>
        <v>309NL300126</v>
      </c>
      <c r="B98" s="9" t="str">
        <f>COUNTIF($A$7:A98,A98)&amp;A98</f>
        <v>1309NL300126</v>
      </c>
      <c r="C98" s="54">
        <v>45930</v>
      </c>
      <c r="D98" s="55" t="s">
        <v>294</v>
      </c>
      <c r="E98" s="56" t="s">
        <v>394</v>
      </c>
      <c r="F98" s="56" t="s">
        <v>295</v>
      </c>
      <c r="G98" s="55" t="s">
        <v>296</v>
      </c>
      <c r="H98" s="55" t="s">
        <v>297</v>
      </c>
      <c r="I98" s="55" t="s">
        <v>395</v>
      </c>
      <c r="J98" s="55" t="s">
        <v>206</v>
      </c>
      <c r="K98" s="55" t="s">
        <v>315</v>
      </c>
      <c r="L98" s="55" t="s">
        <v>92</v>
      </c>
      <c r="M98" s="57">
        <v>0.3</v>
      </c>
      <c r="N98" s="58">
        <v>90000</v>
      </c>
      <c r="O98" s="58">
        <v>0</v>
      </c>
      <c r="P98" s="59">
        <v>27000</v>
      </c>
      <c r="Q98" s="58">
        <v>90000</v>
      </c>
      <c r="R98" s="55" t="s">
        <v>362</v>
      </c>
      <c r="S98" s="55" t="s">
        <v>363</v>
      </c>
      <c r="T98" s="55" t="s">
        <v>18</v>
      </c>
      <c r="U98" s="55" t="s">
        <v>364</v>
      </c>
      <c r="V98" s="55" t="s">
        <v>18</v>
      </c>
      <c r="W98" s="47">
        <f>VLOOKUP(B98,titan!$X$15:$Y$718,2,0)-M98</f>
        <v>0</v>
      </c>
    </row>
    <row r="99" spans="1:23" x14ac:dyDescent="0.25">
      <c r="A99" s="9" t="str">
        <f t="shared" si="1"/>
        <v>309NL300147</v>
      </c>
      <c r="B99" s="9" t="str">
        <f>COUNTIF($A$7:A99,A99)&amp;A99</f>
        <v>1309NL300147</v>
      </c>
      <c r="C99" s="54">
        <v>45930</v>
      </c>
      <c r="D99" s="55" t="s">
        <v>294</v>
      </c>
      <c r="E99" s="56" t="s">
        <v>394</v>
      </c>
      <c r="F99" s="56" t="s">
        <v>295</v>
      </c>
      <c r="G99" s="55" t="s">
        <v>296</v>
      </c>
      <c r="H99" s="55" t="s">
        <v>297</v>
      </c>
      <c r="I99" s="55" t="s">
        <v>395</v>
      </c>
      <c r="J99" s="55" t="s">
        <v>270</v>
      </c>
      <c r="K99" s="55" t="s">
        <v>309</v>
      </c>
      <c r="L99" s="55" t="s">
        <v>92</v>
      </c>
      <c r="M99" s="57">
        <v>5</v>
      </c>
      <c r="N99" s="58">
        <v>55000</v>
      </c>
      <c r="O99" s="58">
        <v>0</v>
      </c>
      <c r="P99" s="59">
        <v>275000</v>
      </c>
      <c r="Q99" s="58">
        <v>55000</v>
      </c>
      <c r="R99" s="55" t="s">
        <v>362</v>
      </c>
      <c r="S99" s="55" t="s">
        <v>363</v>
      </c>
      <c r="T99" s="55" t="s">
        <v>18</v>
      </c>
      <c r="U99" s="55" t="s">
        <v>364</v>
      </c>
      <c r="V99" s="55" t="s">
        <v>18</v>
      </c>
      <c r="W99" s="47">
        <f>VLOOKUP(B99,titan!$X$15:$Y$718,2,0)-M99</f>
        <v>0</v>
      </c>
    </row>
    <row r="100" spans="1:23" x14ac:dyDescent="0.25">
      <c r="A100" s="9" t="str">
        <f t="shared" si="1"/>
        <v>309NL300053</v>
      </c>
      <c r="B100" s="9" t="str">
        <f>COUNTIF($A$7:A100,A100)&amp;A100</f>
        <v>1309NL300053</v>
      </c>
      <c r="C100" s="54">
        <v>45930</v>
      </c>
      <c r="D100" s="55" t="s">
        <v>294</v>
      </c>
      <c r="E100" s="56" t="s">
        <v>394</v>
      </c>
      <c r="F100" s="56" t="s">
        <v>295</v>
      </c>
      <c r="G100" s="55" t="s">
        <v>296</v>
      </c>
      <c r="H100" s="55" t="s">
        <v>297</v>
      </c>
      <c r="I100" s="55" t="s">
        <v>395</v>
      </c>
      <c r="J100" s="55" t="s">
        <v>357</v>
      </c>
      <c r="K100" s="55" t="s">
        <v>358</v>
      </c>
      <c r="L100" s="55" t="s">
        <v>92</v>
      </c>
      <c r="M100" s="57">
        <v>0.5</v>
      </c>
      <c r="N100" s="58">
        <v>30000</v>
      </c>
      <c r="O100" s="58">
        <v>0</v>
      </c>
      <c r="P100" s="59">
        <v>15000</v>
      </c>
      <c r="Q100" s="58">
        <v>30000</v>
      </c>
      <c r="R100" s="55" t="s">
        <v>362</v>
      </c>
      <c r="S100" s="55" t="s">
        <v>363</v>
      </c>
      <c r="T100" s="55" t="s">
        <v>18</v>
      </c>
      <c r="U100" s="55" t="s">
        <v>364</v>
      </c>
      <c r="V100" s="55" t="s">
        <v>18</v>
      </c>
      <c r="W100" s="47">
        <f>VLOOKUP(B100,titan!$X$15:$Y$718,2,0)-M100</f>
        <v>0</v>
      </c>
    </row>
    <row r="101" spans="1:23" x14ac:dyDescent="0.25">
      <c r="A101" s="9" t="str">
        <f t="shared" si="1"/>
        <v>309NL300084</v>
      </c>
      <c r="B101" s="9" t="str">
        <f>COUNTIF($A$7:A101,A101)&amp;A101</f>
        <v>1309NL300084</v>
      </c>
      <c r="C101" s="54">
        <v>45930</v>
      </c>
      <c r="D101" s="55" t="s">
        <v>294</v>
      </c>
      <c r="E101" s="56" t="s">
        <v>394</v>
      </c>
      <c r="F101" s="56" t="s">
        <v>295</v>
      </c>
      <c r="G101" s="55" t="s">
        <v>296</v>
      </c>
      <c r="H101" s="55" t="s">
        <v>297</v>
      </c>
      <c r="I101" s="55" t="s">
        <v>395</v>
      </c>
      <c r="J101" s="55" t="s">
        <v>184</v>
      </c>
      <c r="K101" s="55" t="s">
        <v>367</v>
      </c>
      <c r="L101" s="55" t="s">
        <v>92</v>
      </c>
      <c r="M101" s="57">
        <v>2</v>
      </c>
      <c r="N101" s="58">
        <v>20000</v>
      </c>
      <c r="O101" s="58">
        <v>0</v>
      </c>
      <c r="P101" s="59">
        <v>40000</v>
      </c>
      <c r="Q101" s="58">
        <v>20000</v>
      </c>
      <c r="R101" s="55" t="s">
        <v>362</v>
      </c>
      <c r="S101" s="55" t="s">
        <v>363</v>
      </c>
      <c r="T101" s="55" t="s">
        <v>18</v>
      </c>
      <c r="U101" s="55" t="s">
        <v>364</v>
      </c>
      <c r="V101" s="55" t="s">
        <v>18</v>
      </c>
      <c r="W101" s="47">
        <f>VLOOKUP(B101,titan!$X$15:$Y$718,2,0)-M101</f>
        <v>0</v>
      </c>
    </row>
    <row r="102" spans="1:23" x14ac:dyDescent="0.25">
      <c r="A102" s="9" t="str">
        <f t="shared" si="1"/>
        <v>309NL600004</v>
      </c>
      <c r="B102" s="9" t="str">
        <f>COUNTIF($A$7:A102,A102)&amp;A102</f>
        <v>1309NL600004</v>
      </c>
      <c r="C102" s="54">
        <v>45930</v>
      </c>
      <c r="D102" s="55" t="s">
        <v>294</v>
      </c>
      <c r="E102" s="56" t="s">
        <v>394</v>
      </c>
      <c r="F102" s="56" t="s">
        <v>295</v>
      </c>
      <c r="G102" s="55" t="s">
        <v>296</v>
      </c>
      <c r="H102" s="55" t="s">
        <v>297</v>
      </c>
      <c r="I102" s="55" t="s">
        <v>395</v>
      </c>
      <c r="J102" s="55" t="s">
        <v>144</v>
      </c>
      <c r="K102" s="55" t="s">
        <v>47</v>
      </c>
      <c r="L102" s="55" t="s">
        <v>92</v>
      </c>
      <c r="M102" s="57">
        <v>15.5</v>
      </c>
      <c r="N102" s="58">
        <v>16000</v>
      </c>
      <c r="O102" s="58">
        <v>0</v>
      </c>
      <c r="P102" s="59">
        <v>248000</v>
      </c>
      <c r="Q102" s="58">
        <v>16000</v>
      </c>
      <c r="R102" s="55" t="s">
        <v>362</v>
      </c>
      <c r="S102" s="55" t="s">
        <v>363</v>
      </c>
      <c r="T102" s="55" t="s">
        <v>18</v>
      </c>
      <c r="U102" s="55" t="s">
        <v>364</v>
      </c>
      <c r="V102" s="55" t="s">
        <v>18</v>
      </c>
      <c r="W102" s="47">
        <f>VLOOKUP(B102,titan!$X$15:$Y$718,2,0)-M102</f>
        <v>0</v>
      </c>
    </row>
    <row r="103" spans="1:23" x14ac:dyDescent="0.25">
      <c r="A103" s="9" t="str">
        <f t="shared" si="1"/>
        <v>309NL300029</v>
      </c>
      <c r="B103" s="9" t="str">
        <f>COUNTIF($A$7:A103,A103)&amp;A103</f>
        <v>1309NL300029</v>
      </c>
      <c r="C103" s="54">
        <v>45930</v>
      </c>
      <c r="D103" s="55" t="s">
        <v>294</v>
      </c>
      <c r="E103" s="56" t="s">
        <v>394</v>
      </c>
      <c r="F103" s="56" t="s">
        <v>295</v>
      </c>
      <c r="G103" s="55" t="s">
        <v>296</v>
      </c>
      <c r="H103" s="55" t="s">
        <v>297</v>
      </c>
      <c r="I103" s="55" t="s">
        <v>395</v>
      </c>
      <c r="J103" s="55" t="s">
        <v>121</v>
      </c>
      <c r="K103" s="55" t="s">
        <v>298</v>
      </c>
      <c r="L103" s="55" t="s">
        <v>92</v>
      </c>
      <c r="M103" s="57">
        <v>0.5</v>
      </c>
      <c r="N103" s="58">
        <v>21000</v>
      </c>
      <c r="O103" s="58">
        <v>0</v>
      </c>
      <c r="P103" s="59">
        <v>10500</v>
      </c>
      <c r="Q103" s="58">
        <v>21000</v>
      </c>
      <c r="R103" s="55" t="s">
        <v>362</v>
      </c>
      <c r="S103" s="55" t="s">
        <v>363</v>
      </c>
      <c r="T103" s="55" t="s">
        <v>18</v>
      </c>
      <c r="U103" s="55" t="s">
        <v>364</v>
      </c>
      <c r="V103" s="55" t="s">
        <v>18</v>
      </c>
      <c r="W103" s="47">
        <f>VLOOKUP(B103,titan!$X$15:$Y$718,2,0)-M103</f>
        <v>0</v>
      </c>
    </row>
    <row r="104" spans="1:23" x14ac:dyDescent="0.25">
      <c r="A104" s="9" t="str">
        <f t="shared" si="1"/>
        <v>309NL600067</v>
      </c>
      <c r="B104" s="9" t="str">
        <f>COUNTIF($A$7:A104,A104)&amp;A104</f>
        <v>1309NL600067</v>
      </c>
      <c r="C104" s="54">
        <v>45930</v>
      </c>
      <c r="D104" s="55" t="s">
        <v>294</v>
      </c>
      <c r="E104" s="56" t="s">
        <v>394</v>
      </c>
      <c r="F104" s="56" t="s">
        <v>295</v>
      </c>
      <c r="G104" s="55" t="s">
        <v>296</v>
      </c>
      <c r="H104" s="55" t="s">
        <v>297</v>
      </c>
      <c r="I104" s="55" t="s">
        <v>395</v>
      </c>
      <c r="J104" s="55" t="s">
        <v>115</v>
      </c>
      <c r="K104" s="55" t="s">
        <v>72</v>
      </c>
      <c r="L104" s="55" t="s">
        <v>92</v>
      </c>
      <c r="M104" s="57">
        <v>0.5</v>
      </c>
      <c r="N104" s="58">
        <v>70000</v>
      </c>
      <c r="O104" s="58">
        <v>0</v>
      </c>
      <c r="P104" s="59">
        <v>35000</v>
      </c>
      <c r="Q104" s="58">
        <v>70000</v>
      </c>
      <c r="R104" s="55" t="s">
        <v>362</v>
      </c>
      <c r="S104" s="55" t="s">
        <v>363</v>
      </c>
      <c r="T104" s="55" t="s">
        <v>18</v>
      </c>
      <c r="U104" s="55" t="s">
        <v>364</v>
      </c>
      <c r="V104" s="55" t="s">
        <v>18</v>
      </c>
      <c r="W104" s="47">
        <f>VLOOKUP(B104,titan!$X$15:$Y$718,2,0)-M104</f>
        <v>0</v>
      </c>
    </row>
    <row r="105" spans="1:23" x14ac:dyDescent="0.25">
      <c r="A105" s="9" t="str">
        <f t="shared" si="1"/>
        <v>309NL300119</v>
      </c>
      <c r="B105" s="9" t="str">
        <f>COUNTIF($A$7:A105,A105)&amp;A105</f>
        <v>1309NL300119</v>
      </c>
      <c r="C105" s="54">
        <v>45930</v>
      </c>
      <c r="D105" s="55" t="s">
        <v>294</v>
      </c>
      <c r="E105" s="56" t="s">
        <v>394</v>
      </c>
      <c r="F105" s="56" t="s">
        <v>295</v>
      </c>
      <c r="G105" s="55" t="s">
        <v>296</v>
      </c>
      <c r="H105" s="55" t="s">
        <v>297</v>
      </c>
      <c r="I105" s="55" t="s">
        <v>395</v>
      </c>
      <c r="J105" s="55" t="s">
        <v>242</v>
      </c>
      <c r="K105" s="55" t="s">
        <v>307</v>
      </c>
      <c r="L105" s="55" t="s">
        <v>92</v>
      </c>
      <c r="M105" s="57">
        <v>5</v>
      </c>
      <c r="N105" s="58">
        <v>20000</v>
      </c>
      <c r="O105" s="58">
        <v>0</v>
      </c>
      <c r="P105" s="59">
        <v>100000</v>
      </c>
      <c r="Q105" s="58">
        <v>20000</v>
      </c>
      <c r="R105" s="55" t="s">
        <v>362</v>
      </c>
      <c r="S105" s="55" t="s">
        <v>363</v>
      </c>
      <c r="T105" s="55" t="s">
        <v>18</v>
      </c>
      <c r="U105" s="55" t="s">
        <v>364</v>
      </c>
      <c r="V105" s="55" t="s">
        <v>18</v>
      </c>
      <c r="W105" s="47">
        <f>VLOOKUP(B105,titan!$X$15:$Y$718,2,0)-M105</f>
        <v>0</v>
      </c>
    </row>
    <row r="106" spans="1:23" x14ac:dyDescent="0.25">
      <c r="A106" s="9" t="str">
        <f t="shared" si="1"/>
        <v>309NL300036</v>
      </c>
      <c r="B106" s="9" t="str">
        <f>COUNTIF($A$7:A106,A106)&amp;A106</f>
        <v>1309NL300036</v>
      </c>
      <c r="C106" s="54">
        <v>45930</v>
      </c>
      <c r="D106" s="55" t="s">
        <v>294</v>
      </c>
      <c r="E106" s="56" t="s">
        <v>396</v>
      </c>
      <c r="F106" s="56" t="s">
        <v>295</v>
      </c>
      <c r="G106" s="55" t="s">
        <v>296</v>
      </c>
      <c r="H106" s="55" t="s">
        <v>297</v>
      </c>
      <c r="I106" s="55" t="s">
        <v>395</v>
      </c>
      <c r="J106" s="55" t="s">
        <v>131</v>
      </c>
      <c r="K106" s="55" t="s">
        <v>27</v>
      </c>
      <c r="L106" s="55" t="s">
        <v>92</v>
      </c>
      <c r="M106" s="57">
        <v>0.8</v>
      </c>
      <c r="N106" s="58">
        <v>44000</v>
      </c>
      <c r="O106" s="58">
        <v>0</v>
      </c>
      <c r="P106" s="59">
        <v>35200</v>
      </c>
      <c r="Q106" s="58">
        <v>44000</v>
      </c>
      <c r="R106" s="55" t="s">
        <v>362</v>
      </c>
      <c r="S106" s="55" t="s">
        <v>363</v>
      </c>
      <c r="T106" s="55" t="s">
        <v>18</v>
      </c>
      <c r="U106" s="55" t="s">
        <v>364</v>
      </c>
      <c r="V106" s="55" t="s">
        <v>18</v>
      </c>
      <c r="W106" s="47">
        <f>VLOOKUP(B106,titan!$X$15:$Y$718,2,0)-M106</f>
        <v>0</v>
      </c>
    </row>
    <row r="107" spans="1:23" x14ac:dyDescent="0.25">
      <c r="A107" s="9" t="str">
        <f t="shared" si="1"/>
        <v>309NL300085</v>
      </c>
      <c r="B107" s="9" t="str">
        <f>COUNTIF($A$7:A107,A107)&amp;A107</f>
        <v>1309NL300085</v>
      </c>
      <c r="C107" s="54">
        <v>45930</v>
      </c>
      <c r="D107" s="55" t="s">
        <v>294</v>
      </c>
      <c r="E107" s="56" t="s">
        <v>396</v>
      </c>
      <c r="F107" s="56" t="s">
        <v>295</v>
      </c>
      <c r="G107" s="55" t="s">
        <v>296</v>
      </c>
      <c r="H107" s="55" t="s">
        <v>297</v>
      </c>
      <c r="I107" s="55" t="s">
        <v>395</v>
      </c>
      <c r="J107" s="55" t="s">
        <v>205</v>
      </c>
      <c r="K107" s="55" t="s">
        <v>306</v>
      </c>
      <c r="L107" s="55" t="s">
        <v>92</v>
      </c>
      <c r="M107" s="57">
        <v>1.3</v>
      </c>
      <c r="N107" s="58">
        <v>45000</v>
      </c>
      <c r="O107" s="58">
        <v>0</v>
      </c>
      <c r="P107" s="59">
        <v>58500</v>
      </c>
      <c r="Q107" s="58">
        <v>45000</v>
      </c>
      <c r="R107" s="55" t="s">
        <v>362</v>
      </c>
      <c r="S107" s="55" t="s">
        <v>363</v>
      </c>
      <c r="T107" s="55" t="s">
        <v>18</v>
      </c>
      <c r="U107" s="55" t="s">
        <v>364</v>
      </c>
      <c r="V107" s="55" t="s">
        <v>18</v>
      </c>
      <c r="W107" s="47">
        <f>VLOOKUP(B107,titan!$X$15:$Y$718,2,0)-M107</f>
        <v>0</v>
      </c>
    </row>
    <row r="108" spans="1:23" x14ac:dyDescent="0.25">
      <c r="A108" s="9" t="str">
        <f t="shared" si="1"/>
        <v>309NL300091</v>
      </c>
      <c r="B108" s="9" t="str">
        <f>COUNTIF($A$7:A108,A108)&amp;A108</f>
        <v>1309NL300091</v>
      </c>
      <c r="C108" s="54">
        <v>45930</v>
      </c>
      <c r="D108" s="55" t="s">
        <v>294</v>
      </c>
      <c r="E108" s="56" t="s">
        <v>396</v>
      </c>
      <c r="F108" s="56" t="s">
        <v>295</v>
      </c>
      <c r="G108" s="55" t="s">
        <v>296</v>
      </c>
      <c r="H108" s="55" t="s">
        <v>297</v>
      </c>
      <c r="I108" s="55" t="s">
        <v>395</v>
      </c>
      <c r="J108" s="55" t="s">
        <v>190</v>
      </c>
      <c r="K108" s="55" t="s">
        <v>40</v>
      </c>
      <c r="L108" s="55" t="s">
        <v>92</v>
      </c>
      <c r="M108" s="57">
        <v>6</v>
      </c>
      <c r="N108" s="58">
        <v>45000</v>
      </c>
      <c r="O108" s="58">
        <v>0</v>
      </c>
      <c r="P108" s="59">
        <v>270000</v>
      </c>
      <c r="Q108" s="58">
        <v>45000</v>
      </c>
      <c r="R108" s="55" t="s">
        <v>362</v>
      </c>
      <c r="S108" s="55" t="s">
        <v>363</v>
      </c>
      <c r="T108" s="55" t="s">
        <v>18</v>
      </c>
      <c r="U108" s="55" t="s">
        <v>364</v>
      </c>
      <c r="V108" s="55" t="s">
        <v>18</v>
      </c>
      <c r="W108" s="47">
        <f>VLOOKUP(B108,titan!$X$15:$Y$718,2,0)-M108</f>
        <v>0</v>
      </c>
    </row>
    <row r="109" spans="1:23" x14ac:dyDescent="0.25">
      <c r="A109" s="9" t="str">
        <f t="shared" si="1"/>
        <v>309NL300203</v>
      </c>
      <c r="B109" s="9" t="str">
        <f>COUNTIF($A$7:A109,A109)&amp;A109</f>
        <v>1309NL300203</v>
      </c>
      <c r="C109" s="54">
        <v>45930</v>
      </c>
      <c r="D109" s="55" t="s">
        <v>294</v>
      </c>
      <c r="E109" s="56" t="s">
        <v>396</v>
      </c>
      <c r="F109" s="56" t="s">
        <v>295</v>
      </c>
      <c r="G109" s="55" t="s">
        <v>296</v>
      </c>
      <c r="H109" s="55" t="s">
        <v>297</v>
      </c>
      <c r="I109" s="55" t="s">
        <v>395</v>
      </c>
      <c r="J109" s="55" t="s">
        <v>337</v>
      </c>
      <c r="K109" s="55" t="s">
        <v>366</v>
      </c>
      <c r="L109" s="55" t="s">
        <v>92</v>
      </c>
      <c r="M109" s="57">
        <v>1.7</v>
      </c>
      <c r="N109" s="58">
        <v>48000</v>
      </c>
      <c r="O109" s="58">
        <v>0</v>
      </c>
      <c r="P109" s="59">
        <v>81600</v>
      </c>
      <c r="Q109" s="58">
        <v>48000</v>
      </c>
      <c r="R109" s="55" t="s">
        <v>362</v>
      </c>
      <c r="S109" s="55" t="s">
        <v>363</v>
      </c>
      <c r="T109" s="55" t="s">
        <v>18</v>
      </c>
      <c r="U109" s="55" t="s">
        <v>364</v>
      </c>
      <c r="V109" s="55" t="s">
        <v>18</v>
      </c>
      <c r="W109" s="47">
        <f>VLOOKUP(B109,titan!$X$15:$Y$718,2,0)-M109</f>
        <v>0</v>
      </c>
    </row>
    <row r="110" spans="1:23" x14ac:dyDescent="0.25">
      <c r="A110" s="9" t="str">
        <f t="shared" si="1"/>
        <v>309NL300018</v>
      </c>
      <c r="B110" s="9" t="str">
        <f>COUNTIF($A$7:A110,A110)&amp;A110</f>
        <v>1309NL300018</v>
      </c>
      <c r="C110" s="54">
        <v>45930</v>
      </c>
      <c r="D110" s="55" t="s">
        <v>294</v>
      </c>
      <c r="E110" s="56" t="s">
        <v>396</v>
      </c>
      <c r="F110" s="56" t="s">
        <v>295</v>
      </c>
      <c r="G110" s="55" t="s">
        <v>296</v>
      </c>
      <c r="H110" s="55" t="s">
        <v>297</v>
      </c>
      <c r="I110" s="55" t="s">
        <v>395</v>
      </c>
      <c r="J110" s="55" t="s">
        <v>244</v>
      </c>
      <c r="K110" s="55" t="s">
        <v>378</v>
      </c>
      <c r="L110" s="55" t="s">
        <v>92</v>
      </c>
      <c r="M110" s="57">
        <v>4</v>
      </c>
      <c r="N110" s="58">
        <v>31000</v>
      </c>
      <c r="O110" s="58">
        <v>0</v>
      </c>
      <c r="P110" s="59">
        <v>124000</v>
      </c>
      <c r="Q110" s="58">
        <v>31000</v>
      </c>
      <c r="R110" s="55" t="s">
        <v>362</v>
      </c>
      <c r="S110" s="55" t="s">
        <v>363</v>
      </c>
      <c r="T110" s="55" t="s">
        <v>18</v>
      </c>
      <c r="U110" s="55" t="s">
        <v>364</v>
      </c>
      <c r="V110" s="55" t="s">
        <v>18</v>
      </c>
      <c r="W110" s="47">
        <f>VLOOKUP(B110,titan!$X$15:$Y$718,2,0)-M110</f>
        <v>0</v>
      </c>
    </row>
    <row r="111" spans="1:23" x14ac:dyDescent="0.25">
      <c r="A111" s="9"/>
      <c r="B111" s="9"/>
      <c r="C111" s="65"/>
      <c r="D111" s="66"/>
      <c r="E111" s="67"/>
      <c r="F111" s="67"/>
      <c r="G111" s="66"/>
      <c r="H111" s="66"/>
      <c r="I111" s="66"/>
      <c r="J111" s="66"/>
      <c r="K111" s="66"/>
      <c r="L111" s="66"/>
      <c r="M111" s="68"/>
      <c r="N111" s="69"/>
      <c r="O111" s="69"/>
      <c r="P111" s="70"/>
      <c r="Q111" s="69"/>
      <c r="R111" s="66"/>
      <c r="S111" s="66"/>
      <c r="T111" s="66"/>
      <c r="U111" s="66"/>
      <c r="V111" s="66"/>
      <c r="W111" s="47"/>
    </row>
    <row r="112" spans="1:23" x14ac:dyDescent="0.25">
      <c r="A112" s="9"/>
      <c r="B112" s="9"/>
      <c r="C112" s="65"/>
      <c r="D112" s="66"/>
      <c r="E112" s="67"/>
      <c r="F112" s="67"/>
      <c r="G112" s="66"/>
      <c r="H112" s="66"/>
      <c r="I112" s="66"/>
      <c r="J112" s="66"/>
      <c r="K112" s="66"/>
      <c r="L112" s="66"/>
      <c r="M112" s="68"/>
      <c r="N112" s="69"/>
      <c r="O112" s="69"/>
      <c r="P112" s="70"/>
      <c r="Q112" s="69"/>
      <c r="R112" s="66"/>
      <c r="S112" s="66"/>
      <c r="T112" s="66"/>
      <c r="U112" s="66"/>
      <c r="V112" s="66"/>
      <c r="W112" s="47"/>
    </row>
    <row r="113" spans="1:23" x14ac:dyDescent="0.25">
      <c r="A113" s="9"/>
      <c r="B113" s="9"/>
      <c r="C113" s="65"/>
      <c r="D113" s="66"/>
      <c r="E113" s="67"/>
      <c r="F113" s="67"/>
      <c r="G113" s="66"/>
      <c r="H113" s="66"/>
      <c r="I113" s="66"/>
      <c r="J113" s="66"/>
      <c r="K113" s="66"/>
      <c r="L113" s="66"/>
      <c r="M113" s="68"/>
      <c r="N113" s="69"/>
      <c r="O113" s="69"/>
      <c r="P113" s="70"/>
      <c r="Q113" s="69"/>
      <c r="R113" s="66"/>
      <c r="S113" s="66"/>
      <c r="T113" s="66"/>
      <c r="U113" s="66"/>
      <c r="V113" s="66"/>
      <c r="W113" s="47"/>
    </row>
    <row r="114" spans="1:23" x14ac:dyDescent="0.25">
      <c r="A114" s="9"/>
      <c r="B114" s="9"/>
      <c r="C114" s="65"/>
      <c r="D114" s="66"/>
      <c r="E114" s="67"/>
      <c r="F114" s="67"/>
      <c r="G114" s="66"/>
      <c r="H114" s="66"/>
      <c r="I114" s="66"/>
      <c r="J114" s="66"/>
      <c r="K114" s="66"/>
      <c r="L114" s="66"/>
      <c r="M114" s="68"/>
      <c r="N114" s="69"/>
      <c r="O114" s="69"/>
      <c r="P114" s="70"/>
      <c r="Q114" s="69"/>
      <c r="R114" s="66"/>
      <c r="S114" s="66"/>
      <c r="T114" s="66"/>
      <c r="U114" s="66"/>
      <c r="V114" s="66"/>
      <c r="W114" s="47"/>
    </row>
    <row r="115" spans="1:23" x14ac:dyDescent="0.25">
      <c r="A115" s="9"/>
      <c r="B115" s="9"/>
      <c r="C115" s="65"/>
      <c r="D115" s="66"/>
      <c r="E115" s="67"/>
      <c r="F115" s="67"/>
      <c r="G115" s="66"/>
      <c r="H115" s="66"/>
      <c r="I115" s="66"/>
      <c r="J115" s="66"/>
      <c r="K115" s="66"/>
      <c r="L115" s="66"/>
      <c r="M115" s="68"/>
      <c r="N115" s="69"/>
      <c r="O115" s="69"/>
      <c r="P115" s="70"/>
      <c r="Q115" s="69"/>
      <c r="R115" s="66"/>
      <c r="S115" s="66"/>
      <c r="T115" s="66"/>
      <c r="U115" s="66"/>
      <c r="V115" s="66"/>
      <c r="W115" s="47"/>
    </row>
    <row r="116" spans="1:23" x14ac:dyDescent="0.25">
      <c r="A116" s="9"/>
      <c r="B116" s="9"/>
      <c r="C116" s="65"/>
      <c r="D116" s="66"/>
      <c r="E116" s="67"/>
      <c r="F116" s="67"/>
      <c r="G116" s="66"/>
      <c r="H116" s="66"/>
      <c r="I116" s="66"/>
      <c r="J116" s="66"/>
      <c r="K116" s="66"/>
      <c r="L116" s="66"/>
      <c r="M116" s="68"/>
      <c r="N116" s="69"/>
      <c r="O116" s="69"/>
      <c r="P116" s="70"/>
      <c r="Q116" s="69"/>
      <c r="R116" s="66"/>
      <c r="S116" s="66"/>
      <c r="T116" s="66"/>
      <c r="U116" s="66"/>
      <c r="V116" s="66"/>
      <c r="W116" s="47"/>
    </row>
    <row r="117" spans="1:23" x14ac:dyDescent="0.25">
      <c r="A117" s="9"/>
      <c r="B117" s="9"/>
      <c r="C117" s="65"/>
      <c r="D117" s="66"/>
      <c r="E117" s="67"/>
      <c r="F117" s="67"/>
      <c r="G117" s="66"/>
      <c r="H117" s="66"/>
      <c r="I117" s="66"/>
      <c r="J117" s="66"/>
      <c r="K117" s="66"/>
      <c r="L117" s="66"/>
      <c r="M117" s="68"/>
      <c r="N117" s="69"/>
      <c r="O117" s="69"/>
      <c r="P117" s="70"/>
      <c r="Q117" s="69"/>
      <c r="R117" s="66"/>
      <c r="S117" s="66"/>
      <c r="T117" s="66"/>
      <c r="U117" s="66"/>
      <c r="V117" s="66"/>
      <c r="W117" s="47"/>
    </row>
    <row r="118" spans="1:23" x14ac:dyDescent="0.25">
      <c r="A118" s="9"/>
      <c r="B118" s="9"/>
      <c r="C118" s="65"/>
      <c r="D118" s="66"/>
      <c r="E118" s="67"/>
      <c r="F118" s="67"/>
      <c r="G118" s="66"/>
      <c r="H118" s="66"/>
      <c r="I118" s="66"/>
      <c r="J118" s="66"/>
      <c r="K118" s="66"/>
      <c r="L118" s="66"/>
      <c r="M118" s="68"/>
      <c r="N118" s="69"/>
      <c r="O118" s="69"/>
      <c r="P118" s="70"/>
      <c r="Q118" s="69"/>
      <c r="R118" s="66"/>
      <c r="S118" s="66"/>
      <c r="T118" s="66"/>
      <c r="U118" s="66"/>
      <c r="V118" s="66"/>
      <c r="W118" s="47"/>
    </row>
    <row r="119" spans="1:23" x14ac:dyDescent="0.25">
      <c r="A119" s="9"/>
      <c r="B119" s="9"/>
      <c r="C119" s="65"/>
      <c r="D119" s="66"/>
      <c r="E119" s="67"/>
      <c r="F119" s="67"/>
      <c r="G119" s="66"/>
      <c r="H119" s="66"/>
      <c r="I119" s="66"/>
      <c r="J119" s="66"/>
      <c r="K119" s="66"/>
      <c r="L119" s="66"/>
      <c r="M119" s="68"/>
      <c r="N119" s="69"/>
      <c r="O119" s="69"/>
      <c r="P119" s="70"/>
      <c r="Q119" s="69"/>
      <c r="R119" s="66"/>
      <c r="S119" s="66"/>
      <c r="T119" s="66"/>
      <c r="U119" s="66"/>
      <c r="V119" s="66"/>
      <c r="W119" s="47"/>
    </row>
    <row r="120" spans="1:23" x14ac:dyDescent="0.25">
      <c r="A120" s="9"/>
      <c r="B120" s="9"/>
      <c r="C120" s="65"/>
      <c r="D120" s="66"/>
      <c r="E120" s="67"/>
      <c r="F120" s="67"/>
      <c r="G120" s="66"/>
      <c r="H120" s="66"/>
      <c r="I120" s="66"/>
      <c r="J120" s="66"/>
      <c r="K120" s="66"/>
      <c r="L120" s="66"/>
      <c r="M120" s="68"/>
      <c r="N120" s="69"/>
      <c r="O120" s="69"/>
      <c r="P120" s="70"/>
      <c r="Q120" s="69"/>
      <c r="R120" s="66"/>
      <c r="S120" s="66"/>
      <c r="T120" s="66"/>
      <c r="U120" s="66"/>
      <c r="V120" s="66"/>
      <c r="W120" s="47"/>
    </row>
    <row r="121" spans="1:23" x14ac:dyDescent="0.25">
      <c r="A121" s="9"/>
      <c r="B121" s="9"/>
      <c r="C121" s="65"/>
      <c r="D121" s="66"/>
      <c r="E121" s="67"/>
      <c r="F121" s="67"/>
      <c r="G121" s="66"/>
      <c r="H121" s="66"/>
      <c r="I121" s="66"/>
      <c r="J121" s="66"/>
      <c r="K121" s="66"/>
      <c r="L121" s="66"/>
      <c r="M121" s="68"/>
      <c r="N121" s="69"/>
      <c r="O121" s="69"/>
      <c r="P121" s="70"/>
      <c r="Q121" s="69"/>
      <c r="R121" s="66"/>
      <c r="S121" s="66"/>
      <c r="T121" s="66"/>
      <c r="U121" s="66"/>
      <c r="V121" s="66"/>
      <c r="W121" s="47"/>
    </row>
    <row r="122" spans="1:23" x14ac:dyDescent="0.25">
      <c r="A122" s="9"/>
      <c r="B122" s="9"/>
      <c r="C122" s="65"/>
      <c r="D122" s="66"/>
      <c r="E122" s="67"/>
      <c r="F122" s="67"/>
      <c r="G122" s="66"/>
      <c r="H122" s="66"/>
      <c r="I122" s="66"/>
      <c r="J122" s="66"/>
      <c r="K122" s="66"/>
      <c r="L122" s="66"/>
      <c r="M122" s="68"/>
      <c r="N122" s="69"/>
      <c r="O122" s="69"/>
      <c r="P122" s="70"/>
      <c r="Q122" s="69"/>
      <c r="R122" s="66"/>
      <c r="S122" s="66"/>
      <c r="T122" s="66"/>
      <c r="U122" s="66"/>
      <c r="V122" s="66"/>
      <c r="W122" s="47"/>
    </row>
    <row r="123" spans="1:23" x14ac:dyDescent="0.25">
      <c r="A123" s="9"/>
      <c r="B123" s="9"/>
      <c r="C123" s="65"/>
      <c r="D123" s="66"/>
      <c r="E123" s="67"/>
      <c r="F123" s="67"/>
      <c r="G123" s="66"/>
      <c r="H123" s="66"/>
      <c r="I123" s="66"/>
      <c r="J123" s="66"/>
      <c r="K123" s="66"/>
      <c r="L123" s="66"/>
      <c r="M123" s="68"/>
      <c r="N123" s="69"/>
      <c r="O123" s="69"/>
      <c r="P123" s="70"/>
      <c r="Q123" s="69"/>
      <c r="R123" s="66"/>
      <c r="S123" s="66"/>
      <c r="T123" s="66"/>
      <c r="U123" s="66"/>
      <c r="V123" s="66"/>
      <c r="W123" s="47"/>
    </row>
    <row r="124" spans="1:23" x14ac:dyDescent="0.25">
      <c r="A124" s="9"/>
      <c r="B124" s="9"/>
      <c r="C124" s="65"/>
      <c r="D124" s="66"/>
      <c r="E124" s="67"/>
      <c r="F124" s="67"/>
      <c r="G124" s="66"/>
      <c r="H124" s="66"/>
      <c r="I124" s="66"/>
      <c r="J124" s="66"/>
      <c r="K124" s="66"/>
      <c r="L124" s="66"/>
      <c r="M124" s="68"/>
      <c r="N124" s="69"/>
      <c r="O124" s="69"/>
      <c r="P124" s="70"/>
      <c r="Q124" s="69"/>
      <c r="R124" s="66"/>
      <c r="S124" s="66"/>
      <c r="T124" s="66"/>
      <c r="U124" s="66"/>
      <c r="V124" s="66"/>
      <c r="W124" s="47"/>
    </row>
    <row r="125" spans="1:23" x14ac:dyDescent="0.25">
      <c r="A125" s="9"/>
      <c r="B125" s="9"/>
      <c r="C125" s="65"/>
      <c r="D125" s="66"/>
      <c r="E125" s="67"/>
      <c r="F125" s="67"/>
      <c r="G125" s="66"/>
      <c r="H125" s="66"/>
      <c r="I125" s="66"/>
      <c r="J125" s="66"/>
      <c r="K125" s="66"/>
      <c r="L125" s="66"/>
      <c r="M125" s="68"/>
      <c r="N125" s="69"/>
      <c r="O125" s="69"/>
      <c r="P125" s="70"/>
      <c r="Q125" s="69"/>
      <c r="R125" s="66"/>
      <c r="S125" s="66"/>
      <c r="T125" s="66"/>
      <c r="U125" s="66"/>
      <c r="V125" s="66"/>
      <c r="W125" s="47"/>
    </row>
    <row r="126" spans="1:23" x14ac:dyDescent="0.25">
      <c r="A126" s="9"/>
      <c r="B126" s="9"/>
      <c r="C126" s="65"/>
      <c r="D126" s="66"/>
      <c r="E126" s="67"/>
      <c r="F126" s="67"/>
      <c r="G126" s="66"/>
      <c r="H126" s="66"/>
      <c r="I126" s="66"/>
      <c r="J126" s="66"/>
      <c r="K126" s="66"/>
      <c r="L126" s="66"/>
      <c r="M126" s="68"/>
      <c r="N126" s="69"/>
      <c r="O126" s="69"/>
      <c r="P126" s="70"/>
      <c r="Q126" s="69"/>
      <c r="R126" s="66"/>
      <c r="S126" s="66"/>
      <c r="T126" s="66"/>
      <c r="U126" s="66"/>
      <c r="V126" s="66"/>
      <c r="W126" s="47"/>
    </row>
    <row r="127" spans="1:23" x14ac:dyDescent="0.25">
      <c r="A127" s="9"/>
      <c r="B127" s="9"/>
      <c r="C127" s="65"/>
      <c r="D127" s="66"/>
      <c r="E127" s="67"/>
      <c r="F127" s="67"/>
      <c r="G127" s="66"/>
      <c r="H127" s="66"/>
      <c r="I127" s="66"/>
      <c r="J127" s="66"/>
      <c r="K127" s="66"/>
      <c r="L127" s="66"/>
      <c r="M127" s="68"/>
      <c r="N127" s="69"/>
      <c r="O127" s="69"/>
      <c r="P127" s="70"/>
      <c r="Q127" s="69"/>
      <c r="R127" s="66"/>
      <c r="S127" s="66"/>
      <c r="T127" s="66"/>
      <c r="U127" s="66"/>
      <c r="V127" s="66"/>
      <c r="W127" s="47"/>
    </row>
    <row r="128" spans="1:23" x14ac:dyDescent="0.25">
      <c r="A128" s="9"/>
      <c r="B128" s="9"/>
      <c r="C128" s="65"/>
      <c r="D128" s="66"/>
      <c r="E128" s="67"/>
      <c r="F128" s="67"/>
      <c r="G128" s="66"/>
      <c r="H128" s="66"/>
      <c r="I128" s="66"/>
      <c r="J128" s="66"/>
      <c r="K128" s="66"/>
      <c r="L128" s="66"/>
      <c r="M128" s="68"/>
      <c r="N128" s="69"/>
      <c r="O128" s="69"/>
      <c r="P128" s="70"/>
      <c r="Q128" s="69"/>
      <c r="R128" s="66"/>
      <c r="S128" s="66"/>
      <c r="T128" s="66"/>
      <c r="U128" s="66"/>
      <c r="V128" s="66"/>
      <c r="W128" s="47"/>
    </row>
    <row r="129" spans="1:23" x14ac:dyDescent="0.25">
      <c r="A129" s="9"/>
      <c r="B129" s="9"/>
      <c r="C129" s="65"/>
      <c r="D129" s="66"/>
      <c r="E129" s="67"/>
      <c r="F129" s="67"/>
      <c r="G129" s="66"/>
      <c r="H129" s="66"/>
      <c r="I129" s="66"/>
      <c r="J129" s="66"/>
      <c r="K129" s="66"/>
      <c r="L129" s="66"/>
      <c r="M129" s="68"/>
      <c r="N129" s="69"/>
      <c r="O129" s="69"/>
      <c r="P129" s="70"/>
      <c r="Q129" s="69"/>
      <c r="R129" s="66"/>
      <c r="S129" s="66"/>
      <c r="T129" s="66"/>
      <c r="U129" s="66"/>
      <c r="V129" s="66"/>
      <c r="W129" s="47"/>
    </row>
    <row r="130" spans="1:23" x14ac:dyDescent="0.25">
      <c r="A130" s="9"/>
      <c r="B130" s="9"/>
      <c r="C130" s="65"/>
      <c r="D130" s="66"/>
      <c r="E130" s="67"/>
      <c r="F130" s="67"/>
      <c r="G130" s="66"/>
      <c r="H130" s="66"/>
      <c r="I130" s="66"/>
      <c r="J130" s="66"/>
      <c r="K130" s="66"/>
      <c r="L130" s="66"/>
      <c r="M130" s="68"/>
      <c r="N130" s="69"/>
      <c r="O130" s="69"/>
      <c r="P130" s="70"/>
      <c r="Q130" s="69"/>
      <c r="R130" s="66"/>
      <c r="S130" s="66"/>
      <c r="T130" s="66"/>
      <c r="U130" s="66"/>
      <c r="V130" s="66"/>
      <c r="W130" s="47"/>
    </row>
    <row r="131" spans="1:23" x14ac:dyDescent="0.25">
      <c r="A131" s="9"/>
      <c r="B131" s="9"/>
      <c r="C131" s="65"/>
      <c r="D131" s="66"/>
      <c r="E131" s="67"/>
      <c r="F131" s="67"/>
      <c r="G131" s="66"/>
      <c r="H131" s="66"/>
      <c r="I131" s="66"/>
      <c r="J131" s="66"/>
      <c r="K131" s="66"/>
      <c r="L131" s="66"/>
      <c r="M131" s="68"/>
      <c r="N131" s="69"/>
      <c r="O131" s="69"/>
      <c r="P131" s="70"/>
      <c r="Q131" s="69"/>
      <c r="R131" s="66"/>
      <c r="S131" s="66"/>
      <c r="T131" s="66"/>
      <c r="U131" s="66"/>
      <c r="V131" s="66"/>
      <c r="W131" s="47"/>
    </row>
    <row r="132" spans="1:23" x14ac:dyDescent="0.25">
      <c r="A132" s="9"/>
      <c r="B132" s="9"/>
      <c r="C132" s="65"/>
      <c r="D132" s="66"/>
      <c r="E132" s="67"/>
      <c r="F132" s="67"/>
      <c r="G132" s="66"/>
      <c r="H132" s="66"/>
      <c r="I132" s="66"/>
      <c r="J132" s="66"/>
      <c r="K132" s="66"/>
      <c r="L132" s="66"/>
      <c r="M132" s="68"/>
      <c r="N132" s="69"/>
      <c r="O132" s="69"/>
      <c r="P132" s="70"/>
      <c r="Q132" s="69"/>
      <c r="R132" s="66"/>
      <c r="S132" s="66"/>
      <c r="T132" s="66"/>
      <c r="U132" s="66"/>
      <c r="V132" s="66"/>
      <c r="W132" s="47"/>
    </row>
    <row r="133" spans="1:23" x14ac:dyDescent="0.25">
      <c r="A133" s="9"/>
      <c r="B133" s="9"/>
      <c r="C133" s="65"/>
      <c r="D133" s="66"/>
      <c r="E133" s="67"/>
      <c r="F133" s="67"/>
      <c r="G133" s="66"/>
      <c r="H133" s="66"/>
      <c r="I133" s="66"/>
      <c r="J133" s="66"/>
      <c r="K133" s="66"/>
      <c r="L133" s="66"/>
      <c r="M133" s="68"/>
      <c r="N133" s="69"/>
      <c r="O133" s="69"/>
      <c r="P133" s="70"/>
      <c r="Q133" s="69"/>
      <c r="R133" s="66"/>
      <c r="S133" s="66"/>
      <c r="T133" s="66"/>
      <c r="U133" s="66"/>
      <c r="V133" s="66"/>
      <c r="W133" s="47"/>
    </row>
    <row r="134" spans="1:23" x14ac:dyDescent="0.25">
      <c r="A134" s="9"/>
      <c r="B134" s="9"/>
      <c r="C134" s="65"/>
      <c r="D134" s="66"/>
      <c r="E134" s="67"/>
      <c r="F134" s="67"/>
      <c r="G134" s="66"/>
      <c r="H134" s="66"/>
      <c r="I134" s="66"/>
      <c r="J134" s="66"/>
      <c r="K134" s="66"/>
      <c r="L134" s="66"/>
      <c r="M134" s="68"/>
      <c r="N134" s="69"/>
      <c r="O134" s="69"/>
      <c r="P134" s="70"/>
      <c r="Q134" s="69"/>
      <c r="R134" s="66"/>
      <c r="S134" s="66"/>
      <c r="T134" s="66"/>
      <c r="U134" s="66"/>
      <c r="V134" s="66"/>
      <c r="W134" s="47"/>
    </row>
    <row r="135" spans="1:23" x14ac:dyDescent="0.25">
      <c r="A135" s="9"/>
      <c r="B135" s="9"/>
      <c r="C135" s="65"/>
      <c r="D135" s="66"/>
      <c r="E135" s="67"/>
      <c r="F135" s="67"/>
      <c r="G135" s="66"/>
      <c r="H135" s="66"/>
      <c r="I135" s="66"/>
      <c r="J135" s="66"/>
      <c r="K135" s="66"/>
      <c r="L135" s="66"/>
      <c r="M135" s="68"/>
      <c r="N135" s="69"/>
      <c r="O135" s="69"/>
      <c r="P135" s="70"/>
      <c r="Q135" s="69"/>
      <c r="R135" s="66"/>
      <c r="S135" s="66"/>
      <c r="T135" s="66"/>
      <c r="U135" s="66"/>
      <c r="V135" s="66"/>
      <c r="W135" s="47"/>
    </row>
    <row r="136" spans="1:23" x14ac:dyDescent="0.25">
      <c r="A136" s="9"/>
      <c r="B136" s="9"/>
      <c r="C136" s="65"/>
      <c r="D136" s="66"/>
      <c r="E136" s="67"/>
      <c r="F136" s="67"/>
      <c r="G136" s="66"/>
      <c r="H136" s="66"/>
      <c r="I136" s="66"/>
      <c r="J136" s="66"/>
      <c r="K136" s="66"/>
      <c r="L136" s="66"/>
      <c r="M136" s="68"/>
      <c r="N136" s="69"/>
      <c r="O136" s="69"/>
      <c r="P136" s="70"/>
      <c r="Q136" s="69"/>
      <c r="R136" s="66"/>
      <c r="S136" s="66"/>
      <c r="T136" s="66"/>
      <c r="U136" s="66"/>
      <c r="V136" s="66"/>
      <c r="W136" s="47"/>
    </row>
    <row r="137" spans="1:23" x14ac:dyDescent="0.25">
      <c r="A137" s="9"/>
      <c r="B137" s="9"/>
      <c r="C137" s="65"/>
      <c r="D137" s="66"/>
      <c r="E137" s="67"/>
      <c r="F137" s="67"/>
      <c r="G137" s="66"/>
      <c r="H137" s="66"/>
      <c r="I137" s="66"/>
      <c r="J137" s="66"/>
      <c r="K137" s="66"/>
      <c r="L137" s="66"/>
      <c r="M137" s="68"/>
      <c r="N137" s="69"/>
      <c r="O137" s="69"/>
      <c r="P137" s="70"/>
      <c r="Q137" s="69"/>
      <c r="R137" s="66"/>
      <c r="S137" s="66"/>
      <c r="T137" s="66"/>
      <c r="U137" s="66"/>
      <c r="V137" s="66"/>
      <c r="W137" s="47"/>
    </row>
    <row r="138" spans="1:23" x14ac:dyDescent="0.25">
      <c r="A138" s="9"/>
      <c r="B138" s="9"/>
      <c r="C138" s="65"/>
      <c r="D138" s="66"/>
      <c r="E138" s="67"/>
      <c r="F138" s="67"/>
      <c r="G138" s="66"/>
      <c r="H138" s="66"/>
      <c r="I138" s="66"/>
      <c r="J138" s="66"/>
      <c r="K138" s="66"/>
      <c r="L138" s="66"/>
      <c r="M138" s="68"/>
      <c r="N138" s="69"/>
      <c r="O138" s="69"/>
      <c r="P138" s="70"/>
      <c r="Q138" s="69"/>
      <c r="R138" s="66"/>
      <c r="S138" s="66"/>
      <c r="T138" s="66"/>
      <c r="U138" s="66"/>
      <c r="V138" s="66"/>
      <c r="W138" s="47"/>
    </row>
    <row r="139" spans="1:23" x14ac:dyDescent="0.25">
      <c r="A139" s="9"/>
      <c r="B139" s="9"/>
      <c r="C139" s="65"/>
      <c r="D139" s="66"/>
      <c r="E139" s="67"/>
      <c r="F139" s="67"/>
      <c r="G139" s="66"/>
      <c r="H139" s="66"/>
      <c r="I139" s="66"/>
      <c r="J139" s="66"/>
      <c r="K139" s="66"/>
      <c r="L139" s="66"/>
      <c r="M139" s="68"/>
      <c r="N139" s="69"/>
      <c r="O139" s="69"/>
      <c r="P139" s="70"/>
      <c r="Q139" s="69"/>
      <c r="R139" s="66"/>
      <c r="S139" s="66"/>
      <c r="T139" s="66"/>
      <c r="U139" s="66"/>
      <c r="V139" s="66"/>
      <c r="W139" s="47"/>
    </row>
    <row r="140" spans="1:23" x14ac:dyDescent="0.25">
      <c r="A140" s="9"/>
      <c r="B140" s="9"/>
      <c r="C140" s="65"/>
      <c r="D140" s="66"/>
      <c r="E140" s="67"/>
      <c r="F140" s="67"/>
      <c r="G140" s="66"/>
      <c r="H140" s="66"/>
      <c r="I140" s="66"/>
      <c r="J140" s="66"/>
      <c r="K140" s="66"/>
      <c r="L140" s="66"/>
      <c r="M140" s="68"/>
      <c r="N140" s="69"/>
      <c r="O140" s="69"/>
      <c r="P140" s="70"/>
      <c r="Q140" s="69"/>
      <c r="R140" s="66"/>
      <c r="S140" s="66"/>
      <c r="T140" s="66"/>
      <c r="U140" s="66"/>
      <c r="V140" s="66"/>
      <c r="W140" s="47"/>
    </row>
    <row r="141" spans="1:23" x14ac:dyDescent="0.25">
      <c r="A141" s="9"/>
      <c r="B141" s="9"/>
      <c r="C141" s="65"/>
      <c r="D141" s="66"/>
      <c r="E141" s="67"/>
      <c r="F141" s="67"/>
      <c r="G141" s="66"/>
      <c r="H141" s="66"/>
      <c r="I141" s="66"/>
      <c r="J141" s="66"/>
      <c r="K141" s="66"/>
      <c r="L141" s="66"/>
      <c r="M141" s="68"/>
      <c r="N141" s="69"/>
      <c r="O141" s="69"/>
      <c r="P141" s="70"/>
      <c r="Q141" s="69"/>
      <c r="R141" s="66"/>
      <c r="S141" s="66"/>
      <c r="T141" s="66"/>
      <c r="U141" s="66"/>
      <c r="V141" s="66"/>
      <c r="W141" s="47"/>
    </row>
    <row r="142" spans="1:23" x14ac:dyDescent="0.25">
      <c r="A142" s="9"/>
      <c r="B142" s="9"/>
      <c r="C142" s="65"/>
      <c r="D142" s="66"/>
      <c r="E142" s="67"/>
      <c r="F142" s="67"/>
      <c r="G142" s="66"/>
      <c r="H142" s="66"/>
      <c r="I142" s="66"/>
      <c r="J142" s="66"/>
      <c r="K142" s="66"/>
      <c r="L142" s="66"/>
      <c r="M142" s="68"/>
      <c r="N142" s="69"/>
      <c r="O142" s="69"/>
      <c r="P142" s="70"/>
      <c r="Q142" s="69"/>
      <c r="R142" s="66"/>
      <c r="S142" s="66"/>
      <c r="T142" s="66"/>
      <c r="U142" s="66"/>
      <c r="V142" s="66"/>
      <c r="W142" s="47"/>
    </row>
    <row r="143" spans="1:23" x14ac:dyDescent="0.25">
      <c r="A143" s="9"/>
      <c r="B143" s="9"/>
      <c r="C143" s="65"/>
      <c r="D143" s="66"/>
      <c r="E143" s="67"/>
      <c r="F143" s="67"/>
      <c r="G143" s="66"/>
      <c r="H143" s="66"/>
      <c r="I143" s="66"/>
      <c r="J143" s="66"/>
      <c r="K143" s="66"/>
      <c r="L143" s="66"/>
      <c r="M143" s="68"/>
      <c r="N143" s="69"/>
      <c r="O143" s="69"/>
      <c r="P143" s="70"/>
      <c r="Q143" s="69"/>
      <c r="R143" s="66"/>
      <c r="S143" s="66"/>
      <c r="T143" s="66"/>
      <c r="U143" s="66"/>
      <c r="V143" s="66"/>
      <c r="W143" s="47"/>
    </row>
    <row r="144" spans="1:23" x14ac:dyDescent="0.25">
      <c r="A144" s="9"/>
      <c r="B144" s="9"/>
      <c r="C144" s="65"/>
      <c r="D144" s="66"/>
      <c r="E144" s="67"/>
      <c r="F144" s="67"/>
      <c r="G144" s="66"/>
      <c r="H144" s="66"/>
      <c r="I144" s="66"/>
      <c r="J144" s="66"/>
      <c r="K144" s="66"/>
      <c r="L144" s="66"/>
      <c r="M144" s="68"/>
      <c r="N144" s="69"/>
      <c r="O144" s="69"/>
      <c r="P144" s="70"/>
      <c r="Q144" s="69"/>
      <c r="R144" s="66"/>
      <c r="S144" s="66"/>
      <c r="T144" s="66"/>
      <c r="U144" s="66"/>
      <c r="V144" s="66"/>
      <c r="W144" s="47"/>
    </row>
    <row r="145" spans="1:23" x14ac:dyDescent="0.25">
      <c r="A145" s="9"/>
      <c r="B145" s="9"/>
      <c r="C145" s="65"/>
      <c r="D145" s="66"/>
      <c r="E145" s="67"/>
      <c r="F145" s="67"/>
      <c r="G145" s="66"/>
      <c r="H145" s="66"/>
      <c r="I145" s="66"/>
      <c r="J145" s="66"/>
      <c r="K145" s="66"/>
      <c r="L145" s="66"/>
      <c r="M145" s="68"/>
      <c r="N145" s="69"/>
      <c r="O145" s="69"/>
      <c r="P145" s="70"/>
      <c r="Q145" s="69"/>
      <c r="R145" s="66"/>
      <c r="S145" s="66"/>
      <c r="T145" s="66"/>
      <c r="U145" s="66"/>
      <c r="V145" s="66"/>
      <c r="W145" s="47"/>
    </row>
    <row r="146" spans="1:23" x14ac:dyDescent="0.25">
      <c r="A146" s="9"/>
      <c r="B146" s="9"/>
      <c r="C146" s="65"/>
      <c r="D146" s="66"/>
      <c r="E146" s="67"/>
      <c r="F146" s="67"/>
      <c r="G146" s="66"/>
      <c r="H146" s="66"/>
      <c r="I146" s="66"/>
      <c r="J146" s="66"/>
      <c r="K146" s="66"/>
      <c r="L146" s="66"/>
      <c r="M146" s="68"/>
      <c r="N146" s="69"/>
      <c r="O146" s="69"/>
      <c r="P146" s="70"/>
      <c r="Q146" s="69"/>
      <c r="R146" s="66"/>
      <c r="S146" s="66"/>
      <c r="T146" s="66"/>
      <c r="U146" s="66"/>
      <c r="V146" s="66"/>
      <c r="W146" s="47"/>
    </row>
    <row r="147" spans="1:23" x14ac:dyDescent="0.25">
      <c r="A147" s="9"/>
      <c r="B147" s="9"/>
      <c r="C147" s="65"/>
      <c r="D147" s="66"/>
      <c r="E147" s="67"/>
      <c r="F147" s="67"/>
      <c r="G147" s="66"/>
      <c r="H147" s="66"/>
      <c r="I147" s="66"/>
      <c r="J147" s="66"/>
      <c r="K147" s="66"/>
      <c r="L147" s="66"/>
      <c r="M147" s="68"/>
      <c r="N147" s="69"/>
      <c r="O147" s="69"/>
      <c r="P147" s="70"/>
      <c r="Q147" s="69"/>
      <c r="R147" s="66"/>
      <c r="S147" s="66"/>
      <c r="T147" s="66"/>
      <c r="U147" s="66"/>
      <c r="V147" s="66"/>
      <c r="W147" s="47"/>
    </row>
    <row r="148" spans="1:23" x14ac:dyDescent="0.25">
      <c r="A148" s="9"/>
      <c r="B148" s="9"/>
      <c r="C148" s="65"/>
      <c r="D148" s="66"/>
      <c r="E148" s="67"/>
      <c r="F148" s="67"/>
      <c r="G148" s="66"/>
      <c r="H148" s="66"/>
      <c r="I148" s="66"/>
      <c r="J148" s="66"/>
      <c r="K148" s="66"/>
      <c r="L148" s="66"/>
      <c r="M148" s="68"/>
      <c r="N148" s="69"/>
      <c r="O148" s="69"/>
      <c r="P148" s="70"/>
      <c r="Q148" s="69"/>
      <c r="R148" s="66"/>
      <c r="S148" s="66"/>
      <c r="T148" s="66"/>
      <c r="U148" s="66"/>
      <c r="V148" s="66"/>
      <c r="W148" s="47"/>
    </row>
    <row r="149" spans="1:23" x14ac:dyDescent="0.25">
      <c r="A149" s="9"/>
      <c r="B149" s="9"/>
      <c r="C149" s="65"/>
      <c r="D149" s="66"/>
      <c r="E149" s="67"/>
      <c r="F149" s="67"/>
      <c r="G149" s="66"/>
      <c r="H149" s="66"/>
      <c r="I149" s="66"/>
      <c r="J149" s="66"/>
      <c r="K149" s="66"/>
      <c r="L149" s="66"/>
      <c r="M149" s="68"/>
      <c r="N149" s="69"/>
      <c r="O149" s="69"/>
      <c r="P149" s="70"/>
      <c r="Q149" s="69"/>
      <c r="R149" s="66"/>
      <c r="S149" s="66"/>
      <c r="T149" s="66"/>
      <c r="U149" s="66"/>
      <c r="V149" s="66"/>
      <c r="W149" s="47"/>
    </row>
    <row r="150" spans="1:23" x14ac:dyDescent="0.25">
      <c r="A150" s="9"/>
      <c r="B150" s="9"/>
      <c r="C150" s="65"/>
      <c r="D150" s="66"/>
      <c r="E150" s="67"/>
      <c r="F150" s="67"/>
      <c r="G150" s="66"/>
      <c r="H150" s="66"/>
      <c r="I150" s="66"/>
      <c r="J150" s="66"/>
      <c r="K150" s="66"/>
      <c r="L150" s="66"/>
      <c r="M150" s="68"/>
      <c r="N150" s="69"/>
      <c r="O150" s="69"/>
      <c r="P150" s="70"/>
      <c r="Q150" s="69"/>
      <c r="R150" s="66"/>
      <c r="S150" s="66"/>
      <c r="T150" s="66"/>
      <c r="U150" s="66"/>
      <c r="V150" s="66"/>
      <c r="W150" s="47"/>
    </row>
    <row r="151" spans="1:23" x14ac:dyDescent="0.25">
      <c r="A151" s="9"/>
      <c r="B151" s="9"/>
      <c r="C151" s="65"/>
      <c r="D151" s="66"/>
      <c r="E151" s="67"/>
      <c r="F151" s="67"/>
      <c r="G151" s="66"/>
      <c r="H151" s="66"/>
      <c r="I151" s="66"/>
      <c r="J151" s="66"/>
      <c r="K151" s="66"/>
      <c r="L151" s="66"/>
      <c r="M151" s="68"/>
      <c r="N151" s="69"/>
      <c r="O151" s="69"/>
      <c r="P151" s="70"/>
      <c r="Q151" s="69"/>
      <c r="R151" s="66"/>
      <c r="S151" s="66"/>
      <c r="T151" s="66"/>
      <c r="U151" s="66"/>
      <c r="V151" s="66"/>
      <c r="W151" s="47"/>
    </row>
    <row r="152" spans="1:23" x14ac:dyDescent="0.25">
      <c r="A152" s="9"/>
      <c r="B152" s="9"/>
      <c r="C152" s="65"/>
      <c r="D152" s="66"/>
      <c r="E152" s="67"/>
      <c r="F152" s="67"/>
      <c r="G152" s="66"/>
      <c r="H152" s="66"/>
      <c r="I152" s="66"/>
      <c r="J152" s="66"/>
      <c r="K152" s="66"/>
      <c r="L152" s="66"/>
      <c r="M152" s="68"/>
      <c r="N152" s="69"/>
      <c r="O152" s="69"/>
      <c r="P152" s="70"/>
      <c r="Q152" s="69"/>
      <c r="R152" s="66"/>
      <c r="S152" s="66"/>
      <c r="T152" s="66"/>
      <c r="U152" s="66"/>
      <c r="V152" s="66"/>
      <c r="W152" s="47"/>
    </row>
    <row r="153" spans="1:23" x14ac:dyDescent="0.25">
      <c r="A153" s="9"/>
      <c r="B153" s="9"/>
      <c r="C153" s="65"/>
      <c r="D153" s="66"/>
      <c r="E153" s="67"/>
      <c r="F153" s="67"/>
      <c r="G153" s="66"/>
      <c r="H153" s="66"/>
      <c r="I153" s="66"/>
      <c r="J153" s="66"/>
      <c r="K153" s="66"/>
      <c r="L153" s="66"/>
      <c r="M153" s="68"/>
      <c r="N153" s="69"/>
      <c r="O153" s="69"/>
      <c r="P153" s="70"/>
      <c r="Q153" s="69"/>
      <c r="R153" s="66"/>
      <c r="S153" s="66"/>
      <c r="T153" s="66"/>
      <c r="U153" s="66"/>
      <c r="V153" s="66"/>
      <c r="W153" s="47"/>
    </row>
    <row r="154" spans="1:23" x14ac:dyDescent="0.25">
      <c r="A154" s="9"/>
      <c r="B154" s="9"/>
      <c r="C154" s="65"/>
      <c r="D154" s="66"/>
      <c r="E154" s="67"/>
      <c r="F154" s="67"/>
      <c r="G154" s="66"/>
      <c r="H154" s="66"/>
      <c r="I154" s="66"/>
      <c r="J154" s="66"/>
      <c r="K154" s="66"/>
      <c r="L154" s="66"/>
      <c r="M154" s="68"/>
      <c r="N154" s="69"/>
      <c r="O154" s="69"/>
      <c r="P154" s="70"/>
      <c r="Q154" s="69"/>
      <c r="R154" s="66"/>
      <c r="S154" s="66"/>
      <c r="T154" s="66"/>
      <c r="U154" s="66"/>
      <c r="V154" s="66"/>
      <c r="W154" s="47"/>
    </row>
    <row r="155" spans="1:23" x14ac:dyDescent="0.25">
      <c r="A155" s="9"/>
      <c r="B155" s="9"/>
      <c r="C155" s="65"/>
      <c r="D155" s="66"/>
      <c r="E155" s="67"/>
      <c r="F155" s="67"/>
      <c r="G155" s="66"/>
      <c r="H155" s="66"/>
      <c r="I155" s="66"/>
      <c r="J155" s="66"/>
      <c r="K155" s="66"/>
      <c r="L155" s="66"/>
      <c r="M155" s="68"/>
      <c r="N155" s="69"/>
      <c r="O155" s="69"/>
      <c r="P155" s="70"/>
      <c r="Q155" s="69"/>
      <c r="R155" s="66"/>
      <c r="S155" s="66"/>
      <c r="T155" s="66"/>
      <c r="U155" s="66"/>
      <c r="V155" s="66"/>
      <c r="W155" s="47"/>
    </row>
    <row r="156" spans="1:23" x14ac:dyDescent="0.25">
      <c r="A156" s="9"/>
      <c r="B156" s="9"/>
      <c r="C156" s="65"/>
      <c r="D156" s="66"/>
      <c r="E156" s="67"/>
      <c r="F156" s="67"/>
      <c r="G156" s="66"/>
      <c r="H156" s="66"/>
      <c r="I156" s="66"/>
      <c r="J156" s="66"/>
      <c r="K156" s="66"/>
      <c r="L156" s="66"/>
      <c r="M156" s="68"/>
      <c r="N156" s="69"/>
      <c r="O156" s="69"/>
      <c r="P156" s="70"/>
      <c r="Q156" s="69"/>
      <c r="R156" s="66"/>
      <c r="S156" s="66"/>
      <c r="T156" s="66"/>
      <c r="U156" s="66"/>
      <c r="V156" s="66"/>
      <c r="W156" s="47"/>
    </row>
    <row r="157" spans="1:23" x14ac:dyDescent="0.25">
      <c r="A157" s="9"/>
      <c r="B157" s="9"/>
      <c r="C157" s="65"/>
      <c r="D157" s="66"/>
      <c r="E157" s="67"/>
      <c r="F157" s="67"/>
      <c r="G157" s="66"/>
      <c r="H157" s="66"/>
      <c r="I157" s="66"/>
      <c r="J157" s="66"/>
      <c r="K157" s="66"/>
      <c r="L157" s="66"/>
      <c r="M157" s="68"/>
      <c r="N157" s="69"/>
      <c r="O157" s="69"/>
      <c r="P157" s="70"/>
      <c r="Q157" s="69"/>
      <c r="R157" s="66"/>
      <c r="S157" s="66"/>
      <c r="T157" s="66"/>
      <c r="U157" s="66"/>
      <c r="V157" s="66"/>
      <c r="W157" s="47"/>
    </row>
    <row r="158" spans="1:23" x14ac:dyDescent="0.25">
      <c r="A158" s="9"/>
      <c r="B158" s="9"/>
      <c r="C158" s="65"/>
      <c r="D158" s="66"/>
      <c r="E158" s="67"/>
      <c r="F158" s="67"/>
      <c r="G158" s="66"/>
      <c r="H158" s="66"/>
      <c r="I158" s="66"/>
      <c r="J158" s="66"/>
      <c r="K158" s="66"/>
      <c r="L158" s="66"/>
      <c r="M158" s="68"/>
      <c r="N158" s="69"/>
      <c r="O158" s="69"/>
      <c r="P158" s="70"/>
      <c r="Q158" s="69"/>
      <c r="R158" s="66"/>
      <c r="S158" s="66"/>
      <c r="T158" s="66"/>
      <c r="U158" s="66"/>
      <c r="V158" s="66"/>
      <c r="W158" s="47"/>
    </row>
    <row r="159" spans="1:23" x14ac:dyDescent="0.25">
      <c r="A159" s="9"/>
      <c r="B159" s="9"/>
      <c r="C159" s="65"/>
      <c r="D159" s="66"/>
      <c r="E159" s="67"/>
      <c r="F159" s="67"/>
      <c r="G159" s="66"/>
      <c r="H159" s="66"/>
      <c r="I159" s="66"/>
      <c r="J159" s="66"/>
      <c r="K159" s="66"/>
      <c r="L159" s="66"/>
      <c r="M159" s="68"/>
      <c r="N159" s="69"/>
      <c r="O159" s="69"/>
      <c r="P159" s="70"/>
      <c r="Q159" s="69"/>
      <c r="R159" s="66"/>
      <c r="S159" s="66"/>
      <c r="T159" s="66"/>
      <c r="U159" s="66"/>
      <c r="V159" s="66"/>
      <c r="W159" s="47"/>
    </row>
    <row r="160" spans="1:23" x14ac:dyDescent="0.25">
      <c r="A160" s="9"/>
      <c r="B160" s="9"/>
      <c r="C160" s="65"/>
      <c r="D160" s="66"/>
      <c r="E160" s="67"/>
      <c r="F160" s="67"/>
      <c r="G160" s="66"/>
      <c r="H160" s="66"/>
      <c r="I160" s="66"/>
      <c r="J160" s="66"/>
      <c r="K160" s="66"/>
      <c r="L160" s="66"/>
      <c r="M160" s="68"/>
      <c r="N160" s="69"/>
      <c r="O160" s="69"/>
      <c r="P160" s="70"/>
      <c r="Q160" s="69"/>
      <c r="R160" s="66"/>
      <c r="S160" s="66"/>
      <c r="T160" s="66"/>
      <c r="U160" s="66"/>
      <c r="V160" s="66"/>
      <c r="W160" s="47"/>
    </row>
    <row r="161" spans="1:23" x14ac:dyDescent="0.25">
      <c r="A161" s="9"/>
      <c r="B161" s="9"/>
      <c r="C161" s="65"/>
      <c r="D161" s="66"/>
      <c r="E161" s="67"/>
      <c r="F161" s="67"/>
      <c r="G161" s="66"/>
      <c r="H161" s="66"/>
      <c r="I161" s="66"/>
      <c r="J161" s="66"/>
      <c r="K161" s="66"/>
      <c r="L161" s="66"/>
      <c r="M161" s="68"/>
      <c r="N161" s="69"/>
      <c r="O161" s="69"/>
      <c r="P161" s="70"/>
      <c r="Q161" s="69"/>
      <c r="R161" s="66"/>
      <c r="S161" s="66"/>
      <c r="T161" s="66"/>
      <c r="U161" s="66"/>
      <c r="V161" s="66"/>
      <c r="W161" s="47"/>
    </row>
    <row r="162" spans="1:23" x14ac:dyDescent="0.25">
      <c r="A162" s="9"/>
      <c r="B162" s="9"/>
      <c r="C162" s="65"/>
      <c r="D162" s="66"/>
      <c r="E162" s="67"/>
      <c r="F162" s="67"/>
      <c r="G162" s="66"/>
      <c r="H162" s="66"/>
      <c r="I162" s="66"/>
      <c r="J162" s="66"/>
      <c r="K162" s="66"/>
      <c r="L162" s="66"/>
      <c r="M162" s="68"/>
      <c r="N162" s="69"/>
      <c r="O162" s="69"/>
      <c r="P162" s="70"/>
      <c r="Q162" s="69"/>
      <c r="R162" s="66"/>
      <c r="S162" s="66"/>
      <c r="T162" s="66"/>
      <c r="U162" s="66"/>
      <c r="V162" s="66"/>
      <c r="W162" s="47"/>
    </row>
    <row r="163" spans="1:23" x14ac:dyDescent="0.25">
      <c r="A163" s="9"/>
      <c r="B163" s="9"/>
      <c r="C163" s="65"/>
      <c r="D163" s="66"/>
      <c r="E163" s="67"/>
      <c r="F163" s="67"/>
      <c r="G163" s="66"/>
      <c r="H163" s="66"/>
      <c r="I163" s="66"/>
      <c r="J163" s="66"/>
      <c r="K163" s="66"/>
      <c r="L163" s="66"/>
      <c r="M163" s="68"/>
      <c r="N163" s="69"/>
      <c r="O163" s="69"/>
      <c r="P163" s="70"/>
      <c r="Q163" s="69"/>
      <c r="R163" s="66"/>
      <c r="S163" s="66"/>
      <c r="T163" s="66"/>
      <c r="U163" s="66"/>
      <c r="V163" s="66"/>
      <c r="W163" s="47"/>
    </row>
    <row r="164" spans="1:23" x14ac:dyDescent="0.25">
      <c r="A164" s="9"/>
      <c r="B164" s="9"/>
      <c r="C164" s="65"/>
      <c r="D164" s="66"/>
      <c r="E164" s="67"/>
      <c r="F164" s="67"/>
      <c r="G164" s="66"/>
      <c r="H164" s="66"/>
      <c r="I164" s="66"/>
      <c r="J164" s="66"/>
      <c r="K164" s="66"/>
      <c r="L164" s="66"/>
      <c r="M164" s="68"/>
      <c r="N164" s="69"/>
      <c r="O164" s="69"/>
      <c r="P164" s="70"/>
      <c r="Q164" s="69"/>
      <c r="R164" s="66"/>
      <c r="S164" s="66"/>
      <c r="T164" s="66"/>
      <c r="U164" s="66"/>
      <c r="V164" s="66"/>
      <c r="W164" s="47"/>
    </row>
    <row r="165" spans="1:23" x14ac:dyDescent="0.25">
      <c r="A165" s="9"/>
      <c r="B165" s="9"/>
      <c r="C165" s="65"/>
      <c r="D165" s="66"/>
      <c r="E165" s="67"/>
      <c r="F165" s="67"/>
      <c r="G165" s="66"/>
      <c r="H165" s="66"/>
      <c r="I165" s="66"/>
      <c r="J165" s="66"/>
      <c r="K165" s="66"/>
      <c r="L165" s="66"/>
      <c r="M165" s="68"/>
      <c r="N165" s="69"/>
      <c r="O165" s="69"/>
      <c r="P165" s="70"/>
      <c r="Q165" s="69"/>
      <c r="R165" s="66"/>
      <c r="S165" s="66"/>
      <c r="T165" s="66"/>
      <c r="U165" s="66"/>
      <c r="V165" s="66"/>
      <c r="W165" s="47"/>
    </row>
    <row r="166" spans="1:23" x14ac:dyDescent="0.25">
      <c r="A166" s="9"/>
      <c r="B166" s="9"/>
      <c r="C166" s="65"/>
      <c r="D166" s="66"/>
      <c r="E166" s="67"/>
      <c r="F166" s="67"/>
      <c r="G166" s="66"/>
      <c r="H166" s="66"/>
      <c r="I166" s="66"/>
      <c r="J166" s="66"/>
      <c r="K166" s="66"/>
      <c r="L166" s="66"/>
      <c r="M166" s="68"/>
      <c r="N166" s="69"/>
      <c r="O166" s="69"/>
      <c r="P166" s="70"/>
      <c r="Q166" s="69"/>
      <c r="R166" s="66"/>
      <c r="S166" s="66"/>
      <c r="T166" s="66"/>
      <c r="U166" s="66"/>
      <c r="V166" s="66"/>
      <c r="W166" s="47"/>
    </row>
    <row r="167" spans="1:23" x14ac:dyDescent="0.25">
      <c r="A167" s="9"/>
      <c r="B167" s="9"/>
      <c r="C167" s="65"/>
      <c r="D167" s="66"/>
      <c r="E167" s="67"/>
      <c r="F167" s="67"/>
      <c r="G167" s="66"/>
      <c r="H167" s="66"/>
      <c r="I167" s="66"/>
      <c r="J167" s="66"/>
      <c r="K167" s="66"/>
      <c r="L167" s="66"/>
      <c r="M167" s="68"/>
      <c r="N167" s="69"/>
      <c r="O167" s="69"/>
      <c r="P167" s="70"/>
      <c r="Q167" s="69"/>
      <c r="R167" s="66"/>
      <c r="S167" s="66"/>
      <c r="T167" s="66"/>
      <c r="U167" s="66"/>
      <c r="V167" s="66"/>
      <c r="W167" s="47"/>
    </row>
    <row r="168" spans="1:23" x14ac:dyDescent="0.25">
      <c r="A168" s="9"/>
      <c r="B168" s="9"/>
      <c r="C168" s="65"/>
      <c r="D168" s="66"/>
      <c r="E168" s="67"/>
      <c r="F168" s="67"/>
      <c r="G168" s="66"/>
      <c r="H168" s="66"/>
      <c r="I168" s="66"/>
      <c r="J168" s="66"/>
      <c r="K168" s="66"/>
      <c r="L168" s="66"/>
      <c r="M168" s="68"/>
      <c r="N168" s="69"/>
      <c r="O168" s="69"/>
      <c r="P168" s="70"/>
      <c r="Q168" s="69"/>
      <c r="R168" s="66"/>
      <c r="S168" s="66"/>
      <c r="T168" s="66"/>
      <c r="U168" s="66"/>
      <c r="V168" s="66"/>
      <c r="W168" s="47"/>
    </row>
    <row r="169" spans="1:23" x14ac:dyDescent="0.25">
      <c r="A169" s="9"/>
      <c r="B169" s="9"/>
      <c r="C169" s="65"/>
      <c r="D169" s="66"/>
      <c r="E169" s="67"/>
      <c r="F169" s="67"/>
      <c r="G169" s="66"/>
      <c r="H169" s="66"/>
      <c r="I169" s="66"/>
      <c r="J169" s="66"/>
      <c r="K169" s="66"/>
      <c r="L169" s="66"/>
      <c r="M169" s="68"/>
      <c r="N169" s="69"/>
      <c r="O169" s="69"/>
      <c r="P169" s="70"/>
      <c r="Q169" s="69"/>
      <c r="R169" s="66"/>
      <c r="S169" s="66"/>
      <c r="T169" s="66"/>
      <c r="U169" s="66"/>
      <c r="V169" s="66"/>
      <c r="W169" s="47"/>
    </row>
    <row r="170" spans="1:23" x14ac:dyDescent="0.25">
      <c r="A170" s="9"/>
      <c r="B170" s="9"/>
      <c r="C170" s="65"/>
      <c r="D170" s="66"/>
      <c r="E170" s="67"/>
      <c r="F170" s="67"/>
      <c r="G170" s="66"/>
      <c r="H170" s="66"/>
      <c r="I170" s="66"/>
      <c r="J170" s="66"/>
      <c r="K170" s="66"/>
      <c r="L170" s="66"/>
      <c r="M170" s="68"/>
      <c r="N170" s="69"/>
      <c r="O170" s="69"/>
      <c r="P170" s="70"/>
      <c r="Q170" s="69"/>
      <c r="R170" s="66"/>
      <c r="S170" s="66"/>
      <c r="T170" s="66"/>
      <c r="U170" s="66"/>
      <c r="V170" s="66"/>
      <c r="W170" s="47"/>
    </row>
    <row r="171" spans="1:23" x14ac:dyDescent="0.25">
      <c r="A171" s="9"/>
      <c r="B171" s="9"/>
      <c r="C171" s="65"/>
      <c r="D171" s="66"/>
      <c r="E171" s="67"/>
      <c r="F171" s="67"/>
      <c r="G171" s="66"/>
      <c r="H171" s="66"/>
      <c r="I171" s="66"/>
      <c r="J171" s="66"/>
      <c r="K171" s="66"/>
      <c r="L171" s="66"/>
      <c r="M171" s="68"/>
      <c r="N171" s="69"/>
      <c r="O171" s="69"/>
      <c r="P171" s="70"/>
      <c r="Q171" s="69"/>
      <c r="R171" s="66"/>
      <c r="S171" s="66"/>
      <c r="T171" s="66"/>
      <c r="U171" s="66"/>
      <c r="V171" s="66"/>
      <c r="W171" s="47"/>
    </row>
    <row r="172" spans="1:23" x14ac:dyDescent="0.25">
      <c r="A172" s="9"/>
      <c r="B172" s="9"/>
      <c r="C172" s="65"/>
      <c r="D172" s="66"/>
      <c r="E172" s="67"/>
      <c r="F172" s="67"/>
      <c r="G172" s="66"/>
      <c r="H172" s="66"/>
      <c r="I172" s="66"/>
      <c r="J172" s="66"/>
      <c r="K172" s="66"/>
      <c r="L172" s="66"/>
      <c r="M172" s="68"/>
      <c r="N172" s="69"/>
      <c r="O172" s="69"/>
      <c r="P172" s="70"/>
      <c r="Q172" s="69"/>
      <c r="R172" s="66"/>
      <c r="S172" s="66"/>
      <c r="T172" s="66"/>
      <c r="U172" s="66"/>
      <c r="V172" s="66"/>
      <c r="W172" s="47"/>
    </row>
    <row r="173" spans="1:23" x14ac:dyDescent="0.25">
      <c r="A173" s="9"/>
      <c r="B173" s="9"/>
      <c r="C173" s="65"/>
      <c r="D173" s="66"/>
      <c r="E173" s="67"/>
      <c r="F173" s="67"/>
      <c r="G173" s="66"/>
      <c r="H173" s="66"/>
      <c r="I173" s="66"/>
      <c r="J173" s="66"/>
      <c r="K173" s="66"/>
      <c r="L173" s="66"/>
      <c r="M173" s="68"/>
      <c r="N173" s="69"/>
      <c r="O173" s="69"/>
      <c r="P173" s="70"/>
      <c r="Q173" s="69"/>
      <c r="R173" s="66"/>
      <c r="S173" s="66"/>
      <c r="T173" s="66"/>
      <c r="U173" s="66"/>
      <c r="V173" s="66"/>
      <c r="W173" s="47"/>
    </row>
    <row r="174" spans="1:23" x14ac:dyDescent="0.25">
      <c r="A174" s="9"/>
      <c r="B174" s="9"/>
      <c r="C174" s="65"/>
      <c r="D174" s="66"/>
      <c r="E174" s="67"/>
      <c r="F174" s="67"/>
      <c r="G174" s="66"/>
      <c r="H174" s="66"/>
      <c r="I174" s="66"/>
      <c r="J174" s="66"/>
      <c r="K174" s="66"/>
      <c r="L174" s="66"/>
      <c r="M174" s="68"/>
      <c r="N174" s="69"/>
      <c r="O174" s="69"/>
      <c r="P174" s="70"/>
      <c r="Q174" s="69"/>
      <c r="R174" s="66"/>
      <c r="S174" s="66"/>
      <c r="T174" s="66"/>
      <c r="U174" s="66"/>
      <c r="V174" s="66"/>
      <c r="W174" s="47"/>
    </row>
    <row r="175" spans="1:23" x14ac:dyDescent="0.25">
      <c r="A175" s="9"/>
      <c r="B175" s="9"/>
      <c r="C175" s="65"/>
      <c r="D175" s="66"/>
      <c r="E175" s="67"/>
      <c r="F175" s="67"/>
      <c r="G175" s="66"/>
      <c r="H175" s="66"/>
      <c r="I175" s="66"/>
      <c r="J175" s="66"/>
      <c r="K175" s="66"/>
      <c r="L175" s="66"/>
      <c r="M175" s="68"/>
      <c r="N175" s="69"/>
      <c r="O175" s="69"/>
      <c r="P175" s="70"/>
      <c r="Q175" s="69"/>
      <c r="R175" s="66"/>
      <c r="S175" s="66"/>
      <c r="T175" s="66"/>
      <c r="U175" s="66"/>
      <c r="V175" s="66"/>
      <c r="W175" s="47"/>
    </row>
    <row r="176" spans="1:23" x14ac:dyDescent="0.25">
      <c r="A176" s="9"/>
      <c r="B176" s="9"/>
      <c r="C176" s="65"/>
      <c r="D176" s="66"/>
      <c r="E176" s="67"/>
      <c r="F176" s="67"/>
      <c r="G176" s="66"/>
      <c r="H176" s="66"/>
      <c r="I176" s="66"/>
      <c r="J176" s="66"/>
      <c r="K176" s="66"/>
      <c r="L176" s="66"/>
      <c r="M176" s="68"/>
      <c r="N176" s="69"/>
      <c r="O176" s="69"/>
      <c r="P176" s="70"/>
      <c r="Q176" s="69"/>
      <c r="R176" s="66"/>
      <c r="S176" s="66"/>
      <c r="T176" s="66"/>
      <c r="U176" s="66"/>
      <c r="V176" s="66"/>
      <c r="W176" s="47"/>
    </row>
    <row r="177" spans="1:23" x14ac:dyDescent="0.25">
      <c r="A177" s="9"/>
      <c r="B177" s="9"/>
      <c r="C177" s="65"/>
      <c r="D177" s="66"/>
      <c r="E177" s="67"/>
      <c r="F177" s="67"/>
      <c r="G177" s="66"/>
      <c r="H177" s="66"/>
      <c r="I177" s="66"/>
      <c r="J177" s="66"/>
      <c r="K177" s="66"/>
      <c r="L177" s="66"/>
      <c r="M177" s="68"/>
      <c r="N177" s="69"/>
      <c r="O177" s="69"/>
      <c r="P177" s="70"/>
      <c r="Q177" s="69"/>
      <c r="R177" s="66"/>
      <c r="S177" s="66"/>
      <c r="T177" s="66"/>
      <c r="U177" s="66"/>
      <c r="V177" s="66"/>
      <c r="W177" s="47"/>
    </row>
    <row r="178" spans="1:23" x14ac:dyDescent="0.25">
      <c r="A178" s="9"/>
      <c r="B178" s="9"/>
      <c r="C178" s="65"/>
      <c r="D178" s="66"/>
      <c r="E178" s="67"/>
      <c r="F178" s="67"/>
      <c r="G178" s="66"/>
      <c r="H178" s="66"/>
      <c r="I178" s="66"/>
      <c r="J178" s="66"/>
      <c r="K178" s="66"/>
      <c r="L178" s="66"/>
      <c r="M178" s="68"/>
      <c r="N178" s="69"/>
      <c r="O178" s="69"/>
      <c r="P178" s="70"/>
      <c r="Q178" s="69"/>
      <c r="R178" s="66"/>
      <c r="S178" s="66"/>
      <c r="T178" s="66"/>
      <c r="U178" s="66"/>
      <c r="V178" s="66"/>
      <c r="W178" s="47"/>
    </row>
    <row r="179" spans="1:23" x14ac:dyDescent="0.25">
      <c r="A179" s="9"/>
      <c r="B179" s="9"/>
      <c r="C179" s="65"/>
      <c r="D179" s="66"/>
      <c r="E179" s="67"/>
      <c r="F179" s="67"/>
      <c r="G179" s="66"/>
      <c r="H179" s="66"/>
      <c r="I179" s="66"/>
      <c r="J179" s="66"/>
      <c r="K179" s="66"/>
      <c r="L179" s="66"/>
      <c r="M179" s="68"/>
      <c r="N179" s="69"/>
      <c r="O179" s="69"/>
      <c r="P179" s="70"/>
      <c r="Q179" s="69"/>
      <c r="R179" s="66"/>
      <c r="S179" s="66"/>
      <c r="T179" s="66"/>
      <c r="U179" s="66"/>
      <c r="V179" s="66"/>
      <c r="W179" s="47"/>
    </row>
    <row r="180" spans="1:23" x14ac:dyDescent="0.25">
      <c r="A180" s="9"/>
      <c r="B180" s="9"/>
      <c r="C180" s="65"/>
      <c r="D180" s="66"/>
      <c r="E180" s="67"/>
      <c r="F180" s="67"/>
      <c r="G180" s="66"/>
      <c r="H180" s="66"/>
      <c r="I180" s="66"/>
      <c r="J180" s="66"/>
      <c r="K180" s="66"/>
      <c r="L180" s="66"/>
      <c r="M180" s="68"/>
      <c r="N180" s="69"/>
      <c r="O180" s="69"/>
      <c r="P180" s="70"/>
      <c r="Q180" s="69"/>
      <c r="R180" s="66"/>
      <c r="S180" s="66"/>
      <c r="T180" s="66"/>
      <c r="U180" s="66"/>
      <c r="V180" s="66"/>
      <c r="W180" s="47"/>
    </row>
    <row r="181" spans="1:23" x14ac:dyDescent="0.25">
      <c r="A181" s="9"/>
      <c r="B181" s="9"/>
      <c r="C181" s="65"/>
      <c r="D181" s="66"/>
      <c r="E181" s="67"/>
      <c r="F181" s="67"/>
      <c r="G181" s="66"/>
      <c r="H181" s="66"/>
      <c r="I181" s="66"/>
      <c r="J181" s="66"/>
      <c r="K181" s="66"/>
      <c r="L181" s="66"/>
      <c r="M181" s="68"/>
      <c r="N181" s="69"/>
      <c r="O181" s="69"/>
      <c r="P181" s="70"/>
      <c r="Q181" s="69"/>
      <c r="R181" s="66"/>
      <c r="S181" s="66"/>
      <c r="T181" s="66"/>
      <c r="U181" s="66"/>
      <c r="V181" s="66"/>
      <c r="W181" s="47"/>
    </row>
    <row r="182" spans="1:23" x14ac:dyDescent="0.25">
      <c r="A182" s="9"/>
      <c r="B182" s="9"/>
      <c r="C182" s="65"/>
      <c r="D182" s="66"/>
      <c r="E182" s="67"/>
      <c r="F182" s="67"/>
      <c r="G182" s="66"/>
      <c r="H182" s="66"/>
      <c r="I182" s="66"/>
      <c r="J182" s="66"/>
      <c r="K182" s="66"/>
      <c r="L182" s="66"/>
      <c r="M182" s="68"/>
      <c r="N182" s="69"/>
      <c r="O182" s="69"/>
      <c r="P182" s="70"/>
      <c r="Q182" s="69"/>
      <c r="R182" s="66"/>
      <c r="S182" s="66"/>
      <c r="T182" s="66"/>
      <c r="U182" s="66"/>
      <c r="V182" s="66"/>
      <c r="W182" s="47"/>
    </row>
    <row r="183" spans="1:23" x14ac:dyDescent="0.25">
      <c r="A183" s="9"/>
      <c r="B183" s="9"/>
      <c r="C183" s="65"/>
      <c r="D183" s="66"/>
      <c r="E183" s="67"/>
      <c r="F183" s="67"/>
      <c r="G183" s="66"/>
      <c r="H183" s="66"/>
      <c r="I183" s="66"/>
      <c r="J183" s="66"/>
      <c r="K183" s="66"/>
      <c r="L183" s="66"/>
      <c r="M183" s="68"/>
      <c r="N183" s="69"/>
      <c r="O183" s="69"/>
      <c r="P183" s="70"/>
      <c r="Q183" s="69"/>
      <c r="R183" s="66"/>
      <c r="S183" s="66"/>
      <c r="T183" s="66"/>
      <c r="U183" s="66"/>
      <c r="V183" s="66"/>
      <c r="W183" s="47"/>
    </row>
    <row r="184" spans="1:23" x14ac:dyDescent="0.25">
      <c r="A184" s="9"/>
      <c r="B184" s="9"/>
      <c r="C184" s="65"/>
      <c r="D184" s="66"/>
      <c r="E184" s="67"/>
      <c r="F184" s="67"/>
      <c r="G184" s="66"/>
      <c r="H184" s="66"/>
      <c r="I184" s="66"/>
      <c r="J184" s="66"/>
      <c r="K184" s="66"/>
      <c r="L184" s="66"/>
      <c r="M184" s="68"/>
      <c r="N184" s="69"/>
      <c r="O184" s="69"/>
      <c r="P184" s="70"/>
      <c r="Q184" s="69"/>
      <c r="R184" s="66"/>
      <c r="S184" s="66"/>
      <c r="T184" s="66"/>
      <c r="U184" s="66"/>
      <c r="V184" s="66"/>
      <c r="W184" s="47"/>
    </row>
    <row r="185" spans="1:23" x14ac:dyDescent="0.25">
      <c r="A185" s="9"/>
      <c r="B185" s="9"/>
      <c r="C185" s="65"/>
      <c r="D185" s="66"/>
      <c r="E185" s="67"/>
      <c r="F185" s="67"/>
      <c r="G185" s="66"/>
      <c r="H185" s="66"/>
      <c r="I185" s="66"/>
      <c r="J185" s="66"/>
      <c r="K185" s="66"/>
      <c r="L185" s="66"/>
      <c r="M185" s="68"/>
      <c r="N185" s="69"/>
      <c r="O185" s="69"/>
      <c r="P185" s="70"/>
      <c r="Q185" s="69"/>
      <c r="R185" s="66"/>
      <c r="S185" s="66"/>
      <c r="T185" s="66"/>
      <c r="U185" s="66"/>
      <c r="V185" s="66"/>
      <c r="W185" s="47"/>
    </row>
    <row r="186" spans="1:23" x14ac:dyDescent="0.25">
      <c r="A186" s="9"/>
      <c r="B186" s="9"/>
      <c r="C186" s="65"/>
      <c r="D186" s="66"/>
      <c r="E186" s="67"/>
      <c r="F186" s="67"/>
      <c r="G186" s="66"/>
      <c r="H186" s="66"/>
      <c r="I186" s="66"/>
      <c r="J186" s="66"/>
      <c r="K186" s="66"/>
      <c r="L186" s="66"/>
      <c r="M186" s="68"/>
      <c r="N186" s="69"/>
      <c r="O186" s="69"/>
      <c r="P186" s="70"/>
      <c r="Q186" s="69"/>
      <c r="R186" s="66"/>
      <c r="S186" s="66"/>
      <c r="T186" s="66"/>
      <c r="U186" s="66"/>
      <c r="V186" s="66"/>
      <c r="W186" s="47"/>
    </row>
    <row r="187" spans="1:23" x14ac:dyDescent="0.25">
      <c r="A187" s="9"/>
      <c r="B187" s="9"/>
      <c r="C187" s="65"/>
      <c r="D187" s="66"/>
      <c r="E187" s="67"/>
      <c r="F187" s="67"/>
      <c r="G187" s="66"/>
      <c r="H187" s="66"/>
      <c r="I187" s="66"/>
      <c r="J187" s="66"/>
      <c r="K187" s="66"/>
      <c r="L187" s="66"/>
      <c r="M187" s="68"/>
      <c r="N187" s="69"/>
      <c r="O187" s="69"/>
      <c r="P187" s="70"/>
      <c r="Q187" s="69"/>
      <c r="R187" s="66"/>
      <c r="S187" s="66"/>
      <c r="T187" s="66"/>
      <c r="U187" s="66"/>
      <c r="V187" s="66"/>
      <c r="W187" s="47"/>
    </row>
    <row r="188" spans="1:23" x14ac:dyDescent="0.25">
      <c r="A188" s="9"/>
      <c r="B188" s="9"/>
      <c r="C188" s="65"/>
      <c r="D188" s="66"/>
      <c r="E188" s="67"/>
      <c r="F188" s="67"/>
      <c r="G188" s="66"/>
      <c r="H188" s="66"/>
      <c r="I188" s="66"/>
      <c r="J188" s="66"/>
      <c r="K188" s="66"/>
      <c r="L188" s="66"/>
      <c r="M188" s="68"/>
      <c r="N188" s="69"/>
      <c r="O188" s="69"/>
      <c r="P188" s="70"/>
      <c r="Q188" s="69"/>
      <c r="R188" s="66"/>
      <c r="S188" s="66"/>
      <c r="T188" s="66"/>
      <c r="U188" s="66"/>
      <c r="V188" s="66"/>
      <c r="W188" s="47"/>
    </row>
    <row r="189" spans="1:23" x14ac:dyDescent="0.25">
      <c r="A189" s="9"/>
      <c r="B189" s="9"/>
      <c r="C189" s="65"/>
      <c r="D189" s="66"/>
      <c r="E189" s="67"/>
      <c r="F189" s="67"/>
      <c r="G189" s="66"/>
      <c r="H189" s="66"/>
      <c r="I189" s="66"/>
      <c r="J189" s="66"/>
      <c r="K189" s="66"/>
      <c r="L189" s="66"/>
      <c r="M189" s="68"/>
      <c r="N189" s="69"/>
      <c r="O189" s="69"/>
      <c r="P189" s="70"/>
      <c r="Q189" s="69"/>
      <c r="R189" s="66"/>
      <c r="S189" s="66"/>
      <c r="T189" s="66"/>
      <c r="U189" s="66"/>
      <c r="V189" s="66"/>
      <c r="W189" s="47"/>
    </row>
    <row r="190" spans="1:23" x14ac:dyDescent="0.25">
      <c r="A190" s="9"/>
      <c r="B190" s="9"/>
      <c r="C190" s="65"/>
      <c r="D190" s="66"/>
      <c r="E190" s="67"/>
      <c r="F190" s="67"/>
      <c r="G190" s="66"/>
      <c r="H190" s="66"/>
      <c r="I190" s="66"/>
      <c r="J190" s="66"/>
      <c r="K190" s="66"/>
      <c r="L190" s="66"/>
      <c r="M190" s="68"/>
      <c r="N190" s="69"/>
      <c r="O190" s="69"/>
      <c r="P190" s="70"/>
      <c r="Q190" s="69"/>
      <c r="R190" s="66"/>
      <c r="S190" s="66"/>
      <c r="T190" s="66"/>
      <c r="U190" s="66"/>
      <c r="V190" s="66"/>
      <c r="W190" s="47"/>
    </row>
    <row r="191" spans="1:23" x14ac:dyDescent="0.25">
      <c r="A191" s="9"/>
      <c r="B191" s="9"/>
      <c r="C191" s="65"/>
      <c r="D191" s="66"/>
      <c r="E191" s="67"/>
      <c r="F191" s="67"/>
      <c r="G191" s="66"/>
      <c r="H191" s="66"/>
      <c r="I191" s="66"/>
      <c r="J191" s="66"/>
      <c r="K191" s="66"/>
      <c r="L191" s="66"/>
      <c r="M191" s="68"/>
      <c r="N191" s="69"/>
      <c r="O191" s="69"/>
      <c r="P191" s="70"/>
      <c r="Q191" s="69"/>
      <c r="R191" s="66"/>
      <c r="S191" s="66"/>
      <c r="T191" s="66"/>
      <c r="U191" s="66"/>
      <c r="V191" s="66"/>
      <c r="W191" s="47"/>
    </row>
    <row r="192" spans="1:23" x14ac:dyDescent="0.25">
      <c r="A192" s="9"/>
      <c r="B192" s="9"/>
      <c r="C192" s="65"/>
      <c r="D192" s="66"/>
      <c r="E192" s="67"/>
      <c r="F192" s="67"/>
      <c r="G192" s="66"/>
      <c r="H192" s="66"/>
      <c r="I192" s="66"/>
      <c r="J192" s="66"/>
      <c r="K192" s="66"/>
      <c r="L192" s="66"/>
      <c r="M192" s="68"/>
      <c r="N192" s="69"/>
      <c r="O192" s="69"/>
      <c r="P192" s="70"/>
      <c r="Q192" s="69"/>
      <c r="R192" s="66"/>
      <c r="S192" s="66"/>
      <c r="T192" s="66"/>
      <c r="U192" s="66"/>
      <c r="V192" s="66"/>
      <c r="W192" s="47"/>
    </row>
    <row r="193" spans="1:23" x14ac:dyDescent="0.25">
      <c r="A193" s="9"/>
      <c r="B193" s="9"/>
      <c r="C193" s="65"/>
      <c r="D193" s="66"/>
      <c r="E193" s="67"/>
      <c r="F193" s="67"/>
      <c r="G193" s="66"/>
      <c r="H193" s="66"/>
      <c r="I193" s="66"/>
      <c r="J193" s="66"/>
      <c r="K193" s="66"/>
      <c r="L193" s="66"/>
      <c r="M193" s="68"/>
      <c r="N193" s="69"/>
      <c r="O193" s="69"/>
      <c r="P193" s="70"/>
      <c r="Q193" s="69"/>
      <c r="R193" s="66"/>
      <c r="S193" s="66"/>
      <c r="T193" s="66"/>
      <c r="U193" s="66"/>
      <c r="V193" s="66"/>
      <c r="W193" s="47"/>
    </row>
    <row r="194" spans="1:23" x14ac:dyDescent="0.25">
      <c r="A194" s="9"/>
      <c r="B194" s="9"/>
      <c r="C194" s="65"/>
      <c r="D194" s="66"/>
      <c r="E194" s="67"/>
      <c r="F194" s="67"/>
      <c r="G194" s="66"/>
      <c r="H194" s="66"/>
      <c r="I194" s="66"/>
      <c r="J194" s="66"/>
      <c r="K194" s="66"/>
      <c r="L194" s="66"/>
      <c r="M194" s="68"/>
      <c r="N194" s="69"/>
      <c r="O194" s="69"/>
      <c r="P194" s="70"/>
      <c r="Q194" s="69"/>
      <c r="R194" s="66"/>
      <c r="S194" s="66"/>
      <c r="T194" s="66"/>
      <c r="U194" s="66"/>
      <c r="V194" s="66"/>
      <c r="W194" s="47"/>
    </row>
    <row r="195" spans="1:23" x14ac:dyDescent="0.25">
      <c r="A195" s="9"/>
      <c r="B195" s="9"/>
      <c r="C195" s="65"/>
      <c r="D195" s="66"/>
      <c r="E195" s="67"/>
      <c r="F195" s="67"/>
      <c r="G195" s="66"/>
      <c r="H195" s="66"/>
      <c r="I195" s="66"/>
      <c r="J195" s="66"/>
      <c r="K195" s="66"/>
      <c r="L195" s="66"/>
      <c r="M195" s="68"/>
      <c r="N195" s="69"/>
      <c r="O195" s="69"/>
      <c r="P195" s="70"/>
      <c r="Q195" s="69"/>
      <c r="R195" s="66"/>
      <c r="S195" s="66"/>
      <c r="T195" s="66"/>
      <c r="U195" s="66"/>
      <c r="V195" s="66"/>
      <c r="W195" s="47"/>
    </row>
    <row r="196" spans="1:23" x14ac:dyDescent="0.25">
      <c r="A196" s="9"/>
      <c r="B196" s="9"/>
      <c r="C196" s="65"/>
      <c r="D196" s="66"/>
      <c r="E196" s="67"/>
      <c r="F196" s="67"/>
      <c r="G196" s="66"/>
      <c r="H196" s="66"/>
      <c r="I196" s="66"/>
      <c r="J196" s="66"/>
      <c r="K196" s="66"/>
      <c r="L196" s="66"/>
      <c r="M196" s="68"/>
      <c r="N196" s="69"/>
      <c r="O196" s="69"/>
      <c r="P196" s="70"/>
      <c r="Q196" s="69"/>
      <c r="R196" s="66"/>
      <c r="S196" s="66"/>
      <c r="T196" s="66"/>
      <c r="U196" s="66"/>
      <c r="V196" s="66"/>
      <c r="W196" s="47"/>
    </row>
    <row r="197" spans="1:23" x14ac:dyDescent="0.25">
      <c r="A197" s="9"/>
      <c r="B197" s="9"/>
      <c r="C197" s="65"/>
      <c r="D197" s="66"/>
      <c r="E197" s="67"/>
      <c r="F197" s="67"/>
      <c r="G197" s="66"/>
      <c r="H197" s="66"/>
      <c r="I197" s="66"/>
      <c r="J197" s="66"/>
      <c r="K197" s="66"/>
      <c r="L197" s="66"/>
      <c r="M197" s="68"/>
      <c r="N197" s="69"/>
      <c r="O197" s="69"/>
      <c r="P197" s="70"/>
      <c r="Q197" s="69"/>
      <c r="R197" s="66"/>
      <c r="S197" s="66"/>
      <c r="T197" s="66"/>
      <c r="U197" s="66"/>
      <c r="V197" s="66"/>
      <c r="W197" s="47"/>
    </row>
    <row r="198" spans="1:23" x14ac:dyDescent="0.25">
      <c r="A198" s="9"/>
      <c r="B198" s="9"/>
      <c r="C198" s="65"/>
      <c r="D198" s="66"/>
      <c r="E198" s="67"/>
      <c r="F198" s="67"/>
      <c r="G198" s="66"/>
      <c r="H198" s="66"/>
      <c r="I198" s="66"/>
      <c r="J198" s="66"/>
      <c r="K198" s="66"/>
      <c r="L198" s="66"/>
      <c r="M198" s="68"/>
      <c r="N198" s="69"/>
      <c r="O198" s="69"/>
      <c r="P198" s="70"/>
      <c r="Q198" s="69"/>
      <c r="R198" s="66"/>
      <c r="S198" s="66"/>
      <c r="T198" s="66"/>
      <c r="U198" s="66"/>
      <c r="V198" s="66"/>
      <c r="W198" s="47"/>
    </row>
    <row r="199" spans="1:23" x14ac:dyDescent="0.25">
      <c r="A199" s="9"/>
      <c r="B199" s="9"/>
      <c r="C199" s="65"/>
      <c r="D199" s="66"/>
      <c r="E199" s="67"/>
      <c r="F199" s="67"/>
      <c r="G199" s="66"/>
      <c r="H199" s="66"/>
      <c r="I199" s="66"/>
      <c r="J199" s="66"/>
      <c r="K199" s="66"/>
      <c r="L199" s="66"/>
      <c r="M199" s="68"/>
      <c r="N199" s="69"/>
      <c r="O199" s="69"/>
      <c r="P199" s="70"/>
      <c r="Q199" s="69"/>
      <c r="R199" s="66"/>
      <c r="S199" s="66"/>
      <c r="T199" s="66"/>
      <c r="U199" s="66"/>
      <c r="V199" s="66"/>
      <c r="W199" s="47"/>
    </row>
    <row r="200" spans="1:23" x14ac:dyDescent="0.25">
      <c r="A200" s="9"/>
      <c r="B200" s="9"/>
      <c r="C200" s="65"/>
      <c r="D200" s="66"/>
      <c r="E200" s="67"/>
      <c r="F200" s="67"/>
      <c r="G200" s="66"/>
      <c r="H200" s="66"/>
      <c r="I200" s="66"/>
      <c r="J200" s="66"/>
      <c r="K200" s="66"/>
      <c r="L200" s="66"/>
      <c r="M200" s="68"/>
      <c r="N200" s="69"/>
      <c r="O200" s="69"/>
      <c r="P200" s="70"/>
      <c r="Q200" s="69"/>
      <c r="R200" s="66"/>
      <c r="S200" s="66"/>
      <c r="T200" s="66"/>
      <c r="U200" s="66"/>
      <c r="V200" s="66"/>
      <c r="W200" s="47"/>
    </row>
    <row r="201" spans="1:23" x14ac:dyDescent="0.25">
      <c r="A201" s="9"/>
      <c r="B201" s="9"/>
      <c r="C201" s="65"/>
      <c r="D201" s="66"/>
      <c r="E201" s="67"/>
      <c r="F201" s="67"/>
      <c r="G201" s="66"/>
      <c r="H201" s="66"/>
      <c r="I201" s="66"/>
      <c r="J201" s="66"/>
      <c r="K201" s="66"/>
      <c r="L201" s="66"/>
      <c r="M201" s="68"/>
      <c r="N201" s="69"/>
      <c r="O201" s="69"/>
      <c r="P201" s="70"/>
      <c r="Q201" s="69"/>
      <c r="R201" s="66"/>
      <c r="S201" s="66"/>
      <c r="T201" s="66"/>
      <c r="U201" s="66"/>
      <c r="V201" s="66"/>
      <c r="W201" s="47"/>
    </row>
    <row r="202" spans="1:23" x14ac:dyDescent="0.25">
      <c r="A202" s="9"/>
      <c r="B202" s="9"/>
      <c r="C202" s="65"/>
      <c r="D202" s="66"/>
      <c r="E202" s="67"/>
      <c r="F202" s="67"/>
      <c r="G202" s="66"/>
      <c r="H202" s="66"/>
      <c r="I202" s="66"/>
      <c r="J202" s="66"/>
      <c r="K202" s="66"/>
      <c r="L202" s="66"/>
      <c r="M202" s="68"/>
      <c r="N202" s="69"/>
      <c r="O202" s="69"/>
      <c r="P202" s="70"/>
      <c r="Q202" s="69"/>
      <c r="R202" s="66"/>
      <c r="S202" s="66"/>
      <c r="T202" s="66"/>
      <c r="U202" s="66"/>
      <c r="V202" s="66"/>
      <c r="W202" s="47"/>
    </row>
    <row r="203" spans="1:23" x14ac:dyDescent="0.25">
      <c r="A203" s="9"/>
      <c r="B203" s="9"/>
      <c r="C203" s="65"/>
      <c r="D203" s="66"/>
      <c r="E203" s="67"/>
      <c r="F203" s="67"/>
      <c r="G203" s="66"/>
      <c r="H203" s="66"/>
      <c r="I203" s="66"/>
      <c r="J203" s="66"/>
      <c r="K203" s="66"/>
      <c r="L203" s="66"/>
      <c r="M203" s="68"/>
      <c r="N203" s="69"/>
      <c r="O203" s="69"/>
      <c r="P203" s="70"/>
      <c r="Q203" s="69"/>
      <c r="R203" s="66"/>
      <c r="S203" s="66"/>
      <c r="T203" s="66"/>
      <c r="U203" s="66"/>
      <c r="V203" s="66"/>
      <c r="W203" s="47"/>
    </row>
    <row r="204" spans="1:23" x14ac:dyDescent="0.25">
      <c r="A204" s="9"/>
      <c r="B204" s="9"/>
      <c r="C204" s="65"/>
      <c r="D204" s="66"/>
      <c r="E204" s="67"/>
      <c r="F204" s="67"/>
      <c r="G204" s="66"/>
      <c r="H204" s="66"/>
      <c r="I204" s="66"/>
      <c r="J204" s="66"/>
      <c r="K204" s="66"/>
      <c r="L204" s="66"/>
      <c r="M204" s="68"/>
      <c r="N204" s="69"/>
      <c r="O204" s="69"/>
      <c r="P204" s="70"/>
      <c r="Q204" s="69"/>
      <c r="R204" s="66"/>
      <c r="S204" s="66"/>
      <c r="T204" s="66"/>
      <c r="U204" s="66"/>
      <c r="V204" s="66"/>
      <c r="W204" s="47"/>
    </row>
    <row r="205" spans="1:23" x14ac:dyDescent="0.25">
      <c r="A205" s="9"/>
      <c r="B205" s="9"/>
      <c r="C205" s="65"/>
      <c r="D205" s="66"/>
      <c r="E205" s="67"/>
      <c r="F205" s="67"/>
      <c r="G205" s="66"/>
      <c r="H205" s="66"/>
      <c r="I205" s="66"/>
      <c r="J205" s="66"/>
      <c r="K205" s="66"/>
      <c r="L205" s="66"/>
      <c r="M205" s="68"/>
      <c r="N205" s="69"/>
      <c r="O205" s="69"/>
      <c r="P205" s="70"/>
      <c r="Q205" s="69"/>
      <c r="R205" s="66"/>
      <c r="S205" s="66"/>
      <c r="T205" s="66"/>
      <c r="U205" s="66"/>
      <c r="V205" s="66"/>
      <c r="W205" s="47"/>
    </row>
    <row r="206" spans="1:23" x14ac:dyDescent="0.25">
      <c r="A206" s="9"/>
      <c r="B206" s="9"/>
      <c r="C206" s="65"/>
      <c r="D206" s="66"/>
      <c r="E206" s="67"/>
      <c r="F206" s="67"/>
      <c r="G206" s="66"/>
      <c r="H206" s="66"/>
      <c r="I206" s="66"/>
      <c r="J206" s="66"/>
      <c r="K206" s="66"/>
      <c r="L206" s="66"/>
      <c r="M206" s="68"/>
      <c r="N206" s="69"/>
      <c r="O206" s="69"/>
      <c r="P206" s="70"/>
      <c r="Q206" s="69"/>
      <c r="R206" s="66"/>
      <c r="S206" s="66"/>
      <c r="T206" s="66"/>
      <c r="U206" s="66"/>
      <c r="V206" s="66"/>
      <c r="W206" s="47"/>
    </row>
    <row r="207" spans="1:23" x14ac:dyDescent="0.25">
      <c r="A207" s="9"/>
      <c r="B207" s="9"/>
      <c r="C207" s="65"/>
      <c r="D207" s="66"/>
      <c r="E207" s="67"/>
      <c r="F207" s="67"/>
      <c r="G207" s="66"/>
      <c r="H207" s="66"/>
      <c r="I207" s="66"/>
      <c r="J207" s="66"/>
      <c r="K207" s="66"/>
      <c r="L207" s="66"/>
      <c r="M207" s="68"/>
      <c r="N207" s="69"/>
      <c r="O207" s="69"/>
      <c r="P207" s="70"/>
      <c r="Q207" s="69"/>
      <c r="R207" s="66"/>
      <c r="S207" s="66"/>
      <c r="T207" s="66"/>
      <c r="U207" s="66"/>
      <c r="V207" s="66"/>
      <c r="W207" s="47"/>
    </row>
    <row r="208" spans="1:23" x14ac:dyDescent="0.25">
      <c r="A208" s="9"/>
      <c r="B208" s="9"/>
      <c r="C208" s="65"/>
      <c r="D208" s="66"/>
      <c r="E208" s="67"/>
      <c r="F208" s="67"/>
      <c r="G208" s="66"/>
      <c r="H208" s="66"/>
      <c r="I208" s="66"/>
      <c r="J208" s="66"/>
      <c r="K208" s="66"/>
      <c r="L208" s="66"/>
      <c r="M208" s="68"/>
      <c r="N208" s="69"/>
      <c r="O208" s="69"/>
      <c r="P208" s="70"/>
      <c r="Q208" s="69"/>
      <c r="R208" s="66"/>
      <c r="S208" s="66"/>
      <c r="T208" s="66"/>
      <c r="U208" s="66"/>
      <c r="V208" s="66"/>
      <c r="W208" s="47"/>
    </row>
    <row r="209" spans="1:23" x14ac:dyDescent="0.25">
      <c r="A209" s="9"/>
      <c r="B209" s="9"/>
      <c r="C209" s="65"/>
      <c r="D209" s="66"/>
      <c r="E209" s="67"/>
      <c r="F209" s="67"/>
      <c r="G209" s="66"/>
      <c r="H209" s="66"/>
      <c r="I209" s="66"/>
      <c r="J209" s="66"/>
      <c r="K209" s="66"/>
      <c r="L209" s="66"/>
      <c r="M209" s="68"/>
      <c r="N209" s="69"/>
      <c r="O209" s="69"/>
      <c r="P209" s="70"/>
      <c r="Q209" s="69"/>
      <c r="R209" s="66"/>
      <c r="S209" s="66"/>
      <c r="T209" s="66"/>
      <c r="U209" s="66"/>
      <c r="V209" s="66"/>
      <c r="W209" s="47"/>
    </row>
    <row r="210" spans="1:23" x14ac:dyDescent="0.25">
      <c r="A210" s="9"/>
      <c r="B210" s="9"/>
      <c r="C210" s="65"/>
      <c r="D210" s="66"/>
      <c r="E210" s="67"/>
      <c r="F210" s="67"/>
      <c r="G210" s="66"/>
      <c r="H210" s="66"/>
      <c r="I210" s="66"/>
      <c r="J210" s="66"/>
      <c r="K210" s="66"/>
      <c r="L210" s="66"/>
      <c r="M210" s="68"/>
      <c r="N210" s="69"/>
      <c r="O210" s="69"/>
      <c r="P210" s="70"/>
      <c r="Q210" s="69"/>
      <c r="R210" s="66"/>
      <c r="S210" s="66"/>
      <c r="T210" s="66"/>
      <c r="U210" s="66"/>
      <c r="V210" s="66"/>
      <c r="W210" s="47"/>
    </row>
    <row r="211" spans="1:23" x14ac:dyDescent="0.25">
      <c r="A211" s="9"/>
      <c r="B211" s="9"/>
      <c r="C211" s="65"/>
      <c r="D211" s="66"/>
      <c r="E211" s="67"/>
      <c r="F211" s="67"/>
      <c r="G211" s="66"/>
      <c r="H211" s="66"/>
      <c r="I211" s="66"/>
      <c r="J211" s="66"/>
      <c r="K211" s="66"/>
      <c r="L211" s="66"/>
      <c r="M211" s="68"/>
      <c r="N211" s="69"/>
      <c r="O211" s="69"/>
      <c r="P211" s="70"/>
      <c r="Q211" s="69"/>
      <c r="R211" s="66"/>
      <c r="S211" s="66"/>
      <c r="T211" s="66"/>
      <c r="U211" s="66"/>
      <c r="V211" s="66"/>
      <c r="W211" s="47"/>
    </row>
    <row r="212" spans="1:23" x14ac:dyDescent="0.25">
      <c r="A212" s="9"/>
      <c r="B212" s="9"/>
      <c r="C212" s="65"/>
      <c r="D212" s="66"/>
      <c r="E212" s="67"/>
      <c r="F212" s="67"/>
      <c r="G212" s="66"/>
      <c r="H212" s="66"/>
      <c r="I212" s="66"/>
      <c r="J212" s="66"/>
      <c r="K212" s="66"/>
      <c r="L212" s="66"/>
      <c r="M212" s="68"/>
      <c r="N212" s="69"/>
      <c r="O212" s="69"/>
      <c r="P212" s="70"/>
      <c r="Q212" s="69"/>
      <c r="R212" s="66"/>
      <c r="S212" s="66"/>
      <c r="T212" s="66"/>
      <c r="U212" s="66"/>
      <c r="V212" s="66"/>
      <c r="W212" s="47"/>
    </row>
    <row r="213" spans="1:23" x14ac:dyDescent="0.25">
      <c r="A213" s="9"/>
      <c r="B213" s="9"/>
      <c r="C213" s="65"/>
      <c r="D213" s="66"/>
      <c r="E213" s="67"/>
      <c r="F213" s="67"/>
      <c r="G213" s="66"/>
      <c r="H213" s="66"/>
      <c r="I213" s="66"/>
      <c r="J213" s="66"/>
      <c r="K213" s="66"/>
      <c r="L213" s="66"/>
      <c r="M213" s="68"/>
      <c r="N213" s="69"/>
      <c r="O213" s="69"/>
      <c r="P213" s="70"/>
      <c r="Q213" s="69"/>
      <c r="R213" s="66"/>
      <c r="S213" s="66"/>
      <c r="T213" s="66"/>
      <c r="U213" s="66"/>
      <c r="V213" s="66"/>
      <c r="W213" s="47"/>
    </row>
    <row r="214" spans="1:23" x14ac:dyDescent="0.25">
      <c r="A214" s="9"/>
      <c r="B214" s="9"/>
      <c r="C214" s="65"/>
      <c r="D214" s="66"/>
      <c r="E214" s="67"/>
      <c r="F214" s="67"/>
      <c r="G214" s="66"/>
      <c r="H214" s="66"/>
      <c r="I214" s="66"/>
      <c r="J214" s="66"/>
      <c r="K214" s="66"/>
      <c r="L214" s="66"/>
      <c r="M214" s="68"/>
      <c r="N214" s="69"/>
      <c r="O214" s="69"/>
      <c r="P214" s="70"/>
      <c r="Q214" s="69"/>
      <c r="R214" s="66"/>
      <c r="S214" s="66"/>
      <c r="T214" s="66"/>
      <c r="U214" s="66"/>
      <c r="V214" s="66"/>
      <c r="W214" s="47"/>
    </row>
    <row r="215" spans="1:23" x14ac:dyDescent="0.25">
      <c r="A215" s="9"/>
      <c r="B215" s="9"/>
      <c r="C215" s="65"/>
      <c r="D215" s="66"/>
      <c r="E215" s="67"/>
      <c r="F215" s="67"/>
      <c r="G215" s="66"/>
      <c r="H215" s="66"/>
      <c r="I215" s="66"/>
      <c r="J215" s="66"/>
      <c r="K215" s="66"/>
      <c r="L215" s="66"/>
      <c r="M215" s="68"/>
      <c r="N215" s="69"/>
      <c r="O215" s="69"/>
      <c r="P215" s="70"/>
      <c r="Q215" s="69"/>
      <c r="R215" s="66"/>
      <c r="S215" s="66"/>
      <c r="T215" s="66"/>
      <c r="U215" s="66"/>
      <c r="V215" s="66"/>
      <c r="W215" s="47"/>
    </row>
    <row r="216" spans="1:23" x14ac:dyDescent="0.25">
      <c r="A216" s="9"/>
      <c r="B216" s="9"/>
      <c r="C216" s="65"/>
      <c r="D216" s="66"/>
      <c r="E216" s="67"/>
      <c r="F216" s="67"/>
      <c r="G216" s="66"/>
      <c r="H216" s="66"/>
      <c r="I216" s="66"/>
      <c r="J216" s="66"/>
      <c r="K216" s="66"/>
      <c r="L216" s="66"/>
      <c r="M216" s="68"/>
      <c r="N216" s="69"/>
      <c r="O216" s="69"/>
      <c r="P216" s="70"/>
      <c r="Q216" s="69"/>
      <c r="R216" s="66"/>
      <c r="S216" s="66"/>
      <c r="T216" s="66"/>
      <c r="U216" s="66"/>
      <c r="V216" s="66"/>
      <c r="W216" s="47"/>
    </row>
    <row r="217" spans="1:23" x14ac:dyDescent="0.25">
      <c r="A217" s="9"/>
      <c r="B217" s="9"/>
      <c r="C217" s="65"/>
      <c r="D217" s="66"/>
      <c r="E217" s="67"/>
      <c r="F217" s="67"/>
      <c r="G217" s="66"/>
      <c r="H217" s="66"/>
      <c r="I217" s="66"/>
      <c r="J217" s="66"/>
      <c r="K217" s="66"/>
      <c r="L217" s="66"/>
      <c r="M217" s="68"/>
      <c r="N217" s="69"/>
      <c r="O217" s="69"/>
      <c r="P217" s="70"/>
      <c r="Q217" s="69"/>
      <c r="R217" s="66"/>
      <c r="S217" s="66"/>
      <c r="T217" s="66"/>
      <c r="U217" s="66"/>
      <c r="V217" s="66"/>
      <c r="W217" s="47"/>
    </row>
    <row r="218" spans="1:23" x14ac:dyDescent="0.25">
      <c r="A218" s="9"/>
      <c r="B218" s="9"/>
      <c r="C218" s="65"/>
      <c r="D218" s="66"/>
      <c r="E218" s="67"/>
      <c r="F218" s="67"/>
      <c r="G218" s="66"/>
      <c r="H218" s="66"/>
      <c r="I218" s="66"/>
      <c r="J218" s="66"/>
      <c r="K218" s="66"/>
      <c r="L218" s="66"/>
      <c r="M218" s="68"/>
      <c r="N218" s="69"/>
      <c r="O218" s="69"/>
      <c r="P218" s="70"/>
      <c r="Q218" s="69"/>
      <c r="R218" s="66"/>
      <c r="S218" s="66"/>
      <c r="T218" s="66"/>
      <c r="U218" s="66"/>
      <c r="V218" s="66"/>
      <c r="W218" s="47"/>
    </row>
    <row r="219" spans="1:23" x14ac:dyDescent="0.25">
      <c r="A219" s="9"/>
      <c r="B219" s="9"/>
      <c r="C219" s="65"/>
      <c r="D219" s="66"/>
      <c r="E219" s="67"/>
      <c r="F219" s="67"/>
      <c r="G219" s="66"/>
      <c r="H219" s="66"/>
      <c r="I219" s="66"/>
      <c r="J219" s="66"/>
      <c r="K219" s="66"/>
      <c r="L219" s="66"/>
      <c r="M219" s="68"/>
      <c r="N219" s="69"/>
      <c r="O219" s="69"/>
      <c r="P219" s="70"/>
      <c r="Q219" s="69"/>
      <c r="R219" s="66"/>
      <c r="S219" s="66"/>
      <c r="T219" s="66"/>
      <c r="U219" s="66"/>
      <c r="V219" s="66"/>
      <c r="W219" s="47"/>
    </row>
    <row r="220" spans="1:23" x14ac:dyDescent="0.25">
      <c r="A220" s="9"/>
      <c r="B220" s="9"/>
      <c r="C220" s="65"/>
      <c r="D220" s="66"/>
      <c r="E220" s="67"/>
      <c r="F220" s="67"/>
      <c r="G220" s="66"/>
      <c r="H220" s="66"/>
      <c r="I220" s="66"/>
      <c r="J220" s="66"/>
      <c r="K220" s="66"/>
      <c r="L220" s="66"/>
      <c r="M220" s="68"/>
      <c r="N220" s="69"/>
      <c r="O220" s="69"/>
      <c r="P220" s="70"/>
      <c r="Q220" s="69"/>
      <c r="R220" s="66"/>
      <c r="S220" s="66"/>
      <c r="T220" s="66"/>
      <c r="U220" s="66"/>
      <c r="V220" s="66"/>
      <c r="W220" s="47"/>
    </row>
    <row r="221" spans="1:23" x14ac:dyDescent="0.25">
      <c r="A221" s="9"/>
      <c r="B221" s="9"/>
      <c r="C221" s="65"/>
      <c r="D221" s="66"/>
      <c r="E221" s="67"/>
      <c r="F221" s="67"/>
      <c r="G221" s="66"/>
      <c r="H221" s="66"/>
      <c r="I221" s="66"/>
      <c r="J221" s="66"/>
      <c r="K221" s="66"/>
      <c r="L221" s="66"/>
      <c r="M221" s="68"/>
      <c r="N221" s="69"/>
      <c r="O221" s="69"/>
      <c r="P221" s="70"/>
      <c r="Q221" s="69"/>
      <c r="R221" s="66"/>
      <c r="S221" s="66"/>
      <c r="T221" s="66"/>
      <c r="U221" s="66"/>
      <c r="V221" s="66"/>
      <c r="W221" s="47"/>
    </row>
    <row r="222" spans="1:23" x14ac:dyDescent="0.25">
      <c r="A222" s="9"/>
      <c r="B222" s="9"/>
      <c r="C222" s="65"/>
      <c r="D222" s="66"/>
      <c r="E222" s="67"/>
      <c r="F222" s="67"/>
      <c r="G222" s="66"/>
      <c r="H222" s="66"/>
      <c r="I222" s="66"/>
      <c r="J222" s="66"/>
      <c r="K222" s="66"/>
      <c r="L222" s="66"/>
      <c r="M222" s="68"/>
      <c r="N222" s="69"/>
      <c r="O222" s="69"/>
      <c r="P222" s="70"/>
      <c r="Q222" s="69"/>
      <c r="R222" s="66"/>
      <c r="S222" s="66"/>
      <c r="T222" s="66"/>
      <c r="U222" s="66"/>
      <c r="V222" s="66"/>
      <c r="W222" s="47"/>
    </row>
    <row r="223" spans="1:23" x14ac:dyDescent="0.25">
      <c r="A223" s="9"/>
      <c r="B223" s="9"/>
      <c r="C223" s="65"/>
      <c r="D223" s="66"/>
      <c r="E223" s="67"/>
      <c r="F223" s="67"/>
      <c r="G223" s="66"/>
      <c r="H223" s="66"/>
      <c r="I223" s="66"/>
      <c r="J223" s="66"/>
      <c r="K223" s="66"/>
      <c r="L223" s="66"/>
      <c r="M223" s="68"/>
      <c r="N223" s="69"/>
      <c r="O223" s="69"/>
      <c r="P223" s="70"/>
      <c r="Q223" s="69"/>
      <c r="R223" s="66"/>
      <c r="S223" s="66"/>
      <c r="T223" s="66"/>
      <c r="U223" s="66"/>
      <c r="V223" s="66"/>
      <c r="W223" s="47"/>
    </row>
    <row r="224" spans="1:23" x14ac:dyDescent="0.25">
      <c r="A224" s="9"/>
      <c r="B224" s="9"/>
      <c r="C224" s="65"/>
      <c r="D224" s="66"/>
      <c r="E224" s="67"/>
      <c r="F224" s="67"/>
      <c r="G224" s="66"/>
      <c r="H224" s="66"/>
      <c r="I224" s="66"/>
      <c r="J224" s="66"/>
      <c r="K224" s="66"/>
      <c r="L224" s="66"/>
      <c r="M224" s="68"/>
      <c r="N224" s="69"/>
      <c r="O224" s="69"/>
      <c r="P224" s="70"/>
      <c r="Q224" s="69"/>
      <c r="R224" s="66"/>
      <c r="S224" s="66"/>
      <c r="T224" s="66"/>
      <c r="U224" s="66"/>
      <c r="V224" s="66"/>
      <c r="W224" s="47"/>
    </row>
    <row r="225" spans="1:23" x14ac:dyDescent="0.25">
      <c r="A225" s="9"/>
      <c r="B225" s="9"/>
      <c r="C225" s="65"/>
      <c r="D225" s="66"/>
      <c r="E225" s="67"/>
      <c r="F225" s="67"/>
      <c r="G225" s="66"/>
      <c r="H225" s="66"/>
      <c r="I225" s="66"/>
      <c r="J225" s="66"/>
      <c r="K225" s="66"/>
      <c r="L225" s="66"/>
      <c r="M225" s="68"/>
      <c r="N225" s="69"/>
      <c r="O225" s="69"/>
      <c r="P225" s="70"/>
      <c r="Q225" s="69"/>
      <c r="R225" s="66"/>
      <c r="S225" s="66"/>
      <c r="T225" s="66"/>
      <c r="U225" s="66"/>
      <c r="V225" s="66"/>
      <c r="W225" s="47"/>
    </row>
    <row r="226" spans="1:23" x14ac:dyDescent="0.25">
      <c r="A226" s="9"/>
      <c r="B226" s="9"/>
      <c r="C226" s="65"/>
      <c r="D226" s="66"/>
      <c r="E226" s="67"/>
      <c r="F226" s="67"/>
      <c r="G226" s="66"/>
      <c r="H226" s="66"/>
      <c r="I226" s="66"/>
      <c r="J226" s="66"/>
      <c r="K226" s="66"/>
      <c r="L226" s="66"/>
      <c r="M226" s="68"/>
      <c r="N226" s="69"/>
      <c r="O226" s="69"/>
      <c r="P226" s="70"/>
      <c r="Q226" s="69"/>
      <c r="R226" s="66"/>
      <c r="S226" s="66"/>
      <c r="T226" s="66"/>
      <c r="U226" s="66"/>
      <c r="V226" s="66"/>
      <c r="W226" s="47"/>
    </row>
    <row r="227" spans="1:23" x14ac:dyDescent="0.25">
      <c r="A227" s="9"/>
      <c r="B227" s="9"/>
      <c r="C227" s="65"/>
      <c r="D227" s="66"/>
      <c r="E227" s="67"/>
      <c r="F227" s="67"/>
      <c r="G227" s="66"/>
      <c r="H227" s="66"/>
      <c r="I227" s="66"/>
      <c r="J227" s="66"/>
      <c r="K227" s="66"/>
      <c r="L227" s="66"/>
      <c r="M227" s="68"/>
      <c r="N227" s="69"/>
      <c r="O227" s="69"/>
      <c r="P227" s="70"/>
      <c r="Q227" s="69"/>
      <c r="R227" s="66"/>
      <c r="S227" s="66"/>
      <c r="T227" s="66"/>
      <c r="U227" s="66"/>
      <c r="V227" s="66"/>
      <c r="W227" s="47"/>
    </row>
    <row r="228" spans="1:23" x14ac:dyDescent="0.25">
      <c r="A228" s="9"/>
      <c r="B228" s="9"/>
      <c r="C228" s="65"/>
      <c r="D228" s="66"/>
      <c r="E228" s="67"/>
      <c r="F228" s="67"/>
      <c r="G228" s="66"/>
      <c r="H228" s="66"/>
      <c r="I228" s="66"/>
      <c r="J228" s="66"/>
      <c r="K228" s="66"/>
      <c r="L228" s="66"/>
      <c r="M228" s="68"/>
      <c r="N228" s="69"/>
      <c r="O228" s="69"/>
      <c r="P228" s="70"/>
      <c r="Q228" s="69"/>
      <c r="R228" s="66"/>
      <c r="S228" s="66"/>
      <c r="T228" s="66"/>
      <c r="U228" s="66"/>
      <c r="V228" s="66"/>
      <c r="W228" s="47"/>
    </row>
    <row r="229" spans="1:23" x14ac:dyDescent="0.25">
      <c r="A229" s="9"/>
      <c r="B229" s="9"/>
      <c r="C229" s="65"/>
      <c r="D229" s="66"/>
      <c r="E229" s="67"/>
      <c r="F229" s="67"/>
      <c r="G229" s="66"/>
      <c r="H229" s="66"/>
      <c r="I229" s="66"/>
      <c r="J229" s="66"/>
      <c r="K229" s="66"/>
      <c r="L229" s="66"/>
      <c r="M229" s="68"/>
      <c r="N229" s="69"/>
      <c r="O229" s="69"/>
      <c r="P229" s="70"/>
      <c r="Q229" s="69"/>
      <c r="R229" s="66"/>
      <c r="S229" s="66"/>
      <c r="T229" s="66"/>
      <c r="U229" s="66"/>
      <c r="V229" s="66"/>
      <c r="W229" s="47"/>
    </row>
    <row r="230" spans="1:23" x14ac:dyDescent="0.25">
      <c r="A230" s="9"/>
      <c r="B230" s="9"/>
      <c r="C230" s="65"/>
      <c r="D230" s="66"/>
      <c r="E230" s="67"/>
      <c r="F230" s="67"/>
      <c r="G230" s="66"/>
      <c r="H230" s="66"/>
      <c r="I230" s="66"/>
      <c r="J230" s="66"/>
      <c r="K230" s="66"/>
      <c r="L230" s="66"/>
      <c r="M230" s="68"/>
      <c r="N230" s="69"/>
      <c r="O230" s="69"/>
      <c r="P230" s="70"/>
      <c r="Q230" s="69"/>
      <c r="R230" s="66"/>
      <c r="S230" s="66"/>
      <c r="T230" s="66"/>
      <c r="U230" s="66"/>
      <c r="V230" s="66"/>
      <c r="W230" s="47"/>
    </row>
    <row r="231" spans="1:23" x14ac:dyDescent="0.25">
      <c r="A231" s="9"/>
      <c r="B231" s="9"/>
      <c r="C231" s="65"/>
      <c r="D231" s="66"/>
      <c r="E231" s="67"/>
      <c r="F231" s="67"/>
      <c r="G231" s="66"/>
      <c r="H231" s="66"/>
      <c r="I231" s="66"/>
      <c r="J231" s="66"/>
      <c r="K231" s="66"/>
      <c r="L231" s="66"/>
      <c r="M231" s="68"/>
      <c r="N231" s="69"/>
      <c r="O231" s="69"/>
      <c r="P231" s="70"/>
      <c r="Q231" s="69"/>
      <c r="R231" s="66"/>
      <c r="S231" s="66"/>
      <c r="T231" s="66"/>
      <c r="U231" s="66"/>
      <c r="V231" s="66"/>
      <c r="W231" s="47"/>
    </row>
    <row r="232" spans="1:23" x14ac:dyDescent="0.25">
      <c r="A232" s="9"/>
      <c r="B232" s="9"/>
      <c r="C232" s="65"/>
      <c r="D232" s="66"/>
      <c r="E232" s="67"/>
      <c r="F232" s="67"/>
      <c r="G232" s="66"/>
      <c r="H232" s="66"/>
      <c r="I232" s="66"/>
      <c r="J232" s="66"/>
      <c r="K232" s="66"/>
      <c r="L232" s="66"/>
      <c r="M232" s="68"/>
      <c r="N232" s="69"/>
      <c r="O232" s="69"/>
      <c r="P232" s="70"/>
      <c r="Q232" s="69"/>
      <c r="R232" s="66"/>
      <c r="S232" s="66"/>
      <c r="T232" s="66"/>
      <c r="U232" s="66"/>
      <c r="V232" s="66"/>
      <c r="W232" s="47"/>
    </row>
    <row r="233" spans="1:23" x14ac:dyDescent="0.25">
      <c r="A233" s="9"/>
      <c r="B233" s="9"/>
      <c r="C233" s="65"/>
      <c r="D233" s="66"/>
      <c r="E233" s="67"/>
      <c r="F233" s="67"/>
      <c r="G233" s="66"/>
      <c r="H233" s="66"/>
      <c r="I233" s="66"/>
      <c r="J233" s="66"/>
      <c r="K233" s="66"/>
      <c r="L233" s="66"/>
      <c r="M233" s="68"/>
      <c r="N233" s="69"/>
      <c r="O233" s="69"/>
      <c r="P233" s="70"/>
      <c r="Q233" s="69"/>
      <c r="R233" s="66"/>
      <c r="S233" s="66"/>
      <c r="T233" s="66"/>
      <c r="U233" s="66"/>
      <c r="V233" s="66"/>
      <c r="W233" s="47"/>
    </row>
    <row r="234" spans="1:23" x14ac:dyDescent="0.25">
      <c r="A234" s="9"/>
      <c r="B234" s="9"/>
      <c r="C234" s="65"/>
      <c r="D234" s="66"/>
      <c r="E234" s="67"/>
      <c r="F234" s="67"/>
      <c r="G234" s="66"/>
      <c r="H234" s="66"/>
      <c r="I234" s="66"/>
      <c r="J234" s="66"/>
      <c r="K234" s="66"/>
      <c r="L234" s="66"/>
      <c r="M234" s="68"/>
      <c r="N234" s="69"/>
      <c r="O234" s="69"/>
      <c r="P234" s="70"/>
      <c r="Q234" s="69"/>
      <c r="R234" s="66"/>
      <c r="S234" s="66"/>
      <c r="T234" s="66"/>
      <c r="U234" s="66"/>
      <c r="V234" s="66"/>
      <c r="W234" s="47"/>
    </row>
    <row r="235" spans="1:23" x14ac:dyDescent="0.25">
      <c r="A235" s="9"/>
      <c r="B235" s="9"/>
      <c r="C235" s="65"/>
      <c r="D235" s="66"/>
      <c r="E235" s="67"/>
      <c r="F235" s="67"/>
      <c r="G235" s="66"/>
      <c r="H235" s="66"/>
      <c r="I235" s="66"/>
      <c r="J235" s="66"/>
      <c r="K235" s="66"/>
      <c r="L235" s="66"/>
      <c r="M235" s="68"/>
      <c r="N235" s="69"/>
      <c r="O235" s="69"/>
      <c r="P235" s="70"/>
      <c r="Q235" s="69"/>
      <c r="R235" s="66"/>
      <c r="S235" s="66"/>
      <c r="T235" s="66"/>
      <c r="U235" s="66"/>
      <c r="V235" s="66"/>
      <c r="W235" s="47"/>
    </row>
    <row r="236" spans="1:23" x14ac:dyDescent="0.25">
      <c r="A236" s="9"/>
      <c r="B236" s="9"/>
      <c r="C236" s="65"/>
      <c r="D236" s="66"/>
      <c r="E236" s="67"/>
      <c r="F236" s="67"/>
      <c r="G236" s="66"/>
      <c r="H236" s="66"/>
      <c r="I236" s="66"/>
      <c r="J236" s="66"/>
      <c r="K236" s="66"/>
      <c r="L236" s="66"/>
      <c r="M236" s="68"/>
      <c r="N236" s="69"/>
      <c r="O236" s="69"/>
      <c r="P236" s="70"/>
      <c r="Q236" s="69"/>
      <c r="R236" s="66"/>
      <c r="S236" s="66"/>
      <c r="T236" s="66"/>
      <c r="U236" s="66"/>
      <c r="V236" s="66"/>
      <c r="W236" s="47"/>
    </row>
    <row r="237" spans="1:23" x14ac:dyDescent="0.25">
      <c r="A237" s="9"/>
      <c r="B237" s="9"/>
      <c r="C237" s="65"/>
      <c r="D237" s="66"/>
      <c r="E237" s="67"/>
      <c r="F237" s="67"/>
      <c r="G237" s="66"/>
      <c r="H237" s="66"/>
      <c r="I237" s="66"/>
      <c r="J237" s="66"/>
      <c r="K237" s="66"/>
      <c r="L237" s="66"/>
      <c r="M237" s="68"/>
      <c r="N237" s="69"/>
      <c r="O237" s="69"/>
      <c r="P237" s="70"/>
      <c r="Q237" s="69"/>
      <c r="R237" s="66"/>
      <c r="S237" s="66"/>
      <c r="T237" s="66"/>
      <c r="U237" s="66"/>
      <c r="V237" s="66"/>
      <c r="W237" s="47"/>
    </row>
    <row r="238" spans="1:23" x14ac:dyDescent="0.25">
      <c r="A238" s="9"/>
      <c r="B238" s="9"/>
      <c r="C238" s="65"/>
      <c r="D238" s="66"/>
      <c r="E238" s="67"/>
      <c r="F238" s="67"/>
      <c r="G238" s="66"/>
      <c r="H238" s="66"/>
      <c r="I238" s="66"/>
      <c r="J238" s="66"/>
      <c r="K238" s="66"/>
      <c r="L238" s="66"/>
      <c r="M238" s="68"/>
      <c r="N238" s="69"/>
      <c r="O238" s="69"/>
      <c r="P238" s="70"/>
      <c r="Q238" s="69"/>
      <c r="R238" s="66"/>
      <c r="S238" s="66"/>
      <c r="T238" s="66"/>
      <c r="U238" s="66"/>
      <c r="V238" s="66"/>
      <c r="W238" s="47"/>
    </row>
    <row r="239" spans="1:23" x14ac:dyDescent="0.25">
      <c r="A239" s="9"/>
      <c r="B239" s="9"/>
      <c r="C239" s="65"/>
      <c r="D239" s="66"/>
      <c r="E239" s="67"/>
      <c r="F239" s="67"/>
      <c r="G239" s="66"/>
      <c r="H239" s="66"/>
      <c r="I239" s="66"/>
      <c r="J239" s="66"/>
      <c r="K239" s="66"/>
      <c r="L239" s="66"/>
      <c r="M239" s="68"/>
      <c r="N239" s="69"/>
      <c r="O239" s="69"/>
      <c r="P239" s="70"/>
      <c r="Q239" s="69"/>
      <c r="R239" s="66"/>
      <c r="S239" s="66"/>
      <c r="T239" s="66"/>
      <c r="U239" s="66"/>
      <c r="V239" s="66"/>
      <c r="W239" s="47"/>
    </row>
    <row r="240" spans="1:23" x14ac:dyDescent="0.25">
      <c r="A240" s="9"/>
      <c r="B240" s="9"/>
      <c r="C240" s="65"/>
      <c r="D240" s="66"/>
      <c r="E240" s="67"/>
      <c r="F240" s="67"/>
      <c r="G240" s="66"/>
      <c r="H240" s="66"/>
      <c r="I240" s="66"/>
      <c r="J240" s="66"/>
      <c r="K240" s="66"/>
      <c r="L240" s="66"/>
      <c r="M240" s="68"/>
      <c r="N240" s="69"/>
      <c r="O240" s="69"/>
      <c r="P240" s="70"/>
      <c r="Q240" s="69"/>
      <c r="R240" s="66"/>
      <c r="S240" s="66"/>
      <c r="T240" s="66"/>
      <c r="U240" s="66"/>
      <c r="V240" s="66"/>
      <c r="W240" s="47"/>
    </row>
    <row r="241" spans="1:23" x14ac:dyDescent="0.25">
      <c r="A241" s="9"/>
      <c r="B241" s="9"/>
      <c r="C241" s="65"/>
      <c r="D241" s="66"/>
      <c r="E241" s="67"/>
      <c r="F241" s="67"/>
      <c r="G241" s="66"/>
      <c r="H241" s="66"/>
      <c r="I241" s="66"/>
      <c r="J241" s="66"/>
      <c r="K241" s="66"/>
      <c r="L241" s="66"/>
      <c r="M241" s="68"/>
      <c r="N241" s="69"/>
      <c r="O241" s="69"/>
      <c r="P241" s="70"/>
      <c r="Q241" s="69"/>
      <c r="R241" s="66"/>
      <c r="S241" s="66"/>
      <c r="T241" s="66"/>
      <c r="U241" s="66"/>
      <c r="V241" s="66"/>
      <c r="W241" s="47"/>
    </row>
    <row r="242" spans="1:23" x14ac:dyDescent="0.25">
      <c r="A242" s="9"/>
      <c r="B242" s="9"/>
      <c r="C242" s="65"/>
      <c r="D242" s="66"/>
      <c r="E242" s="67"/>
      <c r="F242" s="67"/>
      <c r="G242" s="66"/>
      <c r="H242" s="66"/>
      <c r="I242" s="66"/>
      <c r="J242" s="66"/>
      <c r="K242" s="66"/>
      <c r="L242" s="66"/>
      <c r="M242" s="68"/>
      <c r="N242" s="69"/>
      <c r="O242" s="69"/>
      <c r="P242" s="70"/>
      <c r="Q242" s="69"/>
      <c r="R242" s="66"/>
      <c r="S242" s="66"/>
      <c r="T242" s="66"/>
      <c r="U242" s="66"/>
      <c r="V242" s="66"/>
      <c r="W242" s="47"/>
    </row>
    <row r="243" spans="1:23" x14ac:dyDescent="0.25">
      <c r="A243" s="9"/>
      <c r="B243" s="9"/>
      <c r="W243" s="47" t="e">
        <f>VLOOKUP(B243,titan!$X$15:$Y$718,2,0)-M243</f>
        <v>#N/A</v>
      </c>
    </row>
    <row r="244" spans="1:23" x14ac:dyDescent="0.25">
      <c r="A244" s="9"/>
      <c r="B244" s="9"/>
      <c r="W244" s="47" t="e">
        <f>VLOOKUP(B244,titan!$X$15:$Y$718,2,0)-M244</f>
        <v>#N/A</v>
      </c>
    </row>
    <row r="245" spans="1:23" x14ac:dyDescent="0.25">
      <c r="A245" s="9"/>
      <c r="B245" s="9"/>
      <c r="W245" s="47" t="e">
        <f>VLOOKUP(B245,titan!$X$15:$Y$718,2,0)-M245</f>
        <v>#N/A</v>
      </c>
    </row>
    <row r="246" spans="1:23" x14ac:dyDescent="0.25">
      <c r="A246" s="9"/>
      <c r="B246" s="9"/>
      <c r="W246" s="47" t="e">
        <f>VLOOKUP(B246,titan!$X$15:$Y$718,2,0)-M246</f>
        <v>#N/A</v>
      </c>
    </row>
    <row r="247" spans="1:23" x14ac:dyDescent="0.25">
      <c r="A247" s="9"/>
      <c r="B247" s="9"/>
      <c r="W247" s="47" t="e">
        <f>VLOOKUP(B247,titan!$X$15:$Y$718,2,0)-M247</f>
        <v>#N/A</v>
      </c>
    </row>
    <row r="248" spans="1:23" x14ac:dyDescent="0.25">
      <c r="A248" s="9"/>
      <c r="B248" s="9"/>
      <c r="W248" s="47" t="e">
        <f>VLOOKUP(B248,titan!$X$15:$Y$718,2,0)-M248</f>
        <v>#N/A</v>
      </c>
    </row>
    <row r="249" spans="1:23" x14ac:dyDescent="0.25">
      <c r="A249" s="9"/>
      <c r="B249" s="9"/>
    </row>
    <row r="250" spans="1:23" x14ac:dyDescent="0.25">
      <c r="A250" s="9"/>
      <c r="B250" s="9"/>
    </row>
    <row r="251" spans="1:23" x14ac:dyDescent="0.25">
      <c r="A251" s="9"/>
      <c r="B251" s="9"/>
    </row>
    <row r="252" spans="1:23" x14ac:dyDescent="0.25">
      <c r="A252" s="9"/>
      <c r="B252" s="9"/>
    </row>
    <row r="253" spans="1:23" x14ac:dyDescent="0.25">
      <c r="A253" s="9"/>
      <c r="B253" s="9"/>
    </row>
    <row r="254" spans="1:23" x14ac:dyDescent="0.25">
      <c r="A254" s="9"/>
      <c r="B254" s="9"/>
    </row>
    <row r="255" spans="1:23" x14ac:dyDescent="0.25">
      <c r="A255" s="9"/>
      <c r="B255" s="9"/>
    </row>
    <row r="256" spans="1:23" x14ac:dyDescent="0.25">
      <c r="A256" s="9"/>
      <c r="B256" s="9"/>
    </row>
    <row r="257" spans="1:2" x14ac:dyDescent="0.25">
      <c r="A257" s="9"/>
      <c r="B257" s="9"/>
    </row>
    <row r="258" spans="1:2" x14ac:dyDescent="0.25">
      <c r="A258" s="9"/>
      <c r="B258" s="9"/>
    </row>
    <row r="259" spans="1:2" x14ac:dyDescent="0.25">
      <c r="A259" s="9"/>
      <c r="B259" s="9"/>
    </row>
    <row r="260" spans="1:2" x14ac:dyDescent="0.25">
      <c r="A260" s="9"/>
      <c r="B260" s="9"/>
    </row>
    <row r="261" spans="1:2" x14ac:dyDescent="0.25">
      <c r="A261" s="9"/>
      <c r="B261" s="9"/>
    </row>
    <row r="262" spans="1:2" x14ac:dyDescent="0.25">
      <c r="A262" s="9"/>
      <c r="B262" s="9"/>
    </row>
    <row r="263" spans="1:2" x14ac:dyDescent="0.25">
      <c r="A263" s="9"/>
      <c r="B263" s="9"/>
    </row>
    <row r="264" spans="1:2" x14ac:dyDescent="0.25">
      <c r="A264" s="9"/>
      <c r="B264" s="9"/>
    </row>
    <row r="265" spans="1:2" x14ac:dyDescent="0.25">
      <c r="A265" s="9"/>
      <c r="B265" s="9"/>
    </row>
    <row r="266" spans="1:2" x14ac:dyDescent="0.25">
      <c r="A266" s="9"/>
      <c r="B266" s="9"/>
    </row>
    <row r="267" spans="1:2" x14ac:dyDescent="0.25">
      <c r="A267" s="9"/>
      <c r="B267" s="9"/>
    </row>
    <row r="268" spans="1:2" x14ac:dyDescent="0.25">
      <c r="A268" s="9"/>
      <c r="B268" s="9"/>
    </row>
    <row r="269" spans="1:2" x14ac:dyDescent="0.25">
      <c r="A269" s="9"/>
      <c r="B269" s="9"/>
    </row>
    <row r="270" spans="1:2" x14ac:dyDescent="0.25">
      <c r="A270" s="9"/>
      <c r="B270" s="9"/>
    </row>
    <row r="271" spans="1:2" x14ac:dyDescent="0.25">
      <c r="A271" s="9"/>
      <c r="B271" s="9"/>
    </row>
    <row r="272" spans="1:2" x14ac:dyDescent="0.25">
      <c r="A272" s="9"/>
      <c r="B272" s="9"/>
    </row>
    <row r="273" spans="1:2" x14ac:dyDescent="0.25">
      <c r="A273" s="9"/>
      <c r="B273" s="9"/>
    </row>
    <row r="274" spans="1:2" x14ac:dyDescent="0.25">
      <c r="A274" s="9"/>
      <c r="B274" s="9"/>
    </row>
    <row r="275" spans="1:2" x14ac:dyDescent="0.25">
      <c r="A275" s="9"/>
      <c r="B275" s="9"/>
    </row>
    <row r="276" spans="1:2" x14ac:dyDescent="0.25">
      <c r="A276" s="9"/>
      <c r="B276" s="9"/>
    </row>
    <row r="277" spans="1:2" x14ac:dyDescent="0.25">
      <c r="A277" s="9"/>
      <c r="B277" s="9"/>
    </row>
    <row r="278" spans="1:2" x14ac:dyDescent="0.25">
      <c r="A278" s="9"/>
      <c r="B278" s="9"/>
    </row>
    <row r="279" spans="1:2" x14ac:dyDescent="0.25">
      <c r="A279" s="9"/>
      <c r="B279" s="9"/>
    </row>
    <row r="280" spans="1:2" x14ac:dyDescent="0.25">
      <c r="A280" s="9"/>
      <c r="B280" s="9"/>
    </row>
    <row r="281" spans="1:2" x14ac:dyDescent="0.25">
      <c r="A281" s="9"/>
      <c r="B281" s="9"/>
    </row>
    <row r="282" spans="1:2" x14ac:dyDescent="0.25">
      <c r="A282" s="9"/>
      <c r="B282" s="9"/>
    </row>
    <row r="283" spans="1:2" x14ac:dyDescent="0.25">
      <c r="A283" s="9"/>
      <c r="B283" s="9"/>
    </row>
    <row r="284" spans="1:2" x14ac:dyDescent="0.25">
      <c r="A284" s="9"/>
      <c r="B284" s="9"/>
    </row>
    <row r="285" spans="1:2" x14ac:dyDescent="0.25">
      <c r="A285" s="9"/>
      <c r="B285" s="9"/>
    </row>
    <row r="286" spans="1:2" x14ac:dyDescent="0.25">
      <c r="A286" s="9"/>
      <c r="B286" s="9"/>
    </row>
    <row r="287" spans="1:2" x14ac:dyDescent="0.25">
      <c r="A287" s="9"/>
      <c r="B287" s="9"/>
    </row>
    <row r="288" spans="1:2" x14ac:dyDescent="0.25">
      <c r="A288" s="9"/>
      <c r="B288" s="9"/>
    </row>
    <row r="289" spans="1:2" x14ac:dyDescent="0.25">
      <c r="A289" s="9"/>
      <c r="B289" s="9"/>
    </row>
    <row r="290" spans="1:2" x14ac:dyDescent="0.25">
      <c r="A290" s="9"/>
      <c r="B290" s="9"/>
    </row>
    <row r="291" spans="1:2" x14ac:dyDescent="0.25">
      <c r="A291" s="9"/>
      <c r="B291" s="9"/>
    </row>
    <row r="292" spans="1:2" x14ac:dyDescent="0.25">
      <c r="A292" s="9"/>
      <c r="B292" s="9"/>
    </row>
    <row r="293" spans="1:2" x14ac:dyDescent="0.25">
      <c r="A293" s="9"/>
      <c r="B293" s="9"/>
    </row>
    <row r="294" spans="1:2" x14ac:dyDescent="0.25">
      <c r="A294" s="9"/>
      <c r="B294" s="9"/>
    </row>
    <row r="295" spans="1:2" x14ac:dyDescent="0.25">
      <c r="A295" s="9"/>
      <c r="B295" s="9"/>
    </row>
    <row r="296" spans="1:2" x14ac:dyDescent="0.25">
      <c r="A296" s="9"/>
      <c r="B296" s="9"/>
    </row>
    <row r="297" spans="1:2" x14ac:dyDescent="0.25">
      <c r="A297" s="9"/>
      <c r="B297" s="9"/>
    </row>
    <row r="298" spans="1:2" x14ac:dyDescent="0.25">
      <c r="A298" s="9"/>
      <c r="B298" s="9"/>
    </row>
    <row r="299" spans="1:2" x14ac:dyDescent="0.25">
      <c r="A299" s="9"/>
      <c r="B299" s="9"/>
    </row>
    <row r="300" spans="1:2" x14ac:dyDescent="0.25">
      <c r="A300" s="9"/>
      <c r="B300" s="9"/>
    </row>
    <row r="301" spans="1:2" x14ac:dyDescent="0.25">
      <c r="A301" s="9"/>
      <c r="B301" s="9"/>
    </row>
    <row r="302" spans="1:2" x14ac:dyDescent="0.25">
      <c r="A302" s="9"/>
      <c r="B302" s="9"/>
    </row>
    <row r="303" spans="1:2" x14ac:dyDescent="0.25">
      <c r="A303" s="9"/>
      <c r="B303" s="9"/>
    </row>
    <row r="304" spans="1:2" x14ac:dyDescent="0.25">
      <c r="A304" s="9"/>
      <c r="B304" s="9"/>
    </row>
    <row r="305" spans="1:2" x14ac:dyDescent="0.25">
      <c r="A305" s="9"/>
      <c r="B305" s="9"/>
    </row>
    <row r="306" spans="1:2" x14ac:dyDescent="0.25">
      <c r="A306" s="9"/>
      <c r="B306" s="9"/>
    </row>
    <row r="307" spans="1:2" x14ac:dyDescent="0.25">
      <c r="A307" s="9"/>
      <c r="B307" s="9"/>
    </row>
    <row r="308" spans="1:2" x14ac:dyDescent="0.25">
      <c r="A308" s="9"/>
      <c r="B308" s="9"/>
    </row>
    <row r="309" spans="1:2" x14ac:dyDescent="0.25">
      <c r="A309" s="9"/>
      <c r="B309" s="9"/>
    </row>
    <row r="310" spans="1:2" x14ac:dyDescent="0.25">
      <c r="A310" s="9"/>
      <c r="B310" s="9"/>
    </row>
    <row r="311" spans="1:2" x14ac:dyDescent="0.25">
      <c r="A311" s="9"/>
      <c r="B311" s="9"/>
    </row>
    <row r="312" spans="1:2" x14ac:dyDescent="0.25">
      <c r="A312" s="9"/>
      <c r="B312" s="9"/>
    </row>
    <row r="313" spans="1:2" x14ac:dyDescent="0.25">
      <c r="A313" s="9"/>
      <c r="B313" s="9"/>
    </row>
    <row r="314" spans="1:2" x14ac:dyDescent="0.25">
      <c r="A314" s="9"/>
      <c r="B314" s="9"/>
    </row>
    <row r="315" spans="1:2" x14ac:dyDescent="0.25">
      <c r="A315" s="9"/>
      <c r="B315" s="9"/>
    </row>
    <row r="316" spans="1:2" x14ac:dyDescent="0.25">
      <c r="A316" s="9"/>
      <c r="B316" s="9"/>
    </row>
    <row r="317" spans="1:2" x14ac:dyDescent="0.25">
      <c r="A317" s="9"/>
      <c r="B317" s="9"/>
    </row>
    <row r="318" spans="1:2" x14ac:dyDescent="0.25">
      <c r="A318" s="9"/>
      <c r="B318" s="9"/>
    </row>
    <row r="319" spans="1:2" x14ac:dyDescent="0.25">
      <c r="A319" s="9"/>
      <c r="B319" s="9"/>
    </row>
    <row r="320" spans="1:2" x14ac:dyDescent="0.25">
      <c r="A320" s="9"/>
      <c r="B320" s="9"/>
    </row>
    <row r="321" spans="1:2" x14ac:dyDescent="0.25">
      <c r="A321" s="9"/>
      <c r="B321" s="9"/>
    </row>
    <row r="322" spans="1:2" x14ac:dyDescent="0.25">
      <c r="A322" s="9"/>
      <c r="B322" s="9"/>
    </row>
    <row r="323" spans="1:2" x14ac:dyDescent="0.25">
      <c r="A323" s="9"/>
      <c r="B323" s="9"/>
    </row>
    <row r="324" spans="1:2" x14ac:dyDescent="0.25">
      <c r="A324" s="9"/>
      <c r="B324" s="9"/>
    </row>
    <row r="325" spans="1:2" x14ac:dyDescent="0.25">
      <c r="A325" s="9"/>
      <c r="B325" s="9"/>
    </row>
    <row r="326" spans="1:2" x14ac:dyDescent="0.25">
      <c r="A326" s="9"/>
      <c r="B326" s="9"/>
    </row>
    <row r="327" spans="1:2" x14ac:dyDescent="0.25">
      <c r="A327" s="9"/>
      <c r="B327" s="9"/>
    </row>
    <row r="328" spans="1:2" x14ac:dyDescent="0.25">
      <c r="A328" s="9"/>
      <c r="B328" s="9"/>
    </row>
    <row r="329" spans="1:2" x14ac:dyDescent="0.25">
      <c r="A329" s="9"/>
      <c r="B329" s="9"/>
    </row>
    <row r="330" spans="1:2" x14ac:dyDescent="0.25">
      <c r="A330" s="9"/>
      <c r="B330" s="9"/>
    </row>
    <row r="331" spans="1:2" x14ac:dyDescent="0.25">
      <c r="A331" s="9"/>
      <c r="B331" s="9"/>
    </row>
    <row r="332" spans="1:2" x14ac:dyDescent="0.25">
      <c r="A332" s="9"/>
      <c r="B332" s="9"/>
    </row>
    <row r="333" spans="1:2" x14ac:dyDescent="0.25">
      <c r="A333" s="9"/>
      <c r="B333" s="9"/>
    </row>
    <row r="334" spans="1:2" x14ac:dyDescent="0.25">
      <c r="A334" s="9"/>
      <c r="B334" s="9"/>
    </row>
    <row r="335" spans="1:2" x14ac:dyDescent="0.25">
      <c r="A335" s="9"/>
      <c r="B335" s="9"/>
    </row>
    <row r="336" spans="1:2" x14ac:dyDescent="0.25">
      <c r="A336" s="9"/>
      <c r="B336" s="9"/>
    </row>
    <row r="337" spans="1:2" x14ac:dyDescent="0.25">
      <c r="A337" s="9"/>
      <c r="B337" s="9"/>
    </row>
    <row r="338" spans="1:2" x14ac:dyDescent="0.25">
      <c r="A338" s="9"/>
      <c r="B338" s="9"/>
    </row>
    <row r="339" spans="1:2" x14ac:dyDescent="0.25">
      <c r="A339" s="9"/>
      <c r="B339" s="9"/>
    </row>
    <row r="340" spans="1:2" x14ac:dyDescent="0.25">
      <c r="A340" s="9"/>
      <c r="B340" s="9"/>
    </row>
    <row r="341" spans="1:2" x14ac:dyDescent="0.25">
      <c r="A341" s="9"/>
      <c r="B341" s="9"/>
    </row>
    <row r="342" spans="1:2" x14ac:dyDescent="0.25">
      <c r="A342" s="9"/>
      <c r="B342" s="9"/>
    </row>
    <row r="343" spans="1:2" x14ac:dyDescent="0.25">
      <c r="A343" s="9"/>
      <c r="B343" s="9"/>
    </row>
    <row r="344" spans="1:2" x14ac:dyDescent="0.25">
      <c r="A344" s="9"/>
      <c r="B344" s="9"/>
    </row>
    <row r="345" spans="1:2" x14ac:dyDescent="0.25">
      <c r="A345" s="9"/>
      <c r="B345" s="9"/>
    </row>
    <row r="346" spans="1:2" x14ac:dyDescent="0.25">
      <c r="A346" s="9"/>
      <c r="B346" s="9"/>
    </row>
    <row r="347" spans="1:2" x14ac:dyDescent="0.25">
      <c r="A347" s="9"/>
      <c r="B347" s="9"/>
    </row>
    <row r="348" spans="1:2" x14ac:dyDescent="0.25">
      <c r="A348" s="9"/>
      <c r="B348" s="9"/>
    </row>
    <row r="349" spans="1:2" x14ac:dyDescent="0.25">
      <c r="A349" s="9"/>
      <c r="B349" s="9"/>
    </row>
    <row r="350" spans="1:2" x14ac:dyDescent="0.25">
      <c r="A350" s="9"/>
      <c r="B350" s="9"/>
    </row>
    <row r="351" spans="1:2" x14ac:dyDescent="0.25">
      <c r="A351" s="9"/>
      <c r="B351" s="9"/>
    </row>
    <row r="352" spans="1:2" x14ac:dyDescent="0.25">
      <c r="A352" s="9"/>
      <c r="B352" s="9"/>
    </row>
    <row r="353" spans="1:2" x14ac:dyDescent="0.25">
      <c r="A353" s="9"/>
      <c r="B353" s="9"/>
    </row>
    <row r="354" spans="1:2" x14ac:dyDescent="0.25">
      <c r="A354" s="9"/>
      <c r="B354" s="9"/>
    </row>
    <row r="355" spans="1:2" x14ac:dyDescent="0.25">
      <c r="A355" s="9"/>
      <c r="B355" s="9"/>
    </row>
    <row r="356" spans="1:2" x14ac:dyDescent="0.25">
      <c r="A356" s="9"/>
      <c r="B356" s="9"/>
    </row>
    <row r="357" spans="1:2" x14ac:dyDescent="0.25">
      <c r="A357" s="9"/>
      <c r="B357" s="9"/>
    </row>
    <row r="358" spans="1:2" x14ac:dyDescent="0.25">
      <c r="A358" s="9"/>
      <c r="B358" s="9"/>
    </row>
    <row r="359" spans="1:2" x14ac:dyDescent="0.25">
      <c r="A359" s="9"/>
      <c r="B359" s="9"/>
    </row>
    <row r="360" spans="1:2" x14ac:dyDescent="0.25">
      <c r="A360" s="9"/>
      <c r="B360" s="9"/>
    </row>
    <row r="361" spans="1:2" x14ac:dyDescent="0.25">
      <c r="A361" s="9"/>
      <c r="B361" s="9"/>
    </row>
    <row r="362" spans="1:2" x14ac:dyDescent="0.25">
      <c r="A362" s="9"/>
      <c r="B362" s="9"/>
    </row>
    <row r="363" spans="1:2" x14ac:dyDescent="0.25">
      <c r="A363" s="9"/>
      <c r="B363" s="9"/>
    </row>
    <row r="364" spans="1:2" x14ac:dyDescent="0.25">
      <c r="A364" s="9"/>
      <c r="B364" s="9"/>
    </row>
    <row r="365" spans="1:2" x14ac:dyDescent="0.25">
      <c r="A365" s="9"/>
      <c r="B365" s="9"/>
    </row>
    <row r="366" spans="1:2" x14ac:dyDescent="0.25">
      <c r="A366" s="9"/>
      <c r="B366" s="9"/>
    </row>
    <row r="367" spans="1:2" x14ac:dyDescent="0.25">
      <c r="A367" s="9"/>
      <c r="B367" s="9"/>
    </row>
    <row r="368" spans="1:2" x14ac:dyDescent="0.25">
      <c r="A368" s="9"/>
      <c r="B368" s="9"/>
    </row>
    <row r="369" spans="1:2" x14ac:dyDescent="0.25">
      <c r="A369" s="9"/>
      <c r="B369" s="9"/>
    </row>
    <row r="370" spans="1:2" x14ac:dyDescent="0.25">
      <c r="A370" s="9"/>
      <c r="B370" s="9"/>
    </row>
    <row r="371" spans="1:2" x14ac:dyDescent="0.25">
      <c r="A371" s="9"/>
      <c r="B371" s="9"/>
    </row>
    <row r="372" spans="1:2" x14ac:dyDescent="0.25">
      <c r="A372" s="9"/>
      <c r="B372" s="9"/>
    </row>
    <row r="373" spans="1:2" x14ac:dyDescent="0.25">
      <c r="A373" s="9"/>
      <c r="B373" s="9"/>
    </row>
    <row r="374" spans="1:2" x14ac:dyDescent="0.25">
      <c r="A374" s="9"/>
      <c r="B374" s="9"/>
    </row>
    <row r="375" spans="1:2" x14ac:dyDescent="0.25">
      <c r="A375" s="9"/>
      <c r="B375" s="9"/>
    </row>
    <row r="376" spans="1:2" x14ac:dyDescent="0.25">
      <c r="A376" s="9"/>
      <c r="B376" s="9"/>
    </row>
    <row r="377" spans="1:2" x14ac:dyDescent="0.25">
      <c r="A377" s="9"/>
      <c r="B377" s="9"/>
    </row>
    <row r="378" spans="1:2" x14ac:dyDescent="0.25">
      <c r="A378" s="9"/>
      <c r="B378" s="9"/>
    </row>
    <row r="379" spans="1:2" x14ac:dyDescent="0.25">
      <c r="A379" s="9"/>
      <c r="B379" s="9"/>
    </row>
    <row r="380" spans="1:2" x14ac:dyDescent="0.25">
      <c r="A380" s="9"/>
      <c r="B380" s="9"/>
    </row>
    <row r="381" spans="1:2" x14ac:dyDescent="0.25">
      <c r="A381" s="9"/>
      <c r="B381" s="9"/>
    </row>
    <row r="382" spans="1:2" x14ac:dyDescent="0.25">
      <c r="A382" s="9"/>
      <c r="B382" s="9"/>
    </row>
    <row r="383" spans="1:2" x14ac:dyDescent="0.25">
      <c r="A383" s="9"/>
      <c r="B383" s="9"/>
    </row>
    <row r="384" spans="1:2" x14ac:dyDescent="0.25">
      <c r="A384" s="9"/>
      <c r="B384" s="9"/>
    </row>
    <row r="385" spans="1:2" x14ac:dyDescent="0.25">
      <c r="A385" s="9"/>
      <c r="B385" s="9"/>
    </row>
    <row r="386" spans="1:2" x14ac:dyDescent="0.25">
      <c r="A386" s="9"/>
      <c r="B386" s="9"/>
    </row>
    <row r="387" spans="1:2" x14ac:dyDescent="0.25">
      <c r="A387" s="9"/>
      <c r="B387" s="9"/>
    </row>
    <row r="388" spans="1:2" x14ac:dyDescent="0.25">
      <c r="A388" s="9"/>
      <c r="B388" s="9"/>
    </row>
    <row r="389" spans="1:2" x14ac:dyDescent="0.25">
      <c r="A389" s="9"/>
      <c r="B389" s="9"/>
    </row>
    <row r="390" spans="1:2" x14ac:dyDescent="0.25">
      <c r="A390" s="9"/>
      <c r="B390" s="9"/>
    </row>
    <row r="391" spans="1:2" x14ac:dyDescent="0.25">
      <c r="A391" s="9"/>
      <c r="B391" s="9"/>
    </row>
    <row r="392" spans="1:2" x14ac:dyDescent="0.25">
      <c r="A392" s="9"/>
      <c r="B392" s="9"/>
    </row>
    <row r="393" spans="1:2" x14ac:dyDescent="0.25">
      <c r="A393" s="9"/>
      <c r="B393" s="9"/>
    </row>
    <row r="394" spans="1:2" x14ac:dyDescent="0.25">
      <c r="A394" s="9"/>
      <c r="B394" s="9"/>
    </row>
    <row r="395" spans="1:2" x14ac:dyDescent="0.25">
      <c r="A395" s="9"/>
      <c r="B395" s="9"/>
    </row>
    <row r="396" spans="1:2" x14ac:dyDescent="0.25">
      <c r="A396" s="9"/>
      <c r="B396" s="9"/>
    </row>
    <row r="397" spans="1:2" x14ac:dyDescent="0.25">
      <c r="A397" s="9"/>
      <c r="B397" s="9"/>
    </row>
    <row r="398" spans="1:2" x14ac:dyDescent="0.25">
      <c r="A398" s="9"/>
      <c r="B398" s="9"/>
    </row>
    <row r="399" spans="1:2" x14ac:dyDescent="0.25">
      <c r="A399" s="9"/>
      <c r="B399" s="9"/>
    </row>
    <row r="400" spans="1:2" x14ac:dyDescent="0.25">
      <c r="A400" s="9"/>
      <c r="B400" s="9"/>
    </row>
    <row r="401" spans="1:2" x14ac:dyDescent="0.25">
      <c r="A401" s="9"/>
      <c r="B401" s="9"/>
    </row>
    <row r="402" spans="1:2" x14ac:dyDescent="0.25">
      <c r="A402" s="9"/>
      <c r="B402" s="9"/>
    </row>
  </sheetData>
  <autoFilter ref="A6:W6"/>
  <mergeCells count="2">
    <mergeCell ref="C3:V3"/>
    <mergeCell ref="C4:V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LW13</vt:lpstr>
      <vt:lpstr>FAST</vt:lpstr>
      <vt:lpstr>Sheet1</vt:lpstr>
      <vt:lpstr>titan</vt:lpstr>
      <vt:lpstr>Sheet4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2025-05-03T05:40:04Z</dcterms:created>
  <dcterms:modified xsi:type="dcterms:W3CDTF">2026-01-20T02:27:28Z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