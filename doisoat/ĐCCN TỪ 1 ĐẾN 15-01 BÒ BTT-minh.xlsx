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minh-2026\công nợ ncc\công nợ 30 ngày\trần gia\2026\t01\"/>
    </mc:Choice>
  </mc:AlternateContent>
  <xr:revisionPtr revIDLastSave="0" documentId="13_ncr:1_{0FB738FD-DBB7-4215-AF6F-D74EDB16F35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Ò TƠ BTT" sheetId="1" r:id="rId1"/>
  </sheets>
  <definedNames>
    <definedName name="_xlnm._FilterDatabase" localSheetId="0" hidden="1">'BÒ TƠ BTT'!$A$14:$S$148</definedName>
  </definedNames>
  <calcPr calcId="191029"/>
</workbook>
</file>

<file path=xl/calcChain.xml><?xml version="1.0" encoding="utf-8"?>
<calcChain xmlns="http://schemas.openxmlformats.org/spreadsheetml/2006/main">
  <c r="Q107" i="1" l="1"/>
  <c r="P107" i="1"/>
  <c r="O17" i="1"/>
  <c r="P17" i="1"/>
  <c r="Q17" i="1"/>
  <c r="O18" i="1"/>
  <c r="P18" i="1"/>
  <c r="Q18" i="1"/>
  <c r="O19" i="1"/>
  <c r="P19" i="1"/>
  <c r="Q19" i="1"/>
  <c r="O20" i="1"/>
  <c r="P20" i="1"/>
  <c r="Q20" i="1"/>
  <c r="O21" i="1"/>
  <c r="P21" i="1"/>
  <c r="Q21" i="1"/>
  <c r="O22" i="1"/>
  <c r="P22" i="1"/>
  <c r="Q22" i="1"/>
  <c r="O23" i="1"/>
  <c r="P23" i="1"/>
  <c r="Q23" i="1"/>
  <c r="O24" i="1"/>
  <c r="P24" i="1"/>
  <c r="Q24" i="1"/>
  <c r="O25" i="1"/>
  <c r="P25" i="1"/>
  <c r="Q25" i="1"/>
  <c r="O26" i="1"/>
  <c r="P26" i="1"/>
  <c r="Q26" i="1"/>
  <c r="O27" i="1"/>
  <c r="P27" i="1"/>
  <c r="Q27" i="1"/>
  <c r="O28" i="1"/>
  <c r="P28" i="1"/>
  <c r="Q28" i="1"/>
  <c r="O29" i="1"/>
  <c r="P29" i="1"/>
  <c r="Q29" i="1"/>
  <c r="O30" i="1"/>
  <c r="P30" i="1"/>
  <c r="Q30" i="1"/>
  <c r="O31" i="1"/>
  <c r="P31" i="1"/>
  <c r="Q31" i="1"/>
  <c r="O32" i="1"/>
  <c r="P32" i="1"/>
  <c r="Q32" i="1"/>
  <c r="O33" i="1"/>
  <c r="P33" i="1"/>
  <c r="Q33" i="1"/>
  <c r="O34" i="1"/>
  <c r="P34" i="1"/>
  <c r="Q34" i="1"/>
  <c r="O35" i="1"/>
  <c r="P35" i="1"/>
  <c r="Q35" i="1"/>
  <c r="O36" i="1"/>
  <c r="P36" i="1"/>
  <c r="Q36" i="1"/>
  <c r="O37" i="1"/>
  <c r="P37" i="1"/>
  <c r="Q37" i="1"/>
  <c r="O38" i="1"/>
  <c r="P38" i="1"/>
  <c r="Q38" i="1"/>
  <c r="O39" i="1"/>
  <c r="P39" i="1"/>
  <c r="Q39" i="1"/>
  <c r="O40" i="1"/>
  <c r="P40" i="1"/>
  <c r="Q40" i="1"/>
  <c r="O41" i="1"/>
  <c r="P41" i="1"/>
  <c r="Q41" i="1"/>
  <c r="O42" i="1"/>
  <c r="P42" i="1"/>
  <c r="Q42" i="1"/>
  <c r="O43" i="1"/>
  <c r="P43" i="1"/>
  <c r="Q43" i="1"/>
  <c r="O44" i="1"/>
  <c r="P44" i="1"/>
  <c r="Q44" i="1"/>
  <c r="O45" i="1"/>
  <c r="P45" i="1"/>
  <c r="Q45" i="1"/>
  <c r="O46" i="1"/>
  <c r="P46" i="1"/>
  <c r="Q46" i="1"/>
  <c r="O47" i="1"/>
  <c r="P47" i="1"/>
  <c r="Q47" i="1"/>
  <c r="O48" i="1"/>
  <c r="P48" i="1"/>
  <c r="Q48" i="1"/>
  <c r="O49" i="1"/>
  <c r="P49" i="1"/>
  <c r="Q49" i="1"/>
  <c r="O50" i="1"/>
  <c r="P50" i="1"/>
  <c r="Q50" i="1"/>
  <c r="O51" i="1"/>
  <c r="P51" i="1"/>
  <c r="Q51" i="1"/>
  <c r="O52" i="1"/>
  <c r="P52" i="1"/>
  <c r="Q52" i="1"/>
  <c r="O53" i="1"/>
  <c r="P53" i="1"/>
  <c r="Q53" i="1"/>
  <c r="O54" i="1"/>
  <c r="P54" i="1"/>
  <c r="Q54" i="1"/>
  <c r="O55" i="1"/>
  <c r="P55" i="1"/>
  <c r="Q55" i="1"/>
  <c r="O56" i="1"/>
  <c r="P56" i="1"/>
  <c r="Q56" i="1"/>
  <c r="O57" i="1"/>
  <c r="P57" i="1"/>
  <c r="Q57" i="1"/>
  <c r="O58" i="1"/>
  <c r="P58" i="1"/>
  <c r="Q58" i="1"/>
  <c r="O59" i="1"/>
  <c r="P59" i="1"/>
  <c r="Q59" i="1"/>
  <c r="O60" i="1"/>
  <c r="P60" i="1"/>
  <c r="Q60" i="1"/>
  <c r="O61" i="1"/>
  <c r="P61" i="1"/>
  <c r="Q61" i="1"/>
  <c r="O62" i="1"/>
  <c r="P62" i="1"/>
  <c r="Q62" i="1"/>
  <c r="O63" i="1"/>
  <c r="P63" i="1"/>
  <c r="Q63" i="1"/>
  <c r="O64" i="1"/>
  <c r="P64" i="1"/>
  <c r="Q64" i="1"/>
  <c r="O65" i="1"/>
  <c r="P65" i="1"/>
  <c r="Q65" i="1"/>
  <c r="O66" i="1"/>
  <c r="P66" i="1"/>
  <c r="Q66" i="1"/>
  <c r="O67" i="1"/>
  <c r="P67" i="1"/>
  <c r="Q67" i="1"/>
  <c r="O68" i="1"/>
  <c r="P68" i="1"/>
  <c r="Q68" i="1"/>
  <c r="O69" i="1"/>
  <c r="P69" i="1"/>
  <c r="Q69" i="1"/>
  <c r="O70" i="1"/>
  <c r="P70" i="1"/>
  <c r="Q70" i="1"/>
  <c r="O71" i="1"/>
  <c r="P71" i="1"/>
  <c r="Q71" i="1"/>
  <c r="O72" i="1"/>
  <c r="P72" i="1"/>
  <c r="Q72" i="1"/>
  <c r="O73" i="1"/>
  <c r="P73" i="1"/>
  <c r="Q73" i="1"/>
  <c r="O74" i="1"/>
  <c r="P74" i="1"/>
  <c r="Q74" i="1"/>
  <c r="O75" i="1"/>
  <c r="P75" i="1"/>
  <c r="Q75" i="1"/>
  <c r="O76" i="1"/>
  <c r="P76" i="1"/>
  <c r="Q76" i="1"/>
  <c r="O77" i="1"/>
  <c r="P77" i="1"/>
  <c r="Q77" i="1"/>
  <c r="O78" i="1"/>
  <c r="P78" i="1"/>
  <c r="Q78" i="1"/>
  <c r="O79" i="1"/>
  <c r="P79" i="1"/>
  <c r="Q79" i="1"/>
  <c r="O80" i="1"/>
  <c r="P80" i="1"/>
  <c r="Q80" i="1"/>
  <c r="O81" i="1"/>
  <c r="P81" i="1"/>
  <c r="Q81" i="1"/>
  <c r="O82" i="1"/>
  <c r="P82" i="1"/>
  <c r="Q82" i="1"/>
  <c r="O83" i="1"/>
  <c r="P83" i="1"/>
  <c r="Q83" i="1"/>
  <c r="O84" i="1"/>
  <c r="P84" i="1"/>
  <c r="Q84" i="1"/>
  <c r="O85" i="1"/>
  <c r="P85" i="1"/>
  <c r="Q85" i="1"/>
  <c r="O86" i="1"/>
  <c r="P86" i="1"/>
  <c r="Q86" i="1"/>
  <c r="O87" i="1"/>
  <c r="P87" i="1"/>
  <c r="Q87" i="1"/>
  <c r="O88" i="1"/>
  <c r="P88" i="1"/>
  <c r="Q88" i="1"/>
  <c r="O89" i="1"/>
  <c r="P89" i="1"/>
  <c r="Q89" i="1"/>
  <c r="O90" i="1"/>
  <c r="P90" i="1"/>
  <c r="Q90" i="1"/>
  <c r="O91" i="1"/>
  <c r="P91" i="1"/>
  <c r="Q91" i="1"/>
  <c r="O92" i="1"/>
  <c r="P92" i="1"/>
  <c r="Q92" i="1"/>
  <c r="O93" i="1"/>
  <c r="P93" i="1"/>
  <c r="Q93" i="1"/>
  <c r="O94" i="1"/>
  <c r="P94" i="1"/>
  <c r="Q94" i="1"/>
  <c r="O95" i="1"/>
  <c r="P95" i="1"/>
  <c r="Q95" i="1"/>
  <c r="O96" i="1"/>
  <c r="P96" i="1"/>
  <c r="Q96" i="1"/>
  <c r="O97" i="1"/>
  <c r="P97" i="1"/>
  <c r="Q97" i="1"/>
  <c r="O98" i="1"/>
  <c r="P98" i="1"/>
  <c r="Q98" i="1"/>
  <c r="O99" i="1"/>
  <c r="P99" i="1"/>
  <c r="Q99" i="1"/>
  <c r="O100" i="1"/>
  <c r="P100" i="1"/>
  <c r="Q100" i="1"/>
  <c r="O101" i="1"/>
  <c r="P101" i="1"/>
  <c r="Q101" i="1"/>
  <c r="O102" i="1"/>
  <c r="P102" i="1"/>
  <c r="Q102" i="1"/>
  <c r="O103" i="1"/>
  <c r="P103" i="1"/>
  <c r="Q103" i="1"/>
  <c r="O104" i="1"/>
  <c r="P104" i="1"/>
  <c r="Q104" i="1"/>
  <c r="O105" i="1"/>
  <c r="P105" i="1"/>
  <c r="Q105" i="1"/>
  <c r="O106" i="1"/>
  <c r="P106" i="1"/>
  <c r="Q106" i="1"/>
  <c r="O107" i="1"/>
  <c r="O108" i="1"/>
  <c r="P108" i="1"/>
  <c r="Q108" i="1"/>
  <c r="O109" i="1"/>
  <c r="P109" i="1"/>
  <c r="Q109" i="1"/>
  <c r="O110" i="1"/>
  <c r="P110" i="1"/>
  <c r="Q110" i="1"/>
  <c r="O111" i="1"/>
  <c r="P111" i="1"/>
  <c r="Q111" i="1"/>
  <c r="O112" i="1"/>
  <c r="P112" i="1"/>
  <c r="Q112" i="1"/>
  <c r="O113" i="1"/>
  <c r="P113" i="1"/>
  <c r="Q113" i="1"/>
  <c r="O114" i="1"/>
  <c r="P114" i="1"/>
  <c r="Q114" i="1"/>
  <c r="O115" i="1"/>
  <c r="P115" i="1"/>
  <c r="Q115" i="1"/>
  <c r="O116" i="1"/>
  <c r="P116" i="1"/>
  <c r="Q116" i="1"/>
  <c r="O117" i="1"/>
  <c r="P117" i="1"/>
  <c r="Q117" i="1"/>
  <c r="O118" i="1"/>
  <c r="P118" i="1"/>
  <c r="Q118" i="1"/>
  <c r="O119" i="1"/>
  <c r="P119" i="1"/>
  <c r="Q119" i="1"/>
  <c r="O120" i="1"/>
  <c r="P120" i="1"/>
  <c r="Q120" i="1"/>
  <c r="O121" i="1"/>
  <c r="P121" i="1"/>
  <c r="Q121" i="1"/>
  <c r="O122" i="1"/>
  <c r="P122" i="1"/>
  <c r="Q122" i="1"/>
  <c r="O123" i="1"/>
  <c r="P123" i="1"/>
  <c r="Q123" i="1"/>
  <c r="O124" i="1"/>
  <c r="P124" i="1"/>
  <c r="Q124" i="1"/>
  <c r="O125" i="1"/>
  <c r="P125" i="1"/>
  <c r="Q125" i="1"/>
  <c r="O126" i="1"/>
  <c r="P126" i="1"/>
  <c r="Q126" i="1"/>
  <c r="O127" i="1"/>
  <c r="P127" i="1"/>
  <c r="Q127" i="1"/>
  <c r="O128" i="1"/>
  <c r="P128" i="1"/>
  <c r="Q128" i="1"/>
  <c r="O129" i="1"/>
  <c r="P129" i="1"/>
  <c r="Q129" i="1"/>
  <c r="O130" i="1"/>
  <c r="P130" i="1"/>
  <c r="Q130" i="1"/>
  <c r="O131" i="1"/>
  <c r="P131" i="1"/>
  <c r="Q131" i="1"/>
  <c r="O132" i="1"/>
  <c r="P132" i="1"/>
  <c r="Q132" i="1"/>
  <c r="O133" i="1"/>
  <c r="P133" i="1"/>
  <c r="Q133" i="1"/>
  <c r="O134" i="1"/>
  <c r="P134" i="1"/>
  <c r="Q134" i="1"/>
  <c r="O135" i="1"/>
  <c r="P135" i="1"/>
  <c r="Q135" i="1"/>
  <c r="O136" i="1"/>
  <c r="P136" i="1"/>
  <c r="Q136" i="1"/>
  <c r="O137" i="1"/>
  <c r="P137" i="1"/>
  <c r="Q137" i="1"/>
  <c r="O138" i="1"/>
  <c r="P138" i="1"/>
  <c r="Q138" i="1"/>
  <c r="O139" i="1"/>
  <c r="P139" i="1"/>
  <c r="Q139" i="1"/>
  <c r="O140" i="1"/>
  <c r="P140" i="1"/>
  <c r="Q140" i="1"/>
  <c r="O141" i="1"/>
  <c r="P141" i="1"/>
  <c r="Q141" i="1"/>
  <c r="O142" i="1"/>
  <c r="P142" i="1"/>
  <c r="Q142" i="1"/>
  <c r="O143" i="1"/>
  <c r="P143" i="1"/>
  <c r="Q143" i="1"/>
  <c r="O144" i="1"/>
  <c r="P144" i="1"/>
  <c r="Q144" i="1"/>
  <c r="O145" i="1"/>
  <c r="P145" i="1"/>
  <c r="Q145" i="1"/>
  <c r="O146" i="1"/>
  <c r="P146" i="1"/>
  <c r="Q146" i="1"/>
  <c r="O147" i="1"/>
  <c r="P147" i="1"/>
  <c r="Q147" i="1"/>
  <c r="O148" i="1"/>
  <c r="P148" i="1"/>
  <c r="Q148" i="1"/>
  <c r="O16" i="1"/>
  <c r="P16" i="1"/>
  <c r="Q16" i="1"/>
  <c r="Q15" i="1"/>
  <c r="P15" i="1"/>
  <c r="O15" i="1"/>
  <c r="J140" i="1" l="1"/>
  <c r="R140" i="1" s="1"/>
  <c r="J141" i="1"/>
  <c r="R141" i="1" s="1"/>
  <c r="J142" i="1"/>
  <c r="R142" i="1" s="1"/>
  <c r="J143" i="1"/>
  <c r="R143" i="1" s="1"/>
  <c r="J144" i="1"/>
  <c r="R144" i="1" s="1"/>
  <c r="J145" i="1"/>
  <c r="R145" i="1" s="1"/>
  <c r="J146" i="1"/>
  <c r="R146" i="1" s="1"/>
  <c r="J147" i="1"/>
  <c r="R147" i="1" s="1"/>
  <c r="J148" i="1"/>
  <c r="R148" i="1" s="1"/>
  <c r="J139" i="1"/>
  <c r="R139" i="1" s="1"/>
  <c r="J16" i="1"/>
  <c r="R16" i="1" s="1"/>
  <c r="J17" i="1"/>
  <c r="R17" i="1" s="1"/>
  <c r="J18" i="1"/>
  <c r="R18" i="1" s="1"/>
  <c r="J19" i="1"/>
  <c r="R19" i="1" s="1"/>
  <c r="J20" i="1"/>
  <c r="R20" i="1" s="1"/>
  <c r="J21" i="1"/>
  <c r="R21" i="1" s="1"/>
  <c r="J22" i="1"/>
  <c r="R22" i="1" s="1"/>
  <c r="J23" i="1"/>
  <c r="R23" i="1" s="1"/>
  <c r="J24" i="1"/>
  <c r="R24" i="1" s="1"/>
  <c r="J25" i="1"/>
  <c r="R25" i="1" s="1"/>
  <c r="J26" i="1"/>
  <c r="R26" i="1" s="1"/>
  <c r="J27" i="1"/>
  <c r="R27" i="1" s="1"/>
  <c r="J28" i="1"/>
  <c r="R28" i="1" s="1"/>
  <c r="J29" i="1"/>
  <c r="R29" i="1" s="1"/>
  <c r="J30" i="1"/>
  <c r="R30" i="1" s="1"/>
  <c r="J31" i="1"/>
  <c r="R31" i="1" s="1"/>
  <c r="J32" i="1"/>
  <c r="R32" i="1" s="1"/>
  <c r="J33" i="1"/>
  <c r="R33" i="1" s="1"/>
  <c r="J34" i="1"/>
  <c r="R34" i="1" s="1"/>
  <c r="J35" i="1"/>
  <c r="R35" i="1" s="1"/>
  <c r="J36" i="1"/>
  <c r="R36" i="1" s="1"/>
  <c r="J37" i="1"/>
  <c r="R37" i="1" s="1"/>
  <c r="J38" i="1"/>
  <c r="R38" i="1" s="1"/>
  <c r="J39" i="1"/>
  <c r="R39" i="1" s="1"/>
  <c r="J40" i="1"/>
  <c r="R40" i="1" s="1"/>
  <c r="J41" i="1"/>
  <c r="R41" i="1" s="1"/>
  <c r="J42" i="1"/>
  <c r="R42" i="1" s="1"/>
  <c r="J43" i="1"/>
  <c r="R43" i="1" s="1"/>
  <c r="J44" i="1"/>
  <c r="R44" i="1" s="1"/>
  <c r="J45" i="1"/>
  <c r="R45" i="1" s="1"/>
  <c r="J46" i="1"/>
  <c r="R46" i="1" s="1"/>
  <c r="J47" i="1"/>
  <c r="R47" i="1" s="1"/>
  <c r="J48" i="1"/>
  <c r="R48" i="1" s="1"/>
  <c r="J49" i="1"/>
  <c r="R49" i="1" s="1"/>
  <c r="J50" i="1"/>
  <c r="R50" i="1" s="1"/>
  <c r="J51" i="1"/>
  <c r="R51" i="1" s="1"/>
  <c r="J52" i="1"/>
  <c r="R52" i="1" s="1"/>
  <c r="J53" i="1"/>
  <c r="R53" i="1" s="1"/>
  <c r="J54" i="1"/>
  <c r="R54" i="1" s="1"/>
  <c r="J55" i="1"/>
  <c r="R55" i="1" s="1"/>
  <c r="J56" i="1"/>
  <c r="R56" i="1" s="1"/>
  <c r="J57" i="1"/>
  <c r="R57" i="1" s="1"/>
  <c r="J58" i="1"/>
  <c r="R58" i="1" s="1"/>
  <c r="J59" i="1"/>
  <c r="R59" i="1" s="1"/>
  <c r="J60" i="1"/>
  <c r="R60" i="1" s="1"/>
  <c r="J61" i="1"/>
  <c r="R61" i="1" s="1"/>
  <c r="J62" i="1"/>
  <c r="R62" i="1" s="1"/>
  <c r="J63" i="1"/>
  <c r="R63" i="1" s="1"/>
  <c r="J64" i="1"/>
  <c r="R64" i="1" s="1"/>
  <c r="J65" i="1"/>
  <c r="R65" i="1" s="1"/>
  <c r="J66" i="1"/>
  <c r="R66" i="1" s="1"/>
  <c r="J67" i="1"/>
  <c r="R67" i="1" s="1"/>
  <c r="J68" i="1"/>
  <c r="R68" i="1" s="1"/>
  <c r="J69" i="1"/>
  <c r="R69" i="1" s="1"/>
  <c r="J70" i="1"/>
  <c r="R70" i="1" s="1"/>
  <c r="J71" i="1"/>
  <c r="R71" i="1" s="1"/>
  <c r="J72" i="1"/>
  <c r="R72" i="1" s="1"/>
  <c r="J73" i="1"/>
  <c r="R73" i="1" s="1"/>
  <c r="J74" i="1"/>
  <c r="R74" i="1" s="1"/>
  <c r="J75" i="1"/>
  <c r="R75" i="1" s="1"/>
  <c r="J76" i="1"/>
  <c r="R76" i="1" s="1"/>
  <c r="J77" i="1"/>
  <c r="R77" i="1" s="1"/>
  <c r="J78" i="1"/>
  <c r="R78" i="1" s="1"/>
  <c r="J79" i="1"/>
  <c r="R79" i="1" s="1"/>
  <c r="J80" i="1"/>
  <c r="R80" i="1" s="1"/>
  <c r="J81" i="1"/>
  <c r="R81" i="1" s="1"/>
  <c r="J82" i="1"/>
  <c r="R82" i="1" s="1"/>
  <c r="J83" i="1"/>
  <c r="R83" i="1" s="1"/>
  <c r="J84" i="1"/>
  <c r="R84" i="1" s="1"/>
  <c r="J85" i="1"/>
  <c r="R85" i="1" s="1"/>
  <c r="J86" i="1"/>
  <c r="R86" i="1" s="1"/>
  <c r="J87" i="1"/>
  <c r="R87" i="1" s="1"/>
  <c r="J88" i="1"/>
  <c r="R88" i="1" s="1"/>
  <c r="J89" i="1"/>
  <c r="R89" i="1" s="1"/>
  <c r="J90" i="1"/>
  <c r="R90" i="1" s="1"/>
  <c r="J91" i="1"/>
  <c r="R91" i="1" s="1"/>
  <c r="J92" i="1"/>
  <c r="R92" i="1" s="1"/>
  <c r="J93" i="1"/>
  <c r="R93" i="1" s="1"/>
  <c r="J94" i="1"/>
  <c r="R94" i="1" s="1"/>
  <c r="J95" i="1"/>
  <c r="R95" i="1" s="1"/>
  <c r="J96" i="1"/>
  <c r="R96" i="1" s="1"/>
  <c r="J97" i="1"/>
  <c r="R97" i="1" s="1"/>
  <c r="J98" i="1"/>
  <c r="R98" i="1" s="1"/>
  <c r="J99" i="1"/>
  <c r="R99" i="1" s="1"/>
  <c r="J100" i="1"/>
  <c r="R100" i="1" s="1"/>
  <c r="J101" i="1"/>
  <c r="R101" i="1" s="1"/>
  <c r="J102" i="1"/>
  <c r="R102" i="1" s="1"/>
  <c r="J103" i="1"/>
  <c r="R103" i="1" s="1"/>
  <c r="J104" i="1"/>
  <c r="R104" i="1" s="1"/>
  <c r="J105" i="1"/>
  <c r="R105" i="1" s="1"/>
  <c r="J106" i="1"/>
  <c r="R106" i="1" s="1"/>
  <c r="J107" i="1"/>
  <c r="R107" i="1" s="1"/>
  <c r="J108" i="1"/>
  <c r="R108" i="1" s="1"/>
  <c r="J109" i="1"/>
  <c r="R109" i="1" s="1"/>
  <c r="J110" i="1"/>
  <c r="R110" i="1" s="1"/>
  <c r="J111" i="1"/>
  <c r="R111" i="1" s="1"/>
  <c r="J112" i="1"/>
  <c r="R112" i="1" s="1"/>
  <c r="J113" i="1"/>
  <c r="R113" i="1" s="1"/>
  <c r="J114" i="1"/>
  <c r="R114" i="1" s="1"/>
  <c r="J115" i="1"/>
  <c r="R115" i="1" s="1"/>
  <c r="J116" i="1"/>
  <c r="R116" i="1" s="1"/>
  <c r="J117" i="1"/>
  <c r="R117" i="1" s="1"/>
  <c r="J118" i="1"/>
  <c r="R118" i="1" s="1"/>
  <c r="J119" i="1"/>
  <c r="R119" i="1" s="1"/>
  <c r="J120" i="1"/>
  <c r="R120" i="1" s="1"/>
  <c r="J121" i="1"/>
  <c r="R121" i="1" s="1"/>
  <c r="J122" i="1"/>
  <c r="R122" i="1" s="1"/>
  <c r="J123" i="1"/>
  <c r="R123" i="1" s="1"/>
  <c r="J124" i="1"/>
  <c r="R124" i="1" s="1"/>
  <c r="J125" i="1"/>
  <c r="R125" i="1" s="1"/>
  <c r="J126" i="1"/>
  <c r="R126" i="1" s="1"/>
  <c r="J127" i="1"/>
  <c r="R127" i="1" s="1"/>
  <c r="J128" i="1"/>
  <c r="R128" i="1" s="1"/>
  <c r="J129" i="1"/>
  <c r="R129" i="1" s="1"/>
  <c r="J130" i="1"/>
  <c r="R130" i="1" s="1"/>
  <c r="J131" i="1"/>
  <c r="R131" i="1" s="1"/>
  <c r="J132" i="1"/>
  <c r="R132" i="1" s="1"/>
  <c r="J133" i="1"/>
  <c r="R133" i="1" s="1"/>
  <c r="J134" i="1"/>
  <c r="R134" i="1" s="1"/>
  <c r="J135" i="1"/>
  <c r="R135" i="1" s="1"/>
  <c r="J136" i="1"/>
  <c r="R136" i="1" s="1"/>
  <c r="J137" i="1"/>
  <c r="R137" i="1" s="1"/>
  <c r="J138" i="1"/>
  <c r="R138" i="1" s="1"/>
  <c r="J15" i="1"/>
  <c r="R15" i="1" s="1"/>
  <c r="J13" i="1" l="1"/>
</calcChain>
</file>

<file path=xl/sharedStrings.xml><?xml version="1.0" encoding="utf-8"?>
<sst xmlns="http://schemas.openxmlformats.org/spreadsheetml/2006/main" count="1236" uniqueCount="150">
  <si>
    <r>
      <rPr>
        <b/>
        <sz val="14"/>
        <color rgb="FF000000"/>
        <rFont val="Segoe UI Light"/>
        <family val="2"/>
      </rPr>
      <t xml:space="preserve">CÔNG TY TNHH NÔNG SẢN THỰC PHẨM TRẦN GIA
</t>
    </r>
    <r>
      <rPr>
        <sz val="11"/>
        <color rgb="FF000000"/>
        <rFont val="Segoe UI Light"/>
        <family val="2"/>
      </rPr>
      <t xml:space="preserve">HTX: Ấp Lộc Tiến, Xã Mỹ Lộc, Huyện Cần Giuộc, Tỉnh Long An
</t>
    </r>
    <r>
      <rPr>
        <sz val="11"/>
        <color rgb="FF000000"/>
        <rFont val="Segoe UI Light"/>
        <family val="2"/>
      </rPr>
      <t xml:space="preserve">VP: Tòa nhà An Phú Plaza, 117-119 Lý Chính Thắng, P.7. Q.3, TP.HCM
</t>
    </r>
    <r>
      <rPr>
        <sz val="11"/>
        <color rgb="FF000000"/>
        <rFont val="Segoe UI Light"/>
        <family val="2"/>
      </rPr>
      <t xml:space="preserve">Kho sơ chế: 30 Kha Vạn Cân, P. Hiệp Bình Chánh, TP.Thủ Đức, TP.HCM
</t>
    </r>
    <r>
      <rPr>
        <sz val="11"/>
        <color rgb="FF000000"/>
        <rFont val="Segoe UI Light"/>
        <family val="2"/>
      </rPr>
      <t xml:space="preserve">Kho Đà Lạt: 69 Trần Thủ Độ, TT Liên Nghĩa, Huyện Đức Trọng, Tỉnh Lâm Đồng.
</t>
    </r>
    <r>
      <rPr>
        <sz val="11"/>
        <color rgb="FF000000"/>
        <rFont val="Segoe UI Light"/>
        <family val="2"/>
      </rPr>
      <t>Website: rausachtrangia.com - Hotline: 090.245.8081</t>
    </r>
  </si>
  <si>
    <t>CHI TIẾT ĐỐI CHIẾU CÔNG NỢ</t>
  </si>
  <si>
    <r>
      <rPr>
        <sz val="12"/>
        <color rgb="FF000000"/>
        <rFont val="Segoe UI"/>
        <family val="2"/>
      </rPr>
      <t xml:space="preserve">Tên Khách hàng: </t>
    </r>
    <r>
      <rPr>
        <sz val="12"/>
        <color rgb="FF000000"/>
        <rFont val="Segoe UI"/>
        <family val="2"/>
      </rPr>
      <t>Bò Tơ Bếp Trung Tâm</t>
    </r>
  </si>
  <si>
    <t xml:space="preserve">Địa chỉ: </t>
  </si>
  <si>
    <t>Người liên hệ:                                                                                              Email:</t>
  </si>
  <si>
    <t>MÃ ĐƠN HÀNG</t>
  </si>
  <si>
    <t>NGÀY</t>
  </si>
  <si>
    <t>MÃ HÀNG</t>
  </si>
  <si>
    <t>TÊN HÀNG</t>
  </si>
  <si>
    <t>ĐVT</t>
  </si>
  <si>
    <t>ĐƠN GIÁ</t>
  </si>
  <si>
    <t>THÀNH TIỀN</t>
  </si>
  <si>
    <t>GHI CHÚ</t>
  </si>
  <si>
    <t>Bò Tơ Bếp Trung Tâm</t>
  </si>
  <si>
    <t>I100260</t>
  </si>
  <si>
    <t>Đậu hủ miếng trắng</t>
  </si>
  <si>
    <t>Miếng</t>
  </si>
  <si>
    <t/>
  </si>
  <si>
    <t>I100730</t>
  </si>
  <si>
    <t>Hành tím bắc lột</t>
  </si>
  <si>
    <t>Kg</t>
  </si>
  <si>
    <t>I100229</t>
  </si>
  <si>
    <t>Tỏi lột</t>
  </si>
  <si>
    <t>I100133</t>
  </si>
  <si>
    <t>Lá chanh</t>
  </si>
  <si>
    <t>I100154</t>
  </si>
  <si>
    <t>Ngò gai</t>
  </si>
  <si>
    <t>I100168</t>
  </si>
  <si>
    <t>Ớt hiểm xanh</t>
  </si>
  <si>
    <t>I100170</t>
  </si>
  <si>
    <t>Ớt sừng đỏ</t>
  </si>
  <si>
    <t>I101021</t>
  </si>
  <si>
    <t>Ruột ốc</t>
  </si>
  <si>
    <t>I100056</t>
  </si>
  <si>
    <t>Cần tàu</t>
  </si>
  <si>
    <t>I100097</t>
  </si>
  <si>
    <t>Củ Gừng</t>
  </si>
  <si>
    <t>I100074</t>
  </si>
  <si>
    <t>Củ sen</t>
  </si>
  <si>
    <t>I100573</t>
  </si>
  <si>
    <t>Đinh Lăng</t>
  </si>
  <si>
    <t>I100098</t>
  </si>
  <si>
    <t>Hành lá</t>
  </si>
  <si>
    <t>I100454</t>
  </si>
  <si>
    <t>Lá Mắc Mật</t>
  </si>
  <si>
    <t>I100156</t>
  </si>
  <si>
    <t>Ngò rí</t>
  </si>
  <si>
    <t>I100039</t>
  </si>
  <si>
    <t>Cà rốt</t>
  </si>
  <si>
    <t>I100067</t>
  </si>
  <si>
    <t>Củ cải trắng (Loại 1)</t>
  </si>
  <si>
    <t>MÃ KHÁCH HÀNG</t>
  </si>
  <si>
    <t>TÊN KHÁCH HÀNG</t>
  </si>
  <si>
    <t>SỐ LƯỢNG</t>
  </si>
  <si>
    <t>TG-KS00347</t>
  </si>
  <si>
    <t>I100060</t>
  </si>
  <si>
    <t>Chanh không hạt</t>
  </si>
  <si>
    <t>I100216</t>
  </si>
  <si>
    <t>Tắc trái</t>
  </si>
  <si>
    <t>I100101</t>
  </si>
  <si>
    <t>Hành tây</t>
  </si>
  <si>
    <t>I100198</t>
  </si>
  <si>
    <t>Sả cây</t>
  </si>
  <si>
    <t>I100167</t>
  </si>
  <si>
    <t>Ớt hiểm đỏ</t>
  </si>
  <si>
    <t>I100139</t>
  </si>
  <si>
    <t>Lá lốt</t>
  </si>
  <si>
    <t>I100111</t>
  </si>
  <si>
    <t>Hẹ lá</t>
  </si>
  <si>
    <t>I100196</t>
  </si>
  <si>
    <t>Rosemary (Hương thảo)</t>
  </si>
  <si>
    <t>I100099</t>
  </si>
  <si>
    <t>Hành Paro</t>
  </si>
  <si>
    <t>I100052</t>
  </si>
  <si>
    <t>Cải thìa</t>
  </si>
  <si>
    <t>I100171</t>
  </si>
  <si>
    <t>Ớt sừng xanh</t>
  </si>
  <si>
    <t>Từ ngày 01  tháng 01 đến ngày 15 tháng 01 năm 2026</t>
  </si>
  <si>
    <t>01/01/2026</t>
  </si>
  <si>
    <t>TG-AA20657</t>
  </si>
  <si>
    <t>TG-AA20737</t>
  </si>
  <si>
    <t>02/01/2026</t>
  </si>
  <si>
    <t>TG-AA20857</t>
  </si>
  <si>
    <t>TG-AA20912</t>
  </si>
  <si>
    <t>I100114</t>
  </si>
  <si>
    <t>Húng quế</t>
  </si>
  <si>
    <t>03/01/2026</t>
  </si>
  <si>
    <t>TG-AA20964</t>
  </si>
  <si>
    <t>TG-AA21107</t>
  </si>
  <si>
    <t>04/01/2026</t>
  </si>
  <si>
    <t>TG-AA21205</t>
  </si>
  <si>
    <t>05/01/2026</t>
  </si>
  <si>
    <t>TG-AA21313</t>
  </si>
  <si>
    <t>06/01/2026</t>
  </si>
  <si>
    <t>TG-AA21442</t>
  </si>
  <si>
    <t>07/01/2026</t>
  </si>
  <si>
    <t>TG-AA21609</t>
  </si>
  <si>
    <t>08/01/2026</t>
  </si>
  <si>
    <t>TG-AA21950</t>
  </si>
  <si>
    <t>TG-AA21814</t>
  </si>
  <si>
    <t>I100489</t>
  </si>
  <si>
    <t>Lê trái</t>
  </si>
  <si>
    <t>I100199</t>
  </si>
  <si>
    <t>Sả xay</t>
  </si>
  <si>
    <t>09/01/2026</t>
  </si>
  <si>
    <t>TG-AA22113</t>
  </si>
  <si>
    <t>10/01/2026</t>
  </si>
  <si>
    <t>TG-AA22279</t>
  </si>
  <si>
    <t>11/01/2026</t>
  </si>
  <si>
    <t>TG-AA22486</t>
  </si>
  <si>
    <t>12/01/2026</t>
  </si>
  <si>
    <t>TG-AA22564</t>
  </si>
  <si>
    <t>13/01/2026</t>
  </si>
  <si>
    <t>TG-AA22728</t>
  </si>
  <si>
    <t>14/01/2026</t>
  </si>
  <si>
    <t>TG-AA22914</t>
  </si>
  <si>
    <t>15/01/2026</t>
  </si>
  <si>
    <t>TG-AA23106</t>
  </si>
  <si>
    <t>tên</t>
  </si>
  <si>
    <t>sl</t>
  </si>
  <si>
    <t>đơn giá</t>
  </si>
  <si>
    <t>tt</t>
  </si>
  <si>
    <t>lệch sl</t>
  </si>
  <si>
    <t>lệch đg</t>
  </si>
  <si>
    <t>lệch tt</t>
  </si>
  <si>
    <t>note</t>
  </si>
  <si>
    <t>Rau Cần Tàu</t>
  </si>
  <si>
    <t>sai sl</t>
  </si>
  <si>
    <t>Chanh</t>
  </si>
  <si>
    <t>Gừng tàu</t>
  </si>
  <si>
    <t>Đậu phụ ( đậu hủ miếng trắng )</t>
  </si>
  <si>
    <t>Hành bóc</t>
  </si>
  <si>
    <t>Mùi tàu ( Ngò gai )</t>
  </si>
  <si>
    <t>Ớt kim xanh (ớt hiểm xanh)</t>
  </si>
  <si>
    <t>Ớt sừng</t>
  </si>
  <si>
    <t>Tỏi bóc</t>
  </si>
  <si>
    <t>Củ cải trắng</t>
  </si>
  <si>
    <t>Đinh lăng</t>
  </si>
  <si>
    <t>Lá móc mật</t>
  </si>
  <si>
    <t>Mùi ta ( Ngò rí )</t>
  </si>
  <si>
    <t>Lá hương thảo tươi</t>
  </si>
  <si>
    <t>Húng chó (Húng quế)</t>
  </si>
  <si>
    <t>Lá hẹ</t>
  </si>
  <si>
    <t>Lá lốt (có cuống)</t>
  </si>
  <si>
    <t>Hành Paro (Hành Baro)</t>
  </si>
  <si>
    <t>Cải chíp (cải thìa)</t>
  </si>
  <si>
    <t>Quất ( Tắc trái )</t>
  </si>
  <si>
    <t>Lê vàng</t>
  </si>
  <si>
    <t>sai đơn giá</t>
  </si>
  <si>
    <t>ko nhận hàng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</si>
</sst>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1" formatCode="_-* #,##0_-;\-* #,##0_-;_-* &quot;-&quot;_-;_-@_-"/>
    <numFmt numFmtId="164" formatCode="_(* #,##0.00_);_(* \(#,##0.00\);_(* &quot;-&quot;??_);_(@_)"/>
    <numFmt numFmtId="165" formatCode="[$-10409]dd/mm/yyyy"/>
    <numFmt numFmtId="166" formatCode="_(* #,##0.000_);_(* \(#,##0.000\);_(* &quot;-&quot;??_);_(@_)"/>
    <numFmt numFmtId="167" formatCode="0.000"/>
    <numFmt numFmtId="168" formatCode="_(* #,##0_);_(* \(#,##0\);_(* &quot;-&quot;??_);_(@_)"/>
    <numFmt numFmtId="169" formatCode="[$-10409]#,###,###,###.0000;\-#,###,###,###.0000;"/>
    <numFmt numFmtId="170" formatCode="[$-10409]###,###,###,###.00;\-###,###,###,###.00;"/>
    <numFmt numFmtId="171" formatCode="_-* #,##0.00_-;\-* #,##0.00_-;_-* &quot;-&quot;_-;_-@_-"/>
  </numFmts>
  <fonts count="13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b/>
      <sz val="14"/>
      <color rgb="FF000000"/>
      <name val="Segoe UI Light"/>
      <family val="2"/>
    </font>
    <font>
      <b/>
      <sz val="16"/>
      <color rgb="FF000000"/>
      <name val="Segoe UI"/>
      <family val="2"/>
    </font>
    <font>
      <i/>
      <sz val="11"/>
      <color rgb="FF000000"/>
      <name val="Segoe UI"/>
      <family val="2"/>
    </font>
    <font>
      <sz val="12"/>
      <color rgb="FF000000"/>
      <name val="Segoe UI"/>
      <family val="2"/>
    </font>
    <font>
      <sz val="11"/>
      <color rgb="FF000000"/>
      <name val="Segoe UI Light"/>
      <family val="2"/>
    </font>
    <font>
      <sz val="11"/>
      <color rgb="FF000000"/>
      <name val="Calibri"/>
      <family val="2"/>
      <scheme val="minor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sz val="11"/>
      <name val="Arial"/>
      <family val="2"/>
    </font>
    <font>
      <sz val="11"/>
      <color rgb="FFFF0000"/>
      <name val="Arial"/>
      <family val="2"/>
    </font>
    <font>
      <b/>
      <sz val="11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rgb="FFF0E68C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7" fillId="0" borderId="0" applyFont="0" applyFill="0" applyBorder="0" applyAlignment="0" applyProtection="0"/>
    <xf numFmtId="41" fontId="7" fillId="0" borderId="0" applyFont="0" applyFill="0" applyBorder="0" applyAlignment="0" applyProtection="0"/>
  </cellStyleXfs>
  <cellXfs count="37">
    <xf numFmtId="0" fontId="1" fillId="0" borderId="0" xfId="0" applyFont="1"/>
    <xf numFmtId="0" fontId="9" fillId="0" borderId="5" xfId="0" applyFont="1" applyBorder="1" applyAlignment="1">
      <alignment vertical="top" readingOrder="1"/>
    </xf>
    <xf numFmtId="169" fontId="9" fillId="0" borderId="5" xfId="0" applyNumberFormat="1" applyFont="1" applyBorder="1" applyAlignment="1">
      <alignment horizontal="right" vertical="top" readingOrder="1"/>
    </xf>
    <xf numFmtId="170" fontId="9" fillId="0" borderId="5" xfId="0" applyNumberFormat="1" applyFont="1" applyBorder="1" applyAlignment="1">
      <alignment horizontal="right" vertical="top" readingOrder="1"/>
    </xf>
    <xf numFmtId="0" fontId="8" fillId="2" borderId="5" xfId="0" applyFont="1" applyFill="1" applyBorder="1" applyAlignment="1">
      <alignment horizontal="center" vertical="center" readingOrder="1"/>
    </xf>
    <xf numFmtId="166" fontId="8" fillId="2" borderId="5" xfId="1" applyNumberFormat="1" applyFont="1" applyFill="1" applyBorder="1" applyAlignment="1">
      <alignment horizontal="center" vertical="center" readingOrder="1"/>
    </xf>
    <xf numFmtId="165" fontId="9" fillId="0" borderId="5" xfId="0" applyNumberFormat="1" applyFont="1" applyBorder="1" applyAlignment="1">
      <alignment vertical="center" readingOrder="1"/>
    </xf>
    <xf numFmtId="0" fontId="9" fillId="0" borderId="5" xfId="0" applyFont="1" applyBorder="1" applyAlignment="1">
      <alignment vertical="center" readingOrder="1"/>
    </xf>
    <xf numFmtId="167" fontId="9" fillId="0" borderId="5" xfId="0" applyNumberFormat="1" applyFont="1" applyBorder="1" applyAlignment="1">
      <alignment vertical="center" readingOrder="1"/>
    </xf>
    <xf numFmtId="168" fontId="9" fillId="0" borderId="5" xfId="1" applyNumberFormat="1" applyFont="1" applyBorder="1" applyAlignment="1">
      <alignment vertical="center" readingOrder="1"/>
    </xf>
    <xf numFmtId="171" fontId="1" fillId="0" borderId="0" xfId="2" applyNumberFormat="1" applyFont="1"/>
    <xf numFmtId="171" fontId="10" fillId="0" borderId="5" xfId="2" applyNumberFormat="1" applyFont="1" applyBorder="1" applyAlignment="1">
      <alignment horizontal="center" vertical="center"/>
    </xf>
    <xf numFmtId="171" fontId="10" fillId="0" borderId="5" xfId="2" applyNumberFormat="1" applyFont="1" applyFill="1" applyBorder="1" applyAlignment="1">
      <alignment vertical="center"/>
    </xf>
    <xf numFmtId="171" fontId="10" fillId="0" borderId="5" xfId="2" applyNumberFormat="1" applyFont="1" applyBorder="1" applyAlignment="1">
      <alignment vertical="center"/>
    </xf>
    <xf numFmtId="171" fontId="11" fillId="0" borderId="5" xfId="2" applyNumberFormat="1" applyFont="1" applyBorder="1" applyAlignment="1">
      <alignment horizontal="center" vertical="center"/>
    </xf>
    <xf numFmtId="171" fontId="11" fillId="0" borderId="5" xfId="2" applyNumberFormat="1" applyFont="1" applyBorder="1" applyAlignment="1">
      <alignment vertical="center"/>
    </xf>
    <xf numFmtId="171" fontId="10" fillId="0" borderId="5" xfId="2" applyNumberFormat="1" applyFont="1" applyBorder="1" applyAlignment="1"/>
    <xf numFmtId="0" fontId="10" fillId="0" borderId="2" xfId="0" applyFont="1" applyBorder="1" applyAlignment="1">
      <alignment vertical="top"/>
    </xf>
    <xf numFmtId="0" fontId="10" fillId="0" borderId="3" xfId="0" applyFont="1" applyBorder="1" applyAlignment="1">
      <alignment vertical="top"/>
    </xf>
    <xf numFmtId="0" fontId="10" fillId="0" borderId="0" xfId="0" applyFont="1"/>
    <xf numFmtId="171" fontId="10" fillId="0" borderId="0" xfId="2" applyNumberFormat="1" applyFont="1" applyAlignment="1"/>
    <xf numFmtId="0" fontId="9" fillId="0" borderId="4" xfId="0" applyFont="1" applyBorder="1" applyAlignment="1">
      <alignment vertical="center" readingOrder="1"/>
    </xf>
    <xf numFmtId="168" fontId="12" fillId="0" borderId="0" xfId="1" applyNumberFormat="1" applyFont="1" applyAlignment="1"/>
    <xf numFmtId="171" fontId="10" fillId="3" borderId="5" xfId="2" applyNumberFormat="1" applyFont="1" applyFill="1" applyBorder="1" applyAlignment="1"/>
    <xf numFmtId="171" fontId="10" fillId="3" borderId="5" xfId="2" applyNumberFormat="1" applyFont="1" applyFill="1" applyBorder="1" applyAlignment="1">
      <alignment vertical="center"/>
    </xf>
    <xf numFmtId="170" fontId="11" fillId="0" borderId="5" xfId="0" applyNumberFormat="1" applyFont="1" applyBorder="1" applyAlignment="1">
      <alignment horizontal="right" vertical="top" readingOrder="1"/>
    </xf>
    <xf numFmtId="0" fontId="5" fillId="0" borderId="4" xfId="0" applyFont="1" applyBorder="1" applyAlignment="1">
      <alignment vertical="center" wrapText="1" readingOrder="1"/>
    </xf>
    <xf numFmtId="0" fontId="1" fillId="0" borderId="2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1" fillId="0" borderId="1" xfId="0" applyFont="1" applyBorder="1" applyAlignment="1">
      <alignment vertical="top" wrapText="1"/>
    </xf>
    <xf numFmtId="0" fontId="2" fillId="0" borderId="4" xfId="0" applyFont="1" applyBorder="1" applyAlignment="1">
      <alignment vertical="top" wrapText="1" readingOrder="1"/>
    </xf>
    <xf numFmtId="0" fontId="3" fillId="0" borderId="4" xfId="0" applyFont="1" applyBorder="1" applyAlignment="1">
      <alignment horizontal="center" vertical="center" wrapText="1" readingOrder="1"/>
    </xf>
    <xf numFmtId="0" fontId="4" fillId="0" borderId="4" xfId="0" applyFont="1" applyBorder="1" applyAlignment="1">
      <alignment horizontal="right" vertical="top" wrapText="1" readingOrder="1"/>
    </xf>
    <xf numFmtId="171" fontId="10" fillId="0" borderId="5" xfId="2" applyNumberFormat="1" applyFont="1" applyFill="1" applyBorder="1" applyAlignment="1"/>
    <xf numFmtId="0" fontId="9" fillId="0" borderId="5" xfId="0" applyFont="1" applyFill="1" applyBorder="1" applyAlignment="1">
      <alignment vertical="top" readingOrder="1"/>
    </xf>
    <xf numFmtId="169" fontId="9" fillId="0" borderId="5" xfId="0" applyNumberFormat="1" applyFont="1" applyFill="1" applyBorder="1" applyAlignment="1">
      <alignment horizontal="right" vertical="top" readingOrder="1"/>
    </xf>
    <xf numFmtId="170" fontId="9" fillId="0" borderId="5" xfId="0" applyNumberFormat="1" applyFont="1" applyFill="1" applyBorder="1" applyAlignment="1">
      <alignment horizontal="right" vertical="top" readingOrder="1"/>
    </xf>
  </cellXfs>
  <cellStyles count="3">
    <cellStyle name="Comma" xfId="1" builtinId="3"/>
    <cellStyle name="Comma [0]" xfId="2" builtinId="6"/>
    <cellStyle name="Normal" xfId="0" builtinId="0"/>
  </cellStyles>
  <dxfs count="1">
    <dxf>
      <fill>
        <patternFill patternType="solid">
          <fgColor rgb="FFFFFF00"/>
          <bgColor rgb="FF0000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0E68C"/>
      <rgbColor rgb="0040E0D0"/>
      <rgbColor rgb="00FF00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8915</xdr:colOff>
      <xdr:row>1</xdr:row>
      <xdr:rowOff>9067</xdr:rowOff>
    </xdr:from>
    <xdr:to>
      <xdr:col>2</xdr:col>
      <xdr:colOff>913485</xdr:colOff>
      <xdr:row>1</xdr:row>
      <xdr:rowOff>1076459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48"/>
  <sheetViews>
    <sheetView showGridLines="0" tabSelected="1" topLeftCell="C37" workbookViewId="0">
      <selection activeCell="P20" sqref="P20"/>
    </sheetView>
  </sheetViews>
  <sheetFormatPr defaultRowHeight="15" x14ac:dyDescent="0.25"/>
  <cols>
    <col min="1" max="1" width="17.42578125" customWidth="1"/>
    <col min="2" max="2" width="20.5703125" customWidth="1"/>
    <col min="3" max="3" width="22.42578125" customWidth="1"/>
    <col min="4" max="4" width="16.28515625" customWidth="1"/>
    <col min="5" max="5" width="12" customWidth="1"/>
    <col min="6" max="6" width="20.85546875" customWidth="1"/>
    <col min="7" max="7" width="11" customWidth="1"/>
    <col min="8" max="8" width="12.28515625" customWidth="1"/>
    <col min="9" max="9" width="18.28515625" customWidth="1"/>
    <col min="10" max="10" width="14.7109375" customWidth="1"/>
    <col min="11" max="11" width="25.85546875" hidden="1" customWidth="1"/>
    <col min="12" max="12" width="30.5703125" bestFit="1" customWidth="1"/>
    <col min="13" max="13" width="15.7109375" style="10" customWidth="1"/>
    <col min="14" max="14" width="14" style="10" bestFit="1" customWidth="1"/>
    <col min="15" max="15" width="16.42578125" style="10" customWidth="1"/>
    <col min="16" max="16" width="10.42578125" style="10" bestFit="1" customWidth="1"/>
    <col min="17" max="17" width="12.85546875" style="10" bestFit="1" customWidth="1"/>
    <col min="18" max="18" width="14.7109375" style="10" bestFit="1" customWidth="1"/>
  </cols>
  <sheetData>
    <row r="1" spans="1:19" ht="9.6" customHeight="1" x14ac:dyDescent="0.25"/>
    <row r="2" spans="1:19" ht="102.95" customHeight="1" x14ac:dyDescent="0.25">
      <c r="A2" s="29"/>
      <c r="B2" s="27"/>
      <c r="C2" s="28"/>
      <c r="D2" s="30" t="s">
        <v>0</v>
      </c>
      <c r="E2" s="27"/>
      <c r="F2" s="27"/>
      <c r="G2" s="27"/>
      <c r="H2" s="27"/>
      <c r="I2" s="27"/>
      <c r="J2" s="27"/>
      <c r="K2" s="28"/>
    </row>
    <row r="3" spans="1:19" ht="1.1499999999999999" customHeight="1" x14ac:dyDescent="0.25"/>
    <row r="4" spans="1:19" ht="24.75" customHeight="1" x14ac:dyDescent="0.25">
      <c r="A4" s="31" t="s">
        <v>1</v>
      </c>
      <c r="B4" s="27"/>
      <c r="C4" s="27"/>
      <c r="D4" s="27"/>
      <c r="E4" s="27"/>
      <c r="F4" s="27"/>
      <c r="G4" s="27"/>
      <c r="H4" s="27"/>
      <c r="I4" s="27"/>
      <c r="J4" s="27"/>
      <c r="K4" s="28"/>
    </row>
    <row r="5" spans="1:19" ht="2.1" customHeight="1" x14ac:dyDescent="0.25"/>
    <row r="6" spans="1:19" ht="22.5" customHeight="1" x14ac:dyDescent="0.25">
      <c r="A6" s="32" t="s">
        <v>77</v>
      </c>
      <c r="B6" s="27"/>
      <c r="C6" s="27"/>
      <c r="D6" s="27"/>
      <c r="E6" s="27"/>
      <c r="F6" s="27"/>
      <c r="G6" s="27"/>
      <c r="H6" s="27"/>
      <c r="I6" s="27"/>
      <c r="J6" s="27"/>
      <c r="K6" s="28"/>
    </row>
    <row r="7" spans="1:19" ht="3" customHeight="1" x14ac:dyDescent="0.25"/>
    <row r="8" spans="1:19" ht="24.95" customHeight="1" x14ac:dyDescent="0.25">
      <c r="A8" s="26" t="s">
        <v>2</v>
      </c>
      <c r="B8" s="27"/>
      <c r="C8" s="27"/>
      <c r="D8" s="27"/>
      <c r="E8" s="27"/>
      <c r="F8" s="27"/>
      <c r="G8" s="27"/>
      <c r="H8" s="27"/>
      <c r="I8" s="27"/>
      <c r="J8" s="27"/>
      <c r="K8" s="28"/>
    </row>
    <row r="9" spans="1:19" ht="4.1500000000000004" customHeight="1" x14ac:dyDescent="0.25"/>
    <row r="10" spans="1:19" ht="23.25" customHeight="1" x14ac:dyDescent="0.25">
      <c r="A10" s="26" t="s">
        <v>3</v>
      </c>
      <c r="B10" s="27"/>
      <c r="C10" s="27"/>
      <c r="D10" s="27"/>
      <c r="E10" s="27"/>
      <c r="F10" s="27"/>
      <c r="G10" s="27"/>
      <c r="H10" s="27"/>
      <c r="I10" s="27"/>
      <c r="J10" s="27"/>
      <c r="K10" s="28"/>
    </row>
    <row r="11" spans="1:19" ht="3.95" customHeight="1" x14ac:dyDescent="0.25"/>
    <row r="12" spans="1:19" ht="23.85" customHeight="1" x14ac:dyDescent="0.25">
      <c r="A12" s="21" t="s">
        <v>4</v>
      </c>
      <c r="B12" s="17"/>
      <c r="C12" s="17"/>
      <c r="D12" s="17"/>
      <c r="E12" s="17"/>
      <c r="F12" s="17"/>
      <c r="G12" s="17"/>
      <c r="H12" s="17"/>
      <c r="I12" s="17"/>
      <c r="J12" s="17"/>
      <c r="K12" s="18"/>
      <c r="L12" s="19"/>
      <c r="M12" s="20"/>
      <c r="N12" s="20"/>
      <c r="O12" s="20"/>
      <c r="P12" s="20"/>
      <c r="Q12" s="20"/>
      <c r="R12" s="20"/>
      <c r="S12" s="19"/>
    </row>
    <row r="13" spans="1:19" ht="21.75" customHeight="1" x14ac:dyDescent="0.25">
      <c r="A13" s="19"/>
      <c r="B13" s="19"/>
      <c r="C13" s="19"/>
      <c r="D13" s="19"/>
      <c r="E13" s="19"/>
      <c r="F13" s="19"/>
      <c r="G13" s="19"/>
      <c r="H13" s="19"/>
      <c r="I13" s="19"/>
      <c r="J13" s="22">
        <f>SUBTOTAL(9,J15:J148)</f>
        <v>129019700</v>
      </c>
      <c r="K13" s="19"/>
      <c r="L13" s="19"/>
      <c r="M13" s="20"/>
      <c r="N13" s="20"/>
      <c r="O13" s="20"/>
      <c r="P13" s="20"/>
      <c r="Q13" s="20"/>
      <c r="R13" s="20"/>
      <c r="S13" s="19"/>
    </row>
    <row r="14" spans="1:19" x14ac:dyDescent="0.25">
      <c r="A14" s="4" t="s">
        <v>6</v>
      </c>
      <c r="B14" s="4" t="s">
        <v>51</v>
      </c>
      <c r="C14" s="4" t="s">
        <v>52</v>
      </c>
      <c r="D14" s="4" t="s">
        <v>5</v>
      </c>
      <c r="E14" s="4" t="s">
        <v>7</v>
      </c>
      <c r="F14" s="4" t="s">
        <v>8</v>
      </c>
      <c r="G14" s="4" t="s">
        <v>9</v>
      </c>
      <c r="H14" s="5" t="s">
        <v>53</v>
      </c>
      <c r="I14" s="4" t="s">
        <v>10</v>
      </c>
      <c r="J14" s="4" t="s">
        <v>11</v>
      </c>
      <c r="K14" s="4" t="s">
        <v>12</v>
      </c>
      <c r="L14" s="11" t="s">
        <v>118</v>
      </c>
      <c r="M14" s="11" t="s">
        <v>119</v>
      </c>
      <c r="N14" s="11" t="s">
        <v>120</v>
      </c>
      <c r="O14" s="11" t="s">
        <v>121</v>
      </c>
      <c r="P14" s="11" t="s">
        <v>122</v>
      </c>
      <c r="Q14" s="11" t="s">
        <v>123</v>
      </c>
      <c r="R14" s="11" t="s">
        <v>124</v>
      </c>
      <c r="S14" s="14" t="s">
        <v>125</v>
      </c>
    </row>
    <row r="15" spans="1:19" x14ac:dyDescent="0.25">
      <c r="A15" s="6" t="s">
        <v>78</v>
      </c>
      <c r="B15" s="7" t="s">
        <v>54</v>
      </c>
      <c r="C15" s="6" t="s">
        <v>13</v>
      </c>
      <c r="D15" s="7" t="s">
        <v>79</v>
      </c>
      <c r="E15" s="6" t="s">
        <v>35</v>
      </c>
      <c r="F15" s="6" t="s">
        <v>36</v>
      </c>
      <c r="G15" s="6" t="s">
        <v>20</v>
      </c>
      <c r="H15" s="8">
        <v>9.5</v>
      </c>
      <c r="I15" s="9">
        <v>38000</v>
      </c>
      <c r="J15" s="9">
        <f>H15*I15</f>
        <v>361000</v>
      </c>
      <c r="K15" s="1" t="s">
        <v>17</v>
      </c>
      <c r="L15" s="1" t="s">
        <v>129</v>
      </c>
      <c r="M15" s="2">
        <v>9.5</v>
      </c>
      <c r="N15" s="3">
        <v>38000</v>
      </c>
      <c r="O15" s="12">
        <f>M15*N15</f>
        <v>361000</v>
      </c>
      <c r="P15" s="13">
        <f t="shared" ref="P15:R16" si="0">H15-M15</f>
        <v>0</v>
      </c>
      <c r="Q15" s="13">
        <f t="shared" si="0"/>
        <v>0</v>
      </c>
      <c r="R15" s="13">
        <f t="shared" si="0"/>
        <v>0</v>
      </c>
      <c r="S15" s="15"/>
    </row>
    <row r="16" spans="1:19" x14ac:dyDescent="0.25">
      <c r="A16" s="6" t="s">
        <v>78</v>
      </c>
      <c r="B16" s="7" t="s">
        <v>54</v>
      </c>
      <c r="C16" s="6" t="s">
        <v>13</v>
      </c>
      <c r="D16" s="7" t="s">
        <v>79</v>
      </c>
      <c r="E16" s="6" t="s">
        <v>14</v>
      </c>
      <c r="F16" s="6" t="s">
        <v>15</v>
      </c>
      <c r="G16" s="6" t="s">
        <v>16</v>
      </c>
      <c r="H16" s="8">
        <v>1</v>
      </c>
      <c r="I16" s="9">
        <v>4000</v>
      </c>
      <c r="J16" s="9">
        <f t="shared" ref="J16:J79" si="1">H16*I16</f>
        <v>4000</v>
      </c>
      <c r="K16" s="1" t="s">
        <v>17</v>
      </c>
      <c r="L16" s="1" t="s">
        <v>130</v>
      </c>
      <c r="M16" s="2">
        <v>1000</v>
      </c>
      <c r="N16" s="3">
        <v>4000</v>
      </c>
      <c r="O16" s="12">
        <f>M16*N16</f>
        <v>4000000</v>
      </c>
      <c r="P16" s="13">
        <f t="shared" si="0"/>
        <v>-999</v>
      </c>
      <c r="Q16" s="13">
        <f t="shared" si="0"/>
        <v>0</v>
      </c>
      <c r="R16" s="13">
        <f t="shared" si="0"/>
        <v>-3996000</v>
      </c>
      <c r="S16" s="16" t="s">
        <v>127</v>
      </c>
    </row>
    <row r="17" spans="1:19" ht="15" customHeight="1" x14ac:dyDescent="0.25">
      <c r="A17" s="6" t="s">
        <v>78</v>
      </c>
      <c r="B17" s="7" t="s">
        <v>54</v>
      </c>
      <c r="C17" s="6" t="s">
        <v>13</v>
      </c>
      <c r="D17" s="7" t="s">
        <v>79</v>
      </c>
      <c r="E17" s="6" t="s">
        <v>18</v>
      </c>
      <c r="F17" s="6" t="s">
        <v>19</v>
      </c>
      <c r="G17" s="6" t="s">
        <v>20</v>
      </c>
      <c r="H17" s="8">
        <v>18</v>
      </c>
      <c r="I17" s="9">
        <v>80000</v>
      </c>
      <c r="J17" s="9">
        <f t="shared" si="1"/>
        <v>1440000</v>
      </c>
      <c r="K17" s="1" t="s">
        <v>17</v>
      </c>
      <c r="L17" s="1" t="s">
        <v>131</v>
      </c>
      <c r="M17" s="2">
        <v>18</v>
      </c>
      <c r="N17" s="3">
        <v>80000</v>
      </c>
      <c r="O17" s="12">
        <f t="shared" ref="O17:O80" si="2">M17*N17</f>
        <v>1440000</v>
      </c>
      <c r="P17" s="13">
        <f t="shared" ref="P17:P80" si="3">H17-M17</f>
        <v>0</v>
      </c>
      <c r="Q17" s="13">
        <f t="shared" ref="Q17:Q80" si="4">I17-N17</f>
        <v>0</v>
      </c>
      <c r="R17" s="13">
        <f t="shared" ref="R17:R80" si="5">J17-O17</f>
        <v>0</v>
      </c>
      <c r="S17" s="16"/>
    </row>
    <row r="18" spans="1:19" ht="15" customHeight="1" x14ac:dyDescent="0.25">
      <c r="A18" s="6" t="s">
        <v>78</v>
      </c>
      <c r="B18" s="7" t="s">
        <v>54</v>
      </c>
      <c r="C18" s="6" t="s">
        <v>13</v>
      </c>
      <c r="D18" s="7" t="s">
        <v>79</v>
      </c>
      <c r="E18" s="6" t="s">
        <v>23</v>
      </c>
      <c r="F18" s="6" t="s">
        <v>24</v>
      </c>
      <c r="G18" s="6" t="s">
        <v>20</v>
      </c>
      <c r="H18" s="8">
        <v>0.8</v>
      </c>
      <c r="I18" s="9">
        <v>42000</v>
      </c>
      <c r="J18" s="9">
        <f t="shared" si="1"/>
        <v>33600</v>
      </c>
      <c r="K18" s="1" t="s">
        <v>17</v>
      </c>
      <c r="L18" s="1" t="s">
        <v>24</v>
      </c>
      <c r="M18" s="2">
        <v>0.8</v>
      </c>
      <c r="N18" s="3">
        <v>42000</v>
      </c>
      <c r="O18" s="12">
        <f t="shared" si="2"/>
        <v>33600</v>
      </c>
      <c r="P18" s="13">
        <f t="shared" si="3"/>
        <v>0</v>
      </c>
      <c r="Q18" s="13">
        <f t="shared" si="4"/>
        <v>0</v>
      </c>
      <c r="R18" s="13">
        <f t="shared" si="5"/>
        <v>0</v>
      </c>
      <c r="S18" s="16"/>
    </row>
    <row r="19" spans="1:19" ht="15" customHeight="1" x14ac:dyDescent="0.25">
      <c r="A19" s="6" t="s">
        <v>78</v>
      </c>
      <c r="B19" s="7" t="s">
        <v>54</v>
      </c>
      <c r="C19" s="6" t="s">
        <v>13</v>
      </c>
      <c r="D19" s="7" t="s">
        <v>79</v>
      </c>
      <c r="E19" s="6" t="s">
        <v>25</v>
      </c>
      <c r="F19" s="6" t="s">
        <v>26</v>
      </c>
      <c r="G19" s="6" t="s">
        <v>20</v>
      </c>
      <c r="H19" s="8">
        <v>2</v>
      </c>
      <c r="I19" s="9">
        <v>33000</v>
      </c>
      <c r="J19" s="9">
        <f t="shared" si="1"/>
        <v>66000</v>
      </c>
      <c r="K19" s="1" t="s">
        <v>17</v>
      </c>
      <c r="L19" s="1" t="s">
        <v>132</v>
      </c>
      <c r="M19" s="2">
        <v>2</v>
      </c>
      <c r="N19" s="3">
        <v>33000</v>
      </c>
      <c r="O19" s="12">
        <f t="shared" si="2"/>
        <v>66000</v>
      </c>
      <c r="P19" s="13">
        <f t="shared" si="3"/>
        <v>0</v>
      </c>
      <c r="Q19" s="13">
        <f t="shared" si="4"/>
        <v>0</v>
      </c>
      <c r="R19" s="13">
        <f t="shared" si="5"/>
        <v>0</v>
      </c>
      <c r="S19" s="16"/>
    </row>
    <row r="20" spans="1:19" ht="15" customHeight="1" x14ac:dyDescent="0.25">
      <c r="A20" s="6" t="s">
        <v>78</v>
      </c>
      <c r="B20" s="7" t="s">
        <v>54</v>
      </c>
      <c r="C20" s="6" t="s">
        <v>13</v>
      </c>
      <c r="D20" s="7" t="s">
        <v>79</v>
      </c>
      <c r="E20" s="6" t="s">
        <v>27</v>
      </c>
      <c r="F20" s="6" t="s">
        <v>28</v>
      </c>
      <c r="G20" s="6" t="s">
        <v>20</v>
      </c>
      <c r="H20" s="8">
        <v>9.5</v>
      </c>
      <c r="I20" s="9">
        <v>185000</v>
      </c>
      <c r="J20" s="9">
        <f t="shared" si="1"/>
        <v>1757500</v>
      </c>
      <c r="K20" s="1" t="s">
        <v>17</v>
      </c>
      <c r="L20" s="1" t="s">
        <v>133</v>
      </c>
      <c r="M20" s="2">
        <v>9.5</v>
      </c>
      <c r="N20" s="3">
        <v>185000</v>
      </c>
      <c r="O20" s="12">
        <f t="shared" si="2"/>
        <v>1757500</v>
      </c>
      <c r="P20" s="13">
        <f t="shared" si="3"/>
        <v>0</v>
      </c>
      <c r="Q20" s="13">
        <f t="shared" si="4"/>
        <v>0</v>
      </c>
      <c r="R20" s="13">
        <f t="shared" si="5"/>
        <v>0</v>
      </c>
      <c r="S20" s="16"/>
    </row>
    <row r="21" spans="1:19" ht="15" customHeight="1" x14ac:dyDescent="0.25">
      <c r="A21" s="6" t="s">
        <v>78</v>
      </c>
      <c r="B21" s="7" t="s">
        <v>54</v>
      </c>
      <c r="C21" s="6" t="s">
        <v>13</v>
      </c>
      <c r="D21" s="7" t="s">
        <v>79</v>
      </c>
      <c r="E21" s="6" t="s">
        <v>29</v>
      </c>
      <c r="F21" s="6" t="s">
        <v>30</v>
      </c>
      <c r="G21" s="6" t="s">
        <v>20</v>
      </c>
      <c r="H21" s="8">
        <v>20</v>
      </c>
      <c r="I21" s="9">
        <v>148000</v>
      </c>
      <c r="J21" s="9">
        <f t="shared" si="1"/>
        <v>2960000</v>
      </c>
      <c r="K21" s="1" t="s">
        <v>17</v>
      </c>
      <c r="L21" s="1" t="s">
        <v>134</v>
      </c>
      <c r="M21" s="2">
        <v>20</v>
      </c>
      <c r="N21" s="3">
        <v>148000</v>
      </c>
      <c r="O21" s="12">
        <f t="shared" si="2"/>
        <v>2960000</v>
      </c>
      <c r="P21" s="13">
        <f t="shared" si="3"/>
        <v>0</v>
      </c>
      <c r="Q21" s="13">
        <f t="shared" si="4"/>
        <v>0</v>
      </c>
      <c r="R21" s="13">
        <f t="shared" si="5"/>
        <v>0</v>
      </c>
      <c r="S21" s="16"/>
    </row>
    <row r="22" spans="1:19" ht="15" customHeight="1" x14ac:dyDescent="0.25">
      <c r="A22" s="6" t="s">
        <v>78</v>
      </c>
      <c r="B22" s="7" t="s">
        <v>54</v>
      </c>
      <c r="C22" s="6" t="s">
        <v>13</v>
      </c>
      <c r="D22" s="7" t="s">
        <v>79</v>
      </c>
      <c r="E22" s="6" t="s">
        <v>21</v>
      </c>
      <c r="F22" s="6" t="s">
        <v>22</v>
      </c>
      <c r="G22" s="6" t="s">
        <v>20</v>
      </c>
      <c r="H22" s="8">
        <v>50</v>
      </c>
      <c r="I22" s="9">
        <v>50000</v>
      </c>
      <c r="J22" s="9">
        <f t="shared" si="1"/>
        <v>2500000</v>
      </c>
      <c r="K22" s="1" t="s">
        <v>17</v>
      </c>
      <c r="L22" s="1" t="s">
        <v>135</v>
      </c>
      <c r="M22" s="2">
        <v>50</v>
      </c>
      <c r="N22" s="3">
        <v>50000</v>
      </c>
      <c r="O22" s="12">
        <f t="shared" si="2"/>
        <v>2500000</v>
      </c>
      <c r="P22" s="13">
        <f t="shared" si="3"/>
        <v>0</v>
      </c>
      <c r="Q22" s="13">
        <f t="shared" si="4"/>
        <v>0</v>
      </c>
      <c r="R22" s="13">
        <f t="shared" si="5"/>
        <v>0</v>
      </c>
      <c r="S22" s="16"/>
    </row>
    <row r="23" spans="1:19" ht="15" customHeight="1" x14ac:dyDescent="0.25">
      <c r="A23" s="6" t="s">
        <v>78</v>
      </c>
      <c r="B23" s="7" t="s">
        <v>54</v>
      </c>
      <c r="C23" s="6" t="s">
        <v>13</v>
      </c>
      <c r="D23" s="7" t="s">
        <v>80</v>
      </c>
      <c r="E23" s="6" t="s">
        <v>59</v>
      </c>
      <c r="F23" s="6" t="s">
        <v>60</v>
      </c>
      <c r="G23" s="6" t="s">
        <v>20</v>
      </c>
      <c r="H23" s="8">
        <v>2</v>
      </c>
      <c r="I23" s="9">
        <v>13000</v>
      </c>
      <c r="J23" s="9">
        <f t="shared" si="1"/>
        <v>26000</v>
      </c>
      <c r="K23" s="1" t="s">
        <v>17</v>
      </c>
      <c r="L23" s="1" t="s">
        <v>60</v>
      </c>
      <c r="M23" s="2">
        <v>2</v>
      </c>
      <c r="N23" s="3">
        <v>13000</v>
      </c>
      <c r="O23" s="12">
        <f t="shared" si="2"/>
        <v>26000</v>
      </c>
      <c r="P23" s="13">
        <f t="shared" si="3"/>
        <v>0</v>
      </c>
      <c r="Q23" s="13">
        <f t="shared" si="4"/>
        <v>0</v>
      </c>
      <c r="R23" s="13">
        <f t="shared" si="5"/>
        <v>0</v>
      </c>
      <c r="S23" s="16"/>
    </row>
    <row r="24" spans="1:19" ht="15" customHeight="1" x14ac:dyDescent="0.25">
      <c r="A24" s="6" t="s">
        <v>81</v>
      </c>
      <c r="B24" s="7" t="s">
        <v>54</v>
      </c>
      <c r="C24" s="6" t="s">
        <v>13</v>
      </c>
      <c r="D24" s="7" t="s">
        <v>82</v>
      </c>
      <c r="E24" s="6" t="s">
        <v>47</v>
      </c>
      <c r="F24" s="6" t="s">
        <v>48</v>
      </c>
      <c r="G24" s="6" t="s">
        <v>20</v>
      </c>
      <c r="H24" s="8">
        <v>3</v>
      </c>
      <c r="I24" s="9">
        <v>18000</v>
      </c>
      <c r="J24" s="9">
        <f t="shared" si="1"/>
        <v>54000</v>
      </c>
      <c r="K24" s="1" t="s">
        <v>17</v>
      </c>
      <c r="L24" s="1" t="s">
        <v>48</v>
      </c>
      <c r="M24" s="2">
        <v>3</v>
      </c>
      <c r="N24" s="3">
        <v>18000</v>
      </c>
      <c r="O24" s="12">
        <f t="shared" si="2"/>
        <v>54000</v>
      </c>
      <c r="P24" s="13">
        <f t="shared" si="3"/>
        <v>0</v>
      </c>
      <c r="Q24" s="13">
        <f t="shared" si="4"/>
        <v>0</v>
      </c>
      <c r="R24" s="13">
        <f t="shared" si="5"/>
        <v>0</v>
      </c>
      <c r="S24" s="16"/>
    </row>
    <row r="25" spans="1:19" ht="15" customHeight="1" x14ac:dyDescent="0.25">
      <c r="A25" s="6" t="s">
        <v>81</v>
      </c>
      <c r="B25" s="7" t="s">
        <v>54</v>
      </c>
      <c r="C25" s="6" t="s">
        <v>13</v>
      </c>
      <c r="D25" s="7" t="s">
        <v>82</v>
      </c>
      <c r="E25" s="6" t="s">
        <v>33</v>
      </c>
      <c r="F25" s="6" t="s">
        <v>34</v>
      </c>
      <c r="G25" s="6" t="s">
        <v>20</v>
      </c>
      <c r="H25" s="8">
        <v>4</v>
      </c>
      <c r="I25" s="9">
        <v>38000</v>
      </c>
      <c r="J25" s="9">
        <f t="shared" si="1"/>
        <v>152000</v>
      </c>
      <c r="K25" s="1" t="s">
        <v>17</v>
      </c>
      <c r="L25" s="1" t="s">
        <v>126</v>
      </c>
      <c r="M25" s="2">
        <v>4</v>
      </c>
      <c r="N25" s="3">
        <v>38000</v>
      </c>
      <c r="O25" s="12">
        <f t="shared" si="2"/>
        <v>152000</v>
      </c>
      <c r="P25" s="13">
        <f t="shared" si="3"/>
        <v>0</v>
      </c>
      <c r="Q25" s="13">
        <f t="shared" si="4"/>
        <v>0</v>
      </c>
      <c r="R25" s="13">
        <f t="shared" si="5"/>
        <v>0</v>
      </c>
      <c r="S25" s="16"/>
    </row>
    <row r="26" spans="1:19" ht="15" customHeight="1" x14ac:dyDescent="0.25">
      <c r="A26" s="6" t="s">
        <v>81</v>
      </c>
      <c r="B26" s="7" t="s">
        <v>54</v>
      </c>
      <c r="C26" s="6" t="s">
        <v>13</v>
      </c>
      <c r="D26" s="7" t="s">
        <v>82</v>
      </c>
      <c r="E26" s="6" t="s">
        <v>49</v>
      </c>
      <c r="F26" s="6" t="s">
        <v>50</v>
      </c>
      <c r="G26" s="6" t="s">
        <v>20</v>
      </c>
      <c r="H26" s="8">
        <v>3</v>
      </c>
      <c r="I26" s="9">
        <v>13000</v>
      </c>
      <c r="J26" s="9">
        <f t="shared" si="1"/>
        <v>39000</v>
      </c>
      <c r="K26" s="1" t="s">
        <v>17</v>
      </c>
      <c r="L26" s="1" t="s">
        <v>136</v>
      </c>
      <c r="M26" s="2">
        <v>3</v>
      </c>
      <c r="N26" s="3">
        <v>13000</v>
      </c>
      <c r="O26" s="12">
        <f t="shared" si="2"/>
        <v>39000</v>
      </c>
      <c r="P26" s="13">
        <f t="shared" si="3"/>
        <v>0</v>
      </c>
      <c r="Q26" s="13">
        <f t="shared" si="4"/>
        <v>0</v>
      </c>
      <c r="R26" s="13">
        <f t="shared" si="5"/>
        <v>0</v>
      </c>
      <c r="S26" s="16"/>
    </row>
    <row r="27" spans="1:19" ht="15" customHeight="1" x14ac:dyDescent="0.25">
      <c r="A27" s="6" t="s">
        <v>81</v>
      </c>
      <c r="B27" s="7" t="s">
        <v>54</v>
      </c>
      <c r="C27" s="6" t="s">
        <v>13</v>
      </c>
      <c r="D27" s="7" t="s">
        <v>82</v>
      </c>
      <c r="E27" s="6" t="s">
        <v>37</v>
      </c>
      <c r="F27" s="6" t="s">
        <v>38</v>
      </c>
      <c r="G27" s="6" t="s">
        <v>20</v>
      </c>
      <c r="H27" s="8">
        <v>11.8</v>
      </c>
      <c r="I27" s="9">
        <v>47000</v>
      </c>
      <c r="J27" s="9">
        <f t="shared" si="1"/>
        <v>554600</v>
      </c>
      <c r="K27" s="1" t="s">
        <v>17</v>
      </c>
      <c r="L27" s="1" t="s">
        <v>38</v>
      </c>
      <c r="M27" s="2">
        <v>11.8</v>
      </c>
      <c r="N27" s="3">
        <v>47000</v>
      </c>
      <c r="O27" s="12">
        <f t="shared" si="2"/>
        <v>554600</v>
      </c>
      <c r="P27" s="13">
        <f t="shared" si="3"/>
        <v>0</v>
      </c>
      <c r="Q27" s="13">
        <f t="shared" si="4"/>
        <v>0</v>
      </c>
      <c r="R27" s="13">
        <f t="shared" si="5"/>
        <v>0</v>
      </c>
      <c r="S27" s="16"/>
    </row>
    <row r="28" spans="1:19" ht="15" customHeight="1" x14ac:dyDescent="0.25">
      <c r="A28" s="6" t="s">
        <v>81</v>
      </c>
      <c r="B28" s="7" t="s">
        <v>54</v>
      </c>
      <c r="C28" s="6" t="s">
        <v>13</v>
      </c>
      <c r="D28" s="7" t="s">
        <v>82</v>
      </c>
      <c r="E28" s="6" t="s">
        <v>14</v>
      </c>
      <c r="F28" s="6" t="s">
        <v>15</v>
      </c>
      <c r="G28" s="6" t="s">
        <v>16</v>
      </c>
      <c r="H28" s="8">
        <v>1</v>
      </c>
      <c r="I28" s="9">
        <v>4000</v>
      </c>
      <c r="J28" s="9">
        <f t="shared" si="1"/>
        <v>4000</v>
      </c>
      <c r="K28" s="1" t="s">
        <v>17</v>
      </c>
      <c r="L28" s="1" t="s">
        <v>130</v>
      </c>
      <c r="M28" s="2">
        <v>1000</v>
      </c>
      <c r="N28" s="3">
        <v>4000</v>
      </c>
      <c r="O28" s="12">
        <f t="shared" si="2"/>
        <v>4000000</v>
      </c>
      <c r="P28" s="13">
        <f t="shared" si="3"/>
        <v>-999</v>
      </c>
      <c r="Q28" s="13">
        <f t="shared" si="4"/>
        <v>0</v>
      </c>
      <c r="R28" s="13">
        <f t="shared" si="5"/>
        <v>-3996000</v>
      </c>
      <c r="S28" s="16" t="s">
        <v>127</v>
      </c>
    </row>
    <row r="29" spans="1:19" ht="15" customHeight="1" x14ac:dyDescent="0.25">
      <c r="A29" s="6" t="s">
        <v>81</v>
      </c>
      <c r="B29" s="7" t="s">
        <v>54</v>
      </c>
      <c r="C29" s="6" t="s">
        <v>13</v>
      </c>
      <c r="D29" s="7" t="s">
        <v>82</v>
      </c>
      <c r="E29" s="6" t="s">
        <v>39</v>
      </c>
      <c r="F29" s="6" t="s">
        <v>40</v>
      </c>
      <c r="G29" s="6" t="s">
        <v>20</v>
      </c>
      <c r="H29" s="8">
        <v>1.3</v>
      </c>
      <c r="I29" s="9">
        <v>60000</v>
      </c>
      <c r="J29" s="9">
        <f t="shared" si="1"/>
        <v>78000</v>
      </c>
      <c r="K29" s="1" t="s">
        <v>17</v>
      </c>
      <c r="L29" s="1" t="s">
        <v>137</v>
      </c>
      <c r="M29" s="2">
        <v>1</v>
      </c>
      <c r="N29" s="3">
        <v>60000</v>
      </c>
      <c r="O29" s="12">
        <f t="shared" si="2"/>
        <v>60000</v>
      </c>
      <c r="P29" s="13">
        <f t="shared" si="3"/>
        <v>0.30000000000000004</v>
      </c>
      <c r="Q29" s="13">
        <f t="shared" si="4"/>
        <v>0</v>
      </c>
      <c r="R29" s="13">
        <f t="shared" si="5"/>
        <v>18000</v>
      </c>
      <c r="S29" s="16" t="s">
        <v>127</v>
      </c>
    </row>
    <row r="30" spans="1:19" ht="15" customHeight="1" x14ac:dyDescent="0.25">
      <c r="A30" s="6" t="s">
        <v>81</v>
      </c>
      <c r="B30" s="7" t="s">
        <v>54</v>
      </c>
      <c r="C30" s="6" t="s">
        <v>13</v>
      </c>
      <c r="D30" s="7" t="s">
        <v>82</v>
      </c>
      <c r="E30" s="6" t="s">
        <v>41</v>
      </c>
      <c r="F30" s="6" t="s">
        <v>42</v>
      </c>
      <c r="G30" s="6" t="s">
        <v>20</v>
      </c>
      <c r="H30" s="8">
        <v>1</v>
      </c>
      <c r="I30" s="9">
        <v>55000</v>
      </c>
      <c r="J30" s="9">
        <f t="shared" si="1"/>
        <v>55000</v>
      </c>
      <c r="K30" s="1" t="s">
        <v>17</v>
      </c>
      <c r="L30" s="1" t="s">
        <v>42</v>
      </c>
      <c r="M30" s="2">
        <v>1</v>
      </c>
      <c r="N30" s="3">
        <v>55000</v>
      </c>
      <c r="O30" s="12">
        <f t="shared" si="2"/>
        <v>55000</v>
      </c>
      <c r="P30" s="13">
        <f t="shared" si="3"/>
        <v>0</v>
      </c>
      <c r="Q30" s="13">
        <f t="shared" si="4"/>
        <v>0</v>
      </c>
      <c r="R30" s="13">
        <f t="shared" si="5"/>
        <v>0</v>
      </c>
      <c r="S30" s="16"/>
    </row>
    <row r="31" spans="1:19" ht="15" customHeight="1" x14ac:dyDescent="0.25">
      <c r="A31" s="6" t="s">
        <v>81</v>
      </c>
      <c r="B31" s="7" t="s">
        <v>54</v>
      </c>
      <c r="C31" s="6" t="s">
        <v>13</v>
      </c>
      <c r="D31" s="7" t="s">
        <v>82</v>
      </c>
      <c r="E31" s="6" t="s">
        <v>18</v>
      </c>
      <c r="F31" s="6" t="s">
        <v>19</v>
      </c>
      <c r="G31" s="6" t="s">
        <v>20</v>
      </c>
      <c r="H31" s="8">
        <v>19.8</v>
      </c>
      <c r="I31" s="9">
        <v>80000</v>
      </c>
      <c r="J31" s="9">
        <f t="shared" si="1"/>
        <v>1584000</v>
      </c>
      <c r="K31" s="1" t="s">
        <v>17</v>
      </c>
      <c r="L31" s="1" t="s">
        <v>131</v>
      </c>
      <c r="M31" s="2">
        <v>19.8</v>
      </c>
      <c r="N31" s="3">
        <v>80000</v>
      </c>
      <c r="O31" s="12">
        <f t="shared" si="2"/>
        <v>1584000</v>
      </c>
      <c r="P31" s="13">
        <f t="shared" si="3"/>
        <v>0</v>
      </c>
      <c r="Q31" s="13">
        <f t="shared" si="4"/>
        <v>0</v>
      </c>
      <c r="R31" s="13">
        <f t="shared" si="5"/>
        <v>0</v>
      </c>
      <c r="S31" s="16"/>
    </row>
    <row r="32" spans="1:19" ht="15" customHeight="1" x14ac:dyDescent="0.25">
      <c r="A32" s="6" t="s">
        <v>81</v>
      </c>
      <c r="B32" s="7" t="s">
        <v>54</v>
      </c>
      <c r="C32" s="6" t="s">
        <v>13</v>
      </c>
      <c r="D32" s="7" t="s">
        <v>82</v>
      </c>
      <c r="E32" s="6" t="s">
        <v>43</v>
      </c>
      <c r="F32" s="6" t="s">
        <v>44</v>
      </c>
      <c r="G32" s="6" t="s">
        <v>20</v>
      </c>
      <c r="H32" s="8">
        <v>2</v>
      </c>
      <c r="I32" s="9">
        <v>100000</v>
      </c>
      <c r="J32" s="9">
        <f t="shared" si="1"/>
        <v>200000</v>
      </c>
      <c r="K32" s="1" t="s">
        <v>17</v>
      </c>
      <c r="L32" s="1" t="s">
        <v>138</v>
      </c>
      <c r="M32" s="2">
        <v>2</v>
      </c>
      <c r="N32" s="3">
        <v>100000</v>
      </c>
      <c r="O32" s="12">
        <f t="shared" si="2"/>
        <v>200000</v>
      </c>
      <c r="P32" s="13">
        <f t="shared" si="3"/>
        <v>0</v>
      </c>
      <c r="Q32" s="13">
        <f t="shared" si="4"/>
        <v>0</v>
      </c>
      <c r="R32" s="13">
        <f t="shared" si="5"/>
        <v>0</v>
      </c>
      <c r="S32" s="16"/>
    </row>
    <row r="33" spans="1:19" ht="15" customHeight="1" x14ac:dyDescent="0.25">
      <c r="A33" s="6" t="s">
        <v>81</v>
      </c>
      <c r="B33" s="7" t="s">
        <v>54</v>
      </c>
      <c r="C33" s="6" t="s">
        <v>13</v>
      </c>
      <c r="D33" s="7" t="s">
        <v>82</v>
      </c>
      <c r="E33" s="6" t="s">
        <v>45</v>
      </c>
      <c r="F33" s="6" t="s">
        <v>46</v>
      </c>
      <c r="G33" s="6" t="s">
        <v>20</v>
      </c>
      <c r="H33" s="8">
        <v>0.9</v>
      </c>
      <c r="I33" s="9">
        <v>45000</v>
      </c>
      <c r="J33" s="9">
        <f t="shared" si="1"/>
        <v>40500</v>
      </c>
      <c r="K33" s="1" t="s">
        <v>17</v>
      </c>
      <c r="L33" s="1" t="s">
        <v>139</v>
      </c>
      <c r="M33" s="2">
        <v>0.9</v>
      </c>
      <c r="N33" s="3">
        <v>45000</v>
      </c>
      <c r="O33" s="12">
        <f t="shared" si="2"/>
        <v>40500</v>
      </c>
      <c r="P33" s="13">
        <f t="shared" si="3"/>
        <v>0</v>
      </c>
      <c r="Q33" s="13">
        <f t="shared" si="4"/>
        <v>0</v>
      </c>
      <c r="R33" s="13">
        <f t="shared" si="5"/>
        <v>0</v>
      </c>
      <c r="S33" s="16"/>
    </row>
    <row r="34" spans="1:19" ht="15" customHeight="1" x14ac:dyDescent="0.25">
      <c r="A34" s="6" t="s">
        <v>81</v>
      </c>
      <c r="B34" s="7" t="s">
        <v>54</v>
      </c>
      <c r="C34" s="6" t="s">
        <v>13</v>
      </c>
      <c r="D34" s="7" t="s">
        <v>82</v>
      </c>
      <c r="E34" s="6" t="s">
        <v>29</v>
      </c>
      <c r="F34" s="6" t="s">
        <v>30</v>
      </c>
      <c r="G34" s="6" t="s">
        <v>20</v>
      </c>
      <c r="H34" s="8">
        <v>10</v>
      </c>
      <c r="I34" s="9">
        <v>148000</v>
      </c>
      <c r="J34" s="9">
        <f t="shared" si="1"/>
        <v>1480000</v>
      </c>
      <c r="K34" s="1" t="s">
        <v>17</v>
      </c>
      <c r="L34" s="1" t="s">
        <v>134</v>
      </c>
      <c r="M34" s="2">
        <v>10</v>
      </c>
      <c r="N34" s="3">
        <v>148000</v>
      </c>
      <c r="O34" s="12">
        <f t="shared" si="2"/>
        <v>1480000</v>
      </c>
      <c r="P34" s="13">
        <f t="shared" si="3"/>
        <v>0</v>
      </c>
      <c r="Q34" s="13">
        <f t="shared" si="4"/>
        <v>0</v>
      </c>
      <c r="R34" s="13">
        <f t="shared" si="5"/>
        <v>0</v>
      </c>
      <c r="S34" s="16"/>
    </row>
    <row r="35" spans="1:19" x14ac:dyDescent="0.25">
      <c r="A35" s="6" t="s">
        <v>81</v>
      </c>
      <c r="B35" s="7" t="s">
        <v>54</v>
      </c>
      <c r="C35" s="6" t="s">
        <v>13</v>
      </c>
      <c r="D35" s="7" t="s">
        <v>82</v>
      </c>
      <c r="E35" s="6" t="s">
        <v>69</v>
      </c>
      <c r="F35" s="6" t="s">
        <v>70</v>
      </c>
      <c r="G35" s="6" t="s">
        <v>20</v>
      </c>
      <c r="H35" s="8">
        <v>0.2</v>
      </c>
      <c r="I35" s="9">
        <v>220000</v>
      </c>
      <c r="J35" s="9">
        <f t="shared" si="1"/>
        <v>44000</v>
      </c>
      <c r="K35" s="1" t="s">
        <v>17</v>
      </c>
      <c r="L35" s="1" t="s">
        <v>140</v>
      </c>
      <c r="M35" s="2">
        <v>0.2</v>
      </c>
      <c r="N35" s="3">
        <v>220000</v>
      </c>
      <c r="O35" s="12">
        <f t="shared" si="2"/>
        <v>44000</v>
      </c>
      <c r="P35" s="13">
        <f t="shared" si="3"/>
        <v>0</v>
      </c>
      <c r="Q35" s="13">
        <f t="shared" si="4"/>
        <v>0</v>
      </c>
      <c r="R35" s="13">
        <f t="shared" si="5"/>
        <v>0</v>
      </c>
      <c r="S35" s="16"/>
    </row>
    <row r="36" spans="1:19" ht="15" customHeight="1" x14ac:dyDescent="0.25">
      <c r="A36" s="6" t="s">
        <v>81</v>
      </c>
      <c r="B36" s="7" t="s">
        <v>54</v>
      </c>
      <c r="C36" s="6" t="s">
        <v>13</v>
      </c>
      <c r="D36" s="7" t="s">
        <v>82</v>
      </c>
      <c r="E36" s="6" t="s">
        <v>61</v>
      </c>
      <c r="F36" s="6" t="s">
        <v>62</v>
      </c>
      <c r="G36" s="6" t="s">
        <v>20</v>
      </c>
      <c r="H36" s="8">
        <v>9.8000000000000007</v>
      </c>
      <c r="I36" s="9">
        <v>12000</v>
      </c>
      <c r="J36" s="9">
        <f t="shared" si="1"/>
        <v>117600.00000000001</v>
      </c>
      <c r="K36" s="1" t="s">
        <v>17</v>
      </c>
      <c r="L36" s="1" t="s">
        <v>62</v>
      </c>
      <c r="M36" s="2">
        <v>9.8000000000000007</v>
      </c>
      <c r="N36" s="3">
        <v>12000</v>
      </c>
      <c r="O36" s="12">
        <f t="shared" si="2"/>
        <v>117600.00000000001</v>
      </c>
      <c r="P36" s="13">
        <f t="shared" si="3"/>
        <v>0</v>
      </c>
      <c r="Q36" s="13">
        <f t="shared" si="4"/>
        <v>0</v>
      </c>
      <c r="R36" s="13">
        <f t="shared" si="5"/>
        <v>0</v>
      </c>
      <c r="S36" s="16"/>
    </row>
    <row r="37" spans="1:19" ht="15" customHeight="1" x14ac:dyDescent="0.25">
      <c r="A37" s="6" t="s">
        <v>81</v>
      </c>
      <c r="B37" s="7" t="s">
        <v>54</v>
      </c>
      <c r="C37" s="6" t="s">
        <v>13</v>
      </c>
      <c r="D37" s="7" t="s">
        <v>82</v>
      </c>
      <c r="E37" s="6" t="s">
        <v>21</v>
      </c>
      <c r="F37" s="6" t="s">
        <v>22</v>
      </c>
      <c r="G37" s="6" t="s">
        <v>20</v>
      </c>
      <c r="H37" s="8">
        <v>39.799999999999997</v>
      </c>
      <c r="I37" s="9">
        <v>50000</v>
      </c>
      <c r="J37" s="9">
        <f t="shared" si="1"/>
        <v>1989999.9999999998</v>
      </c>
      <c r="K37" s="1" t="s">
        <v>17</v>
      </c>
      <c r="L37" s="1" t="s">
        <v>135</v>
      </c>
      <c r="M37" s="2">
        <v>39.799999999999997</v>
      </c>
      <c r="N37" s="3">
        <v>50000</v>
      </c>
      <c r="O37" s="12">
        <f t="shared" si="2"/>
        <v>1989999.9999999998</v>
      </c>
      <c r="P37" s="13">
        <f t="shared" si="3"/>
        <v>0</v>
      </c>
      <c r="Q37" s="13">
        <f t="shared" si="4"/>
        <v>0</v>
      </c>
      <c r="R37" s="13">
        <f t="shared" si="5"/>
        <v>0</v>
      </c>
      <c r="S37" s="16"/>
    </row>
    <row r="38" spans="1:19" ht="15" customHeight="1" x14ac:dyDescent="0.25">
      <c r="A38" s="6" t="s">
        <v>81</v>
      </c>
      <c r="B38" s="7" t="s">
        <v>54</v>
      </c>
      <c r="C38" s="6" t="s">
        <v>13</v>
      </c>
      <c r="D38" s="7" t="s">
        <v>83</v>
      </c>
      <c r="E38" s="6" t="s">
        <v>84</v>
      </c>
      <c r="F38" s="6" t="s">
        <v>85</v>
      </c>
      <c r="G38" s="6" t="s">
        <v>20</v>
      </c>
      <c r="H38" s="8">
        <v>1</v>
      </c>
      <c r="I38" s="9">
        <v>40000</v>
      </c>
      <c r="J38" s="9">
        <f t="shared" si="1"/>
        <v>40000</v>
      </c>
      <c r="K38" s="1" t="s">
        <v>17</v>
      </c>
      <c r="L38" s="1" t="s">
        <v>141</v>
      </c>
      <c r="M38" s="2">
        <v>1</v>
      </c>
      <c r="N38" s="25">
        <v>65000</v>
      </c>
      <c r="O38" s="12">
        <f t="shared" si="2"/>
        <v>65000</v>
      </c>
      <c r="P38" s="13">
        <f t="shared" si="3"/>
        <v>0</v>
      </c>
      <c r="Q38" s="13">
        <f t="shared" si="4"/>
        <v>-25000</v>
      </c>
      <c r="R38" s="13">
        <f t="shared" si="5"/>
        <v>-25000</v>
      </c>
      <c r="S38" s="16" t="s">
        <v>148</v>
      </c>
    </row>
    <row r="39" spans="1:19" ht="15" customHeight="1" x14ac:dyDescent="0.25">
      <c r="A39" s="6" t="s">
        <v>86</v>
      </c>
      <c r="B39" s="7" t="s">
        <v>54</v>
      </c>
      <c r="C39" s="6" t="s">
        <v>13</v>
      </c>
      <c r="D39" s="7" t="s">
        <v>87</v>
      </c>
      <c r="E39" s="6" t="s">
        <v>37</v>
      </c>
      <c r="F39" s="6" t="s">
        <v>38</v>
      </c>
      <c r="G39" s="6" t="s">
        <v>20</v>
      </c>
      <c r="H39" s="8">
        <v>13</v>
      </c>
      <c r="I39" s="9">
        <v>47000</v>
      </c>
      <c r="J39" s="9">
        <f t="shared" si="1"/>
        <v>611000</v>
      </c>
      <c r="K39" s="1" t="s">
        <v>17</v>
      </c>
      <c r="L39" s="1" t="s">
        <v>38</v>
      </c>
      <c r="M39" s="2">
        <v>13</v>
      </c>
      <c r="N39" s="3">
        <v>47000</v>
      </c>
      <c r="O39" s="12">
        <f t="shared" si="2"/>
        <v>611000</v>
      </c>
      <c r="P39" s="13">
        <f t="shared" si="3"/>
        <v>0</v>
      </c>
      <c r="Q39" s="13">
        <f t="shared" si="4"/>
        <v>0</v>
      </c>
      <c r="R39" s="13">
        <f t="shared" si="5"/>
        <v>0</v>
      </c>
      <c r="S39" s="16"/>
    </row>
    <row r="40" spans="1:19" ht="15" customHeight="1" x14ac:dyDescent="0.25">
      <c r="A40" s="6" t="s">
        <v>86</v>
      </c>
      <c r="B40" s="7" t="s">
        <v>54</v>
      </c>
      <c r="C40" s="6" t="s">
        <v>13</v>
      </c>
      <c r="D40" s="7" t="s">
        <v>87</v>
      </c>
      <c r="E40" s="6" t="s">
        <v>41</v>
      </c>
      <c r="F40" s="6" t="s">
        <v>42</v>
      </c>
      <c r="G40" s="6" t="s">
        <v>20</v>
      </c>
      <c r="H40" s="8">
        <v>1</v>
      </c>
      <c r="I40" s="9">
        <v>55000</v>
      </c>
      <c r="J40" s="9">
        <f t="shared" si="1"/>
        <v>55000</v>
      </c>
      <c r="K40" s="1" t="s">
        <v>17</v>
      </c>
      <c r="L40" s="1" t="s">
        <v>42</v>
      </c>
      <c r="M40" s="2">
        <v>1</v>
      </c>
      <c r="N40" s="3">
        <v>55000</v>
      </c>
      <c r="O40" s="12">
        <f t="shared" si="2"/>
        <v>55000</v>
      </c>
      <c r="P40" s="13">
        <f t="shared" si="3"/>
        <v>0</v>
      </c>
      <c r="Q40" s="13">
        <f t="shared" si="4"/>
        <v>0</v>
      </c>
      <c r="R40" s="13">
        <f t="shared" si="5"/>
        <v>0</v>
      </c>
      <c r="S40" s="16"/>
    </row>
    <row r="41" spans="1:19" ht="15" customHeight="1" x14ac:dyDescent="0.25">
      <c r="A41" s="6" t="s">
        <v>86</v>
      </c>
      <c r="B41" s="7" t="s">
        <v>54</v>
      </c>
      <c r="C41" s="6" t="s">
        <v>13</v>
      </c>
      <c r="D41" s="7" t="s">
        <v>87</v>
      </c>
      <c r="E41" s="6" t="s">
        <v>18</v>
      </c>
      <c r="F41" s="6" t="s">
        <v>19</v>
      </c>
      <c r="G41" s="6" t="s">
        <v>20</v>
      </c>
      <c r="H41" s="8">
        <v>20</v>
      </c>
      <c r="I41" s="9">
        <v>80000</v>
      </c>
      <c r="J41" s="9">
        <f t="shared" si="1"/>
        <v>1600000</v>
      </c>
      <c r="K41" s="1" t="s">
        <v>17</v>
      </c>
      <c r="L41" s="1" t="s">
        <v>131</v>
      </c>
      <c r="M41" s="2">
        <v>20</v>
      </c>
      <c r="N41" s="3">
        <v>80000</v>
      </c>
      <c r="O41" s="12">
        <f t="shared" si="2"/>
        <v>1600000</v>
      </c>
      <c r="P41" s="13">
        <f t="shared" si="3"/>
        <v>0</v>
      </c>
      <c r="Q41" s="13">
        <f t="shared" si="4"/>
        <v>0</v>
      </c>
      <c r="R41" s="13">
        <f t="shared" si="5"/>
        <v>0</v>
      </c>
      <c r="S41" s="16"/>
    </row>
    <row r="42" spans="1:19" ht="15" customHeight="1" x14ac:dyDescent="0.25">
      <c r="A42" s="6" t="s">
        <v>86</v>
      </c>
      <c r="B42" s="7" t="s">
        <v>54</v>
      </c>
      <c r="C42" s="6" t="s">
        <v>13</v>
      </c>
      <c r="D42" s="7" t="s">
        <v>87</v>
      </c>
      <c r="E42" s="6" t="s">
        <v>67</v>
      </c>
      <c r="F42" s="6" t="s">
        <v>68</v>
      </c>
      <c r="G42" s="6" t="s">
        <v>20</v>
      </c>
      <c r="H42" s="8">
        <v>2</v>
      </c>
      <c r="I42" s="9">
        <v>38000</v>
      </c>
      <c r="J42" s="9">
        <f t="shared" si="1"/>
        <v>76000</v>
      </c>
      <c r="K42" s="1" t="s">
        <v>17</v>
      </c>
      <c r="L42" s="1" t="s">
        <v>142</v>
      </c>
      <c r="M42" s="2">
        <v>2</v>
      </c>
      <c r="N42" s="3">
        <v>38000</v>
      </c>
      <c r="O42" s="12">
        <f t="shared" si="2"/>
        <v>76000</v>
      </c>
      <c r="P42" s="13">
        <f t="shared" si="3"/>
        <v>0</v>
      </c>
      <c r="Q42" s="13">
        <f t="shared" si="4"/>
        <v>0</v>
      </c>
      <c r="R42" s="13">
        <f t="shared" si="5"/>
        <v>0</v>
      </c>
      <c r="S42" s="16"/>
    </row>
    <row r="43" spans="1:19" ht="15" customHeight="1" x14ac:dyDescent="0.25">
      <c r="A43" s="6" t="s">
        <v>86</v>
      </c>
      <c r="B43" s="7" t="s">
        <v>54</v>
      </c>
      <c r="C43" s="6" t="s">
        <v>13</v>
      </c>
      <c r="D43" s="7" t="s">
        <v>87</v>
      </c>
      <c r="E43" s="6" t="s">
        <v>23</v>
      </c>
      <c r="F43" s="6" t="s">
        <v>24</v>
      </c>
      <c r="G43" s="6" t="s">
        <v>20</v>
      </c>
      <c r="H43" s="8">
        <v>1</v>
      </c>
      <c r="I43" s="9">
        <v>42000</v>
      </c>
      <c r="J43" s="9">
        <f t="shared" si="1"/>
        <v>42000</v>
      </c>
      <c r="K43" s="1" t="s">
        <v>17</v>
      </c>
      <c r="L43" s="1" t="s">
        <v>24</v>
      </c>
      <c r="M43" s="2">
        <v>1</v>
      </c>
      <c r="N43" s="3">
        <v>42000</v>
      </c>
      <c r="O43" s="12">
        <f t="shared" si="2"/>
        <v>42000</v>
      </c>
      <c r="P43" s="13">
        <f t="shared" si="3"/>
        <v>0</v>
      </c>
      <c r="Q43" s="13">
        <f t="shared" si="4"/>
        <v>0</v>
      </c>
      <c r="R43" s="13">
        <f t="shared" si="5"/>
        <v>0</v>
      </c>
      <c r="S43" s="16"/>
    </row>
    <row r="44" spans="1:19" ht="15" customHeight="1" x14ac:dyDescent="0.25">
      <c r="A44" s="6" t="s">
        <v>86</v>
      </c>
      <c r="B44" s="7" t="s">
        <v>54</v>
      </c>
      <c r="C44" s="6" t="s">
        <v>13</v>
      </c>
      <c r="D44" s="7" t="s">
        <v>87</v>
      </c>
      <c r="E44" s="6" t="s">
        <v>65</v>
      </c>
      <c r="F44" s="6" t="s">
        <v>66</v>
      </c>
      <c r="G44" s="6" t="s">
        <v>20</v>
      </c>
      <c r="H44" s="8">
        <v>1</v>
      </c>
      <c r="I44" s="9">
        <v>30000</v>
      </c>
      <c r="J44" s="9">
        <f t="shared" si="1"/>
        <v>30000</v>
      </c>
      <c r="K44" s="1" t="s">
        <v>17</v>
      </c>
      <c r="L44" s="1" t="s">
        <v>143</v>
      </c>
      <c r="M44" s="2">
        <v>1</v>
      </c>
      <c r="N44" s="3">
        <v>30000</v>
      </c>
      <c r="O44" s="12">
        <f t="shared" si="2"/>
        <v>30000</v>
      </c>
      <c r="P44" s="13">
        <f t="shared" si="3"/>
        <v>0</v>
      </c>
      <c r="Q44" s="13">
        <f t="shared" si="4"/>
        <v>0</v>
      </c>
      <c r="R44" s="13">
        <f t="shared" si="5"/>
        <v>0</v>
      </c>
      <c r="S44" s="16"/>
    </row>
    <row r="45" spans="1:19" ht="15" customHeight="1" x14ac:dyDescent="0.25">
      <c r="A45" s="6" t="s">
        <v>86</v>
      </c>
      <c r="B45" s="7" t="s">
        <v>54</v>
      </c>
      <c r="C45" s="6" t="s">
        <v>13</v>
      </c>
      <c r="D45" s="7" t="s">
        <v>87</v>
      </c>
      <c r="E45" s="6" t="s">
        <v>25</v>
      </c>
      <c r="F45" s="6" t="s">
        <v>26</v>
      </c>
      <c r="G45" s="6" t="s">
        <v>20</v>
      </c>
      <c r="H45" s="8">
        <v>2</v>
      </c>
      <c r="I45" s="9">
        <v>33000</v>
      </c>
      <c r="J45" s="9">
        <f t="shared" si="1"/>
        <v>66000</v>
      </c>
      <c r="K45" s="1" t="s">
        <v>17</v>
      </c>
      <c r="L45" s="1" t="s">
        <v>132</v>
      </c>
      <c r="M45" s="2">
        <v>2</v>
      </c>
      <c r="N45" s="3">
        <v>33000</v>
      </c>
      <c r="O45" s="12">
        <f t="shared" si="2"/>
        <v>66000</v>
      </c>
      <c r="P45" s="13">
        <f t="shared" si="3"/>
        <v>0</v>
      </c>
      <c r="Q45" s="13">
        <f t="shared" si="4"/>
        <v>0</v>
      </c>
      <c r="R45" s="13">
        <f t="shared" si="5"/>
        <v>0</v>
      </c>
      <c r="S45" s="16"/>
    </row>
    <row r="46" spans="1:19" ht="15" customHeight="1" x14ac:dyDescent="0.25">
      <c r="A46" s="6" t="s">
        <v>86</v>
      </c>
      <c r="B46" s="7" t="s">
        <v>54</v>
      </c>
      <c r="C46" s="6" t="s">
        <v>13</v>
      </c>
      <c r="D46" s="7" t="s">
        <v>87</v>
      </c>
      <c r="E46" s="6" t="s">
        <v>45</v>
      </c>
      <c r="F46" s="6" t="s">
        <v>46</v>
      </c>
      <c r="G46" s="6" t="s">
        <v>20</v>
      </c>
      <c r="H46" s="8">
        <v>1</v>
      </c>
      <c r="I46" s="9">
        <v>45000</v>
      </c>
      <c r="J46" s="9">
        <f t="shared" si="1"/>
        <v>45000</v>
      </c>
      <c r="K46" s="1" t="s">
        <v>17</v>
      </c>
      <c r="L46" s="1" t="s">
        <v>139</v>
      </c>
      <c r="M46" s="2">
        <v>1</v>
      </c>
      <c r="N46" s="3">
        <v>45000</v>
      </c>
      <c r="O46" s="12">
        <f t="shared" si="2"/>
        <v>45000</v>
      </c>
      <c r="P46" s="13">
        <f t="shared" si="3"/>
        <v>0</v>
      </c>
      <c r="Q46" s="13">
        <f t="shared" si="4"/>
        <v>0</v>
      </c>
      <c r="R46" s="13">
        <f t="shared" si="5"/>
        <v>0</v>
      </c>
      <c r="S46" s="16"/>
    </row>
    <row r="47" spans="1:19" ht="15" customHeight="1" x14ac:dyDescent="0.25">
      <c r="A47" s="6" t="s">
        <v>86</v>
      </c>
      <c r="B47" s="7" t="s">
        <v>54</v>
      </c>
      <c r="C47" s="6" t="s">
        <v>13</v>
      </c>
      <c r="D47" s="7" t="s">
        <v>87</v>
      </c>
      <c r="E47" s="6" t="s">
        <v>27</v>
      </c>
      <c r="F47" s="6" t="s">
        <v>28</v>
      </c>
      <c r="G47" s="6" t="s">
        <v>20</v>
      </c>
      <c r="H47" s="8">
        <v>3</v>
      </c>
      <c r="I47" s="9">
        <v>185000</v>
      </c>
      <c r="J47" s="9">
        <f t="shared" si="1"/>
        <v>555000</v>
      </c>
      <c r="K47" s="1" t="s">
        <v>17</v>
      </c>
      <c r="L47" s="1" t="s">
        <v>133</v>
      </c>
      <c r="M47" s="2">
        <v>3</v>
      </c>
      <c r="N47" s="3">
        <v>185000</v>
      </c>
      <c r="O47" s="12">
        <f t="shared" si="2"/>
        <v>555000</v>
      </c>
      <c r="P47" s="13">
        <f t="shared" si="3"/>
        <v>0</v>
      </c>
      <c r="Q47" s="13">
        <f t="shared" si="4"/>
        <v>0</v>
      </c>
      <c r="R47" s="13">
        <f t="shared" si="5"/>
        <v>0</v>
      </c>
      <c r="S47" s="16"/>
    </row>
    <row r="48" spans="1:19" ht="15" customHeight="1" x14ac:dyDescent="0.25">
      <c r="A48" s="6" t="s">
        <v>86</v>
      </c>
      <c r="B48" s="7" t="s">
        <v>54</v>
      </c>
      <c r="C48" s="6" t="s">
        <v>13</v>
      </c>
      <c r="D48" s="7" t="s">
        <v>87</v>
      </c>
      <c r="E48" s="6" t="s">
        <v>29</v>
      </c>
      <c r="F48" s="6" t="s">
        <v>30</v>
      </c>
      <c r="G48" s="6" t="s">
        <v>20</v>
      </c>
      <c r="H48" s="8">
        <v>17</v>
      </c>
      <c r="I48" s="9">
        <v>148000</v>
      </c>
      <c r="J48" s="9">
        <f t="shared" si="1"/>
        <v>2516000</v>
      </c>
      <c r="K48" s="1" t="s">
        <v>17</v>
      </c>
      <c r="L48" s="1" t="s">
        <v>134</v>
      </c>
      <c r="M48" s="2">
        <v>17</v>
      </c>
      <c r="N48" s="3">
        <v>148000</v>
      </c>
      <c r="O48" s="12">
        <f t="shared" si="2"/>
        <v>2516000</v>
      </c>
      <c r="P48" s="13">
        <f t="shared" si="3"/>
        <v>0</v>
      </c>
      <c r="Q48" s="13">
        <f t="shared" si="4"/>
        <v>0</v>
      </c>
      <c r="R48" s="13">
        <f t="shared" si="5"/>
        <v>0</v>
      </c>
      <c r="S48" s="16"/>
    </row>
    <row r="49" spans="1:19" ht="15" customHeight="1" x14ac:dyDescent="0.25">
      <c r="A49" s="6" t="s">
        <v>86</v>
      </c>
      <c r="B49" s="7" t="s">
        <v>54</v>
      </c>
      <c r="C49" s="6" t="s">
        <v>13</v>
      </c>
      <c r="D49" s="7" t="s">
        <v>87</v>
      </c>
      <c r="E49" s="6" t="s">
        <v>31</v>
      </c>
      <c r="F49" s="6" t="s">
        <v>32</v>
      </c>
      <c r="G49" s="6" t="s">
        <v>20</v>
      </c>
      <c r="H49" s="8">
        <v>3</v>
      </c>
      <c r="I49" s="9">
        <v>63000</v>
      </c>
      <c r="J49" s="9">
        <f t="shared" si="1"/>
        <v>189000</v>
      </c>
      <c r="K49" s="1" t="s">
        <v>17</v>
      </c>
      <c r="L49" s="1" t="s">
        <v>32</v>
      </c>
      <c r="M49" s="2">
        <v>3</v>
      </c>
      <c r="N49" s="3">
        <v>63000</v>
      </c>
      <c r="O49" s="12">
        <f t="shared" si="2"/>
        <v>189000</v>
      </c>
      <c r="P49" s="13">
        <f t="shared" si="3"/>
        <v>0</v>
      </c>
      <c r="Q49" s="13">
        <f t="shared" si="4"/>
        <v>0</v>
      </c>
      <c r="R49" s="13">
        <f t="shared" si="5"/>
        <v>0</v>
      </c>
      <c r="S49" s="16"/>
    </row>
    <row r="50" spans="1:19" ht="15" customHeight="1" x14ac:dyDescent="0.25">
      <c r="A50" s="6" t="s">
        <v>86</v>
      </c>
      <c r="B50" s="7" t="s">
        <v>54</v>
      </c>
      <c r="C50" s="6" t="s">
        <v>13</v>
      </c>
      <c r="D50" s="7" t="s">
        <v>87</v>
      </c>
      <c r="E50" s="6" t="s">
        <v>21</v>
      </c>
      <c r="F50" s="6" t="s">
        <v>22</v>
      </c>
      <c r="G50" s="6" t="s">
        <v>20</v>
      </c>
      <c r="H50" s="8">
        <v>32</v>
      </c>
      <c r="I50" s="9">
        <v>50000</v>
      </c>
      <c r="J50" s="9">
        <f t="shared" si="1"/>
        <v>1600000</v>
      </c>
      <c r="K50" s="1" t="s">
        <v>17</v>
      </c>
      <c r="L50" s="1" t="s">
        <v>135</v>
      </c>
      <c r="M50" s="2">
        <v>32</v>
      </c>
      <c r="N50" s="3">
        <v>50000</v>
      </c>
      <c r="O50" s="12">
        <f t="shared" si="2"/>
        <v>1600000</v>
      </c>
      <c r="P50" s="13">
        <f t="shared" si="3"/>
        <v>0</v>
      </c>
      <c r="Q50" s="13">
        <f t="shared" si="4"/>
        <v>0</v>
      </c>
      <c r="R50" s="13">
        <f t="shared" si="5"/>
        <v>0</v>
      </c>
      <c r="S50" s="16"/>
    </row>
    <row r="51" spans="1:19" ht="15" customHeight="1" x14ac:dyDescent="0.25">
      <c r="A51" s="6" t="s">
        <v>86</v>
      </c>
      <c r="B51" s="7" t="s">
        <v>54</v>
      </c>
      <c r="C51" s="6" t="s">
        <v>13</v>
      </c>
      <c r="D51" s="7" t="s">
        <v>88</v>
      </c>
      <c r="E51" s="6" t="s">
        <v>27</v>
      </c>
      <c r="F51" s="6" t="s">
        <v>28</v>
      </c>
      <c r="G51" s="6" t="s">
        <v>20</v>
      </c>
      <c r="H51" s="8">
        <v>2</v>
      </c>
      <c r="I51" s="9">
        <v>185000</v>
      </c>
      <c r="J51" s="9">
        <f t="shared" si="1"/>
        <v>370000</v>
      </c>
      <c r="K51" s="1" t="s">
        <v>17</v>
      </c>
      <c r="L51" s="1" t="s">
        <v>133</v>
      </c>
      <c r="M51" s="2">
        <v>2</v>
      </c>
      <c r="N51" s="3">
        <v>185000</v>
      </c>
      <c r="O51" s="12">
        <f t="shared" si="2"/>
        <v>370000</v>
      </c>
      <c r="P51" s="13">
        <f t="shared" si="3"/>
        <v>0</v>
      </c>
      <c r="Q51" s="13">
        <f t="shared" si="4"/>
        <v>0</v>
      </c>
      <c r="R51" s="13">
        <f t="shared" si="5"/>
        <v>0</v>
      </c>
      <c r="S51" s="16"/>
    </row>
    <row r="52" spans="1:19" ht="15" customHeight="1" x14ac:dyDescent="0.25">
      <c r="A52" s="6" t="s">
        <v>86</v>
      </c>
      <c r="B52" s="7" t="s">
        <v>54</v>
      </c>
      <c r="C52" s="6" t="s">
        <v>13</v>
      </c>
      <c r="D52" s="7" t="s">
        <v>88</v>
      </c>
      <c r="E52" s="6" t="s">
        <v>29</v>
      </c>
      <c r="F52" s="6" t="s">
        <v>30</v>
      </c>
      <c r="G52" s="6" t="s">
        <v>20</v>
      </c>
      <c r="H52" s="8">
        <v>16</v>
      </c>
      <c r="I52" s="9">
        <v>148000</v>
      </c>
      <c r="J52" s="9">
        <f t="shared" si="1"/>
        <v>2368000</v>
      </c>
      <c r="K52" s="1" t="s">
        <v>17</v>
      </c>
      <c r="L52" s="1" t="s">
        <v>134</v>
      </c>
      <c r="M52" s="2">
        <v>16</v>
      </c>
      <c r="N52" s="3">
        <v>148000</v>
      </c>
      <c r="O52" s="12">
        <f t="shared" si="2"/>
        <v>2368000</v>
      </c>
      <c r="P52" s="13">
        <f t="shared" si="3"/>
        <v>0</v>
      </c>
      <c r="Q52" s="13">
        <f t="shared" si="4"/>
        <v>0</v>
      </c>
      <c r="R52" s="13">
        <f t="shared" si="5"/>
        <v>0</v>
      </c>
      <c r="S52" s="16"/>
    </row>
    <row r="53" spans="1:19" ht="15" customHeight="1" x14ac:dyDescent="0.25">
      <c r="A53" s="6" t="s">
        <v>89</v>
      </c>
      <c r="B53" s="7" t="s">
        <v>54</v>
      </c>
      <c r="C53" s="6" t="s">
        <v>13</v>
      </c>
      <c r="D53" s="7" t="s">
        <v>90</v>
      </c>
      <c r="E53" s="6" t="s">
        <v>35</v>
      </c>
      <c r="F53" s="6" t="s">
        <v>36</v>
      </c>
      <c r="G53" s="6" t="s">
        <v>20</v>
      </c>
      <c r="H53" s="8">
        <v>1</v>
      </c>
      <c r="I53" s="9">
        <v>38000</v>
      </c>
      <c r="J53" s="9">
        <f t="shared" si="1"/>
        <v>38000</v>
      </c>
      <c r="K53" s="1" t="s">
        <v>17</v>
      </c>
      <c r="L53" s="23"/>
      <c r="M53" s="23"/>
      <c r="N53" s="23"/>
      <c r="O53" s="24">
        <f t="shared" si="2"/>
        <v>0</v>
      </c>
      <c r="P53" s="13">
        <f t="shared" si="3"/>
        <v>1</v>
      </c>
      <c r="Q53" s="13">
        <f t="shared" si="4"/>
        <v>38000</v>
      </c>
      <c r="R53" s="13">
        <f t="shared" si="5"/>
        <v>38000</v>
      </c>
      <c r="S53" s="16" t="s">
        <v>149</v>
      </c>
    </row>
    <row r="54" spans="1:19" ht="15" customHeight="1" x14ac:dyDescent="0.25">
      <c r="A54" s="6" t="s">
        <v>89</v>
      </c>
      <c r="B54" s="7" t="s">
        <v>54</v>
      </c>
      <c r="C54" s="6" t="s">
        <v>13</v>
      </c>
      <c r="D54" s="7" t="s">
        <v>90</v>
      </c>
      <c r="E54" s="6" t="s">
        <v>41</v>
      </c>
      <c r="F54" s="6" t="s">
        <v>42</v>
      </c>
      <c r="G54" s="6" t="s">
        <v>20</v>
      </c>
      <c r="H54" s="8">
        <v>3</v>
      </c>
      <c r="I54" s="9">
        <v>55000</v>
      </c>
      <c r="J54" s="9">
        <f t="shared" si="1"/>
        <v>165000</v>
      </c>
      <c r="K54" s="1" t="s">
        <v>17</v>
      </c>
      <c r="L54" s="23"/>
      <c r="M54" s="23"/>
      <c r="N54" s="23"/>
      <c r="O54" s="24">
        <f t="shared" si="2"/>
        <v>0</v>
      </c>
      <c r="P54" s="13">
        <f t="shared" si="3"/>
        <v>3</v>
      </c>
      <c r="Q54" s="13">
        <f t="shared" si="4"/>
        <v>55000</v>
      </c>
      <c r="R54" s="13">
        <f t="shared" si="5"/>
        <v>165000</v>
      </c>
      <c r="S54" s="16" t="s">
        <v>149</v>
      </c>
    </row>
    <row r="55" spans="1:19" ht="15" customHeight="1" x14ac:dyDescent="0.25">
      <c r="A55" s="6" t="s">
        <v>89</v>
      </c>
      <c r="B55" s="7" t="s">
        <v>54</v>
      </c>
      <c r="C55" s="6" t="s">
        <v>13</v>
      </c>
      <c r="D55" s="7" t="s">
        <v>90</v>
      </c>
      <c r="E55" s="6" t="s">
        <v>67</v>
      </c>
      <c r="F55" s="6" t="s">
        <v>68</v>
      </c>
      <c r="G55" s="6" t="s">
        <v>20</v>
      </c>
      <c r="H55" s="8">
        <v>2</v>
      </c>
      <c r="I55" s="9">
        <v>38000</v>
      </c>
      <c r="J55" s="9">
        <f t="shared" si="1"/>
        <v>76000</v>
      </c>
      <c r="K55" s="1" t="s">
        <v>17</v>
      </c>
      <c r="L55" s="23"/>
      <c r="M55" s="23"/>
      <c r="N55" s="23"/>
      <c r="O55" s="24">
        <f t="shared" si="2"/>
        <v>0</v>
      </c>
      <c r="P55" s="13">
        <f t="shared" si="3"/>
        <v>2</v>
      </c>
      <c r="Q55" s="13">
        <f t="shared" si="4"/>
        <v>38000</v>
      </c>
      <c r="R55" s="13">
        <f t="shared" si="5"/>
        <v>76000</v>
      </c>
      <c r="S55" s="16" t="s">
        <v>149</v>
      </c>
    </row>
    <row r="56" spans="1:19" ht="15" customHeight="1" x14ac:dyDescent="0.25">
      <c r="A56" s="6" t="s">
        <v>91</v>
      </c>
      <c r="B56" s="7" t="s">
        <v>54</v>
      </c>
      <c r="C56" s="6" t="s">
        <v>13</v>
      </c>
      <c r="D56" s="7" t="s">
        <v>92</v>
      </c>
      <c r="E56" s="6" t="s">
        <v>33</v>
      </c>
      <c r="F56" s="6" t="s">
        <v>34</v>
      </c>
      <c r="G56" s="6" t="s">
        <v>20</v>
      </c>
      <c r="H56" s="8">
        <v>4</v>
      </c>
      <c r="I56" s="9">
        <v>38000</v>
      </c>
      <c r="J56" s="9">
        <f t="shared" si="1"/>
        <v>152000</v>
      </c>
      <c r="K56" s="1" t="s">
        <v>17</v>
      </c>
      <c r="L56" s="1" t="s">
        <v>126</v>
      </c>
      <c r="M56" s="2">
        <v>4</v>
      </c>
      <c r="N56" s="3">
        <v>38000</v>
      </c>
      <c r="O56" s="12">
        <f t="shared" si="2"/>
        <v>152000</v>
      </c>
      <c r="P56" s="13">
        <f t="shared" si="3"/>
        <v>0</v>
      </c>
      <c r="Q56" s="13">
        <f t="shared" si="4"/>
        <v>0</v>
      </c>
      <c r="R56" s="13">
        <f t="shared" si="5"/>
        <v>0</v>
      </c>
      <c r="S56" s="16"/>
    </row>
    <row r="57" spans="1:19" ht="15" customHeight="1" x14ac:dyDescent="0.25">
      <c r="A57" s="6" t="s">
        <v>91</v>
      </c>
      <c r="B57" s="7" t="s">
        <v>54</v>
      </c>
      <c r="C57" s="6" t="s">
        <v>13</v>
      </c>
      <c r="D57" s="7" t="s">
        <v>92</v>
      </c>
      <c r="E57" s="6" t="s">
        <v>14</v>
      </c>
      <c r="F57" s="6" t="s">
        <v>15</v>
      </c>
      <c r="G57" s="6" t="s">
        <v>16</v>
      </c>
      <c r="H57" s="8">
        <v>500</v>
      </c>
      <c r="I57" s="9">
        <v>4000</v>
      </c>
      <c r="J57" s="9">
        <f t="shared" si="1"/>
        <v>2000000</v>
      </c>
      <c r="K57" s="1" t="s">
        <v>17</v>
      </c>
      <c r="L57" s="1" t="s">
        <v>130</v>
      </c>
      <c r="M57" s="2">
        <v>500</v>
      </c>
      <c r="N57" s="3">
        <v>4000</v>
      </c>
      <c r="O57" s="12">
        <f t="shared" si="2"/>
        <v>2000000</v>
      </c>
      <c r="P57" s="13">
        <f t="shared" si="3"/>
        <v>0</v>
      </c>
      <c r="Q57" s="13">
        <f t="shared" si="4"/>
        <v>0</v>
      </c>
      <c r="R57" s="13">
        <f t="shared" si="5"/>
        <v>0</v>
      </c>
      <c r="S57" s="16"/>
    </row>
    <row r="58" spans="1:19" ht="15" customHeight="1" x14ac:dyDescent="0.25">
      <c r="A58" s="6" t="s">
        <v>91</v>
      </c>
      <c r="B58" s="7" t="s">
        <v>54</v>
      </c>
      <c r="C58" s="6" t="s">
        <v>13</v>
      </c>
      <c r="D58" s="7" t="s">
        <v>92</v>
      </c>
      <c r="E58" s="6" t="s">
        <v>39</v>
      </c>
      <c r="F58" s="6" t="s">
        <v>40</v>
      </c>
      <c r="G58" s="6" t="s">
        <v>20</v>
      </c>
      <c r="H58" s="8">
        <v>1</v>
      </c>
      <c r="I58" s="9">
        <v>60000</v>
      </c>
      <c r="J58" s="9">
        <f t="shared" si="1"/>
        <v>60000</v>
      </c>
      <c r="K58" s="1" t="s">
        <v>17</v>
      </c>
      <c r="L58" s="1" t="s">
        <v>137</v>
      </c>
      <c r="M58" s="2">
        <v>1</v>
      </c>
      <c r="N58" s="3">
        <v>60000</v>
      </c>
      <c r="O58" s="12">
        <f t="shared" si="2"/>
        <v>60000</v>
      </c>
      <c r="P58" s="13">
        <f t="shared" si="3"/>
        <v>0</v>
      </c>
      <c r="Q58" s="13">
        <f t="shared" si="4"/>
        <v>0</v>
      </c>
      <c r="R58" s="13">
        <f t="shared" si="5"/>
        <v>0</v>
      </c>
      <c r="S58" s="16"/>
    </row>
    <row r="59" spans="1:19" ht="15" customHeight="1" x14ac:dyDescent="0.25">
      <c r="A59" s="6" t="s">
        <v>91</v>
      </c>
      <c r="B59" s="7" t="s">
        <v>54</v>
      </c>
      <c r="C59" s="6" t="s">
        <v>13</v>
      </c>
      <c r="D59" s="7" t="s">
        <v>92</v>
      </c>
      <c r="E59" s="6" t="s">
        <v>41</v>
      </c>
      <c r="F59" s="6" t="s">
        <v>42</v>
      </c>
      <c r="G59" s="6" t="s">
        <v>20</v>
      </c>
      <c r="H59" s="8">
        <v>1</v>
      </c>
      <c r="I59" s="9">
        <v>55000</v>
      </c>
      <c r="J59" s="9">
        <f t="shared" si="1"/>
        <v>55000</v>
      </c>
      <c r="K59" s="1" t="s">
        <v>17</v>
      </c>
      <c r="L59" s="1" t="s">
        <v>42</v>
      </c>
      <c r="M59" s="2">
        <v>1</v>
      </c>
      <c r="N59" s="3">
        <v>55000</v>
      </c>
      <c r="O59" s="12">
        <f t="shared" si="2"/>
        <v>55000</v>
      </c>
      <c r="P59" s="13">
        <f t="shared" si="3"/>
        <v>0</v>
      </c>
      <c r="Q59" s="13">
        <f t="shared" si="4"/>
        <v>0</v>
      </c>
      <c r="R59" s="13">
        <f t="shared" si="5"/>
        <v>0</v>
      </c>
      <c r="S59" s="16"/>
    </row>
    <row r="60" spans="1:19" ht="15" customHeight="1" x14ac:dyDescent="0.25">
      <c r="A60" s="6" t="s">
        <v>91</v>
      </c>
      <c r="B60" s="7" t="s">
        <v>54</v>
      </c>
      <c r="C60" s="6" t="s">
        <v>13</v>
      </c>
      <c r="D60" s="7" t="s">
        <v>92</v>
      </c>
      <c r="E60" s="6" t="s">
        <v>18</v>
      </c>
      <c r="F60" s="6" t="s">
        <v>19</v>
      </c>
      <c r="G60" s="6" t="s">
        <v>20</v>
      </c>
      <c r="H60" s="8">
        <v>30</v>
      </c>
      <c r="I60" s="9">
        <v>80000</v>
      </c>
      <c r="J60" s="9">
        <f t="shared" si="1"/>
        <v>2400000</v>
      </c>
      <c r="K60" s="1" t="s">
        <v>17</v>
      </c>
      <c r="L60" s="1" t="s">
        <v>131</v>
      </c>
      <c r="M60" s="2">
        <v>30</v>
      </c>
      <c r="N60" s="3">
        <v>80000</v>
      </c>
      <c r="O60" s="12">
        <f t="shared" si="2"/>
        <v>2400000</v>
      </c>
      <c r="P60" s="13">
        <f t="shared" si="3"/>
        <v>0</v>
      </c>
      <c r="Q60" s="13">
        <f t="shared" si="4"/>
        <v>0</v>
      </c>
      <c r="R60" s="13">
        <f t="shared" si="5"/>
        <v>0</v>
      </c>
      <c r="S60" s="16"/>
    </row>
    <row r="61" spans="1:19" ht="15" customHeight="1" x14ac:dyDescent="0.25">
      <c r="A61" s="6" t="s">
        <v>91</v>
      </c>
      <c r="B61" s="7" t="s">
        <v>54</v>
      </c>
      <c r="C61" s="6" t="s">
        <v>13</v>
      </c>
      <c r="D61" s="7" t="s">
        <v>92</v>
      </c>
      <c r="E61" s="6" t="s">
        <v>27</v>
      </c>
      <c r="F61" s="6" t="s">
        <v>28</v>
      </c>
      <c r="G61" s="6" t="s">
        <v>20</v>
      </c>
      <c r="H61" s="8">
        <v>10</v>
      </c>
      <c r="I61" s="9">
        <v>185000</v>
      </c>
      <c r="J61" s="9">
        <f t="shared" si="1"/>
        <v>1850000</v>
      </c>
      <c r="K61" s="1" t="s">
        <v>17</v>
      </c>
      <c r="L61" s="1" t="s">
        <v>133</v>
      </c>
      <c r="M61" s="2">
        <v>10</v>
      </c>
      <c r="N61" s="3">
        <v>185000</v>
      </c>
      <c r="O61" s="12">
        <f t="shared" si="2"/>
        <v>1850000</v>
      </c>
      <c r="P61" s="13">
        <f t="shared" si="3"/>
        <v>0</v>
      </c>
      <c r="Q61" s="13">
        <f t="shared" si="4"/>
        <v>0</v>
      </c>
      <c r="R61" s="13">
        <f t="shared" si="5"/>
        <v>0</v>
      </c>
      <c r="S61" s="16"/>
    </row>
    <row r="62" spans="1:19" x14ac:dyDescent="0.25">
      <c r="A62" s="6" t="s">
        <v>91</v>
      </c>
      <c r="B62" s="7" t="s">
        <v>54</v>
      </c>
      <c r="C62" s="6" t="s">
        <v>13</v>
      </c>
      <c r="D62" s="7" t="s">
        <v>92</v>
      </c>
      <c r="E62" s="6" t="s">
        <v>69</v>
      </c>
      <c r="F62" s="6" t="s">
        <v>70</v>
      </c>
      <c r="G62" s="6" t="s">
        <v>20</v>
      </c>
      <c r="H62" s="8">
        <v>0.2</v>
      </c>
      <c r="I62" s="9">
        <v>220000</v>
      </c>
      <c r="J62" s="9">
        <f t="shared" si="1"/>
        <v>44000</v>
      </c>
      <c r="K62" s="1" t="s">
        <v>17</v>
      </c>
      <c r="L62" s="1" t="s">
        <v>140</v>
      </c>
      <c r="M62" s="2">
        <v>0.2</v>
      </c>
      <c r="N62" s="3">
        <v>220000</v>
      </c>
      <c r="O62" s="12">
        <f t="shared" si="2"/>
        <v>44000</v>
      </c>
      <c r="P62" s="13">
        <f t="shared" si="3"/>
        <v>0</v>
      </c>
      <c r="Q62" s="13">
        <f t="shared" si="4"/>
        <v>0</v>
      </c>
      <c r="R62" s="13">
        <f t="shared" si="5"/>
        <v>0</v>
      </c>
      <c r="S62" s="16"/>
    </row>
    <row r="63" spans="1:19" ht="15" customHeight="1" x14ac:dyDescent="0.25">
      <c r="A63" s="6" t="s">
        <v>93</v>
      </c>
      <c r="B63" s="7" t="s">
        <v>54</v>
      </c>
      <c r="C63" s="6" t="s">
        <v>13</v>
      </c>
      <c r="D63" s="7" t="s">
        <v>94</v>
      </c>
      <c r="E63" s="6" t="s">
        <v>14</v>
      </c>
      <c r="F63" s="6" t="s">
        <v>15</v>
      </c>
      <c r="G63" s="6" t="s">
        <v>16</v>
      </c>
      <c r="H63" s="8">
        <v>500</v>
      </c>
      <c r="I63" s="9">
        <v>4000</v>
      </c>
      <c r="J63" s="9">
        <f t="shared" si="1"/>
        <v>2000000</v>
      </c>
      <c r="K63" s="1" t="s">
        <v>17</v>
      </c>
      <c r="L63" s="1" t="s">
        <v>130</v>
      </c>
      <c r="M63" s="2">
        <v>500</v>
      </c>
      <c r="N63" s="3">
        <v>4000</v>
      </c>
      <c r="O63" s="12">
        <f t="shared" si="2"/>
        <v>2000000</v>
      </c>
      <c r="P63" s="13">
        <f t="shared" si="3"/>
        <v>0</v>
      </c>
      <c r="Q63" s="13">
        <f t="shared" si="4"/>
        <v>0</v>
      </c>
      <c r="R63" s="13">
        <f t="shared" si="5"/>
        <v>0</v>
      </c>
      <c r="S63" s="16"/>
    </row>
    <row r="64" spans="1:19" ht="15" customHeight="1" x14ac:dyDescent="0.25">
      <c r="A64" s="6" t="s">
        <v>93</v>
      </c>
      <c r="B64" s="7" t="s">
        <v>54</v>
      </c>
      <c r="C64" s="6" t="s">
        <v>13</v>
      </c>
      <c r="D64" s="7" t="s">
        <v>94</v>
      </c>
      <c r="E64" s="6" t="s">
        <v>18</v>
      </c>
      <c r="F64" s="6" t="s">
        <v>19</v>
      </c>
      <c r="G64" s="6" t="s">
        <v>20</v>
      </c>
      <c r="H64" s="8">
        <v>20</v>
      </c>
      <c r="I64" s="9">
        <v>80000</v>
      </c>
      <c r="J64" s="9">
        <f t="shared" si="1"/>
        <v>1600000</v>
      </c>
      <c r="K64" s="1" t="s">
        <v>17</v>
      </c>
      <c r="L64" s="1" t="s">
        <v>131</v>
      </c>
      <c r="M64" s="2">
        <v>20</v>
      </c>
      <c r="N64" s="3">
        <v>80000</v>
      </c>
      <c r="O64" s="12">
        <f t="shared" si="2"/>
        <v>1600000</v>
      </c>
      <c r="P64" s="13">
        <f t="shared" si="3"/>
        <v>0</v>
      </c>
      <c r="Q64" s="13">
        <f t="shared" si="4"/>
        <v>0</v>
      </c>
      <c r="R64" s="13">
        <f t="shared" si="5"/>
        <v>0</v>
      </c>
      <c r="S64" s="16"/>
    </row>
    <row r="65" spans="1:19" ht="15" customHeight="1" x14ac:dyDescent="0.25">
      <c r="A65" s="6" t="s">
        <v>93</v>
      </c>
      <c r="B65" s="7" t="s">
        <v>54</v>
      </c>
      <c r="C65" s="6" t="s">
        <v>13</v>
      </c>
      <c r="D65" s="7" t="s">
        <v>94</v>
      </c>
      <c r="E65" s="6" t="s">
        <v>23</v>
      </c>
      <c r="F65" s="6" t="s">
        <v>24</v>
      </c>
      <c r="G65" s="6" t="s">
        <v>20</v>
      </c>
      <c r="H65" s="8">
        <v>1</v>
      </c>
      <c r="I65" s="9">
        <v>42000</v>
      </c>
      <c r="J65" s="9">
        <f t="shared" si="1"/>
        <v>42000</v>
      </c>
      <c r="K65" s="1" t="s">
        <v>17</v>
      </c>
      <c r="L65" s="1" t="s">
        <v>24</v>
      </c>
      <c r="M65" s="2">
        <v>1</v>
      </c>
      <c r="N65" s="3">
        <v>42000</v>
      </c>
      <c r="O65" s="12">
        <f t="shared" si="2"/>
        <v>42000</v>
      </c>
      <c r="P65" s="13">
        <f t="shared" si="3"/>
        <v>0</v>
      </c>
      <c r="Q65" s="13">
        <f t="shared" si="4"/>
        <v>0</v>
      </c>
      <c r="R65" s="13">
        <f t="shared" si="5"/>
        <v>0</v>
      </c>
      <c r="S65" s="16"/>
    </row>
    <row r="66" spans="1:19" ht="15" customHeight="1" x14ac:dyDescent="0.25">
      <c r="A66" s="6" t="s">
        <v>93</v>
      </c>
      <c r="B66" s="7" t="s">
        <v>54</v>
      </c>
      <c r="C66" s="6" t="s">
        <v>13</v>
      </c>
      <c r="D66" s="7" t="s">
        <v>94</v>
      </c>
      <c r="E66" s="6" t="s">
        <v>25</v>
      </c>
      <c r="F66" s="6" t="s">
        <v>26</v>
      </c>
      <c r="G66" s="6" t="s">
        <v>20</v>
      </c>
      <c r="H66" s="8">
        <v>1.2</v>
      </c>
      <c r="I66" s="9">
        <v>33000</v>
      </c>
      <c r="J66" s="9">
        <f t="shared" si="1"/>
        <v>39600</v>
      </c>
      <c r="K66" s="1" t="s">
        <v>17</v>
      </c>
      <c r="L66" s="1" t="s">
        <v>132</v>
      </c>
      <c r="M66" s="2">
        <v>1.2</v>
      </c>
      <c r="N66" s="3">
        <v>33000</v>
      </c>
      <c r="O66" s="12">
        <f t="shared" si="2"/>
        <v>39600</v>
      </c>
      <c r="P66" s="13">
        <f t="shared" si="3"/>
        <v>0</v>
      </c>
      <c r="Q66" s="13">
        <f t="shared" si="4"/>
        <v>0</v>
      </c>
      <c r="R66" s="13">
        <f t="shared" si="5"/>
        <v>0</v>
      </c>
      <c r="S66" s="16"/>
    </row>
    <row r="67" spans="1:19" ht="15" customHeight="1" x14ac:dyDescent="0.25">
      <c r="A67" s="6" t="s">
        <v>93</v>
      </c>
      <c r="B67" s="7" t="s">
        <v>54</v>
      </c>
      <c r="C67" s="6" t="s">
        <v>13</v>
      </c>
      <c r="D67" s="7" t="s">
        <v>94</v>
      </c>
      <c r="E67" s="6" t="s">
        <v>27</v>
      </c>
      <c r="F67" s="6" t="s">
        <v>28</v>
      </c>
      <c r="G67" s="6" t="s">
        <v>20</v>
      </c>
      <c r="H67" s="8">
        <v>9.5</v>
      </c>
      <c r="I67" s="9">
        <v>185000</v>
      </c>
      <c r="J67" s="9">
        <f t="shared" si="1"/>
        <v>1757500</v>
      </c>
      <c r="K67" s="1" t="s">
        <v>17</v>
      </c>
      <c r="L67" s="1" t="s">
        <v>133</v>
      </c>
      <c r="M67" s="2">
        <v>9.5</v>
      </c>
      <c r="N67" s="3">
        <v>185000</v>
      </c>
      <c r="O67" s="12">
        <f t="shared" si="2"/>
        <v>1757500</v>
      </c>
      <c r="P67" s="13">
        <f t="shared" si="3"/>
        <v>0</v>
      </c>
      <c r="Q67" s="13">
        <f t="shared" si="4"/>
        <v>0</v>
      </c>
      <c r="R67" s="13">
        <f t="shared" si="5"/>
        <v>0</v>
      </c>
      <c r="S67" s="16"/>
    </row>
    <row r="68" spans="1:19" ht="15" customHeight="1" x14ac:dyDescent="0.25">
      <c r="A68" s="6" t="s">
        <v>93</v>
      </c>
      <c r="B68" s="7" t="s">
        <v>54</v>
      </c>
      <c r="C68" s="6" t="s">
        <v>13</v>
      </c>
      <c r="D68" s="7" t="s">
        <v>94</v>
      </c>
      <c r="E68" s="6" t="s">
        <v>29</v>
      </c>
      <c r="F68" s="6" t="s">
        <v>30</v>
      </c>
      <c r="G68" s="6" t="s">
        <v>20</v>
      </c>
      <c r="H68" s="8">
        <v>35</v>
      </c>
      <c r="I68" s="9">
        <v>148000</v>
      </c>
      <c r="J68" s="9">
        <f t="shared" si="1"/>
        <v>5180000</v>
      </c>
      <c r="K68" s="1" t="s">
        <v>17</v>
      </c>
      <c r="L68" s="1" t="s">
        <v>134</v>
      </c>
      <c r="M68" s="2">
        <v>35</v>
      </c>
      <c r="N68" s="3">
        <v>148000</v>
      </c>
      <c r="O68" s="12">
        <f t="shared" si="2"/>
        <v>5180000</v>
      </c>
      <c r="P68" s="13">
        <f t="shared" si="3"/>
        <v>0</v>
      </c>
      <c r="Q68" s="13">
        <f t="shared" si="4"/>
        <v>0</v>
      </c>
      <c r="R68" s="13">
        <f t="shared" si="5"/>
        <v>0</v>
      </c>
      <c r="S68" s="16"/>
    </row>
    <row r="69" spans="1:19" ht="15" customHeight="1" x14ac:dyDescent="0.25">
      <c r="A69" s="6" t="s">
        <v>95</v>
      </c>
      <c r="B69" s="7" t="s">
        <v>54</v>
      </c>
      <c r="C69" s="6" t="s">
        <v>13</v>
      </c>
      <c r="D69" s="7" t="s">
        <v>96</v>
      </c>
      <c r="E69" s="6" t="s">
        <v>47</v>
      </c>
      <c r="F69" s="6" t="s">
        <v>48</v>
      </c>
      <c r="G69" s="6" t="s">
        <v>20</v>
      </c>
      <c r="H69" s="8">
        <v>3</v>
      </c>
      <c r="I69" s="9">
        <v>18000</v>
      </c>
      <c r="J69" s="9">
        <f t="shared" si="1"/>
        <v>54000</v>
      </c>
      <c r="K69" s="1" t="s">
        <v>17</v>
      </c>
      <c r="L69" s="1" t="s">
        <v>48</v>
      </c>
      <c r="M69" s="2">
        <v>3</v>
      </c>
      <c r="N69" s="3">
        <v>18000</v>
      </c>
      <c r="O69" s="12">
        <f t="shared" si="2"/>
        <v>54000</v>
      </c>
      <c r="P69" s="13">
        <f t="shared" si="3"/>
        <v>0</v>
      </c>
      <c r="Q69" s="13">
        <f t="shared" si="4"/>
        <v>0</v>
      </c>
      <c r="R69" s="13">
        <f t="shared" si="5"/>
        <v>0</v>
      </c>
      <c r="S69" s="16"/>
    </row>
    <row r="70" spans="1:19" ht="15" customHeight="1" x14ac:dyDescent="0.25">
      <c r="A70" s="6" t="s">
        <v>95</v>
      </c>
      <c r="B70" s="7" t="s">
        <v>54</v>
      </c>
      <c r="C70" s="6" t="s">
        <v>13</v>
      </c>
      <c r="D70" s="7" t="s">
        <v>96</v>
      </c>
      <c r="E70" s="6" t="s">
        <v>49</v>
      </c>
      <c r="F70" s="6" t="s">
        <v>50</v>
      </c>
      <c r="G70" s="6" t="s">
        <v>20</v>
      </c>
      <c r="H70" s="8">
        <v>3</v>
      </c>
      <c r="I70" s="9">
        <v>13000</v>
      </c>
      <c r="J70" s="9">
        <f t="shared" si="1"/>
        <v>39000</v>
      </c>
      <c r="K70" s="1" t="s">
        <v>17</v>
      </c>
      <c r="L70" s="1" t="s">
        <v>136</v>
      </c>
      <c r="M70" s="2">
        <v>3</v>
      </c>
      <c r="N70" s="3">
        <v>13000</v>
      </c>
      <c r="O70" s="12">
        <f t="shared" si="2"/>
        <v>39000</v>
      </c>
      <c r="P70" s="13">
        <f t="shared" si="3"/>
        <v>0</v>
      </c>
      <c r="Q70" s="13">
        <f t="shared" si="4"/>
        <v>0</v>
      </c>
      <c r="R70" s="13">
        <f t="shared" si="5"/>
        <v>0</v>
      </c>
      <c r="S70" s="16"/>
    </row>
    <row r="71" spans="1:19" ht="15" customHeight="1" x14ac:dyDescent="0.25">
      <c r="A71" s="6" t="s">
        <v>95</v>
      </c>
      <c r="B71" s="7" t="s">
        <v>54</v>
      </c>
      <c r="C71" s="6" t="s">
        <v>13</v>
      </c>
      <c r="D71" s="7" t="s">
        <v>96</v>
      </c>
      <c r="E71" s="6" t="s">
        <v>35</v>
      </c>
      <c r="F71" s="6" t="s">
        <v>36</v>
      </c>
      <c r="G71" s="6" t="s">
        <v>20</v>
      </c>
      <c r="H71" s="8">
        <v>1.1000000000000001</v>
      </c>
      <c r="I71" s="9">
        <v>38000</v>
      </c>
      <c r="J71" s="9">
        <f t="shared" si="1"/>
        <v>41800</v>
      </c>
      <c r="K71" s="1" t="s">
        <v>17</v>
      </c>
      <c r="L71" s="1" t="s">
        <v>129</v>
      </c>
      <c r="M71" s="2">
        <v>1.1000000000000001</v>
      </c>
      <c r="N71" s="3">
        <v>38000</v>
      </c>
      <c r="O71" s="12">
        <f t="shared" si="2"/>
        <v>41800</v>
      </c>
      <c r="P71" s="13">
        <f t="shared" si="3"/>
        <v>0</v>
      </c>
      <c r="Q71" s="13">
        <f t="shared" si="4"/>
        <v>0</v>
      </c>
      <c r="R71" s="13">
        <f t="shared" si="5"/>
        <v>0</v>
      </c>
      <c r="S71" s="16"/>
    </row>
    <row r="72" spans="1:19" ht="15" customHeight="1" x14ac:dyDescent="0.25">
      <c r="A72" s="6" t="s">
        <v>95</v>
      </c>
      <c r="B72" s="7" t="s">
        <v>54</v>
      </c>
      <c r="C72" s="6" t="s">
        <v>13</v>
      </c>
      <c r="D72" s="7" t="s">
        <v>96</v>
      </c>
      <c r="E72" s="6" t="s">
        <v>14</v>
      </c>
      <c r="F72" s="6" t="s">
        <v>15</v>
      </c>
      <c r="G72" s="6" t="s">
        <v>16</v>
      </c>
      <c r="H72" s="8">
        <v>700</v>
      </c>
      <c r="I72" s="9">
        <v>4000</v>
      </c>
      <c r="J72" s="9">
        <f t="shared" si="1"/>
        <v>2800000</v>
      </c>
      <c r="K72" s="1" t="s">
        <v>17</v>
      </c>
      <c r="L72" s="1" t="s">
        <v>130</v>
      </c>
      <c r="M72" s="2">
        <v>700</v>
      </c>
      <c r="N72" s="3">
        <v>4000</v>
      </c>
      <c r="O72" s="12">
        <f t="shared" si="2"/>
        <v>2800000</v>
      </c>
      <c r="P72" s="13">
        <f t="shared" si="3"/>
        <v>0</v>
      </c>
      <c r="Q72" s="13">
        <f t="shared" si="4"/>
        <v>0</v>
      </c>
      <c r="R72" s="13">
        <f t="shared" si="5"/>
        <v>0</v>
      </c>
      <c r="S72" s="16"/>
    </row>
    <row r="73" spans="1:19" ht="15" customHeight="1" x14ac:dyDescent="0.25">
      <c r="A73" s="6" t="s">
        <v>95</v>
      </c>
      <c r="B73" s="7" t="s">
        <v>54</v>
      </c>
      <c r="C73" s="6" t="s">
        <v>13</v>
      </c>
      <c r="D73" s="7" t="s">
        <v>96</v>
      </c>
      <c r="E73" s="6" t="s">
        <v>41</v>
      </c>
      <c r="F73" s="6" t="s">
        <v>42</v>
      </c>
      <c r="G73" s="6" t="s">
        <v>20</v>
      </c>
      <c r="H73" s="8">
        <v>4</v>
      </c>
      <c r="I73" s="9">
        <v>55000</v>
      </c>
      <c r="J73" s="9">
        <f t="shared" si="1"/>
        <v>220000</v>
      </c>
      <c r="K73" s="1" t="s">
        <v>17</v>
      </c>
      <c r="L73" s="1" t="s">
        <v>42</v>
      </c>
      <c r="M73" s="2">
        <v>4</v>
      </c>
      <c r="N73" s="3">
        <v>55000</v>
      </c>
      <c r="O73" s="12">
        <f t="shared" si="2"/>
        <v>220000</v>
      </c>
      <c r="P73" s="13">
        <f t="shared" si="3"/>
        <v>0</v>
      </c>
      <c r="Q73" s="13">
        <f t="shared" si="4"/>
        <v>0</v>
      </c>
      <c r="R73" s="13">
        <f t="shared" si="5"/>
        <v>0</v>
      </c>
      <c r="S73" s="16"/>
    </row>
    <row r="74" spans="1:19" ht="15" customHeight="1" x14ac:dyDescent="0.25">
      <c r="A74" s="6" t="s">
        <v>95</v>
      </c>
      <c r="B74" s="7" t="s">
        <v>54</v>
      </c>
      <c r="C74" s="6" t="s">
        <v>13</v>
      </c>
      <c r="D74" s="7" t="s">
        <v>96</v>
      </c>
      <c r="E74" s="6" t="s">
        <v>71</v>
      </c>
      <c r="F74" s="6" t="s">
        <v>72</v>
      </c>
      <c r="G74" s="6" t="s">
        <v>20</v>
      </c>
      <c r="H74" s="8">
        <v>2.2000000000000002</v>
      </c>
      <c r="I74" s="9">
        <v>38000</v>
      </c>
      <c r="J74" s="9">
        <f t="shared" si="1"/>
        <v>83600</v>
      </c>
      <c r="K74" s="1" t="s">
        <v>17</v>
      </c>
      <c r="L74" s="1" t="s">
        <v>144</v>
      </c>
      <c r="M74" s="2">
        <v>2.2000000000000002</v>
      </c>
      <c r="N74" s="3">
        <v>38000</v>
      </c>
      <c r="O74" s="12">
        <f t="shared" si="2"/>
        <v>83600</v>
      </c>
      <c r="P74" s="13">
        <f t="shared" si="3"/>
        <v>0</v>
      </c>
      <c r="Q74" s="13">
        <f t="shared" si="4"/>
        <v>0</v>
      </c>
      <c r="R74" s="13">
        <f t="shared" si="5"/>
        <v>0</v>
      </c>
      <c r="S74" s="16"/>
    </row>
    <row r="75" spans="1:19" ht="15" customHeight="1" x14ac:dyDescent="0.25">
      <c r="A75" s="6" t="s">
        <v>95</v>
      </c>
      <c r="B75" s="7" t="s">
        <v>54</v>
      </c>
      <c r="C75" s="6" t="s">
        <v>13</v>
      </c>
      <c r="D75" s="7" t="s">
        <v>96</v>
      </c>
      <c r="E75" s="6" t="s">
        <v>59</v>
      </c>
      <c r="F75" s="6" t="s">
        <v>60</v>
      </c>
      <c r="G75" s="6" t="s">
        <v>20</v>
      </c>
      <c r="H75" s="8">
        <v>2</v>
      </c>
      <c r="I75" s="9">
        <v>13000</v>
      </c>
      <c r="J75" s="9">
        <f t="shared" si="1"/>
        <v>26000</v>
      </c>
      <c r="K75" s="1" t="s">
        <v>17</v>
      </c>
      <c r="L75" s="1" t="s">
        <v>60</v>
      </c>
      <c r="M75" s="2">
        <v>2</v>
      </c>
      <c r="N75" s="3">
        <v>13000</v>
      </c>
      <c r="O75" s="12">
        <f t="shared" si="2"/>
        <v>26000</v>
      </c>
      <c r="P75" s="13">
        <f t="shared" si="3"/>
        <v>0</v>
      </c>
      <c r="Q75" s="13">
        <f t="shared" si="4"/>
        <v>0</v>
      </c>
      <c r="R75" s="13">
        <f t="shared" si="5"/>
        <v>0</v>
      </c>
      <c r="S75" s="16"/>
    </row>
    <row r="76" spans="1:19" ht="15" customHeight="1" x14ac:dyDescent="0.25">
      <c r="A76" s="6" t="s">
        <v>95</v>
      </c>
      <c r="B76" s="7" t="s">
        <v>54</v>
      </c>
      <c r="C76" s="6" t="s">
        <v>13</v>
      </c>
      <c r="D76" s="7" t="s">
        <v>96</v>
      </c>
      <c r="E76" s="6" t="s">
        <v>18</v>
      </c>
      <c r="F76" s="6" t="s">
        <v>19</v>
      </c>
      <c r="G76" s="6" t="s">
        <v>20</v>
      </c>
      <c r="H76" s="8">
        <v>21</v>
      </c>
      <c r="I76" s="9">
        <v>80000</v>
      </c>
      <c r="J76" s="9">
        <f t="shared" si="1"/>
        <v>1680000</v>
      </c>
      <c r="K76" s="1" t="s">
        <v>17</v>
      </c>
      <c r="L76" s="1" t="s">
        <v>131</v>
      </c>
      <c r="M76" s="2">
        <v>21</v>
      </c>
      <c r="N76" s="3">
        <v>80000</v>
      </c>
      <c r="O76" s="12">
        <f t="shared" si="2"/>
        <v>1680000</v>
      </c>
      <c r="P76" s="13">
        <f t="shared" si="3"/>
        <v>0</v>
      </c>
      <c r="Q76" s="13">
        <f t="shared" si="4"/>
        <v>0</v>
      </c>
      <c r="R76" s="13">
        <f t="shared" si="5"/>
        <v>0</v>
      </c>
      <c r="S76" s="16"/>
    </row>
    <row r="77" spans="1:19" ht="15" customHeight="1" x14ac:dyDescent="0.25">
      <c r="A77" s="6" t="s">
        <v>95</v>
      </c>
      <c r="B77" s="7" t="s">
        <v>54</v>
      </c>
      <c r="C77" s="6" t="s">
        <v>13</v>
      </c>
      <c r="D77" s="7" t="s">
        <v>96</v>
      </c>
      <c r="E77" s="6" t="s">
        <v>63</v>
      </c>
      <c r="F77" s="6" t="s">
        <v>64</v>
      </c>
      <c r="G77" s="6" t="s">
        <v>20</v>
      </c>
      <c r="H77" s="8">
        <v>1</v>
      </c>
      <c r="I77" s="9">
        <v>145000</v>
      </c>
      <c r="J77" s="9">
        <f t="shared" si="1"/>
        <v>145000</v>
      </c>
      <c r="K77" s="1" t="s">
        <v>17</v>
      </c>
      <c r="L77" s="1" t="s">
        <v>64</v>
      </c>
      <c r="M77" s="2">
        <v>1</v>
      </c>
      <c r="N77" s="3">
        <v>145000</v>
      </c>
      <c r="O77" s="12">
        <f t="shared" si="2"/>
        <v>145000</v>
      </c>
      <c r="P77" s="13">
        <f t="shared" si="3"/>
        <v>0</v>
      </c>
      <c r="Q77" s="13">
        <f t="shared" si="4"/>
        <v>0</v>
      </c>
      <c r="R77" s="13">
        <f t="shared" si="5"/>
        <v>0</v>
      </c>
      <c r="S77" s="16"/>
    </row>
    <row r="78" spans="1:19" ht="15" customHeight="1" x14ac:dyDescent="0.25">
      <c r="A78" s="6" t="s">
        <v>95</v>
      </c>
      <c r="B78" s="7" t="s">
        <v>54</v>
      </c>
      <c r="C78" s="6" t="s">
        <v>13</v>
      </c>
      <c r="D78" s="7" t="s">
        <v>96</v>
      </c>
      <c r="E78" s="6" t="s">
        <v>27</v>
      </c>
      <c r="F78" s="6" t="s">
        <v>28</v>
      </c>
      <c r="G78" s="6" t="s">
        <v>20</v>
      </c>
      <c r="H78" s="8">
        <v>9.8000000000000007</v>
      </c>
      <c r="I78" s="9">
        <v>185000</v>
      </c>
      <c r="J78" s="9">
        <f t="shared" si="1"/>
        <v>1813000.0000000002</v>
      </c>
      <c r="K78" s="1" t="s">
        <v>17</v>
      </c>
      <c r="L78" s="1" t="s">
        <v>133</v>
      </c>
      <c r="M78" s="2">
        <v>9.8000000000000007</v>
      </c>
      <c r="N78" s="3">
        <v>185000</v>
      </c>
      <c r="O78" s="12">
        <f t="shared" si="2"/>
        <v>1813000.0000000002</v>
      </c>
      <c r="P78" s="13">
        <f t="shared" si="3"/>
        <v>0</v>
      </c>
      <c r="Q78" s="13">
        <f t="shared" si="4"/>
        <v>0</v>
      </c>
      <c r="R78" s="13">
        <f t="shared" si="5"/>
        <v>0</v>
      </c>
      <c r="S78" s="16"/>
    </row>
    <row r="79" spans="1:19" ht="15" customHeight="1" x14ac:dyDescent="0.25">
      <c r="A79" s="6" t="s">
        <v>95</v>
      </c>
      <c r="B79" s="7" t="s">
        <v>54</v>
      </c>
      <c r="C79" s="6" t="s">
        <v>13</v>
      </c>
      <c r="D79" s="7" t="s">
        <v>96</v>
      </c>
      <c r="E79" s="6" t="s">
        <v>29</v>
      </c>
      <c r="F79" s="6" t="s">
        <v>30</v>
      </c>
      <c r="G79" s="6" t="s">
        <v>20</v>
      </c>
      <c r="H79" s="8">
        <v>17</v>
      </c>
      <c r="I79" s="9">
        <v>148000</v>
      </c>
      <c r="J79" s="9">
        <f t="shared" si="1"/>
        <v>2516000</v>
      </c>
      <c r="K79" s="1" t="s">
        <v>17</v>
      </c>
      <c r="L79" s="1" t="s">
        <v>134</v>
      </c>
      <c r="M79" s="2">
        <v>17</v>
      </c>
      <c r="N79" s="3">
        <v>148000</v>
      </c>
      <c r="O79" s="12">
        <f t="shared" si="2"/>
        <v>2516000</v>
      </c>
      <c r="P79" s="13">
        <f t="shared" si="3"/>
        <v>0</v>
      </c>
      <c r="Q79" s="13">
        <f t="shared" si="4"/>
        <v>0</v>
      </c>
      <c r="R79" s="13">
        <f t="shared" si="5"/>
        <v>0</v>
      </c>
      <c r="S79" s="16"/>
    </row>
    <row r="80" spans="1:19" ht="15" customHeight="1" x14ac:dyDescent="0.25">
      <c r="A80" s="6" t="s">
        <v>95</v>
      </c>
      <c r="B80" s="7" t="s">
        <v>54</v>
      </c>
      <c r="C80" s="6" t="s">
        <v>13</v>
      </c>
      <c r="D80" s="7" t="s">
        <v>96</v>
      </c>
      <c r="E80" s="6" t="s">
        <v>75</v>
      </c>
      <c r="F80" s="6" t="s">
        <v>76</v>
      </c>
      <c r="G80" s="6" t="s">
        <v>20</v>
      </c>
      <c r="H80" s="8">
        <v>1</v>
      </c>
      <c r="I80" s="9">
        <v>110000</v>
      </c>
      <c r="J80" s="9">
        <f t="shared" ref="J80:J143" si="6">H80*I80</f>
        <v>110000</v>
      </c>
      <c r="K80" s="1" t="s">
        <v>17</v>
      </c>
      <c r="L80" s="1" t="s">
        <v>76</v>
      </c>
      <c r="M80" s="2">
        <v>1</v>
      </c>
      <c r="N80" s="3">
        <v>148000</v>
      </c>
      <c r="O80" s="12">
        <f t="shared" si="2"/>
        <v>148000</v>
      </c>
      <c r="P80" s="13">
        <f t="shared" si="3"/>
        <v>0</v>
      </c>
      <c r="Q80" s="13">
        <f t="shared" si="4"/>
        <v>-38000</v>
      </c>
      <c r="R80" s="13">
        <f t="shared" si="5"/>
        <v>-38000</v>
      </c>
      <c r="S80" s="16" t="s">
        <v>148</v>
      </c>
    </row>
    <row r="81" spans="1:19" ht="15" customHeight="1" x14ac:dyDescent="0.25">
      <c r="A81" s="6" t="s">
        <v>95</v>
      </c>
      <c r="B81" s="7" t="s">
        <v>54</v>
      </c>
      <c r="C81" s="6" t="s">
        <v>13</v>
      </c>
      <c r="D81" s="7" t="s">
        <v>96</v>
      </c>
      <c r="E81" s="6" t="s">
        <v>61</v>
      </c>
      <c r="F81" s="6" t="s">
        <v>62</v>
      </c>
      <c r="G81" s="6" t="s">
        <v>20</v>
      </c>
      <c r="H81" s="8">
        <v>19</v>
      </c>
      <c r="I81" s="9">
        <v>12000</v>
      </c>
      <c r="J81" s="9">
        <f t="shared" si="6"/>
        <v>228000</v>
      </c>
      <c r="K81" s="1" t="s">
        <v>17</v>
      </c>
      <c r="L81" s="1" t="s">
        <v>62</v>
      </c>
      <c r="M81" s="2">
        <v>19</v>
      </c>
      <c r="N81" s="3">
        <v>12000</v>
      </c>
      <c r="O81" s="12">
        <f t="shared" ref="O81:O144" si="7">M81*N81</f>
        <v>228000</v>
      </c>
      <c r="P81" s="13">
        <f t="shared" ref="P81:P144" si="8">H81-M81</f>
        <v>0</v>
      </c>
      <c r="Q81" s="13">
        <f t="shared" ref="Q81:Q144" si="9">I81-N81</f>
        <v>0</v>
      </c>
      <c r="R81" s="13">
        <f t="shared" ref="R81:R144" si="10">J81-O81</f>
        <v>0</v>
      </c>
      <c r="S81" s="16"/>
    </row>
    <row r="82" spans="1:19" ht="15" customHeight="1" x14ac:dyDescent="0.25">
      <c r="A82" s="6" t="s">
        <v>95</v>
      </c>
      <c r="B82" s="7" t="s">
        <v>54</v>
      </c>
      <c r="C82" s="6" t="s">
        <v>13</v>
      </c>
      <c r="D82" s="7" t="s">
        <v>96</v>
      </c>
      <c r="E82" s="6" t="s">
        <v>21</v>
      </c>
      <c r="F82" s="6" t="s">
        <v>22</v>
      </c>
      <c r="G82" s="6" t="s">
        <v>20</v>
      </c>
      <c r="H82" s="8">
        <v>20</v>
      </c>
      <c r="I82" s="9">
        <v>50000</v>
      </c>
      <c r="J82" s="9">
        <f t="shared" si="6"/>
        <v>1000000</v>
      </c>
      <c r="K82" s="1" t="s">
        <v>17</v>
      </c>
      <c r="L82" s="1" t="s">
        <v>135</v>
      </c>
      <c r="M82" s="2">
        <v>20</v>
      </c>
      <c r="N82" s="3">
        <v>50000</v>
      </c>
      <c r="O82" s="12">
        <f t="shared" si="7"/>
        <v>1000000</v>
      </c>
      <c r="P82" s="13">
        <f t="shared" si="8"/>
        <v>0</v>
      </c>
      <c r="Q82" s="13">
        <f t="shared" si="9"/>
        <v>0</v>
      </c>
      <c r="R82" s="13">
        <f t="shared" si="10"/>
        <v>0</v>
      </c>
      <c r="S82" s="16"/>
    </row>
    <row r="83" spans="1:19" ht="15" customHeight="1" x14ac:dyDescent="0.25">
      <c r="A83" s="6" t="s">
        <v>97</v>
      </c>
      <c r="B83" s="7" t="s">
        <v>54</v>
      </c>
      <c r="C83" s="6" t="s">
        <v>13</v>
      </c>
      <c r="D83" s="7" t="s">
        <v>98</v>
      </c>
      <c r="E83" s="6" t="s">
        <v>35</v>
      </c>
      <c r="F83" s="6" t="s">
        <v>36</v>
      </c>
      <c r="G83" s="6" t="s">
        <v>20</v>
      </c>
      <c r="H83" s="8">
        <v>10</v>
      </c>
      <c r="I83" s="9">
        <v>38000</v>
      </c>
      <c r="J83" s="9">
        <f t="shared" si="6"/>
        <v>380000</v>
      </c>
      <c r="K83" s="1" t="s">
        <v>17</v>
      </c>
      <c r="L83" s="1" t="s">
        <v>129</v>
      </c>
      <c r="M83" s="2">
        <v>10</v>
      </c>
      <c r="N83" s="3">
        <v>38000</v>
      </c>
      <c r="O83" s="12">
        <f t="shared" si="7"/>
        <v>380000</v>
      </c>
      <c r="P83" s="13">
        <f t="shared" si="8"/>
        <v>0</v>
      </c>
      <c r="Q83" s="13">
        <f t="shared" si="9"/>
        <v>0</v>
      </c>
      <c r="R83" s="13">
        <f t="shared" si="10"/>
        <v>0</v>
      </c>
      <c r="S83" s="16"/>
    </row>
    <row r="84" spans="1:19" ht="15" customHeight="1" x14ac:dyDescent="0.25">
      <c r="A84" s="6" t="s">
        <v>97</v>
      </c>
      <c r="B84" s="7" t="s">
        <v>54</v>
      </c>
      <c r="C84" s="6" t="s">
        <v>13</v>
      </c>
      <c r="D84" s="7" t="s">
        <v>99</v>
      </c>
      <c r="E84" s="6" t="s">
        <v>37</v>
      </c>
      <c r="F84" s="6" t="s">
        <v>38</v>
      </c>
      <c r="G84" s="6" t="s">
        <v>20</v>
      </c>
      <c r="H84" s="8">
        <v>12</v>
      </c>
      <c r="I84" s="9">
        <v>47000</v>
      </c>
      <c r="J84" s="9">
        <f t="shared" si="6"/>
        <v>564000</v>
      </c>
      <c r="K84" s="1" t="s">
        <v>17</v>
      </c>
      <c r="L84" s="33" t="s">
        <v>38</v>
      </c>
      <c r="M84" s="33">
        <v>12</v>
      </c>
      <c r="N84" s="33">
        <v>47000</v>
      </c>
      <c r="O84" s="12">
        <f t="shared" si="7"/>
        <v>564000</v>
      </c>
      <c r="P84" s="13">
        <f t="shared" si="8"/>
        <v>0</v>
      </c>
      <c r="Q84" s="13">
        <f t="shared" si="9"/>
        <v>0</v>
      </c>
      <c r="R84" s="13">
        <f t="shared" si="10"/>
        <v>0</v>
      </c>
      <c r="S84" s="16"/>
    </row>
    <row r="85" spans="1:19" ht="15" customHeight="1" x14ac:dyDescent="0.25">
      <c r="A85" s="6" t="s">
        <v>97</v>
      </c>
      <c r="B85" s="7" t="s">
        <v>54</v>
      </c>
      <c r="C85" s="6" t="s">
        <v>13</v>
      </c>
      <c r="D85" s="7" t="s">
        <v>99</v>
      </c>
      <c r="E85" s="6" t="s">
        <v>14</v>
      </c>
      <c r="F85" s="6" t="s">
        <v>15</v>
      </c>
      <c r="G85" s="6" t="s">
        <v>16</v>
      </c>
      <c r="H85" s="8">
        <v>700</v>
      </c>
      <c r="I85" s="9">
        <v>4000</v>
      </c>
      <c r="J85" s="9">
        <f t="shared" si="6"/>
        <v>2800000</v>
      </c>
      <c r="K85" s="1" t="s">
        <v>17</v>
      </c>
      <c r="L85" s="33" t="s">
        <v>130</v>
      </c>
      <c r="M85" s="33">
        <v>700</v>
      </c>
      <c r="N85" s="33">
        <v>4000</v>
      </c>
      <c r="O85" s="12">
        <f t="shared" si="7"/>
        <v>2800000</v>
      </c>
      <c r="P85" s="13">
        <f t="shared" si="8"/>
        <v>0</v>
      </c>
      <c r="Q85" s="13">
        <f t="shared" si="9"/>
        <v>0</v>
      </c>
      <c r="R85" s="13">
        <f t="shared" si="10"/>
        <v>0</v>
      </c>
      <c r="S85" s="16"/>
    </row>
    <row r="86" spans="1:19" ht="15" customHeight="1" x14ac:dyDescent="0.25">
      <c r="A86" s="6" t="s">
        <v>97</v>
      </c>
      <c r="B86" s="7" t="s">
        <v>54</v>
      </c>
      <c r="C86" s="6" t="s">
        <v>13</v>
      </c>
      <c r="D86" s="7" t="s">
        <v>99</v>
      </c>
      <c r="E86" s="6" t="s">
        <v>39</v>
      </c>
      <c r="F86" s="6" t="s">
        <v>40</v>
      </c>
      <c r="G86" s="6" t="s">
        <v>20</v>
      </c>
      <c r="H86" s="8">
        <v>1</v>
      </c>
      <c r="I86" s="9">
        <v>60000</v>
      </c>
      <c r="J86" s="9">
        <f t="shared" si="6"/>
        <v>60000</v>
      </c>
      <c r="K86" s="1" t="s">
        <v>17</v>
      </c>
      <c r="L86" s="33" t="s">
        <v>137</v>
      </c>
      <c r="M86" s="33">
        <v>1</v>
      </c>
      <c r="N86" s="33">
        <v>60000</v>
      </c>
      <c r="O86" s="12">
        <f t="shared" si="7"/>
        <v>60000</v>
      </c>
      <c r="P86" s="13">
        <f t="shared" si="8"/>
        <v>0</v>
      </c>
      <c r="Q86" s="13">
        <f t="shared" si="9"/>
        <v>0</v>
      </c>
      <c r="R86" s="13">
        <f t="shared" si="10"/>
        <v>0</v>
      </c>
      <c r="S86" s="16"/>
    </row>
    <row r="87" spans="1:19" ht="15" customHeight="1" x14ac:dyDescent="0.25">
      <c r="A87" s="6" t="s">
        <v>97</v>
      </c>
      <c r="B87" s="7" t="s">
        <v>54</v>
      </c>
      <c r="C87" s="6" t="s">
        <v>13</v>
      </c>
      <c r="D87" s="7" t="s">
        <v>99</v>
      </c>
      <c r="E87" s="6" t="s">
        <v>18</v>
      </c>
      <c r="F87" s="6" t="s">
        <v>19</v>
      </c>
      <c r="G87" s="6" t="s">
        <v>20</v>
      </c>
      <c r="H87" s="8">
        <v>23.5</v>
      </c>
      <c r="I87" s="9">
        <v>80000</v>
      </c>
      <c r="J87" s="9">
        <f t="shared" si="6"/>
        <v>1880000</v>
      </c>
      <c r="K87" s="1" t="s">
        <v>17</v>
      </c>
      <c r="L87" s="33" t="s">
        <v>131</v>
      </c>
      <c r="M87" s="33">
        <v>23.5</v>
      </c>
      <c r="N87" s="33">
        <v>80000</v>
      </c>
      <c r="O87" s="12">
        <f t="shared" si="7"/>
        <v>1880000</v>
      </c>
      <c r="P87" s="13">
        <f t="shared" si="8"/>
        <v>0</v>
      </c>
      <c r="Q87" s="13">
        <f t="shared" si="9"/>
        <v>0</v>
      </c>
      <c r="R87" s="13">
        <f t="shared" si="10"/>
        <v>0</v>
      </c>
      <c r="S87" s="16"/>
    </row>
    <row r="88" spans="1:19" ht="15" customHeight="1" x14ac:dyDescent="0.25">
      <c r="A88" s="6" t="s">
        <v>97</v>
      </c>
      <c r="B88" s="7" t="s">
        <v>54</v>
      </c>
      <c r="C88" s="6" t="s">
        <v>13</v>
      </c>
      <c r="D88" s="7" t="s">
        <v>99</v>
      </c>
      <c r="E88" s="6" t="s">
        <v>43</v>
      </c>
      <c r="F88" s="6" t="s">
        <v>44</v>
      </c>
      <c r="G88" s="6" t="s">
        <v>20</v>
      </c>
      <c r="H88" s="8">
        <v>0.9</v>
      </c>
      <c r="I88" s="9">
        <v>100000</v>
      </c>
      <c r="J88" s="9">
        <f t="shared" si="6"/>
        <v>90000</v>
      </c>
      <c r="K88" s="1" t="s">
        <v>17</v>
      </c>
      <c r="L88" s="33" t="s">
        <v>138</v>
      </c>
      <c r="M88" s="33">
        <v>0.9</v>
      </c>
      <c r="N88" s="33">
        <v>100000</v>
      </c>
      <c r="O88" s="12">
        <f t="shared" si="7"/>
        <v>90000</v>
      </c>
      <c r="P88" s="13">
        <f t="shared" si="8"/>
        <v>0</v>
      </c>
      <c r="Q88" s="13">
        <f t="shared" si="9"/>
        <v>0</v>
      </c>
      <c r="R88" s="13">
        <f t="shared" si="10"/>
        <v>0</v>
      </c>
      <c r="S88" s="16"/>
    </row>
    <row r="89" spans="1:19" ht="15" customHeight="1" x14ac:dyDescent="0.25">
      <c r="A89" s="6" t="s">
        <v>97</v>
      </c>
      <c r="B89" s="7" t="s">
        <v>54</v>
      </c>
      <c r="C89" s="6" t="s">
        <v>13</v>
      </c>
      <c r="D89" s="7" t="s">
        <v>99</v>
      </c>
      <c r="E89" s="6" t="s">
        <v>100</v>
      </c>
      <c r="F89" s="6" t="s">
        <v>101</v>
      </c>
      <c r="G89" s="6" t="s">
        <v>20</v>
      </c>
      <c r="H89" s="8">
        <v>10</v>
      </c>
      <c r="I89" s="9">
        <v>60000</v>
      </c>
      <c r="J89" s="9">
        <f t="shared" si="6"/>
        <v>600000</v>
      </c>
      <c r="K89" s="1" t="s">
        <v>17</v>
      </c>
      <c r="L89" s="33" t="s">
        <v>147</v>
      </c>
      <c r="M89" s="33">
        <v>10</v>
      </c>
      <c r="N89" s="33">
        <v>60000</v>
      </c>
      <c r="O89" s="12">
        <f t="shared" si="7"/>
        <v>600000</v>
      </c>
      <c r="P89" s="13">
        <f t="shared" si="8"/>
        <v>0</v>
      </c>
      <c r="Q89" s="13">
        <f t="shared" si="9"/>
        <v>0</v>
      </c>
      <c r="R89" s="13">
        <f t="shared" si="10"/>
        <v>0</v>
      </c>
      <c r="S89" s="16"/>
    </row>
    <row r="90" spans="1:19" ht="15" customHeight="1" x14ac:dyDescent="0.25">
      <c r="A90" s="6" t="s">
        <v>97</v>
      </c>
      <c r="B90" s="7" t="s">
        <v>54</v>
      </c>
      <c r="C90" s="6" t="s">
        <v>13</v>
      </c>
      <c r="D90" s="7" t="s">
        <v>99</v>
      </c>
      <c r="E90" s="6" t="s">
        <v>25</v>
      </c>
      <c r="F90" s="6" t="s">
        <v>26</v>
      </c>
      <c r="G90" s="6" t="s">
        <v>20</v>
      </c>
      <c r="H90" s="8">
        <v>2</v>
      </c>
      <c r="I90" s="9">
        <v>33000</v>
      </c>
      <c r="J90" s="9">
        <f t="shared" si="6"/>
        <v>66000</v>
      </c>
      <c r="K90" s="1" t="s">
        <v>17</v>
      </c>
      <c r="L90" s="33" t="s">
        <v>132</v>
      </c>
      <c r="M90" s="33">
        <v>2</v>
      </c>
      <c r="N90" s="33">
        <v>33000</v>
      </c>
      <c r="O90" s="12">
        <f t="shared" si="7"/>
        <v>66000</v>
      </c>
      <c r="P90" s="13">
        <f t="shared" si="8"/>
        <v>0</v>
      </c>
      <c r="Q90" s="13">
        <f t="shared" si="9"/>
        <v>0</v>
      </c>
      <c r="R90" s="13">
        <f t="shared" si="10"/>
        <v>0</v>
      </c>
      <c r="S90" s="16"/>
    </row>
    <row r="91" spans="1:19" ht="15" customHeight="1" x14ac:dyDescent="0.25">
      <c r="A91" s="6" t="s">
        <v>97</v>
      </c>
      <c r="B91" s="7" t="s">
        <v>54</v>
      </c>
      <c r="C91" s="6" t="s">
        <v>13</v>
      </c>
      <c r="D91" s="7" t="s">
        <v>99</v>
      </c>
      <c r="E91" s="6" t="s">
        <v>102</v>
      </c>
      <c r="F91" s="6" t="s">
        <v>103</v>
      </c>
      <c r="G91" s="6" t="s">
        <v>20</v>
      </c>
      <c r="H91" s="8">
        <v>2</v>
      </c>
      <c r="I91" s="9">
        <v>13000</v>
      </c>
      <c r="J91" s="9">
        <f t="shared" si="6"/>
        <v>26000</v>
      </c>
      <c r="K91" s="1" t="s">
        <v>17</v>
      </c>
      <c r="L91" s="33" t="s">
        <v>103</v>
      </c>
      <c r="M91" s="33">
        <v>2</v>
      </c>
      <c r="N91" s="33">
        <v>13000</v>
      </c>
      <c r="O91" s="12">
        <f t="shared" si="7"/>
        <v>26000</v>
      </c>
      <c r="P91" s="13">
        <f t="shared" si="8"/>
        <v>0</v>
      </c>
      <c r="Q91" s="13">
        <f t="shared" si="9"/>
        <v>0</v>
      </c>
      <c r="R91" s="13">
        <f t="shared" si="10"/>
        <v>0</v>
      </c>
      <c r="S91" s="16"/>
    </row>
    <row r="92" spans="1:19" ht="15" customHeight="1" x14ac:dyDescent="0.25">
      <c r="A92" s="6" t="s">
        <v>97</v>
      </c>
      <c r="B92" s="7" t="s">
        <v>54</v>
      </c>
      <c r="C92" s="6" t="s">
        <v>13</v>
      </c>
      <c r="D92" s="7" t="s">
        <v>99</v>
      </c>
      <c r="E92" s="6" t="s">
        <v>21</v>
      </c>
      <c r="F92" s="6" t="s">
        <v>22</v>
      </c>
      <c r="G92" s="6" t="s">
        <v>20</v>
      </c>
      <c r="H92" s="8">
        <v>28.8</v>
      </c>
      <c r="I92" s="9">
        <v>50000</v>
      </c>
      <c r="J92" s="9">
        <f t="shared" si="6"/>
        <v>1440000</v>
      </c>
      <c r="K92" s="1" t="s">
        <v>17</v>
      </c>
      <c r="L92" s="33" t="s">
        <v>135</v>
      </c>
      <c r="M92" s="33">
        <v>28.8</v>
      </c>
      <c r="N92" s="33">
        <v>50000</v>
      </c>
      <c r="O92" s="12">
        <f t="shared" si="7"/>
        <v>1440000</v>
      </c>
      <c r="P92" s="13">
        <f t="shared" si="8"/>
        <v>0</v>
      </c>
      <c r="Q92" s="13">
        <f t="shared" si="9"/>
        <v>0</v>
      </c>
      <c r="R92" s="13">
        <f t="shared" si="10"/>
        <v>0</v>
      </c>
      <c r="S92" s="16"/>
    </row>
    <row r="93" spans="1:19" ht="15" customHeight="1" x14ac:dyDescent="0.25">
      <c r="A93" s="6" t="s">
        <v>104</v>
      </c>
      <c r="B93" s="7" t="s">
        <v>54</v>
      </c>
      <c r="C93" s="6" t="s">
        <v>13</v>
      </c>
      <c r="D93" s="7" t="s">
        <v>105</v>
      </c>
      <c r="E93" s="6" t="s">
        <v>47</v>
      </c>
      <c r="F93" s="6" t="s">
        <v>48</v>
      </c>
      <c r="G93" s="6" t="s">
        <v>20</v>
      </c>
      <c r="H93" s="8">
        <v>6</v>
      </c>
      <c r="I93" s="9">
        <v>18000</v>
      </c>
      <c r="J93" s="9">
        <f t="shared" si="6"/>
        <v>108000</v>
      </c>
      <c r="K93" s="1" t="s">
        <v>17</v>
      </c>
      <c r="L93" s="34" t="s">
        <v>48</v>
      </c>
      <c r="M93" s="35">
        <v>6</v>
      </c>
      <c r="N93" s="36">
        <v>18000</v>
      </c>
      <c r="O93" s="12">
        <f t="shared" si="7"/>
        <v>108000</v>
      </c>
      <c r="P93" s="13">
        <f t="shared" si="8"/>
        <v>0</v>
      </c>
      <c r="Q93" s="13">
        <f t="shared" si="9"/>
        <v>0</v>
      </c>
      <c r="R93" s="13">
        <f t="shared" si="10"/>
        <v>0</v>
      </c>
      <c r="S93" s="16"/>
    </row>
    <row r="94" spans="1:19" ht="15" customHeight="1" x14ac:dyDescent="0.25">
      <c r="A94" s="6" t="s">
        <v>104</v>
      </c>
      <c r="B94" s="7" t="s">
        <v>54</v>
      </c>
      <c r="C94" s="6" t="s">
        <v>13</v>
      </c>
      <c r="D94" s="7" t="s">
        <v>105</v>
      </c>
      <c r="E94" s="6" t="s">
        <v>73</v>
      </c>
      <c r="F94" s="6" t="s">
        <v>74</v>
      </c>
      <c r="G94" s="6" t="s">
        <v>20</v>
      </c>
      <c r="H94" s="8">
        <v>6</v>
      </c>
      <c r="I94" s="9">
        <v>25000</v>
      </c>
      <c r="J94" s="9">
        <f t="shared" si="6"/>
        <v>150000</v>
      </c>
      <c r="K94" s="1" t="s">
        <v>17</v>
      </c>
      <c r="L94" s="1" t="s">
        <v>145</v>
      </c>
      <c r="M94" s="2">
        <v>6</v>
      </c>
      <c r="N94" s="3">
        <v>25000</v>
      </c>
      <c r="O94" s="12">
        <f t="shared" si="7"/>
        <v>150000</v>
      </c>
      <c r="P94" s="13">
        <f t="shared" si="8"/>
        <v>0</v>
      </c>
      <c r="Q94" s="13">
        <f t="shared" si="9"/>
        <v>0</v>
      </c>
      <c r="R94" s="13">
        <f t="shared" si="10"/>
        <v>0</v>
      </c>
      <c r="S94" s="16"/>
    </row>
    <row r="95" spans="1:19" ht="15" customHeight="1" x14ac:dyDescent="0.25">
      <c r="A95" s="6" t="s">
        <v>104</v>
      </c>
      <c r="B95" s="7" t="s">
        <v>54</v>
      </c>
      <c r="C95" s="6" t="s">
        <v>13</v>
      </c>
      <c r="D95" s="7" t="s">
        <v>105</v>
      </c>
      <c r="E95" s="6" t="s">
        <v>49</v>
      </c>
      <c r="F95" s="6" t="s">
        <v>50</v>
      </c>
      <c r="G95" s="6" t="s">
        <v>20</v>
      </c>
      <c r="H95" s="8">
        <v>6</v>
      </c>
      <c r="I95" s="9">
        <v>13000</v>
      </c>
      <c r="J95" s="9">
        <f t="shared" si="6"/>
        <v>78000</v>
      </c>
      <c r="K95" s="1" t="s">
        <v>17</v>
      </c>
      <c r="L95" s="1" t="s">
        <v>136</v>
      </c>
      <c r="M95" s="2">
        <v>6</v>
      </c>
      <c r="N95" s="3">
        <v>13000</v>
      </c>
      <c r="O95" s="12">
        <f t="shared" si="7"/>
        <v>78000</v>
      </c>
      <c r="P95" s="13">
        <f t="shared" si="8"/>
        <v>0</v>
      </c>
      <c r="Q95" s="13">
        <f t="shared" si="9"/>
        <v>0</v>
      </c>
      <c r="R95" s="13">
        <f t="shared" si="10"/>
        <v>0</v>
      </c>
      <c r="S95" s="16"/>
    </row>
    <row r="96" spans="1:19" ht="15" customHeight="1" x14ac:dyDescent="0.25">
      <c r="A96" s="6" t="s">
        <v>104</v>
      </c>
      <c r="B96" s="7" t="s">
        <v>54</v>
      </c>
      <c r="C96" s="6" t="s">
        <v>13</v>
      </c>
      <c r="D96" s="7" t="s">
        <v>105</v>
      </c>
      <c r="E96" s="6" t="s">
        <v>14</v>
      </c>
      <c r="F96" s="6" t="s">
        <v>15</v>
      </c>
      <c r="G96" s="6" t="s">
        <v>16</v>
      </c>
      <c r="H96" s="8">
        <v>990</v>
      </c>
      <c r="I96" s="9">
        <v>4000</v>
      </c>
      <c r="J96" s="9">
        <f t="shared" si="6"/>
        <v>3960000</v>
      </c>
      <c r="K96" s="1" t="s">
        <v>17</v>
      </c>
      <c r="L96" s="1" t="s">
        <v>130</v>
      </c>
      <c r="M96" s="2">
        <v>990</v>
      </c>
      <c r="N96" s="3">
        <v>4000</v>
      </c>
      <c r="O96" s="12">
        <f t="shared" si="7"/>
        <v>3960000</v>
      </c>
      <c r="P96" s="13">
        <f t="shared" si="8"/>
        <v>0</v>
      </c>
      <c r="Q96" s="13">
        <f t="shared" si="9"/>
        <v>0</v>
      </c>
      <c r="R96" s="13">
        <f t="shared" si="10"/>
        <v>0</v>
      </c>
      <c r="S96" s="16"/>
    </row>
    <row r="97" spans="1:19" ht="15" customHeight="1" x14ac:dyDescent="0.25">
      <c r="A97" s="6" t="s">
        <v>104</v>
      </c>
      <c r="B97" s="7" t="s">
        <v>54</v>
      </c>
      <c r="C97" s="6" t="s">
        <v>13</v>
      </c>
      <c r="D97" s="7" t="s">
        <v>105</v>
      </c>
      <c r="E97" s="6" t="s">
        <v>18</v>
      </c>
      <c r="F97" s="6" t="s">
        <v>19</v>
      </c>
      <c r="G97" s="6" t="s">
        <v>20</v>
      </c>
      <c r="H97" s="8">
        <v>20</v>
      </c>
      <c r="I97" s="9">
        <v>80000</v>
      </c>
      <c r="J97" s="9">
        <f t="shared" si="6"/>
        <v>1600000</v>
      </c>
      <c r="K97" s="1" t="s">
        <v>17</v>
      </c>
      <c r="L97" s="1" t="s">
        <v>131</v>
      </c>
      <c r="M97" s="2">
        <v>20</v>
      </c>
      <c r="N97" s="3">
        <v>80000</v>
      </c>
      <c r="O97" s="12">
        <f t="shared" si="7"/>
        <v>1600000</v>
      </c>
      <c r="P97" s="13">
        <f t="shared" si="8"/>
        <v>0</v>
      </c>
      <c r="Q97" s="13">
        <f t="shared" si="9"/>
        <v>0</v>
      </c>
      <c r="R97" s="13">
        <f t="shared" si="10"/>
        <v>0</v>
      </c>
      <c r="S97" s="16"/>
    </row>
    <row r="98" spans="1:19" ht="15" customHeight="1" x14ac:dyDescent="0.25">
      <c r="A98" s="6" t="s">
        <v>104</v>
      </c>
      <c r="B98" s="7" t="s">
        <v>54</v>
      </c>
      <c r="C98" s="6" t="s">
        <v>13</v>
      </c>
      <c r="D98" s="7" t="s">
        <v>105</v>
      </c>
      <c r="E98" s="6" t="s">
        <v>23</v>
      </c>
      <c r="F98" s="6" t="s">
        <v>24</v>
      </c>
      <c r="G98" s="6" t="s">
        <v>20</v>
      </c>
      <c r="H98" s="8">
        <v>1.9</v>
      </c>
      <c r="I98" s="9">
        <v>42000</v>
      </c>
      <c r="J98" s="9">
        <f t="shared" si="6"/>
        <v>79800</v>
      </c>
      <c r="K98" s="1" t="s">
        <v>17</v>
      </c>
      <c r="L98" s="1" t="s">
        <v>24</v>
      </c>
      <c r="M98" s="2">
        <v>1.9</v>
      </c>
      <c r="N98" s="3">
        <v>42000</v>
      </c>
      <c r="O98" s="12">
        <f t="shared" si="7"/>
        <v>79800</v>
      </c>
      <c r="P98" s="13">
        <f t="shared" si="8"/>
        <v>0</v>
      </c>
      <c r="Q98" s="13">
        <f t="shared" si="9"/>
        <v>0</v>
      </c>
      <c r="R98" s="13">
        <f t="shared" si="10"/>
        <v>0</v>
      </c>
      <c r="S98" s="16"/>
    </row>
    <row r="99" spans="1:19" ht="15" customHeight="1" x14ac:dyDescent="0.25">
      <c r="A99" s="6" t="s">
        <v>104</v>
      </c>
      <c r="B99" s="7" t="s">
        <v>54</v>
      </c>
      <c r="C99" s="6" t="s">
        <v>13</v>
      </c>
      <c r="D99" s="7" t="s">
        <v>105</v>
      </c>
      <c r="E99" s="6" t="s">
        <v>29</v>
      </c>
      <c r="F99" s="6" t="s">
        <v>30</v>
      </c>
      <c r="G99" s="6" t="s">
        <v>20</v>
      </c>
      <c r="H99" s="8">
        <v>20</v>
      </c>
      <c r="I99" s="9">
        <v>148000</v>
      </c>
      <c r="J99" s="9">
        <f t="shared" si="6"/>
        <v>2960000</v>
      </c>
      <c r="K99" s="1" t="s">
        <v>17</v>
      </c>
      <c r="L99" s="1" t="s">
        <v>134</v>
      </c>
      <c r="M99" s="2">
        <v>20</v>
      </c>
      <c r="N99" s="3">
        <v>148000</v>
      </c>
      <c r="O99" s="12">
        <f t="shared" si="7"/>
        <v>2960000</v>
      </c>
      <c r="P99" s="13">
        <f t="shared" si="8"/>
        <v>0</v>
      </c>
      <c r="Q99" s="13">
        <f t="shared" si="9"/>
        <v>0</v>
      </c>
      <c r="R99" s="13">
        <f t="shared" si="10"/>
        <v>0</v>
      </c>
      <c r="S99" s="16"/>
    </row>
    <row r="100" spans="1:19" ht="15" customHeight="1" x14ac:dyDescent="0.25">
      <c r="A100" s="6" t="s">
        <v>104</v>
      </c>
      <c r="B100" s="7" t="s">
        <v>54</v>
      </c>
      <c r="C100" s="6" t="s">
        <v>13</v>
      </c>
      <c r="D100" s="7" t="s">
        <v>105</v>
      </c>
      <c r="E100" s="6" t="s">
        <v>21</v>
      </c>
      <c r="F100" s="6" t="s">
        <v>22</v>
      </c>
      <c r="G100" s="6" t="s">
        <v>20</v>
      </c>
      <c r="H100" s="8">
        <v>30</v>
      </c>
      <c r="I100" s="9">
        <v>50000</v>
      </c>
      <c r="J100" s="9">
        <f t="shared" si="6"/>
        <v>1500000</v>
      </c>
      <c r="K100" s="1" t="s">
        <v>17</v>
      </c>
      <c r="L100" s="1" t="s">
        <v>135</v>
      </c>
      <c r="M100" s="2">
        <v>30</v>
      </c>
      <c r="N100" s="3">
        <v>50000</v>
      </c>
      <c r="O100" s="12">
        <f t="shared" si="7"/>
        <v>1500000</v>
      </c>
      <c r="P100" s="13">
        <f t="shared" si="8"/>
        <v>0</v>
      </c>
      <c r="Q100" s="13">
        <f t="shared" si="9"/>
        <v>0</v>
      </c>
      <c r="R100" s="13">
        <f t="shared" si="10"/>
        <v>0</v>
      </c>
      <c r="S100" s="16"/>
    </row>
    <row r="101" spans="1:19" ht="15" customHeight="1" x14ac:dyDescent="0.25">
      <c r="A101" s="6" t="s">
        <v>106</v>
      </c>
      <c r="B101" s="7" t="s">
        <v>54</v>
      </c>
      <c r="C101" s="6" t="s">
        <v>13</v>
      </c>
      <c r="D101" s="7" t="s">
        <v>107</v>
      </c>
      <c r="E101" s="6" t="s">
        <v>33</v>
      </c>
      <c r="F101" s="6" t="s">
        <v>34</v>
      </c>
      <c r="G101" s="6" t="s">
        <v>20</v>
      </c>
      <c r="H101" s="8">
        <v>4</v>
      </c>
      <c r="I101" s="9">
        <v>38000</v>
      </c>
      <c r="J101" s="9">
        <f t="shared" si="6"/>
        <v>152000</v>
      </c>
      <c r="K101" s="1" t="s">
        <v>17</v>
      </c>
      <c r="L101" s="1" t="s">
        <v>126</v>
      </c>
      <c r="M101" s="2">
        <v>4</v>
      </c>
      <c r="N101" s="3">
        <v>38000</v>
      </c>
      <c r="O101" s="12">
        <f t="shared" si="7"/>
        <v>152000</v>
      </c>
      <c r="P101" s="13">
        <f t="shared" si="8"/>
        <v>0</v>
      </c>
      <c r="Q101" s="13">
        <f t="shared" si="9"/>
        <v>0</v>
      </c>
      <c r="R101" s="13">
        <f t="shared" si="10"/>
        <v>0</v>
      </c>
      <c r="S101" s="16"/>
    </row>
    <row r="102" spans="1:19" ht="15" customHeight="1" x14ac:dyDescent="0.25">
      <c r="A102" s="6" t="s">
        <v>106</v>
      </c>
      <c r="B102" s="7" t="s">
        <v>54</v>
      </c>
      <c r="C102" s="6" t="s">
        <v>13</v>
      </c>
      <c r="D102" s="7" t="s">
        <v>107</v>
      </c>
      <c r="E102" s="6" t="s">
        <v>37</v>
      </c>
      <c r="F102" s="6" t="s">
        <v>38</v>
      </c>
      <c r="G102" s="6" t="s">
        <v>20</v>
      </c>
      <c r="H102" s="8">
        <v>12</v>
      </c>
      <c r="I102" s="9">
        <v>47000</v>
      </c>
      <c r="J102" s="9">
        <f t="shared" si="6"/>
        <v>564000</v>
      </c>
      <c r="K102" s="1" t="s">
        <v>17</v>
      </c>
      <c r="L102" s="1" t="s">
        <v>38</v>
      </c>
      <c r="M102" s="2">
        <v>12</v>
      </c>
      <c r="N102" s="3">
        <v>47000</v>
      </c>
      <c r="O102" s="12">
        <f t="shared" si="7"/>
        <v>564000</v>
      </c>
      <c r="P102" s="13">
        <f t="shared" si="8"/>
        <v>0</v>
      </c>
      <c r="Q102" s="13">
        <f t="shared" si="9"/>
        <v>0</v>
      </c>
      <c r="R102" s="13">
        <f t="shared" si="10"/>
        <v>0</v>
      </c>
      <c r="S102" s="16"/>
    </row>
    <row r="103" spans="1:19" ht="15" customHeight="1" x14ac:dyDescent="0.25">
      <c r="A103" s="6" t="s">
        <v>106</v>
      </c>
      <c r="B103" s="7" t="s">
        <v>54</v>
      </c>
      <c r="C103" s="6" t="s">
        <v>13</v>
      </c>
      <c r="D103" s="7" t="s">
        <v>107</v>
      </c>
      <c r="E103" s="6" t="s">
        <v>14</v>
      </c>
      <c r="F103" s="6" t="s">
        <v>15</v>
      </c>
      <c r="G103" s="6" t="s">
        <v>16</v>
      </c>
      <c r="H103" s="8">
        <v>690</v>
      </c>
      <c r="I103" s="9">
        <v>4000</v>
      </c>
      <c r="J103" s="9">
        <f t="shared" si="6"/>
        <v>2760000</v>
      </c>
      <c r="K103" s="1" t="s">
        <v>17</v>
      </c>
      <c r="L103" s="1" t="s">
        <v>130</v>
      </c>
      <c r="M103" s="2">
        <v>690</v>
      </c>
      <c r="N103" s="3">
        <v>4000</v>
      </c>
      <c r="O103" s="12">
        <f t="shared" si="7"/>
        <v>2760000</v>
      </c>
      <c r="P103" s="13">
        <f t="shared" si="8"/>
        <v>0</v>
      </c>
      <c r="Q103" s="13">
        <f t="shared" si="9"/>
        <v>0</v>
      </c>
      <c r="R103" s="13">
        <f t="shared" si="10"/>
        <v>0</v>
      </c>
      <c r="S103" s="16"/>
    </row>
    <row r="104" spans="1:19" ht="15" customHeight="1" x14ac:dyDescent="0.25">
      <c r="A104" s="6" t="s">
        <v>106</v>
      </c>
      <c r="B104" s="7" t="s">
        <v>54</v>
      </c>
      <c r="C104" s="6" t="s">
        <v>13</v>
      </c>
      <c r="D104" s="7" t="s">
        <v>107</v>
      </c>
      <c r="E104" s="6" t="s">
        <v>39</v>
      </c>
      <c r="F104" s="6" t="s">
        <v>40</v>
      </c>
      <c r="G104" s="6" t="s">
        <v>20</v>
      </c>
      <c r="H104" s="8">
        <v>1</v>
      </c>
      <c r="I104" s="9">
        <v>60000</v>
      </c>
      <c r="J104" s="9">
        <f t="shared" si="6"/>
        <v>60000</v>
      </c>
      <c r="K104" s="1" t="s">
        <v>17</v>
      </c>
      <c r="L104" s="1" t="s">
        <v>137</v>
      </c>
      <c r="M104" s="2">
        <v>1</v>
      </c>
      <c r="N104" s="3">
        <v>60000</v>
      </c>
      <c r="O104" s="12">
        <f t="shared" si="7"/>
        <v>60000</v>
      </c>
      <c r="P104" s="13">
        <f t="shared" si="8"/>
        <v>0</v>
      </c>
      <c r="Q104" s="13">
        <f t="shared" si="9"/>
        <v>0</v>
      </c>
      <c r="R104" s="13">
        <f t="shared" si="10"/>
        <v>0</v>
      </c>
      <c r="S104" s="16"/>
    </row>
    <row r="105" spans="1:19" ht="15" customHeight="1" x14ac:dyDescent="0.25">
      <c r="A105" s="6" t="s">
        <v>106</v>
      </c>
      <c r="B105" s="7" t="s">
        <v>54</v>
      </c>
      <c r="C105" s="6" t="s">
        <v>13</v>
      </c>
      <c r="D105" s="7" t="s">
        <v>107</v>
      </c>
      <c r="E105" s="6" t="s">
        <v>41</v>
      </c>
      <c r="F105" s="6" t="s">
        <v>42</v>
      </c>
      <c r="G105" s="6" t="s">
        <v>20</v>
      </c>
      <c r="H105" s="8">
        <v>1</v>
      </c>
      <c r="I105" s="9">
        <v>55000</v>
      </c>
      <c r="J105" s="9">
        <f t="shared" si="6"/>
        <v>55000</v>
      </c>
      <c r="K105" s="1" t="s">
        <v>17</v>
      </c>
      <c r="L105" s="1" t="s">
        <v>42</v>
      </c>
      <c r="M105" s="2">
        <v>1</v>
      </c>
      <c r="N105" s="3">
        <v>55000</v>
      </c>
      <c r="O105" s="12">
        <f t="shared" si="7"/>
        <v>55000</v>
      </c>
      <c r="P105" s="13">
        <f t="shared" si="8"/>
        <v>0</v>
      </c>
      <c r="Q105" s="13">
        <f t="shared" si="9"/>
        <v>0</v>
      </c>
      <c r="R105" s="13">
        <f t="shared" si="10"/>
        <v>0</v>
      </c>
      <c r="S105" s="16"/>
    </row>
    <row r="106" spans="1:19" ht="15" customHeight="1" x14ac:dyDescent="0.25">
      <c r="A106" s="6" t="s">
        <v>106</v>
      </c>
      <c r="B106" s="7" t="s">
        <v>54</v>
      </c>
      <c r="C106" s="6" t="s">
        <v>13</v>
      </c>
      <c r="D106" s="7" t="s">
        <v>107</v>
      </c>
      <c r="E106" s="6" t="s">
        <v>18</v>
      </c>
      <c r="F106" s="6" t="s">
        <v>19</v>
      </c>
      <c r="G106" s="6" t="s">
        <v>20</v>
      </c>
      <c r="H106" s="8">
        <v>30</v>
      </c>
      <c r="I106" s="9">
        <v>80000</v>
      </c>
      <c r="J106" s="9">
        <f t="shared" si="6"/>
        <v>2400000</v>
      </c>
      <c r="K106" s="1" t="s">
        <v>17</v>
      </c>
      <c r="L106" s="1" t="s">
        <v>131</v>
      </c>
      <c r="M106" s="2">
        <v>30</v>
      </c>
      <c r="N106" s="3">
        <v>80000</v>
      </c>
      <c r="O106" s="12">
        <f t="shared" si="7"/>
        <v>2400000</v>
      </c>
      <c r="P106" s="13">
        <f t="shared" si="8"/>
        <v>0</v>
      </c>
      <c r="Q106" s="13">
        <f t="shared" si="9"/>
        <v>0</v>
      </c>
      <c r="R106" s="13">
        <f t="shared" si="10"/>
        <v>0</v>
      </c>
      <c r="S106" s="16"/>
    </row>
    <row r="107" spans="1:19" ht="15" customHeight="1" x14ac:dyDescent="0.25">
      <c r="A107" s="6" t="s">
        <v>106</v>
      </c>
      <c r="B107" s="7" t="s">
        <v>54</v>
      </c>
      <c r="C107" s="6" t="s">
        <v>13</v>
      </c>
      <c r="D107" s="7" t="s">
        <v>107</v>
      </c>
      <c r="E107" s="6" t="s">
        <v>43</v>
      </c>
      <c r="F107" s="6" t="s">
        <v>44</v>
      </c>
      <c r="G107" s="6" t="s">
        <v>20</v>
      </c>
      <c r="H107" s="8">
        <v>1</v>
      </c>
      <c r="I107" s="9">
        <v>100000</v>
      </c>
      <c r="J107" s="9">
        <f t="shared" si="6"/>
        <v>100000</v>
      </c>
      <c r="K107" s="1" t="s">
        <v>17</v>
      </c>
      <c r="L107" s="1" t="s">
        <v>138</v>
      </c>
      <c r="M107" s="2">
        <v>1</v>
      </c>
      <c r="N107" s="3">
        <v>100000</v>
      </c>
      <c r="O107" s="12">
        <f t="shared" si="7"/>
        <v>100000</v>
      </c>
      <c r="P107" s="13">
        <f>H107-M107</f>
        <v>0</v>
      </c>
      <c r="Q107" s="13">
        <f>I107-N107</f>
        <v>0</v>
      </c>
      <c r="R107" s="13">
        <f>J107-O107</f>
        <v>0</v>
      </c>
      <c r="S107" s="16"/>
    </row>
    <row r="108" spans="1:19" ht="15" customHeight="1" x14ac:dyDescent="0.25">
      <c r="A108" s="6" t="s">
        <v>106</v>
      </c>
      <c r="B108" s="7" t="s">
        <v>54</v>
      </c>
      <c r="C108" s="6" t="s">
        <v>13</v>
      </c>
      <c r="D108" s="7" t="s">
        <v>107</v>
      </c>
      <c r="E108" s="6" t="s">
        <v>25</v>
      </c>
      <c r="F108" s="6" t="s">
        <v>26</v>
      </c>
      <c r="G108" s="6" t="s">
        <v>20</v>
      </c>
      <c r="H108" s="8">
        <v>1</v>
      </c>
      <c r="I108" s="9">
        <v>33000</v>
      </c>
      <c r="J108" s="9">
        <f t="shared" si="6"/>
        <v>33000</v>
      </c>
      <c r="K108" s="1" t="s">
        <v>17</v>
      </c>
      <c r="L108" s="1" t="s">
        <v>132</v>
      </c>
      <c r="M108" s="2">
        <v>1</v>
      </c>
      <c r="N108" s="3">
        <v>33000</v>
      </c>
      <c r="O108" s="12">
        <f t="shared" si="7"/>
        <v>33000</v>
      </c>
      <c r="P108" s="13">
        <f t="shared" si="8"/>
        <v>0</v>
      </c>
      <c r="Q108" s="13">
        <f t="shared" si="9"/>
        <v>0</v>
      </c>
      <c r="R108" s="13">
        <f t="shared" si="10"/>
        <v>0</v>
      </c>
      <c r="S108" s="16"/>
    </row>
    <row r="109" spans="1:19" ht="15" customHeight="1" x14ac:dyDescent="0.25">
      <c r="A109" s="6" t="s">
        <v>106</v>
      </c>
      <c r="B109" s="7" t="s">
        <v>54</v>
      </c>
      <c r="C109" s="6" t="s">
        <v>13</v>
      </c>
      <c r="D109" s="7" t="s">
        <v>107</v>
      </c>
      <c r="E109" s="6" t="s">
        <v>45</v>
      </c>
      <c r="F109" s="6" t="s">
        <v>46</v>
      </c>
      <c r="G109" s="6" t="s">
        <v>20</v>
      </c>
      <c r="H109" s="8">
        <v>1</v>
      </c>
      <c r="I109" s="9">
        <v>45000</v>
      </c>
      <c r="J109" s="9">
        <f t="shared" si="6"/>
        <v>45000</v>
      </c>
      <c r="K109" s="1" t="s">
        <v>17</v>
      </c>
      <c r="L109" s="1" t="s">
        <v>139</v>
      </c>
      <c r="M109" s="2">
        <v>1</v>
      </c>
      <c r="N109" s="3">
        <v>45000</v>
      </c>
      <c r="O109" s="12">
        <f t="shared" si="7"/>
        <v>45000</v>
      </c>
      <c r="P109" s="13">
        <f t="shared" si="8"/>
        <v>0</v>
      </c>
      <c r="Q109" s="13">
        <f t="shared" si="9"/>
        <v>0</v>
      </c>
      <c r="R109" s="13">
        <f t="shared" si="10"/>
        <v>0</v>
      </c>
      <c r="S109" s="16"/>
    </row>
    <row r="110" spans="1:19" ht="15" customHeight="1" x14ac:dyDescent="0.25">
      <c r="A110" s="6" t="s">
        <v>106</v>
      </c>
      <c r="B110" s="7" t="s">
        <v>54</v>
      </c>
      <c r="C110" s="6" t="s">
        <v>13</v>
      </c>
      <c r="D110" s="7" t="s">
        <v>107</v>
      </c>
      <c r="E110" s="6" t="s">
        <v>27</v>
      </c>
      <c r="F110" s="6" t="s">
        <v>28</v>
      </c>
      <c r="G110" s="6" t="s">
        <v>20</v>
      </c>
      <c r="H110" s="8">
        <v>9.5</v>
      </c>
      <c r="I110" s="9">
        <v>185000</v>
      </c>
      <c r="J110" s="9">
        <f t="shared" si="6"/>
        <v>1757500</v>
      </c>
      <c r="K110" s="1" t="s">
        <v>17</v>
      </c>
      <c r="L110" s="1" t="s">
        <v>133</v>
      </c>
      <c r="M110" s="2">
        <v>9.5</v>
      </c>
      <c r="N110" s="3">
        <v>185000</v>
      </c>
      <c r="O110" s="12">
        <f t="shared" si="7"/>
        <v>1757500</v>
      </c>
      <c r="P110" s="13">
        <f t="shared" si="8"/>
        <v>0</v>
      </c>
      <c r="Q110" s="13">
        <f t="shared" si="9"/>
        <v>0</v>
      </c>
      <c r="R110" s="13">
        <f t="shared" si="10"/>
        <v>0</v>
      </c>
      <c r="S110" s="16"/>
    </row>
    <row r="111" spans="1:19" x14ac:dyDescent="0.25">
      <c r="A111" s="6" t="s">
        <v>106</v>
      </c>
      <c r="B111" s="7" t="s">
        <v>54</v>
      </c>
      <c r="C111" s="6" t="s">
        <v>13</v>
      </c>
      <c r="D111" s="7" t="s">
        <v>107</v>
      </c>
      <c r="E111" s="6" t="s">
        <v>69</v>
      </c>
      <c r="F111" s="6" t="s">
        <v>70</v>
      </c>
      <c r="G111" s="6" t="s">
        <v>20</v>
      </c>
      <c r="H111" s="8">
        <v>0.5</v>
      </c>
      <c r="I111" s="9">
        <v>220000</v>
      </c>
      <c r="J111" s="9">
        <f t="shared" si="6"/>
        <v>110000</v>
      </c>
      <c r="K111" s="1" t="s">
        <v>17</v>
      </c>
      <c r="L111" s="1" t="s">
        <v>140</v>
      </c>
      <c r="M111" s="2">
        <v>0.5</v>
      </c>
      <c r="N111" s="3">
        <v>220000</v>
      </c>
      <c r="O111" s="12">
        <f t="shared" si="7"/>
        <v>110000</v>
      </c>
      <c r="P111" s="13">
        <f t="shared" si="8"/>
        <v>0</v>
      </c>
      <c r="Q111" s="13">
        <f t="shared" si="9"/>
        <v>0</v>
      </c>
      <c r="R111" s="13">
        <f t="shared" si="10"/>
        <v>0</v>
      </c>
      <c r="S111" s="16"/>
    </row>
    <row r="112" spans="1:19" ht="15" customHeight="1" x14ac:dyDescent="0.25">
      <c r="A112" s="6" t="s">
        <v>106</v>
      </c>
      <c r="B112" s="7" t="s">
        <v>54</v>
      </c>
      <c r="C112" s="6" t="s">
        <v>13</v>
      </c>
      <c r="D112" s="7" t="s">
        <v>107</v>
      </c>
      <c r="E112" s="6" t="s">
        <v>57</v>
      </c>
      <c r="F112" s="6" t="s">
        <v>58</v>
      </c>
      <c r="G112" s="6" t="s">
        <v>20</v>
      </c>
      <c r="H112" s="8">
        <v>9.5</v>
      </c>
      <c r="I112" s="9">
        <v>21000</v>
      </c>
      <c r="J112" s="9">
        <f t="shared" si="6"/>
        <v>199500</v>
      </c>
      <c r="K112" s="1" t="s">
        <v>17</v>
      </c>
      <c r="L112" s="1" t="s">
        <v>146</v>
      </c>
      <c r="M112" s="2">
        <v>9.5</v>
      </c>
      <c r="N112" s="3">
        <v>21000</v>
      </c>
      <c r="O112" s="12">
        <f t="shared" si="7"/>
        <v>199500</v>
      </c>
      <c r="P112" s="13">
        <f t="shared" si="8"/>
        <v>0</v>
      </c>
      <c r="Q112" s="13">
        <f t="shared" si="9"/>
        <v>0</v>
      </c>
      <c r="R112" s="13">
        <f t="shared" si="10"/>
        <v>0</v>
      </c>
      <c r="S112" s="16"/>
    </row>
    <row r="113" spans="1:19" ht="15" customHeight="1" x14ac:dyDescent="0.25">
      <c r="A113" s="6" t="s">
        <v>106</v>
      </c>
      <c r="B113" s="7" t="s">
        <v>54</v>
      </c>
      <c r="C113" s="6" t="s">
        <v>13</v>
      </c>
      <c r="D113" s="7" t="s">
        <v>107</v>
      </c>
      <c r="E113" s="6" t="s">
        <v>21</v>
      </c>
      <c r="F113" s="6" t="s">
        <v>22</v>
      </c>
      <c r="G113" s="6" t="s">
        <v>20</v>
      </c>
      <c r="H113" s="8">
        <v>10</v>
      </c>
      <c r="I113" s="9">
        <v>50000</v>
      </c>
      <c r="J113" s="9">
        <f t="shared" si="6"/>
        <v>500000</v>
      </c>
      <c r="K113" s="1" t="s">
        <v>17</v>
      </c>
      <c r="L113" s="1" t="s">
        <v>135</v>
      </c>
      <c r="M113" s="2">
        <v>10</v>
      </c>
      <c r="N113" s="3">
        <v>50000</v>
      </c>
      <c r="O113" s="12">
        <f t="shared" si="7"/>
        <v>500000</v>
      </c>
      <c r="P113" s="13">
        <f t="shared" si="8"/>
        <v>0</v>
      </c>
      <c r="Q113" s="13">
        <f t="shared" si="9"/>
        <v>0</v>
      </c>
      <c r="R113" s="13">
        <f t="shared" si="10"/>
        <v>0</v>
      </c>
      <c r="S113" s="16"/>
    </row>
    <row r="114" spans="1:19" ht="15" customHeight="1" x14ac:dyDescent="0.25">
      <c r="A114" s="6" t="s">
        <v>108</v>
      </c>
      <c r="B114" s="7" t="s">
        <v>54</v>
      </c>
      <c r="C114" s="6" t="s">
        <v>13</v>
      </c>
      <c r="D114" s="7" t="s">
        <v>109</v>
      </c>
      <c r="E114" s="6" t="s">
        <v>35</v>
      </c>
      <c r="F114" s="6" t="s">
        <v>36</v>
      </c>
      <c r="G114" s="6" t="s">
        <v>20</v>
      </c>
      <c r="H114" s="8">
        <v>5</v>
      </c>
      <c r="I114" s="9">
        <v>38000</v>
      </c>
      <c r="J114" s="9">
        <f t="shared" si="6"/>
        <v>190000</v>
      </c>
      <c r="K114" s="1" t="s">
        <v>17</v>
      </c>
      <c r="L114" s="1" t="s">
        <v>129</v>
      </c>
      <c r="M114" s="2">
        <v>5</v>
      </c>
      <c r="N114" s="3">
        <v>38000</v>
      </c>
      <c r="O114" s="12">
        <f t="shared" si="7"/>
        <v>190000</v>
      </c>
      <c r="P114" s="13">
        <f t="shared" si="8"/>
        <v>0</v>
      </c>
      <c r="Q114" s="13">
        <f t="shared" si="9"/>
        <v>0</v>
      </c>
      <c r="R114" s="13">
        <f t="shared" si="10"/>
        <v>0</v>
      </c>
      <c r="S114" s="16"/>
    </row>
    <row r="115" spans="1:19" ht="15" customHeight="1" x14ac:dyDescent="0.25">
      <c r="A115" s="6" t="s">
        <v>108</v>
      </c>
      <c r="B115" s="7" t="s">
        <v>54</v>
      </c>
      <c r="C115" s="6" t="s">
        <v>13</v>
      </c>
      <c r="D115" s="7" t="s">
        <v>109</v>
      </c>
      <c r="E115" s="6" t="s">
        <v>41</v>
      </c>
      <c r="F115" s="6" t="s">
        <v>42</v>
      </c>
      <c r="G115" s="6" t="s">
        <v>20</v>
      </c>
      <c r="H115" s="8">
        <v>3</v>
      </c>
      <c r="I115" s="9">
        <v>55000</v>
      </c>
      <c r="J115" s="9">
        <f t="shared" si="6"/>
        <v>165000</v>
      </c>
      <c r="K115" s="1" t="s">
        <v>17</v>
      </c>
      <c r="L115" s="1" t="s">
        <v>42</v>
      </c>
      <c r="M115" s="2">
        <v>3</v>
      </c>
      <c r="N115" s="3">
        <v>55000</v>
      </c>
      <c r="O115" s="12">
        <f t="shared" si="7"/>
        <v>165000</v>
      </c>
      <c r="P115" s="13">
        <f t="shared" si="8"/>
        <v>0</v>
      </c>
      <c r="Q115" s="13">
        <f t="shared" si="9"/>
        <v>0</v>
      </c>
      <c r="R115" s="13">
        <f t="shared" si="10"/>
        <v>0</v>
      </c>
      <c r="S115" s="16"/>
    </row>
    <row r="116" spans="1:19" ht="15" customHeight="1" x14ac:dyDescent="0.25">
      <c r="A116" s="6" t="s">
        <v>108</v>
      </c>
      <c r="B116" s="7" t="s">
        <v>54</v>
      </c>
      <c r="C116" s="6" t="s">
        <v>13</v>
      </c>
      <c r="D116" s="7" t="s">
        <v>109</v>
      </c>
      <c r="E116" s="6" t="s">
        <v>18</v>
      </c>
      <c r="F116" s="6" t="s">
        <v>19</v>
      </c>
      <c r="G116" s="6" t="s">
        <v>20</v>
      </c>
      <c r="H116" s="8">
        <v>45</v>
      </c>
      <c r="I116" s="9">
        <v>80000</v>
      </c>
      <c r="J116" s="9">
        <f t="shared" si="6"/>
        <v>3600000</v>
      </c>
      <c r="K116" s="1" t="s">
        <v>17</v>
      </c>
      <c r="L116" s="1" t="s">
        <v>131</v>
      </c>
      <c r="M116" s="2">
        <v>45</v>
      </c>
      <c r="N116" s="3">
        <v>80000</v>
      </c>
      <c r="O116" s="12">
        <f t="shared" si="7"/>
        <v>3600000</v>
      </c>
      <c r="P116" s="13">
        <f t="shared" si="8"/>
        <v>0</v>
      </c>
      <c r="Q116" s="13">
        <f t="shared" si="9"/>
        <v>0</v>
      </c>
      <c r="R116" s="13">
        <f t="shared" si="10"/>
        <v>0</v>
      </c>
      <c r="S116" s="16"/>
    </row>
    <row r="117" spans="1:19" ht="15" customHeight="1" x14ac:dyDescent="0.25">
      <c r="A117" s="6" t="s">
        <v>110</v>
      </c>
      <c r="B117" s="7" t="s">
        <v>54</v>
      </c>
      <c r="C117" s="6" t="s">
        <v>13</v>
      </c>
      <c r="D117" s="7" t="s">
        <v>111</v>
      </c>
      <c r="E117" s="6" t="s">
        <v>14</v>
      </c>
      <c r="F117" s="6" t="s">
        <v>15</v>
      </c>
      <c r="G117" s="6" t="s">
        <v>16</v>
      </c>
      <c r="H117" s="8">
        <v>1000</v>
      </c>
      <c r="I117" s="9">
        <v>4000</v>
      </c>
      <c r="J117" s="9">
        <f t="shared" si="6"/>
        <v>4000000</v>
      </c>
      <c r="K117" s="1" t="s">
        <v>17</v>
      </c>
      <c r="L117" s="1" t="s">
        <v>130</v>
      </c>
      <c r="M117" s="2">
        <v>1000</v>
      </c>
      <c r="N117" s="3">
        <v>4000</v>
      </c>
      <c r="O117" s="12">
        <f t="shared" si="7"/>
        <v>4000000</v>
      </c>
      <c r="P117" s="13">
        <f t="shared" si="8"/>
        <v>0</v>
      </c>
      <c r="Q117" s="13">
        <f t="shared" si="9"/>
        <v>0</v>
      </c>
      <c r="R117" s="13">
        <f t="shared" si="10"/>
        <v>0</v>
      </c>
      <c r="S117" s="16"/>
    </row>
    <row r="118" spans="1:19" ht="15" customHeight="1" x14ac:dyDescent="0.25">
      <c r="A118" s="6" t="s">
        <v>110</v>
      </c>
      <c r="B118" s="7" t="s">
        <v>54</v>
      </c>
      <c r="C118" s="6" t="s">
        <v>13</v>
      </c>
      <c r="D118" s="7" t="s">
        <v>111</v>
      </c>
      <c r="E118" s="6" t="s">
        <v>18</v>
      </c>
      <c r="F118" s="6" t="s">
        <v>19</v>
      </c>
      <c r="G118" s="6" t="s">
        <v>20</v>
      </c>
      <c r="H118" s="8">
        <v>20</v>
      </c>
      <c r="I118" s="9">
        <v>80000</v>
      </c>
      <c r="J118" s="9">
        <f t="shared" si="6"/>
        <v>1600000</v>
      </c>
      <c r="K118" s="1" t="s">
        <v>17</v>
      </c>
      <c r="L118" s="1" t="s">
        <v>131</v>
      </c>
      <c r="M118" s="2">
        <v>19.899999999999999</v>
      </c>
      <c r="N118" s="3">
        <v>80000</v>
      </c>
      <c r="O118" s="12">
        <f t="shared" si="7"/>
        <v>1592000</v>
      </c>
      <c r="P118" s="13">
        <f t="shared" si="8"/>
        <v>0.10000000000000142</v>
      </c>
      <c r="Q118" s="13">
        <f t="shared" si="9"/>
        <v>0</v>
      </c>
      <c r="R118" s="13">
        <f t="shared" si="10"/>
        <v>8000</v>
      </c>
      <c r="S118" s="16" t="s">
        <v>127</v>
      </c>
    </row>
    <row r="119" spans="1:19" ht="15" customHeight="1" x14ac:dyDescent="0.25">
      <c r="A119" s="6" t="s">
        <v>110</v>
      </c>
      <c r="B119" s="7" t="s">
        <v>54</v>
      </c>
      <c r="C119" s="6" t="s">
        <v>13</v>
      </c>
      <c r="D119" s="7" t="s">
        <v>111</v>
      </c>
      <c r="E119" s="6" t="s">
        <v>67</v>
      </c>
      <c r="F119" s="6" t="s">
        <v>68</v>
      </c>
      <c r="G119" s="6" t="s">
        <v>20</v>
      </c>
      <c r="H119" s="8">
        <v>2</v>
      </c>
      <c r="I119" s="9">
        <v>38000</v>
      </c>
      <c r="J119" s="9">
        <f t="shared" si="6"/>
        <v>76000</v>
      </c>
      <c r="K119" s="1" t="s">
        <v>17</v>
      </c>
      <c r="L119" s="1" t="s">
        <v>142</v>
      </c>
      <c r="M119" s="2">
        <v>2</v>
      </c>
      <c r="N119" s="3">
        <v>38000</v>
      </c>
      <c r="O119" s="12">
        <f t="shared" si="7"/>
        <v>76000</v>
      </c>
      <c r="P119" s="13">
        <f t="shared" si="8"/>
        <v>0</v>
      </c>
      <c r="Q119" s="13">
        <f t="shared" si="9"/>
        <v>0</v>
      </c>
      <c r="R119" s="13">
        <f t="shared" si="10"/>
        <v>0</v>
      </c>
      <c r="S119" s="16"/>
    </row>
    <row r="120" spans="1:19" ht="15" customHeight="1" x14ac:dyDescent="0.25">
      <c r="A120" s="6" t="s">
        <v>110</v>
      </c>
      <c r="B120" s="7" t="s">
        <v>54</v>
      </c>
      <c r="C120" s="6" t="s">
        <v>13</v>
      </c>
      <c r="D120" s="7" t="s">
        <v>111</v>
      </c>
      <c r="E120" s="6" t="s">
        <v>65</v>
      </c>
      <c r="F120" s="6" t="s">
        <v>66</v>
      </c>
      <c r="G120" s="6" t="s">
        <v>20</v>
      </c>
      <c r="H120" s="8">
        <v>1</v>
      </c>
      <c r="I120" s="9">
        <v>30000</v>
      </c>
      <c r="J120" s="9">
        <f t="shared" si="6"/>
        <v>30000</v>
      </c>
      <c r="K120" s="1" t="s">
        <v>17</v>
      </c>
      <c r="L120" s="1" t="s">
        <v>143</v>
      </c>
      <c r="M120" s="2">
        <v>1</v>
      </c>
      <c r="N120" s="3">
        <v>30000</v>
      </c>
      <c r="O120" s="12">
        <f t="shared" si="7"/>
        <v>30000</v>
      </c>
      <c r="P120" s="13">
        <f t="shared" si="8"/>
        <v>0</v>
      </c>
      <c r="Q120" s="13">
        <f t="shared" si="9"/>
        <v>0</v>
      </c>
      <c r="R120" s="13">
        <f t="shared" si="10"/>
        <v>0</v>
      </c>
      <c r="S120" s="16"/>
    </row>
    <row r="121" spans="1:19" ht="15" customHeight="1" x14ac:dyDescent="0.25">
      <c r="A121" s="6" t="s">
        <v>110</v>
      </c>
      <c r="B121" s="7" t="s">
        <v>54</v>
      </c>
      <c r="C121" s="6" t="s">
        <v>13</v>
      </c>
      <c r="D121" s="7" t="s">
        <v>111</v>
      </c>
      <c r="E121" s="6" t="s">
        <v>31</v>
      </c>
      <c r="F121" s="6" t="s">
        <v>32</v>
      </c>
      <c r="G121" s="6" t="s">
        <v>20</v>
      </c>
      <c r="H121" s="8">
        <v>6</v>
      </c>
      <c r="I121" s="9">
        <v>63000</v>
      </c>
      <c r="J121" s="9">
        <f t="shared" si="6"/>
        <v>378000</v>
      </c>
      <c r="K121" s="1" t="s">
        <v>17</v>
      </c>
      <c r="L121" s="1" t="s">
        <v>32</v>
      </c>
      <c r="M121" s="2">
        <v>6</v>
      </c>
      <c r="N121" s="3">
        <v>63000</v>
      </c>
      <c r="O121" s="12">
        <f t="shared" si="7"/>
        <v>378000</v>
      </c>
      <c r="P121" s="13">
        <f t="shared" si="8"/>
        <v>0</v>
      </c>
      <c r="Q121" s="13">
        <f t="shared" si="9"/>
        <v>0</v>
      </c>
      <c r="R121" s="13">
        <f t="shared" si="10"/>
        <v>0</v>
      </c>
      <c r="S121" s="16"/>
    </row>
    <row r="122" spans="1:19" ht="15" customHeight="1" x14ac:dyDescent="0.25">
      <c r="A122" s="6" t="s">
        <v>110</v>
      </c>
      <c r="B122" s="7" t="s">
        <v>54</v>
      </c>
      <c r="C122" s="6" t="s">
        <v>13</v>
      </c>
      <c r="D122" s="7" t="s">
        <v>111</v>
      </c>
      <c r="E122" s="6" t="s">
        <v>21</v>
      </c>
      <c r="F122" s="6" t="s">
        <v>22</v>
      </c>
      <c r="G122" s="6" t="s">
        <v>20</v>
      </c>
      <c r="H122" s="8">
        <v>40</v>
      </c>
      <c r="I122" s="9">
        <v>50000</v>
      </c>
      <c r="J122" s="9">
        <f t="shared" si="6"/>
        <v>2000000</v>
      </c>
      <c r="K122" s="1" t="s">
        <v>17</v>
      </c>
      <c r="L122" s="1" t="s">
        <v>135</v>
      </c>
      <c r="M122" s="2">
        <v>40</v>
      </c>
      <c r="N122" s="3">
        <v>50000</v>
      </c>
      <c r="O122" s="12">
        <f t="shared" si="7"/>
        <v>2000000</v>
      </c>
      <c r="P122" s="13">
        <f t="shared" si="8"/>
        <v>0</v>
      </c>
      <c r="Q122" s="13">
        <f t="shared" si="9"/>
        <v>0</v>
      </c>
      <c r="R122" s="13">
        <f t="shared" si="10"/>
        <v>0</v>
      </c>
      <c r="S122" s="16"/>
    </row>
    <row r="123" spans="1:19" ht="15" customHeight="1" x14ac:dyDescent="0.25">
      <c r="A123" s="6" t="s">
        <v>112</v>
      </c>
      <c r="B123" s="7" t="s">
        <v>54</v>
      </c>
      <c r="C123" s="6" t="s">
        <v>13</v>
      </c>
      <c r="D123" s="7" t="s">
        <v>113</v>
      </c>
      <c r="E123" s="6" t="s">
        <v>14</v>
      </c>
      <c r="F123" s="6" t="s">
        <v>15</v>
      </c>
      <c r="G123" s="6" t="s">
        <v>16</v>
      </c>
      <c r="H123" s="8">
        <v>1000</v>
      </c>
      <c r="I123" s="9">
        <v>4000</v>
      </c>
      <c r="J123" s="9">
        <f t="shared" si="6"/>
        <v>4000000</v>
      </c>
      <c r="K123" s="1" t="s">
        <v>17</v>
      </c>
      <c r="L123" s="1" t="s">
        <v>130</v>
      </c>
      <c r="M123" s="2">
        <v>1000</v>
      </c>
      <c r="N123" s="3">
        <v>4000</v>
      </c>
      <c r="O123" s="12">
        <f t="shared" si="7"/>
        <v>4000000</v>
      </c>
      <c r="P123" s="13">
        <f t="shared" si="8"/>
        <v>0</v>
      </c>
      <c r="Q123" s="13">
        <f t="shared" si="9"/>
        <v>0</v>
      </c>
      <c r="R123" s="13">
        <f t="shared" si="10"/>
        <v>0</v>
      </c>
      <c r="S123" s="16"/>
    </row>
    <row r="124" spans="1:19" ht="15" customHeight="1" x14ac:dyDescent="0.25">
      <c r="A124" s="6" t="s">
        <v>112</v>
      </c>
      <c r="B124" s="7" t="s">
        <v>54</v>
      </c>
      <c r="C124" s="6" t="s">
        <v>13</v>
      </c>
      <c r="D124" s="7" t="s">
        <v>113</v>
      </c>
      <c r="E124" s="6" t="s">
        <v>41</v>
      </c>
      <c r="F124" s="6" t="s">
        <v>42</v>
      </c>
      <c r="G124" s="6" t="s">
        <v>20</v>
      </c>
      <c r="H124" s="8">
        <v>4</v>
      </c>
      <c r="I124" s="9">
        <v>55000</v>
      </c>
      <c r="J124" s="9">
        <f t="shared" si="6"/>
        <v>220000</v>
      </c>
      <c r="K124" s="1" t="s">
        <v>17</v>
      </c>
      <c r="L124" s="1" t="s">
        <v>42</v>
      </c>
      <c r="M124" s="2">
        <v>4</v>
      </c>
      <c r="N124" s="3">
        <v>55000</v>
      </c>
      <c r="O124" s="12">
        <f t="shared" si="7"/>
        <v>220000</v>
      </c>
      <c r="P124" s="13">
        <f t="shared" si="8"/>
        <v>0</v>
      </c>
      <c r="Q124" s="13">
        <f t="shared" si="9"/>
        <v>0</v>
      </c>
      <c r="R124" s="13">
        <f t="shared" si="10"/>
        <v>0</v>
      </c>
      <c r="S124" s="16"/>
    </row>
    <row r="125" spans="1:19" ht="15" customHeight="1" x14ac:dyDescent="0.25">
      <c r="A125" s="6" t="s">
        <v>112</v>
      </c>
      <c r="B125" s="7" t="s">
        <v>54</v>
      </c>
      <c r="C125" s="6" t="s">
        <v>13</v>
      </c>
      <c r="D125" s="7" t="s">
        <v>113</v>
      </c>
      <c r="E125" s="6" t="s">
        <v>59</v>
      </c>
      <c r="F125" s="6" t="s">
        <v>60</v>
      </c>
      <c r="G125" s="6" t="s">
        <v>20</v>
      </c>
      <c r="H125" s="8">
        <v>3.3</v>
      </c>
      <c r="I125" s="9">
        <v>13000</v>
      </c>
      <c r="J125" s="9">
        <f t="shared" si="6"/>
        <v>42900</v>
      </c>
      <c r="K125" s="1" t="s">
        <v>17</v>
      </c>
      <c r="L125" s="1" t="s">
        <v>60</v>
      </c>
      <c r="M125" s="2">
        <v>3.3</v>
      </c>
      <c r="N125" s="3">
        <v>13000</v>
      </c>
      <c r="O125" s="12">
        <f t="shared" si="7"/>
        <v>42900</v>
      </c>
      <c r="P125" s="13">
        <f t="shared" si="8"/>
        <v>0</v>
      </c>
      <c r="Q125" s="13">
        <f t="shared" si="9"/>
        <v>0</v>
      </c>
      <c r="R125" s="13">
        <f t="shared" si="10"/>
        <v>0</v>
      </c>
      <c r="S125" s="16"/>
    </row>
    <row r="126" spans="1:19" ht="15" customHeight="1" x14ac:dyDescent="0.25">
      <c r="A126" s="6" t="s">
        <v>112</v>
      </c>
      <c r="B126" s="7" t="s">
        <v>54</v>
      </c>
      <c r="C126" s="6" t="s">
        <v>13</v>
      </c>
      <c r="D126" s="7" t="s">
        <v>113</v>
      </c>
      <c r="E126" s="6" t="s">
        <v>18</v>
      </c>
      <c r="F126" s="6" t="s">
        <v>19</v>
      </c>
      <c r="G126" s="6" t="s">
        <v>20</v>
      </c>
      <c r="H126" s="8">
        <v>35</v>
      </c>
      <c r="I126" s="9">
        <v>80000</v>
      </c>
      <c r="J126" s="9">
        <f t="shared" si="6"/>
        <v>2800000</v>
      </c>
      <c r="K126" s="1" t="s">
        <v>17</v>
      </c>
      <c r="L126" s="1" t="s">
        <v>131</v>
      </c>
      <c r="M126" s="2">
        <v>35</v>
      </c>
      <c r="N126" s="3">
        <v>80000</v>
      </c>
      <c r="O126" s="12">
        <f t="shared" si="7"/>
        <v>2800000</v>
      </c>
      <c r="P126" s="13">
        <f t="shared" si="8"/>
        <v>0</v>
      </c>
      <c r="Q126" s="13">
        <f t="shared" si="9"/>
        <v>0</v>
      </c>
      <c r="R126" s="13">
        <f t="shared" si="10"/>
        <v>0</v>
      </c>
      <c r="S126" s="16"/>
    </row>
    <row r="127" spans="1:19" ht="15" customHeight="1" x14ac:dyDescent="0.25">
      <c r="A127" s="6" t="s">
        <v>112</v>
      </c>
      <c r="B127" s="7" t="s">
        <v>54</v>
      </c>
      <c r="C127" s="6" t="s">
        <v>13</v>
      </c>
      <c r="D127" s="7" t="s">
        <v>113</v>
      </c>
      <c r="E127" s="6" t="s">
        <v>45</v>
      </c>
      <c r="F127" s="6" t="s">
        <v>46</v>
      </c>
      <c r="G127" s="6" t="s">
        <v>20</v>
      </c>
      <c r="H127" s="8">
        <v>1</v>
      </c>
      <c r="I127" s="9">
        <v>45000</v>
      </c>
      <c r="J127" s="9">
        <f t="shared" si="6"/>
        <v>45000</v>
      </c>
      <c r="K127" s="1" t="s">
        <v>17</v>
      </c>
      <c r="L127" s="1" t="s">
        <v>139</v>
      </c>
      <c r="M127" s="2">
        <v>1</v>
      </c>
      <c r="N127" s="3">
        <v>45000</v>
      </c>
      <c r="O127" s="12">
        <f t="shared" si="7"/>
        <v>45000</v>
      </c>
      <c r="P127" s="13">
        <f t="shared" si="8"/>
        <v>0</v>
      </c>
      <c r="Q127" s="13">
        <f t="shared" si="9"/>
        <v>0</v>
      </c>
      <c r="R127" s="13">
        <f t="shared" si="10"/>
        <v>0</v>
      </c>
      <c r="S127" s="16"/>
    </row>
    <row r="128" spans="1:19" ht="15" customHeight="1" x14ac:dyDescent="0.25">
      <c r="A128" s="6" t="s">
        <v>112</v>
      </c>
      <c r="B128" s="7" t="s">
        <v>54</v>
      </c>
      <c r="C128" s="6" t="s">
        <v>13</v>
      </c>
      <c r="D128" s="7" t="s">
        <v>113</v>
      </c>
      <c r="E128" s="6" t="s">
        <v>21</v>
      </c>
      <c r="F128" s="6" t="s">
        <v>22</v>
      </c>
      <c r="G128" s="6" t="s">
        <v>20</v>
      </c>
      <c r="H128" s="8">
        <v>30</v>
      </c>
      <c r="I128" s="9">
        <v>50000</v>
      </c>
      <c r="J128" s="9">
        <f t="shared" si="6"/>
        <v>1500000</v>
      </c>
      <c r="K128" s="1" t="s">
        <v>17</v>
      </c>
      <c r="L128" s="1" t="s">
        <v>135</v>
      </c>
      <c r="M128" s="2">
        <v>29.5</v>
      </c>
      <c r="N128" s="3">
        <v>50000</v>
      </c>
      <c r="O128" s="12">
        <f t="shared" si="7"/>
        <v>1475000</v>
      </c>
      <c r="P128" s="13">
        <f t="shared" si="8"/>
        <v>0.5</v>
      </c>
      <c r="Q128" s="13">
        <f t="shared" si="9"/>
        <v>0</v>
      </c>
      <c r="R128" s="13">
        <f t="shared" si="10"/>
        <v>25000</v>
      </c>
      <c r="S128" s="16" t="s">
        <v>127</v>
      </c>
    </row>
    <row r="129" spans="1:19" ht="15" customHeight="1" x14ac:dyDescent="0.25">
      <c r="A129" s="6" t="s">
        <v>114</v>
      </c>
      <c r="B129" s="7" t="s">
        <v>54</v>
      </c>
      <c r="C129" s="6" t="s">
        <v>13</v>
      </c>
      <c r="D129" s="7" t="s">
        <v>115</v>
      </c>
      <c r="E129" s="6" t="s">
        <v>55</v>
      </c>
      <c r="F129" s="6" t="s">
        <v>56</v>
      </c>
      <c r="G129" s="6" t="s">
        <v>20</v>
      </c>
      <c r="H129" s="8">
        <v>10</v>
      </c>
      <c r="I129" s="9">
        <v>22000</v>
      </c>
      <c r="J129" s="9">
        <f t="shared" si="6"/>
        <v>220000</v>
      </c>
      <c r="K129" s="1" t="s">
        <v>17</v>
      </c>
      <c r="L129" s="1" t="s">
        <v>128</v>
      </c>
      <c r="M129" s="2">
        <v>9.6</v>
      </c>
      <c r="N129" s="3">
        <v>22000</v>
      </c>
      <c r="O129" s="12">
        <f t="shared" si="7"/>
        <v>211200</v>
      </c>
      <c r="P129" s="13">
        <f t="shared" si="8"/>
        <v>0.40000000000000036</v>
      </c>
      <c r="Q129" s="13">
        <f t="shared" si="9"/>
        <v>0</v>
      </c>
      <c r="R129" s="13">
        <f t="shared" si="10"/>
        <v>8800</v>
      </c>
      <c r="S129" s="16" t="s">
        <v>127</v>
      </c>
    </row>
    <row r="130" spans="1:19" ht="15" customHeight="1" x14ac:dyDescent="0.25">
      <c r="A130" s="6" t="s">
        <v>114</v>
      </c>
      <c r="B130" s="7" t="s">
        <v>54</v>
      </c>
      <c r="C130" s="6" t="s">
        <v>13</v>
      </c>
      <c r="D130" s="7" t="s">
        <v>115</v>
      </c>
      <c r="E130" s="6" t="s">
        <v>14</v>
      </c>
      <c r="F130" s="6" t="s">
        <v>15</v>
      </c>
      <c r="G130" s="6" t="s">
        <v>16</v>
      </c>
      <c r="H130" s="8">
        <v>1000</v>
      </c>
      <c r="I130" s="9">
        <v>4000</v>
      </c>
      <c r="J130" s="9">
        <f t="shared" si="6"/>
        <v>4000000</v>
      </c>
      <c r="K130" s="1" t="s">
        <v>17</v>
      </c>
      <c r="L130" s="1" t="s">
        <v>130</v>
      </c>
      <c r="M130" s="2">
        <v>1000</v>
      </c>
      <c r="N130" s="3">
        <v>4000</v>
      </c>
      <c r="O130" s="12">
        <f t="shared" si="7"/>
        <v>4000000</v>
      </c>
      <c r="P130" s="13">
        <f t="shared" si="8"/>
        <v>0</v>
      </c>
      <c r="Q130" s="13">
        <f t="shared" si="9"/>
        <v>0</v>
      </c>
      <c r="R130" s="13">
        <f t="shared" si="10"/>
        <v>0</v>
      </c>
      <c r="S130" s="16"/>
    </row>
    <row r="131" spans="1:19" ht="15" customHeight="1" x14ac:dyDescent="0.25">
      <c r="A131" s="6" t="s">
        <v>114</v>
      </c>
      <c r="B131" s="7" t="s">
        <v>54</v>
      </c>
      <c r="C131" s="6" t="s">
        <v>13</v>
      </c>
      <c r="D131" s="7" t="s">
        <v>115</v>
      </c>
      <c r="E131" s="6" t="s">
        <v>41</v>
      </c>
      <c r="F131" s="6" t="s">
        <v>42</v>
      </c>
      <c r="G131" s="6" t="s">
        <v>20</v>
      </c>
      <c r="H131" s="8">
        <v>1</v>
      </c>
      <c r="I131" s="9">
        <v>55000</v>
      </c>
      <c r="J131" s="9">
        <f t="shared" si="6"/>
        <v>55000</v>
      </c>
      <c r="K131" s="1" t="s">
        <v>17</v>
      </c>
      <c r="L131" s="1" t="s">
        <v>42</v>
      </c>
      <c r="M131" s="2">
        <v>1</v>
      </c>
      <c r="N131" s="3">
        <v>55000</v>
      </c>
      <c r="O131" s="12">
        <f t="shared" si="7"/>
        <v>55000</v>
      </c>
      <c r="P131" s="13">
        <f t="shared" si="8"/>
        <v>0</v>
      </c>
      <c r="Q131" s="13">
        <f t="shared" si="9"/>
        <v>0</v>
      </c>
      <c r="R131" s="13">
        <f t="shared" si="10"/>
        <v>0</v>
      </c>
      <c r="S131" s="16"/>
    </row>
    <row r="132" spans="1:19" ht="15" customHeight="1" x14ac:dyDescent="0.25">
      <c r="A132" s="6" t="s">
        <v>114</v>
      </c>
      <c r="B132" s="7" t="s">
        <v>54</v>
      </c>
      <c r="C132" s="6" t="s">
        <v>13</v>
      </c>
      <c r="D132" s="7" t="s">
        <v>115</v>
      </c>
      <c r="E132" s="6" t="s">
        <v>18</v>
      </c>
      <c r="F132" s="6" t="s">
        <v>19</v>
      </c>
      <c r="G132" s="6" t="s">
        <v>20</v>
      </c>
      <c r="H132" s="8">
        <v>20</v>
      </c>
      <c r="I132" s="9">
        <v>80000</v>
      </c>
      <c r="J132" s="9">
        <f t="shared" si="6"/>
        <v>1600000</v>
      </c>
      <c r="K132" s="1" t="s">
        <v>17</v>
      </c>
      <c r="L132" s="1" t="s">
        <v>131</v>
      </c>
      <c r="M132" s="2">
        <v>18.7</v>
      </c>
      <c r="N132" s="3">
        <v>80000</v>
      </c>
      <c r="O132" s="12">
        <f t="shared" si="7"/>
        <v>1496000</v>
      </c>
      <c r="P132" s="13">
        <f t="shared" si="8"/>
        <v>1.3000000000000007</v>
      </c>
      <c r="Q132" s="13">
        <f t="shared" si="9"/>
        <v>0</v>
      </c>
      <c r="R132" s="13">
        <f t="shared" si="10"/>
        <v>104000</v>
      </c>
      <c r="S132" s="16" t="s">
        <v>127</v>
      </c>
    </row>
    <row r="133" spans="1:19" ht="15" customHeight="1" x14ac:dyDescent="0.25">
      <c r="A133" s="6" t="s">
        <v>114</v>
      </c>
      <c r="B133" s="7" t="s">
        <v>54</v>
      </c>
      <c r="C133" s="6" t="s">
        <v>13</v>
      </c>
      <c r="D133" s="7" t="s">
        <v>115</v>
      </c>
      <c r="E133" s="6" t="s">
        <v>25</v>
      </c>
      <c r="F133" s="6" t="s">
        <v>26</v>
      </c>
      <c r="G133" s="6" t="s">
        <v>20</v>
      </c>
      <c r="H133" s="8">
        <v>2</v>
      </c>
      <c r="I133" s="9">
        <v>33000</v>
      </c>
      <c r="J133" s="9">
        <f t="shared" si="6"/>
        <v>66000</v>
      </c>
      <c r="K133" s="1" t="s">
        <v>17</v>
      </c>
      <c r="L133" s="1" t="s">
        <v>132</v>
      </c>
      <c r="M133" s="2">
        <v>1.9</v>
      </c>
      <c r="N133" s="3">
        <v>33000</v>
      </c>
      <c r="O133" s="12">
        <f t="shared" si="7"/>
        <v>62700</v>
      </c>
      <c r="P133" s="13">
        <f t="shared" si="8"/>
        <v>0.10000000000000009</v>
      </c>
      <c r="Q133" s="13">
        <f t="shared" si="9"/>
        <v>0</v>
      </c>
      <c r="R133" s="13">
        <f t="shared" si="10"/>
        <v>3300</v>
      </c>
      <c r="S133" s="16" t="s">
        <v>127</v>
      </c>
    </row>
    <row r="134" spans="1:19" ht="15" customHeight="1" x14ac:dyDescent="0.25">
      <c r="A134" s="6" t="s">
        <v>114</v>
      </c>
      <c r="B134" s="7" t="s">
        <v>54</v>
      </c>
      <c r="C134" s="6" t="s">
        <v>13</v>
      </c>
      <c r="D134" s="7" t="s">
        <v>115</v>
      </c>
      <c r="E134" s="6" t="s">
        <v>45</v>
      </c>
      <c r="F134" s="6" t="s">
        <v>46</v>
      </c>
      <c r="G134" s="6" t="s">
        <v>20</v>
      </c>
      <c r="H134" s="8">
        <v>1</v>
      </c>
      <c r="I134" s="9">
        <v>45000</v>
      </c>
      <c r="J134" s="9">
        <f t="shared" si="6"/>
        <v>45000</v>
      </c>
      <c r="K134" s="1" t="s">
        <v>17</v>
      </c>
      <c r="L134" s="1" t="s">
        <v>139</v>
      </c>
      <c r="M134" s="2">
        <v>1</v>
      </c>
      <c r="N134" s="3">
        <v>45000</v>
      </c>
      <c r="O134" s="12">
        <f t="shared" si="7"/>
        <v>45000</v>
      </c>
      <c r="P134" s="13">
        <f t="shared" si="8"/>
        <v>0</v>
      </c>
      <c r="Q134" s="13">
        <f t="shared" si="9"/>
        <v>0</v>
      </c>
      <c r="R134" s="13">
        <f t="shared" si="10"/>
        <v>0</v>
      </c>
      <c r="S134" s="16"/>
    </row>
    <row r="135" spans="1:19" ht="15" customHeight="1" x14ac:dyDescent="0.25">
      <c r="A135" s="6" t="s">
        <v>114</v>
      </c>
      <c r="B135" s="7" t="s">
        <v>54</v>
      </c>
      <c r="C135" s="6" t="s">
        <v>13</v>
      </c>
      <c r="D135" s="7" t="s">
        <v>115</v>
      </c>
      <c r="E135" s="6" t="s">
        <v>63</v>
      </c>
      <c r="F135" s="6" t="s">
        <v>64</v>
      </c>
      <c r="G135" s="6" t="s">
        <v>20</v>
      </c>
      <c r="H135" s="8">
        <v>2</v>
      </c>
      <c r="I135" s="9">
        <v>145000</v>
      </c>
      <c r="J135" s="9">
        <f t="shared" si="6"/>
        <v>290000</v>
      </c>
      <c r="K135" s="1" t="s">
        <v>17</v>
      </c>
      <c r="L135" s="1" t="s">
        <v>64</v>
      </c>
      <c r="M135" s="2">
        <v>2</v>
      </c>
      <c r="N135" s="3">
        <v>145000</v>
      </c>
      <c r="O135" s="12">
        <f t="shared" si="7"/>
        <v>290000</v>
      </c>
      <c r="P135" s="13">
        <f t="shared" si="8"/>
        <v>0</v>
      </c>
      <c r="Q135" s="13">
        <f t="shared" si="9"/>
        <v>0</v>
      </c>
      <c r="R135" s="13">
        <f t="shared" si="10"/>
        <v>0</v>
      </c>
      <c r="S135" s="16"/>
    </row>
    <row r="136" spans="1:19" ht="15" customHeight="1" x14ac:dyDescent="0.25">
      <c r="A136" s="6" t="s">
        <v>114</v>
      </c>
      <c r="B136" s="7" t="s">
        <v>54</v>
      </c>
      <c r="C136" s="6" t="s">
        <v>13</v>
      </c>
      <c r="D136" s="7" t="s">
        <v>115</v>
      </c>
      <c r="E136" s="6" t="s">
        <v>57</v>
      </c>
      <c r="F136" s="6" t="s">
        <v>58</v>
      </c>
      <c r="G136" s="6" t="s">
        <v>20</v>
      </c>
      <c r="H136" s="8">
        <v>10</v>
      </c>
      <c r="I136" s="9">
        <v>21000</v>
      </c>
      <c r="J136" s="9">
        <f t="shared" si="6"/>
        <v>210000</v>
      </c>
      <c r="K136" s="1" t="s">
        <v>17</v>
      </c>
      <c r="L136" s="1" t="s">
        <v>146</v>
      </c>
      <c r="M136" s="2">
        <v>9.5</v>
      </c>
      <c r="N136" s="3">
        <v>21000</v>
      </c>
      <c r="O136" s="12">
        <f t="shared" si="7"/>
        <v>199500</v>
      </c>
      <c r="P136" s="13">
        <f t="shared" si="8"/>
        <v>0.5</v>
      </c>
      <c r="Q136" s="13">
        <f t="shared" si="9"/>
        <v>0</v>
      </c>
      <c r="R136" s="13">
        <f t="shared" si="10"/>
        <v>10500</v>
      </c>
      <c r="S136" s="16" t="s">
        <v>127</v>
      </c>
    </row>
    <row r="137" spans="1:19" ht="15" customHeight="1" x14ac:dyDescent="0.25">
      <c r="A137" s="6" t="s">
        <v>114</v>
      </c>
      <c r="B137" s="7" t="s">
        <v>54</v>
      </c>
      <c r="C137" s="6" t="s">
        <v>13</v>
      </c>
      <c r="D137" s="7" t="s">
        <v>115</v>
      </c>
      <c r="E137" s="6" t="s">
        <v>21</v>
      </c>
      <c r="F137" s="6" t="s">
        <v>22</v>
      </c>
      <c r="G137" s="6" t="s">
        <v>20</v>
      </c>
      <c r="H137" s="8">
        <v>32</v>
      </c>
      <c r="I137" s="9">
        <v>50000</v>
      </c>
      <c r="J137" s="9">
        <f t="shared" si="6"/>
        <v>1600000</v>
      </c>
      <c r="K137" s="1" t="s">
        <v>17</v>
      </c>
      <c r="L137" s="1" t="s">
        <v>135</v>
      </c>
      <c r="M137" s="2">
        <v>32</v>
      </c>
      <c r="N137" s="3">
        <v>50000</v>
      </c>
      <c r="O137" s="12">
        <f t="shared" si="7"/>
        <v>1600000</v>
      </c>
      <c r="P137" s="13">
        <f t="shared" si="8"/>
        <v>0</v>
      </c>
      <c r="Q137" s="13">
        <f t="shared" si="9"/>
        <v>0</v>
      </c>
      <c r="R137" s="13">
        <f t="shared" si="10"/>
        <v>0</v>
      </c>
      <c r="S137" s="16"/>
    </row>
    <row r="138" spans="1:19" ht="15" customHeight="1" x14ac:dyDescent="0.25">
      <c r="A138" s="6" t="s">
        <v>116</v>
      </c>
      <c r="B138" s="7" t="s">
        <v>54</v>
      </c>
      <c r="C138" s="6" t="s">
        <v>13</v>
      </c>
      <c r="D138" s="7" t="s">
        <v>117</v>
      </c>
      <c r="E138" s="6" t="s">
        <v>35</v>
      </c>
      <c r="F138" s="6" t="s">
        <v>36</v>
      </c>
      <c r="G138" s="6" t="s">
        <v>20</v>
      </c>
      <c r="H138" s="8">
        <v>10</v>
      </c>
      <c r="I138" s="9">
        <v>38000</v>
      </c>
      <c r="J138" s="9">
        <f t="shared" si="6"/>
        <v>380000</v>
      </c>
      <c r="K138" s="1" t="s">
        <v>17</v>
      </c>
      <c r="L138" s="1" t="s">
        <v>129</v>
      </c>
      <c r="M138" s="2">
        <v>9.9</v>
      </c>
      <c r="N138" s="3">
        <v>38000</v>
      </c>
      <c r="O138" s="12">
        <f t="shared" si="7"/>
        <v>376200</v>
      </c>
      <c r="P138" s="13">
        <f t="shared" si="8"/>
        <v>9.9999999999999645E-2</v>
      </c>
      <c r="Q138" s="13">
        <f t="shared" si="9"/>
        <v>0</v>
      </c>
      <c r="R138" s="13">
        <f t="shared" si="10"/>
        <v>3800</v>
      </c>
      <c r="S138" s="16" t="s">
        <v>127</v>
      </c>
    </row>
    <row r="139" spans="1:19" ht="15" customHeight="1" x14ac:dyDescent="0.25">
      <c r="A139" s="6" t="s">
        <v>116</v>
      </c>
      <c r="B139" s="7" t="s">
        <v>54</v>
      </c>
      <c r="C139" s="6" t="s">
        <v>13</v>
      </c>
      <c r="D139" s="7" t="s">
        <v>117</v>
      </c>
      <c r="E139" s="6" t="s">
        <v>14</v>
      </c>
      <c r="F139" s="6" t="s">
        <v>15</v>
      </c>
      <c r="G139" s="6" t="s">
        <v>16</v>
      </c>
      <c r="H139" s="8">
        <v>1000</v>
      </c>
      <c r="I139" s="9">
        <v>4000</v>
      </c>
      <c r="J139" s="9">
        <f t="shared" si="6"/>
        <v>4000000</v>
      </c>
      <c r="K139" s="1"/>
      <c r="L139" s="1" t="s">
        <v>130</v>
      </c>
      <c r="M139" s="2">
        <v>1000</v>
      </c>
      <c r="N139" s="3">
        <v>4000</v>
      </c>
      <c r="O139" s="12">
        <f t="shared" si="7"/>
        <v>4000000</v>
      </c>
      <c r="P139" s="13">
        <f t="shared" si="8"/>
        <v>0</v>
      </c>
      <c r="Q139" s="13">
        <f t="shared" si="9"/>
        <v>0</v>
      </c>
      <c r="R139" s="13">
        <f t="shared" si="10"/>
        <v>0</v>
      </c>
      <c r="S139" s="16"/>
    </row>
    <row r="140" spans="1:19" ht="15" customHeight="1" x14ac:dyDescent="0.25">
      <c r="A140" s="6" t="s">
        <v>116</v>
      </c>
      <c r="B140" s="7" t="s">
        <v>54</v>
      </c>
      <c r="C140" s="6" t="s">
        <v>13</v>
      </c>
      <c r="D140" s="7" t="s">
        <v>117</v>
      </c>
      <c r="E140" s="6" t="s">
        <v>41</v>
      </c>
      <c r="F140" s="6" t="s">
        <v>42</v>
      </c>
      <c r="G140" s="6" t="s">
        <v>20</v>
      </c>
      <c r="H140" s="8">
        <v>1</v>
      </c>
      <c r="I140" s="9">
        <v>55000</v>
      </c>
      <c r="J140" s="9">
        <f t="shared" si="6"/>
        <v>55000</v>
      </c>
      <c r="K140" s="1"/>
      <c r="L140" s="1" t="s">
        <v>42</v>
      </c>
      <c r="M140" s="2">
        <v>1</v>
      </c>
      <c r="N140" s="3">
        <v>55000</v>
      </c>
      <c r="O140" s="12">
        <f t="shared" si="7"/>
        <v>55000</v>
      </c>
      <c r="P140" s="13">
        <f t="shared" si="8"/>
        <v>0</v>
      </c>
      <c r="Q140" s="13">
        <f t="shared" si="9"/>
        <v>0</v>
      </c>
      <c r="R140" s="13">
        <f t="shared" si="10"/>
        <v>0</v>
      </c>
      <c r="S140" s="16"/>
    </row>
    <row r="141" spans="1:19" ht="15" customHeight="1" x14ac:dyDescent="0.25">
      <c r="A141" s="6" t="s">
        <v>116</v>
      </c>
      <c r="B141" s="7" t="s">
        <v>54</v>
      </c>
      <c r="C141" s="6" t="s">
        <v>13</v>
      </c>
      <c r="D141" s="7" t="s">
        <v>117</v>
      </c>
      <c r="E141" s="6" t="s">
        <v>18</v>
      </c>
      <c r="F141" s="6" t="s">
        <v>19</v>
      </c>
      <c r="G141" s="6" t="s">
        <v>20</v>
      </c>
      <c r="H141" s="8">
        <v>30</v>
      </c>
      <c r="I141" s="9">
        <v>80000</v>
      </c>
      <c r="J141" s="9">
        <f t="shared" si="6"/>
        <v>2400000</v>
      </c>
      <c r="K141" s="1"/>
      <c r="L141" s="1" t="s">
        <v>131</v>
      </c>
      <c r="M141" s="2">
        <v>30</v>
      </c>
      <c r="N141" s="3">
        <v>80000</v>
      </c>
      <c r="O141" s="12">
        <f t="shared" si="7"/>
        <v>2400000</v>
      </c>
      <c r="P141" s="13">
        <f t="shared" si="8"/>
        <v>0</v>
      </c>
      <c r="Q141" s="13">
        <f t="shared" si="9"/>
        <v>0</v>
      </c>
      <c r="R141" s="13">
        <f t="shared" si="10"/>
        <v>0</v>
      </c>
      <c r="S141" s="16"/>
    </row>
    <row r="142" spans="1:19" ht="15" customHeight="1" x14ac:dyDescent="0.25">
      <c r="A142" s="6" t="s">
        <v>116</v>
      </c>
      <c r="B142" s="7" t="s">
        <v>54</v>
      </c>
      <c r="C142" s="6" t="s">
        <v>13</v>
      </c>
      <c r="D142" s="7" t="s">
        <v>117</v>
      </c>
      <c r="E142" s="6" t="s">
        <v>67</v>
      </c>
      <c r="F142" s="6" t="s">
        <v>68</v>
      </c>
      <c r="G142" s="6" t="s">
        <v>20</v>
      </c>
      <c r="H142" s="8">
        <v>3</v>
      </c>
      <c r="I142" s="9">
        <v>38000</v>
      </c>
      <c r="J142" s="9">
        <f t="shared" si="6"/>
        <v>114000</v>
      </c>
      <c r="K142" s="1"/>
      <c r="L142" s="1" t="s">
        <v>142</v>
      </c>
      <c r="M142" s="2">
        <v>3</v>
      </c>
      <c r="N142" s="3">
        <v>38000</v>
      </c>
      <c r="O142" s="12">
        <f t="shared" si="7"/>
        <v>114000</v>
      </c>
      <c r="P142" s="13">
        <f t="shared" si="8"/>
        <v>0</v>
      </c>
      <c r="Q142" s="13">
        <f t="shared" si="9"/>
        <v>0</v>
      </c>
      <c r="R142" s="13">
        <f t="shared" si="10"/>
        <v>0</v>
      </c>
      <c r="S142" s="16"/>
    </row>
    <row r="143" spans="1:19" ht="15" customHeight="1" x14ac:dyDescent="0.25">
      <c r="A143" s="6" t="s">
        <v>116</v>
      </c>
      <c r="B143" s="7" t="s">
        <v>54</v>
      </c>
      <c r="C143" s="6" t="s">
        <v>13</v>
      </c>
      <c r="D143" s="7" t="s">
        <v>117</v>
      </c>
      <c r="E143" s="6" t="s">
        <v>23</v>
      </c>
      <c r="F143" s="6" t="s">
        <v>24</v>
      </c>
      <c r="G143" s="6" t="s">
        <v>20</v>
      </c>
      <c r="H143" s="8">
        <v>1</v>
      </c>
      <c r="I143" s="9">
        <v>42000</v>
      </c>
      <c r="J143" s="9">
        <f t="shared" si="6"/>
        <v>42000</v>
      </c>
      <c r="K143" s="1"/>
      <c r="L143" s="1" t="s">
        <v>24</v>
      </c>
      <c r="M143" s="2">
        <v>0.8</v>
      </c>
      <c r="N143" s="3">
        <v>42000</v>
      </c>
      <c r="O143" s="12">
        <f t="shared" si="7"/>
        <v>33600</v>
      </c>
      <c r="P143" s="13">
        <f t="shared" si="8"/>
        <v>0.19999999999999996</v>
      </c>
      <c r="Q143" s="13">
        <f t="shared" si="9"/>
        <v>0</v>
      </c>
      <c r="R143" s="13">
        <f t="shared" si="10"/>
        <v>8400</v>
      </c>
      <c r="S143" s="16" t="s">
        <v>127</v>
      </c>
    </row>
    <row r="144" spans="1:19" ht="15" customHeight="1" x14ac:dyDescent="0.25">
      <c r="A144" s="6" t="s">
        <v>116</v>
      </c>
      <c r="B144" s="7" t="s">
        <v>54</v>
      </c>
      <c r="C144" s="6" t="s">
        <v>13</v>
      </c>
      <c r="D144" s="7" t="s">
        <v>117</v>
      </c>
      <c r="E144" s="6" t="s">
        <v>25</v>
      </c>
      <c r="F144" s="6" t="s">
        <v>26</v>
      </c>
      <c r="G144" s="6" t="s">
        <v>20</v>
      </c>
      <c r="H144" s="8">
        <v>1.4</v>
      </c>
      <c r="I144" s="9">
        <v>33000</v>
      </c>
      <c r="J144" s="9">
        <f t="shared" ref="J144:J148" si="11">H144*I144</f>
        <v>46200</v>
      </c>
      <c r="K144" s="1"/>
      <c r="L144" s="1" t="s">
        <v>132</v>
      </c>
      <c r="M144" s="2">
        <v>1.4</v>
      </c>
      <c r="N144" s="3">
        <v>33000</v>
      </c>
      <c r="O144" s="12">
        <f t="shared" si="7"/>
        <v>46200</v>
      </c>
      <c r="P144" s="13">
        <f t="shared" si="8"/>
        <v>0</v>
      </c>
      <c r="Q144" s="13">
        <f t="shared" si="9"/>
        <v>0</v>
      </c>
      <c r="R144" s="13">
        <f t="shared" si="10"/>
        <v>0</v>
      </c>
      <c r="S144" s="16"/>
    </row>
    <row r="145" spans="1:19" ht="15" customHeight="1" x14ac:dyDescent="0.25">
      <c r="A145" s="6" t="s">
        <v>116</v>
      </c>
      <c r="B145" s="7" t="s">
        <v>54</v>
      </c>
      <c r="C145" s="6" t="s">
        <v>13</v>
      </c>
      <c r="D145" s="7" t="s">
        <v>117</v>
      </c>
      <c r="E145" s="6" t="s">
        <v>45</v>
      </c>
      <c r="F145" s="6" t="s">
        <v>46</v>
      </c>
      <c r="G145" s="6" t="s">
        <v>20</v>
      </c>
      <c r="H145" s="8">
        <v>0.5</v>
      </c>
      <c r="I145" s="9">
        <v>45000</v>
      </c>
      <c r="J145" s="9">
        <f t="shared" si="11"/>
        <v>22500</v>
      </c>
      <c r="K145" s="1"/>
      <c r="L145" s="1" t="s">
        <v>139</v>
      </c>
      <c r="M145" s="2">
        <v>0.5</v>
      </c>
      <c r="N145" s="3">
        <v>45000</v>
      </c>
      <c r="O145" s="12">
        <f t="shared" ref="O145:O148" si="12">M145*N145</f>
        <v>22500</v>
      </c>
      <c r="P145" s="13">
        <f t="shared" ref="P145:P148" si="13">H145-M145</f>
        <v>0</v>
      </c>
      <c r="Q145" s="13">
        <f t="shared" ref="Q145:Q148" si="14">I145-N145</f>
        <v>0</v>
      </c>
      <c r="R145" s="13">
        <f t="shared" ref="R145:R148" si="15">J145-O145</f>
        <v>0</v>
      </c>
      <c r="S145" s="16"/>
    </row>
    <row r="146" spans="1:19" ht="15" customHeight="1" x14ac:dyDescent="0.25">
      <c r="A146" s="6" t="s">
        <v>116</v>
      </c>
      <c r="B146" s="7" t="s">
        <v>54</v>
      </c>
      <c r="C146" s="6" t="s">
        <v>13</v>
      </c>
      <c r="D146" s="7" t="s">
        <v>117</v>
      </c>
      <c r="E146" s="6" t="s">
        <v>27</v>
      </c>
      <c r="F146" s="6" t="s">
        <v>28</v>
      </c>
      <c r="G146" s="6" t="s">
        <v>20</v>
      </c>
      <c r="H146" s="8">
        <v>10</v>
      </c>
      <c r="I146" s="9">
        <v>185000</v>
      </c>
      <c r="J146" s="9">
        <f t="shared" si="11"/>
        <v>1850000</v>
      </c>
      <c r="K146" s="1"/>
      <c r="L146" s="1" t="s">
        <v>133</v>
      </c>
      <c r="M146" s="2">
        <v>10</v>
      </c>
      <c r="N146" s="3">
        <v>185000</v>
      </c>
      <c r="O146" s="12">
        <f t="shared" si="12"/>
        <v>1850000</v>
      </c>
      <c r="P146" s="13">
        <f t="shared" si="13"/>
        <v>0</v>
      </c>
      <c r="Q146" s="13">
        <f t="shared" si="14"/>
        <v>0</v>
      </c>
      <c r="R146" s="13">
        <f t="shared" si="15"/>
        <v>0</v>
      </c>
      <c r="S146" s="16"/>
    </row>
    <row r="147" spans="1:19" ht="15" customHeight="1" x14ac:dyDescent="0.25">
      <c r="A147" s="6" t="s">
        <v>116</v>
      </c>
      <c r="B147" s="7" t="s">
        <v>54</v>
      </c>
      <c r="C147" s="6" t="s">
        <v>13</v>
      </c>
      <c r="D147" s="7" t="s">
        <v>117</v>
      </c>
      <c r="E147" s="6" t="s">
        <v>29</v>
      </c>
      <c r="F147" s="6" t="s">
        <v>30</v>
      </c>
      <c r="G147" s="6" t="s">
        <v>20</v>
      </c>
      <c r="H147" s="8">
        <v>60</v>
      </c>
      <c r="I147" s="9">
        <v>148000</v>
      </c>
      <c r="J147" s="9">
        <f t="shared" si="11"/>
        <v>8880000</v>
      </c>
      <c r="K147" s="1"/>
      <c r="L147" s="1" t="s">
        <v>134</v>
      </c>
      <c r="M147" s="2">
        <v>49.8</v>
      </c>
      <c r="N147" s="3">
        <v>148000</v>
      </c>
      <c r="O147" s="12">
        <f t="shared" si="12"/>
        <v>7370400</v>
      </c>
      <c r="P147" s="13">
        <f t="shared" si="13"/>
        <v>10.200000000000003</v>
      </c>
      <c r="Q147" s="13">
        <f t="shared" si="14"/>
        <v>0</v>
      </c>
      <c r="R147" s="13">
        <f t="shared" si="15"/>
        <v>1509600</v>
      </c>
      <c r="S147" s="16" t="s">
        <v>127</v>
      </c>
    </row>
    <row r="148" spans="1:19" ht="15" customHeight="1" x14ac:dyDescent="0.25">
      <c r="A148" s="6" t="s">
        <v>116</v>
      </c>
      <c r="B148" s="7" t="s">
        <v>54</v>
      </c>
      <c r="C148" s="6" t="s">
        <v>13</v>
      </c>
      <c r="D148" s="7" t="s">
        <v>117</v>
      </c>
      <c r="E148" s="6" t="s">
        <v>21</v>
      </c>
      <c r="F148" s="6" t="s">
        <v>22</v>
      </c>
      <c r="G148" s="6" t="s">
        <v>20</v>
      </c>
      <c r="H148" s="8">
        <v>30</v>
      </c>
      <c r="I148" s="9">
        <v>50000</v>
      </c>
      <c r="J148" s="9">
        <f t="shared" si="11"/>
        <v>1500000</v>
      </c>
      <c r="K148" s="1"/>
      <c r="L148" s="1" t="s">
        <v>135</v>
      </c>
      <c r="M148" s="2">
        <v>29.8</v>
      </c>
      <c r="N148" s="3">
        <v>50000</v>
      </c>
      <c r="O148" s="12">
        <f t="shared" si="12"/>
        <v>1490000</v>
      </c>
      <c r="P148" s="13">
        <f t="shared" si="13"/>
        <v>0.19999999999999929</v>
      </c>
      <c r="Q148" s="13">
        <f t="shared" si="14"/>
        <v>0</v>
      </c>
      <c r="R148" s="13">
        <f t="shared" si="15"/>
        <v>10000</v>
      </c>
      <c r="S148" s="16" t="s">
        <v>127</v>
      </c>
    </row>
  </sheetData>
  <autoFilter ref="A14:S148" xr:uid="{00000000-0001-0000-0000-000000000000}"/>
  <mergeCells count="6">
    <mergeCell ref="A10:K10"/>
    <mergeCell ref="A2:C2"/>
    <mergeCell ref="D2:K2"/>
    <mergeCell ref="A4:K4"/>
    <mergeCell ref="A6:K6"/>
    <mergeCell ref="A8:K8"/>
  </mergeCells>
  <pageMargins left="1" right="1" top="1" bottom="1.3145799212598399" header="1" footer="1"/>
  <pageSetup orientation="portrait" horizontalDpi="300" verticalDpi="300"/>
  <headerFooter alignWithMargins="0">
    <oddFooter>&amp;L&amp;"Segoe UI"&amp;11&amp;P/&amp;N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BÒ TƠ BTT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Hp6300</dc:creator>
  <cp:lastModifiedBy>Administrator</cp:lastModifiedBy>
  <dcterms:created xsi:type="dcterms:W3CDTF">2025-08-19T03:18:40Z</dcterms:created>
  <dcterms:modified xsi:type="dcterms:W3CDTF">2026-01-20T07:06:08Z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