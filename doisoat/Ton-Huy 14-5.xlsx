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AF50E6-4028-43DB-B306-FB51928E9B64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sheet1!$A$1:$F$159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4" i="1" l="1"/>
  <c r="C154" i="1"/>
  <c r="D154" i="1"/>
  <c r="B141" i="1"/>
  <c r="C141" i="1"/>
  <c r="D141" i="1"/>
  <c r="B137" i="1"/>
  <c r="C137" i="1"/>
  <c r="D137" i="1"/>
  <c r="B133" i="1"/>
  <c r="C133" i="1"/>
  <c r="D133" i="1"/>
  <c r="B149" i="1"/>
  <c r="C149" i="1"/>
  <c r="D149" i="1"/>
  <c r="B142" i="1"/>
  <c r="C142" i="1"/>
  <c r="D142" i="1"/>
  <c r="B134" i="1"/>
  <c r="C134" i="1"/>
  <c r="D134" i="1"/>
  <c r="B143" i="1"/>
  <c r="C143" i="1"/>
  <c r="D143" i="1"/>
  <c r="B135" i="1"/>
  <c r="C135" i="1"/>
  <c r="D135" i="1"/>
  <c r="B144" i="1"/>
  <c r="C144" i="1"/>
  <c r="D144" i="1"/>
  <c r="B158" i="1"/>
  <c r="C158" i="1"/>
  <c r="D158" i="1"/>
  <c r="B138" i="1"/>
  <c r="C138" i="1"/>
  <c r="D138" i="1"/>
  <c r="B152" i="1"/>
  <c r="C152" i="1"/>
  <c r="D152" i="1"/>
  <c r="B155" i="1"/>
  <c r="C155" i="1"/>
  <c r="D155" i="1"/>
  <c r="B139" i="1"/>
  <c r="C139" i="1"/>
  <c r="D139" i="1"/>
  <c r="B148" i="1"/>
  <c r="C148" i="1"/>
  <c r="D148" i="1"/>
  <c r="B157" i="1"/>
  <c r="C157" i="1"/>
  <c r="D157" i="1"/>
  <c r="B140" i="1"/>
  <c r="C140" i="1"/>
  <c r="D140" i="1"/>
  <c r="B156" i="1"/>
  <c r="C156" i="1"/>
  <c r="D156" i="1"/>
  <c r="B145" i="1"/>
  <c r="C145" i="1"/>
  <c r="D145" i="1"/>
  <c r="B65" i="1" l="1"/>
  <c r="C65" i="1"/>
  <c r="D65" i="1"/>
  <c r="B147" i="1"/>
  <c r="C147" i="1"/>
  <c r="D147" i="1"/>
  <c r="B136" i="1"/>
  <c r="C136" i="1"/>
  <c r="D136" i="1"/>
  <c r="B150" i="1"/>
  <c r="C150" i="1"/>
  <c r="D150" i="1"/>
  <c r="B146" i="1"/>
  <c r="C146" i="1"/>
  <c r="D146" i="1"/>
  <c r="B26" i="1"/>
  <c r="C26" i="1"/>
  <c r="D26" i="1"/>
  <c r="B81" i="1"/>
  <c r="C81" i="1"/>
  <c r="D81" i="1"/>
  <c r="B44" i="1"/>
  <c r="C44" i="1"/>
  <c r="D44" i="1"/>
  <c r="B94" i="1"/>
  <c r="C94" i="1"/>
  <c r="D94" i="1"/>
  <c r="B19" i="1"/>
  <c r="C19" i="1"/>
  <c r="D19" i="1"/>
  <c r="B8" i="1"/>
  <c r="C8" i="1"/>
  <c r="D8" i="1"/>
  <c r="B7" i="1"/>
  <c r="C7" i="1"/>
  <c r="D7" i="1"/>
  <c r="B61" i="1"/>
  <c r="C61" i="1"/>
  <c r="D61" i="1"/>
  <c r="B23" i="1" l="1"/>
  <c r="C23" i="1"/>
  <c r="D23" i="1"/>
  <c r="B84" i="1"/>
  <c r="C84" i="1"/>
  <c r="D84" i="1"/>
  <c r="B107" i="1"/>
  <c r="C107" i="1"/>
  <c r="D107" i="1"/>
  <c r="B54" i="1"/>
  <c r="C54" i="1"/>
  <c r="D54" i="1"/>
  <c r="B85" i="1"/>
  <c r="C85" i="1"/>
  <c r="D85" i="1"/>
  <c r="B35" i="1"/>
  <c r="C35" i="1"/>
  <c r="D35" i="1"/>
  <c r="B73" i="1"/>
  <c r="C73" i="1"/>
  <c r="D73" i="1"/>
  <c r="B28" i="1"/>
  <c r="C28" i="1"/>
  <c r="D28" i="1"/>
  <c r="B51" i="1"/>
  <c r="C51" i="1"/>
  <c r="D51" i="1"/>
  <c r="B106" i="1"/>
  <c r="C106" i="1"/>
  <c r="D106" i="1"/>
  <c r="B109" i="1"/>
  <c r="C109" i="1"/>
  <c r="D109" i="1"/>
  <c r="B121" i="1"/>
  <c r="C121" i="1"/>
  <c r="D121" i="1"/>
  <c r="B45" i="1" l="1"/>
  <c r="C45" i="1"/>
  <c r="D45" i="1"/>
  <c r="B123" i="1" l="1"/>
  <c r="C123" i="1"/>
  <c r="D123" i="1"/>
  <c r="B66" i="1"/>
  <c r="C66" i="1"/>
  <c r="D66" i="1"/>
  <c r="B59" i="1"/>
  <c r="C59" i="1"/>
  <c r="D59" i="1"/>
  <c r="B11" i="1"/>
  <c r="C11" i="1"/>
  <c r="D11" i="1"/>
  <c r="B60" i="1"/>
  <c r="C60" i="1"/>
  <c r="D60" i="1"/>
  <c r="B24" i="1"/>
  <c r="C24" i="1"/>
  <c r="D24" i="1"/>
  <c r="B43" i="1"/>
  <c r="C43" i="1"/>
  <c r="D43" i="1"/>
  <c r="B98" i="1"/>
  <c r="C98" i="1"/>
  <c r="D98" i="1"/>
  <c r="B30" i="1"/>
  <c r="C30" i="1"/>
  <c r="D30" i="1"/>
  <c r="B74" i="1"/>
  <c r="C74" i="1"/>
  <c r="D74" i="1"/>
  <c r="B114" i="1"/>
  <c r="C114" i="1"/>
  <c r="D114" i="1"/>
  <c r="B42" i="1"/>
  <c r="C42" i="1"/>
  <c r="D42" i="1"/>
  <c r="B13" i="1"/>
  <c r="C13" i="1"/>
  <c r="D13" i="1"/>
  <c r="B49" i="1"/>
  <c r="C49" i="1"/>
  <c r="D49" i="1"/>
  <c r="B68" i="1"/>
  <c r="C68" i="1"/>
  <c r="D68" i="1"/>
  <c r="B21" i="1"/>
  <c r="C21" i="1"/>
  <c r="D21" i="1"/>
  <c r="B96" i="1"/>
  <c r="C96" i="1"/>
  <c r="D96" i="1"/>
  <c r="B40" i="1"/>
  <c r="C40" i="1"/>
  <c r="D40" i="1"/>
  <c r="B20" i="1"/>
  <c r="C20" i="1"/>
  <c r="D20" i="1"/>
  <c r="B47" i="1"/>
  <c r="C47" i="1"/>
  <c r="D47" i="1"/>
  <c r="B16" i="1"/>
  <c r="C16" i="1"/>
  <c r="D16" i="1"/>
  <c r="B126" i="1"/>
  <c r="C126" i="1"/>
  <c r="D126" i="1"/>
  <c r="B82" i="1"/>
  <c r="C82" i="1"/>
  <c r="D82" i="1"/>
  <c r="B104" i="1" l="1"/>
  <c r="C104" i="1"/>
  <c r="D104" i="1"/>
  <c r="B52" i="1" l="1"/>
  <c r="C52" i="1"/>
  <c r="D52" i="1"/>
  <c r="B79" i="1"/>
  <c r="C79" i="1"/>
  <c r="D79" i="1"/>
  <c r="B9" i="1"/>
  <c r="C9" i="1"/>
  <c r="D9" i="1"/>
  <c r="B39" i="1" l="1"/>
  <c r="C39" i="1"/>
  <c r="D39" i="1"/>
  <c r="B17" i="1"/>
  <c r="C17" i="1"/>
  <c r="D17" i="1"/>
  <c r="B132" i="1"/>
  <c r="C132" i="1"/>
  <c r="D132" i="1"/>
  <c r="B113" i="1"/>
  <c r="C113" i="1"/>
  <c r="D113" i="1"/>
  <c r="B105" i="1"/>
  <c r="C105" i="1"/>
  <c r="D105" i="1"/>
  <c r="B151" i="1"/>
  <c r="C151" i="1"/>
  <c r="D151" i="1"/>
  <c r="B57" i="1"/>
  <c r="C57" i="1"/>
  <c r="D57" i="1"/>
  <c r="B15" i="1" l="1"/>
  <c r="C15" i="1"/>
  <c r="D15" i="1"/>
  <c r="B125" i="1"/>
  <c r="C125" i="1"/>
  <c r="D125" i="1"/>
  <c r="B6" i="1"/>
  <c r="C6" i="1"/>
  <c r="D6" i="1"/>
  <c r="B89" i="1"/>
  <c r="C89" i="1"/>
  <c r="D89" i="1"/>
  <c r="B5" i="1"/>
  <c r="C5" i="1"/>
  <c r="D5" i="1"/>
  <c r="B4" i="1"/>
  <c r="C4" i="1"/>
  <c r="D4" i="1"/>
  <c r="B22" i="1"/>
  <c r="C22" i="1"/>
  <c r="D22" i="1"/>
  <c r="B38" i="1"/>
  <c r="C38" i="1"/>
  <c r="D38" i="1"/>
  <c r="B131" i="1"/>
  <c r="C131" i="1"/>
  <c r="D131" i="1"/>
  <c r="B32" i="1"/>
  <c r="C32" i="1"/>
  <c r="D32" i="1"/>
  <c r="B31" i="1"/>
  <c r="C31" i="1"/>
  <c r="D31" i="1"/>
  <c r="B112" i="1"/>
  <c r="C112" i="1"/>
  <c r="D112" i="1"/>
  <c r="B129" i="1"/>
  <c r="C129" i="1"/>
  <c r="D129" i="1"/>
  <c r="B116" i="1"/>
  <c r="C116" i="1"/>
  <c r="D116" i="1"/>
  <c r="D93" i="1" l="1"/>
  <c r="C93" i="1"/>
  <c r="B93" i="1"/>
  <c r="D62" i="1"/>
  <c r="C62" i="1"/>
  <c r="B62" i="1"/>
  <c r="D153" i="1"/>
  <c r="C153" i="1"/>
  <c r="B153" i="1"/>
  <c r="D90" i="1"/>
  <c r="C90" i="1"/>
  <c r="B90" i="1"/>
  <c r="D88" i="1"/>
  <c r="C88" i="1"/>
  <c r="B88" i="1"/>
  <c r="D14" i="1"/>
  <c r="C14" i="1"/>
  <c r="B14" i="1"/>
  <c r="D128" i="1"/>
  <c r="C128" i="1"/>
  <c r="B128" i="1"/>
  <c r="D118" i="1"/>
  <c r="C118" i="1"/>
  <c r="B118" i="1"/>
  <c r="D91" i="1"/>
  <c r="C91" i="1"/>
  <c r="B91" i="1"/>
  <c r="D27" i="1"/>
  <c r="C27" i="1"/>
  <c r="B27" i="1"/>
  <c r="D69" i="1"/>
  <c r="C69" i="1"/>
  <c r="B69" i="1"/>
  <c r="D12" i="1"/>
  <c r="C12" i="1"/>
  <c r="B12" i="1"/>
  <c r="D55" i="1"/>
  <c r="C55" i="1"/>
  <c r="B55" i="1"/>
  <c r="D100" i="1"/>
  <c r="C100" i="1"/>
  <c r="B100" i="1"/>
  <c r="D50" i="1"/>
  <c r="C50" i="1"/>
  <c r="B50" i="1"/>
  <c r="D111" i="1"/>
  <c r="C111" i="1"/>
  <c r="B111" i="1"/>
  <c r="D25" i="1"/>
  <c r="C25" i="1"/>
  <c r="B25" i="1"/>
  <c r="D2" i="1"/>
  <c r="C2" i="1"/>
  <c r="B2" i="1"/>
  <c r="D46" i="1"/>
  <c r="C46" i="1"/>
  <c r="B46" i="1"/>
  <c r="D110" i="1"/>
  <c r="C110" i="1"/>
  <c r="B110" i="1"/>
  <c r="D86" i="1"/>
  <c r="C86" i="1"/>
  <c r="B86" i="1"/>
  <c r="D53" i="1"/>
  <c r="C53" i="1"/>
  <c r="B53" i="1"/>
  <c r="D76" i="1"/>
  <c r="C76" i="1"/>
  <c r="B76" i="1"/>
  <c r="D3" i="1"/>
  <c r="C3" i="1"/>
  <c r="B3" i="1"/>
  <c r="D75" i="1"/>
  <c r="C75" i="1"/>
  <c r="B75" i="1"/>
  <c r="D10" i="1"/>
  <c r="C10" i="1"/>
  <c r="B10" i="1"/>
  <c r="D41" i="1"/>
  <c r="C41" i="1"/>
  <c r="B41" i="1"/>
  <c r="D115" i="1"/>
  <c r="C115" i="1"/>
  <c r="B115" i="1"/>
  <c r="D72" i="1"/>
  <c r="C72" i="1"/>
  <c r="B72" i="1"/>
  <c r="D83" i="1"/>
  <c r="C83" i="1"/>
  <c r="B83" i="1"/>
  <c r="D80" i="1"/>
  <c r="C80" i="1"/>
  <c r="B80" i="1"/>
  <c r="D29" i="1"/>
  <c r="C29" i="1"/>
  <c r="B29" i="1"/>
  <c r="D117" i="1"/>
  <c r="C117" i="1"/>
  <c r="B117" i="1"/>
  <c r="D103" i="1"/>
  <c r="C103" i="1"/>
  <c r="B103" i="1"/>
  <c r="D102" i="1"/>
  <c r="C102" i="1"/>
  <c r="B102" i="1"/>
  <c r="D64" i="1"/>
  <c r="C64" i="1"/>
  <c r="B64" i="1"/>
  <c r="D18" i="1"/>
  <c r="C18" i="1"/>
  <c r="B18" i="1"/>
  <c r="D56" i="1"/>
  <c r="C56" i="1"/>
  <c r="B56" i="1"/>
  <c r="D159" i="1"/>
  <c r="C159" i="1"/>
  <c r="B159" i="1"/>
  <c r="D78" i="1"/>
  <c r="C78" i="1"/>
  <c r="B78" i="1"/>
  <c r="D67" i="1"/>
  <c r="C67" i="1"/>
  <c r="B67" i="1"/>
  <c r="D119" i="1"/>
  <c r="C119" i="1"/>
  <c r="B119" i="1"/>
  <c r="D124" i="1"/>
  <c r="C124" i="1"/>
  <c r="B124" i="1"/>
  <c r="D34" i="1"/>
  <c r="C34" i="1"/>
  <c r="B34" i="1"/>
  <c r="D108" i="1"/>
  <c r="C108" i="1"/>
  <c r="B108" i="1"/>
  <c r="D87" i="1"/>
  <c r="C87" i="1"/>
  <c r="B87" i="1"/>
  <c r="D33" i="1"/>
  <c r="C33" i="1"/>
  <c r="B33" i="1"/>
  <c r="D58" i="1"/>
  <c r="C58" i="1"/>
  <c r="B58" i="1"/>
  <c r="D48" i="1"/>
  <c r="C48" i="1"/>
  <c r="B48" i="1"/>
  <c r="D122" i="1"/>
  <c r="C122" i="1"/>
  <c r="B122" i="1"/>
  <c r="D70" i="1"/>
  <c r="C70" i="1"/>
  <c r="B70" i="1"/>
  <c r="D92" i="1"/>
  <c r="C92" i="1"/>
  <c r="B92" i="1"/>
  <c r="D36" i="1"/>
  <c r="C36" i="1"/>
  <c r="B36" i="1"/>
  <c r="D120" i="1"/>
  <c r="C120" i="1"/>
  <c r="B120" i="1"/>
  <c r="D101" i="1"/>
  <c r="C101" i="1"/>
  <c r="B101" i="1"/>
  <c r="D97" i="1"/>
  <c r="C97" i="1"/>
  <c r="B97" i="1"/>
  <c r="D77" i="1"/>
  <c r="C77" i="1"/>
  <c r="B77" i="1"/>
  <c r="D63" i="1"/>
  <c r="C63" i="1"/>
  <c r="B63" i="1"/>
  <c r="D130" i="1"/>
  <c r="C130" i="1"/>
  <c r="B130" i="1"/>
  <c r="D95" i="1"/>
  <c r="C95" i="1"/>
  <c r="B95" i="1"/>
  <c r="D71" i="1"/>
  <c r="C71" i="1"/>
  <c r="B71" i="1"/>
  <c r="D37" i="1"/>
  <c r="C37" i="1"/>
  <c r="B37" i="1"/>
  <c r="D99" i="1"/>
  <c r="C99" i="1"/>
  <c r="B99" i="1"/>
  <c r="D127" i="1"/>
  <c r="C127" i="1"/>
  <c r="B1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<sst xmlns="http://schemas.openxmlformats.org/spreadsheetml/2006/main" count="5808" uniqueCount="3136">
  <si>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</si>
  <si>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</si>
  <si>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</si>
  <si>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</si>
  <si>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</si>
  <si>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</si>
  <si>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</si>
  <si>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</si>
  <si>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</si>
  <si>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</si>
  <si>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</si>
  <si>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</si>
  <si>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</si>
  <si>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</si>
  <si>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</si>
  <si>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</si>
  <si>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</si>
  <si>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</si>
  <si>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</si>
  <si>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</si>
  <si>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</si>
  <si>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</si>
  <si>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</si>
  <si>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</si>
  <si>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</si>
  <si>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</si>
  <si>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</si>
  <si>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</si>
  <si>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</si>
  <si>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</si>
  <si>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</si>
  <si>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</si>
  <si>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</si>
  <si>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</si>
  <si>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</si>
  <si>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</si>
  <si>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</si>
  <si>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</si>
  <si>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</si>
  <si>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</si>
  <si>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</si>
  <si>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</si>
  <si>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</si>
  <si>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</si>
  <si>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</si>
  <si>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</si>
  <si>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</si>
  <si>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</si>
  <si>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</si>
  <si>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</si>
  <si>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</si>
  <si>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</si>
  <si>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</si>
  <si>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</si>
  <si>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</si>
  <si>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</si>
  <si>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</si>
  <si>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</si>
  <si>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</si>
  <si>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</si>
  <si>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</si>
  <si>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</si>
  <si>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</si>
  <si>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</si>
  <si>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</si>
  <si>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</si>
  <si>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</si>
  <si>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</si>
  <si>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</si>
  <si>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</si>
  <si>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</si>
  <si>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</si>
  <si>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</si>
  <si>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</si>
  <si>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</si>
  <si>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</si>
  <si>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</si>
  <si>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</si>
  <si>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</si>
  <si>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</si>
  <si>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</si>
  <si>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</si>
  <si>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</si>
  <si>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</si>
  <si>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</si>
  <si>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</si>
  <si>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</si>
  <si>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</si>
  <si>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</si>
  <si>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</si>
  <si>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</si>
  <si>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</si>
  <si>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</si>
  <si>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</si>
  <si>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</si>
  <si>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</si>
  <si>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</si>
  <si>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</si>
  <si>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</si>
  <si>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</si>
  <si>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</si>
  <si>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</si>
  <si>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</si>
  <si>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</si>
  <si>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</si>
  <si>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</si>
  <si>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</si>
  <si>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</si>
  <si>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</si>
  <si>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</si>
  <si>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</si>
  <si>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</si>
  <si>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</si>
  <si>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</si>
  <si>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</si>
  <si>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</si>
  <si>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</si>
  <si>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</si>
  <si>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</si>
  <si>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</si>
  <si>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</si>
  <si>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</si>
  <si>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</si>
  <si>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</si>
  <si>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</si>
  <si>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</si>
  <si>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</si>
  <si>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</si>
  <si>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</si>
  <si>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</si>
  <si>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</si>
  <si>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</si>
  <si>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</si>
  <si>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</si>
  <si>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</si>
  <si>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</si>
  <si>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</si>
  <si>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</si>
  <si>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</si>
  <si>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</si>
  <si>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</si>
  <si>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</si>
  <si>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</si>
  <si>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</si>
  <si>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</si>
  <si>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</si>
  <si>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</si>
  <si>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</si>
  <si>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</si>
  <si>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</si>
  <si>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</si>
  <si>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</si>
  <si>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</si>
  <si>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</si>
  <si>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</si>
  <si>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</si>
  <si>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</si>
  <si>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</si>
  <si>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</si>
  <si>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</si>
  <si>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</si>
  <si>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</si>
  <si>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</si>
  <si>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</si>
  <si>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</si>
  <si>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</si>
  <si>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</si>
  <si>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</si>
  <si>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</si>
  <si>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</si>
  <si>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</si>
  <si>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</si>
  <si>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</si>
  <si>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</si>
  <si>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</si>
  <si>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</si>
  <si>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</si>
  <si>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</si>
  <si>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</si>
  <si>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</si>
  <si>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</si>
  <si>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</si>
  <si>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</si>
  <si>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</si>
  <si>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</si>
  <si>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</si>
  <si>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</si>
  <si>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</si>
  <si>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</si>
  <si>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</si>
  <si>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</si>
  <si>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</si>
  <si>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</si>
  <si>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</si>
  <si>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</si>
  <si>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</si>
  <si>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</si>
  <si>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</si>
  <si>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</si>
  <si>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</si>
  <si>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</si>
  <si>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</si>
  <si>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</si>
  <si>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</si>
  <si>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</si>
  <si>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</si>
  <si>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</si>
  <si>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</si>
  <si>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</si>
  <si>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</si>
  <si>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</si>
  <si>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</si>
  <si>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</si>
  <si>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</si>
  <si>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</si>
  <si>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</si>
  <si>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</si>
  <si>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</si>
  <si>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</si>
  <si>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</si>
  <si>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</si>
  <si>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</si>
  <si>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</si>
  <si>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</si>
  <si>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</si>
  <si>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</si>
  <si>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</si>
  <si>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</si>
  <si>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</si>
  <si>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</si>
  <si>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</si>
  <si>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</si>
  <si>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</si>
  <si>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</si>
  <si>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</si>
  <si>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</si>
  <si>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</si>
  <si>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</si>
  <si>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</si>
  <si>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</si>
  <si>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</si>
  <si>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</si>
  <si>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</si>
  <si>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</si>
  <si>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</si>
  <si>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</si>
  <si>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</si>
  <si>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</si>
  <si>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</si>
  <si>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</si>
  <si>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</si>
  <si>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</si>
  <si>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</si>
  <si>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</si>
  <si>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</si>
  <si>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</si>
  <si>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</si>
  <si>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</si>
  <si>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</si>
  <si>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</si>
  <si>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</si>
  <si>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</si>
  <si>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</si>
  <si>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</si>
  <si>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</si>
  <si>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</si>
  <si>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</si>
  <si>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</si>
  <si>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</si>
  <si>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</si>
  <si>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</si>
  <si>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</si>
  <si>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</si>
  <si>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</si>
  <si>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</si>
  <si>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</si>
  <si>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</si>
  <si>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</si>
  <si>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</si>
  <si>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</si>
  <si>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</si>
  <si>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</si>
  <si>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</si>
  <si>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</si>
  <si>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</si>
  <si>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</si>
  <si>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</si>
  <si>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</si>
  <si>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</si>
  <si>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</si>
  <si>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</si>
  <si>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</si>
  <si>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</si>
  <si>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</si>
  <si>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</si>
  <si>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</si>
  <si>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</si>
  <si>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</si>
  <si>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</si>
  <si>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</si>
  <si>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</si>
  <si>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</si>
  <si>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</si>
  <si>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</si>
  <si>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</si>
  <si>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</si>
  <si>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</si>
  <si>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</si>
  <si>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</si>
  <si>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</si>
  <si>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</si>
  <si>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</si>
  <si>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</si>
  <si>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</si>
  <si>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</si>
  <si>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</si>
  <si>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</si>
  <si>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</si>
  <si>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</si>
  <si>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</si>
  <si>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</si>
  <si>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</si>
  <si>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</si>
  <si>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</si>
  <si>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</si>
  <si>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</si>
  <si>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</si>
  <si>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</si>
  <si>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</si>
  <si>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</si>
  <si>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</si>
  <si>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</si>
  <si>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</si>
  <si>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</si>
  <si>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</si>
  <si>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</si>
  <si>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</si>
  <si>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</si>
  <si>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</si>
  <si>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</si>
  <si>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</si>
  <si>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</si>
  <si>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</si>
  <si>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</si>
  <si>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</si>
  <si>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</si>
  <si>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</si>
  <si>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</si>
  <si>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</si>
  <si>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</si>
  <si>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</si>
  <si>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</si>
  <si>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</si>
  <si>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</si>
  <si>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</si>
  <si>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</si>
  <si>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</si>
  <si>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</si>
  <si>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</si>
  <si>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</si>
  <si>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</si>
  <si>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</si>
  <si>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</si>
  <si>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</si>
  <si>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</si>
  <si>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</si>
  <si>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</si>
  <si>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</si>
  <si>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</si>
  <si>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</si>
  <si>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</si>
  <si>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</si>
  <si>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</si>
  <si>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</si>
  <si>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</si>
  <si>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</si>
  <si>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</si>
  <si>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</si>
  <si>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</si>
  <si>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</si>
  <si>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</si>
  <si>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</si>
  <si>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</si>
  <si>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</si>
  <si>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</si>
  <si>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</si>
  <si>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</si>
  <si>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</si>
  <si>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</si>
  <si>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</si>
  <si>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</si>
  <si>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</si>
  <si>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</si>
  <si>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</si>
  <si>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</si>
  <si>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</si>
  <si>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</si>
  <si>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</si>
  <si>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</si>
  <si>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</si>
  <si>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</si>
  <si>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</si>
  <si>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</si>
  <si>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</si>
  <si>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</si>
  <si>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</si>
  <si>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</si>
  <si>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</si>
  <si>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</si>
  <si>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</si>
  <si>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</si>
  <si>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</si>
  <si>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</si>
  <si>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</si>
  <si>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</si>
  <si>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</si>
  <si>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</si>
  <si>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</si>
  <si>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</si>
  <si>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</si>
  <si>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</si>
  <si>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</si>
  <si>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</si>
  <si>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</si>
  <si>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</si>
  <si>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</si>
  <si>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</si>
  <si>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</si>
  <si>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</si>
  <si>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</si>
  <si>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</si>
  <si>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</si>
  <si>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</si>
  <si>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</si>
  <si>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</si>
  <si>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</si>
  <si>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</si>
  <si>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</si>
  <si>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</si>
  <si>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</si>
  <si>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</si>
  <si>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</si>
  <si>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</si>
  <si>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</si>
  <si>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</si>
  <si>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</si>
  <si>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</si>
  <si>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</si>
  <si>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</si>
  <si>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</si>
  <si>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</si>
  <si>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</si>
  <si>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</si>
  <si>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</si>
  <si>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</si>
  <si>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</si>
  <si>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</si>
  <si>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</si>
  <si>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</si>
  <si>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</si>
  <si>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</si>
  <si>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</si>
  <si>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</si>
  <si>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</si>
  <si>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</si>
  <si>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</si>
  <si>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</si>
  <si>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</si>
  <si>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</si>
  <si>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</si>
  <si>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</si>
  <si>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</si>
  <si>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</si>
  <si>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</si>
  <si>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</si>
  <si>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</si>
  <si>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</si>
  <si>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</si>
  <si>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</si>
  <si>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</si>
  <si>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</si>
  <si>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</si>
  <si>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</si>
  <si>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</si>
  <si>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</si>
  <si>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</si>
  <si>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</si>
  <si>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</si>
  <si>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</si>
  <si>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</si>
  <si>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</si>
  <si>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</si>
  <si>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</si>
  <si>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</si>
  <si>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</si>
  <si>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</si>
  <si>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</si>
  <si>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</si>
  <si>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</si>
  <si>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</si>
  <si>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</si>
  <si>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</si>
  <si>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</si>
  <si>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</si>
  <si>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</si>
  <si>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</si>
  <si>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</si>
  <si>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</si>
  <si>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</si>
  <si>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</si>
  <si>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</si>
  <si>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</si>
  <si>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</si>
  <si>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</si>
  <si>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</si>
  <si>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</si>
  <si>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</si>
  <si>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</si>
  <si>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</si>
  <si>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</si>
  <si>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</si>
  <si>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</si>
  <si>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</si>
  <si>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</si>
  <si>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</si>
  <si>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</si>
  <si>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</si>
  <si>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</si>
  <si>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</si>
  <si>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</si>
  <si>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</si>
  <si>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</si>
  <si>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</si>
  <si>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</si>
  <si>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</si>
  <si>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</si>
  <si>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</si>
  <si>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</si>
  <si>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</si>
  <si>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</si>
  <si>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</si>
  <si>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</si>
  <si>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</si>
  <si>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</si>
  <si>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</si>
  <si>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</si>
  <si>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</si>
  <si>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</si>
  <si>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</si>
  <si>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</si>
  <si>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</si>
  <si>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</si>
  <si>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</si>
  <si>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</si>
  <si>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</si>
  <si>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</si>
  <si>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</si>
  <si>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</si>
  <si>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</si>
  <si>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</si>
  <si>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</si>
  <si>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</si>
  <si>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</si>
  <si>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</si>
  <si>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</si>
  <si>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</si>
  <si>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</si>
  <si>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</si>
  <si>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</si>
  <si>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</si>
  <si>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</si>
  <si>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</si>
  <si>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</si>
  <si>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</si>
  <si>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</si>
  <si>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</si>
  <si>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</si>
  <si>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</si>
  <si>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</si>
  <si>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</si>
  <si>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</si>
  <si>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</si>
  <si>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</si>
  <si>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</si>
  <si>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</si>
  <si>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</si>
  <si>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</si>
  <si>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</si>
  <si>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</si>
  <si>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</si>
  <si>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</si>
  <si>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</si>
  <si>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</si>
  <si>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</si>
  <si>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</si>
  <si>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</si>
  <si>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</si>
  <si>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</si>
  <si>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</si>
  <si>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</si>
  <si>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</si>
  <si>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</si>
  <si>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</si>
  <si>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</si>
  <si>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</si>
  <si>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</si>
  <si>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</si>
  <si>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</si>
  <si>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</si>
  <si>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</si>
  <si>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</si>
  <si>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</si>
  <si>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</si>
  <si>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</si>
  <si>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</si>
  <si>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</si>
  <si>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</si>
  <si>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</si>
  <si>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</si>
  <si>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</si>
  <si>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</si>
  <si>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</si>
  <si>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</si>
  <si>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</si>
  <si>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</si>
  <si>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</si>
  <si>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</si>
  <si>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</si>
  <si>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</si>
  <si>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</si>
  <si>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</si>
  <si>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</si>
  <si>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</si>
  <si>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</si>
  <si>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</si>
  <si>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</si>
  <si>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</si>
  <si>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</si>
  <si>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</si>
  <si>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</si>
  <si>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</si>
  <si>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</si>
  <si>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</si>
  <si>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</si>
  <si>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</si>
  <si>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</si>
  <si>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</si>
  <si>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</si>
  <si>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</si>
  <si>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</si>
  <si>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</si>
  <si>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</si>
  <si>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</si>
  <si>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</si>
  <si>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</si>
  <si>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</si>
  <si>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</si>
  <si>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</si>
  <si>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</si>
  <si>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</si>
  <si>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</si>
  <si>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</si>
  <si>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</si>
  <si>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</si>
  <si>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</si>
  <si>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</si>
  <si>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</si>
  <si>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</si>
  <si>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</si>
  <si>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</si>
  <si>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</si>
  <si>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</si>
  <si>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</si>
  <si>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</si>
  <si>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</si>
  <si>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</si>
  <si>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</si>
  <si>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</si>
  <si>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</si>
  <si>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</si>
  <si>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</si>
  <si>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</si>
  <si>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</si>
  <si>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</si>
  <si>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</si>
  <si>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</si>
  <si>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</si>
  <si>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</si>
  <si>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</si>
  <si>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</si>
  <si>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</si>
  <si>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</si>
  <si>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</si>
  <si>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</si>
  <si>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</si>
  <si>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</si>
  <si>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</si>
  <si>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</si>
  <si>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</si>
  <si>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</si>
  <si>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</si>
  <si>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</si>
  <si>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</si>
  <si>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</si>
  <si>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</si>
  <si>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</si>
  <si>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</si>
  <si>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</si>
  <si>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</si>
  <si>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</si>
  <si>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</si>
  <si>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</si>
  <si>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</si>
  <si>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</si>
  <si>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</si>
  <si>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</si>
  <si>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</si>
  <si>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</si>
  <si>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</si>
  <si>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</si>
  <si>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</si>
  <si>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</si>
  <si>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</si>
  <si>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</si>
  <si>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</si>
  <si>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</si>
  <si>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</si>
  <si>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</si>
  <si>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</si>
  <si>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</si>
  <si>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</si>
  <si>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</si>
  <si>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</si>
  <si>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</si>
  <si>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</si>
  <si>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</si>
  <si>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</si>
  <si>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</si>
  <si>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</si>
  <si>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</si>
  <si>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</si>
  <si>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</si>
  <si>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</si>
  <si>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</si>
  <si>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</si>
  <si>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</si>
  <si>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</si>
  <si>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</si>
  <si>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</si>
  <si>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</si>
  <si>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</si>
  <si>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</si>
  <si>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</si>
  <si>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</si>
  <si>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</si>
  <si>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</si>
  <si>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</si>
  <si>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</si>
  <si>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</si>
  <si>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</si>
  <si>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</si>
  <si>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</si>
  <si>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</si>
  <si>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</si>
  <si>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</si>
  <si>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</si>
  <si>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</si>
  <si>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</si>
  <si>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</si>
  <si>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</si>
  <si>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</si>
  <si>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</si>
  <si>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</si>
  <si>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</si>
  <si>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</si>
  <si>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</si>
  <si>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</si>
  <si>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</si>
  <si>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</si>
  <si>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</si>
  <si>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</si>
  <si>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</si>
  <si>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</si>
  <si>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</si>
  <si>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</si>
  <si>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</si>
  <si>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</si>
  <si>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</si>
  <si>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</si>
  <si>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</si>
  <si>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</si>
  <si>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</si>
  <si>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</si>
  <si>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</si>
  <si>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</si>
  <si>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</si>
  <si>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</si>
  <si>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</si>
  <si>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</si>
  <si>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</si>
  <si>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</si>
  <si>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</si>
  <si>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</si>
  <si>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</si>
  <si>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</si>
  <si>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</si>
  <si>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</si>
  <si>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</si>
  <si>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</si>
  <si>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</si>
  <si>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</si>
  <si>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</si>
  <si>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</si>
  <si>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</si>
  <si>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</si>
  <si>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</si>
  <si>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</si>
  <si>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</si>
  <si>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</si>
  <si>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</si>
  <si>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</si>
  <si>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</si>
  <si>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</si>
  <si>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</si>
  <si>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</si>
  <si>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</si>
  <si>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</si>
  <si>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</si>
  <si>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</si>
  <si>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</si>
  <si>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</si>
  <si>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</si>
  <si>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</si>
  <si>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</si>
  <si>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</si>
  <si>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</si>
  <si>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</si>
  <si>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</si>
  <si>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</si>
  <si>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</si>
  <si>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</si>
  <si>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</si>
  <si>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</si>
  <si>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</si>
  <si>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</si>
  <si>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</si>
  <si>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</si>
  <si>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</si>
  <si>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</si>
  <si>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</si>
  <si>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</si>
  <si>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</si>
  <si>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</si>
  <si>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</si>
  <si>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</si>
  <si>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</si>
  <si>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</si>
  <si>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</si>
  <si>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</si>
  <si>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</si>
  <si>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</si>
  <si>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</si>
  <si>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</si>
  <si>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</si>
  <si>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</si>
  <si>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</si>
  <si>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</si>
  <si>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</si>
  <si>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</si>
  <si>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</si>
  <si>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</si>
  <si>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</si>
  <si>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</si>
  <si>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</si>
  <si>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</si>
  <si>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</si>
  <si>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</si>
  <si>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</si>
  <si>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</si>
  <si>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</si>
  <si>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</si>
  <si>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</si>
  <si>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</si>
  <si>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</si>
  <si>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</si>
  <si>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</si>
  <si>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</si>
  <si>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</si>
  <si>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</si>
  <si>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</si>
  <si>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</si>
  <si>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</si>
  <si>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</si>
  <si>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</si>
  <si>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</si>
  <si>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</si>
  <si>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</si>
  <si>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</si>
  <si>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</si>
  <si>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</si>
  <si>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</si>
  <si>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</si>
  <si>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</si>
  <si>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</si>
  <si>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</si>
  <si>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</si>
  <si>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</si>
  <si>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</si>
  <si>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</si>
  <si>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</si>
  <si>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</si>
  <si>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</si>
  <si>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</si>
  <si>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</si>
  <si>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</si>
  <si>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</si>
  <si>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</si>
  <si>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</si>
  <si>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</si>
  <si>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</si>
  <si>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</si>
  <si>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</si>
  <si>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</si>
  <si>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</si>
  <si>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</si>
  <si>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</si>
  <si>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</si>
  <si>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</si>
  <si>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</si>
  <si>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</si>
  <si>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</si>
  <si>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</si>
  <si>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</si>
  <si>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</si>
  <si>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</si>
  <si>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</si>
  <si>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</si>
  <si>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</si>
  <si>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</si>
  <si>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</si>
  <si>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</si>
  <si>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</si>
  <si>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</si>
  <si>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</si>
  <si>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</si>
  <si>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</si>
  <si>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</si>
  <si>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</si>
  <si>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</si>
  <si>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</si>
  <si>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</si>
  <si>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</si>
  <si>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</si>
  <si>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</si>
  <si>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</si>
  <si>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</si>
  <si>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</si>
  <si>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</si>
  <si>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</si>
  <si>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</si>
  <si>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</si>
  <si>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</si>
  <si>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</si>
  <si>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</si>
  <si>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</si>
  <si>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</si>
  <si>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</si>
  <si>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</si>
  <si>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</si>
  <si>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</si>
  <si>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</si>
  <si>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</si>
  <si>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</si>
  <si>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</si>
  <si>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</si>
  <si>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</si>
  <si>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</si>
  <si>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</si>
  <si>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</si>
  <si>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</si>
  <si>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</si>
  <si>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</si>
  <si>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</si>
  <si>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</si>
  <si>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</si>
  <si>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</si>
  <si>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</si>
  <si>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</si>
  <si>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</si>
  <si>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</si>
  <si>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</si>
  <si>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</si>
  <si>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</si>
  <si>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</si>
  <si>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</si>
  <si>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</si>
  <si>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</si>
  <si>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</si>
  <si>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</si>
  <si>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</si>
  <si>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</si>
  <si>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</si>
  <si>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</si>
  <si>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</si>
  <si>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</si>
  <si>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</si>
  <si>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</si>
  <si>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</si>
  <si>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</si>
  <si>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</si>
  <si>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</si>
  <si>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</si>
  <si>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</si>
  <si>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</si>
  <si>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</si>
  <si>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</si>
  <si>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</si>
  <si>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</si>
  <si>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</si>
  <si>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</si>
  <si>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</si>
  <si>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</si>
  <si>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</si>
  <si>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</si>
  <si>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</si>
  <si>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</si>
  <si>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</si>
  <si>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</si>
  <si>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</si>
  <si>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</si>
  <si>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</si>
  <si>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</si>
  <si>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</si>
  <si>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</si>
  <si>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</si>
  <si>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</si>
  <si>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</si>
  <si>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</si>
  <si>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</si>
  <si>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</si>
  <si>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</si>
  <si>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</si>
  <si>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</si>
  <si>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</si>
  <si>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</si>
  <si>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</si>
  <si>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</si>
  <si>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</si>
  <si>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</si>
  <si>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</si>
  <si>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</si>
  <si>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</si>
  <si>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</si>
  <si>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</si>
  <si>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</si>
  <si>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</si>
  <si>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</si>
  <si>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</si>
  <si>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</si>
  <si>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</si>
  <si>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</si>
  <si>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</si>
  <si>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</si>
  <si>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</si>
  <si>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</si>
  <si>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</si>
  <si>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</si>
  <si>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</si>
  <si>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</si>
  <si>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</si>
  <si>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</si>
  <si>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</si>
  <si>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</si>
  <si>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</si>
  <si>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</si>
  <si>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</si>
  <si>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</si>
  <si>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</si>
  <si>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</si>
  <si>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</si>
  <si>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</si>
  <si>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</si>
  <si>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</si>
  <si>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</si>
  <si>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</si>
  <si>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</si>
  <si>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</si>
  <si>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</si>
  <si>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</si>
  <si>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</si>
  <si>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</si>
  <si>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</si>
  <si>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</si>
  <si>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</si>
  <si>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</si>
  <si>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</si>
  <si>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</si>
  <si>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</si>
  <si>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</si>
  <si>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</si>
  <si>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</si>
  <si>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</si>
  <si>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</si>
  <si>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</si>
  <si>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</si>
  <si>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</si>
  <si>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</si>
  <si>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</si>
  <si>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</si>
  <si>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</si>
  <si>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</si>
  <si>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</si>
  <si>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</si>
  <si>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</si>
  <si>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</si>
  <si>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</si>
  <si>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</si>
  <si>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</si>
  <si>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</si>
  <si>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</si>
  <si>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</si>
  <si>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</si>
  <si>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</si>
  <si>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</si>
  <si>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</si>
  <si>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</si>
  <si>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</si>
  <si>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</si>
  <si>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</si>
  <si>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</si>
  <si>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</si>
  <si>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</si>
  <si>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</si>
  <si>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</si>
  <si>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</si>
  <si>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</si>
  <si>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</si>
  <si>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</si>
  <si>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</si>
  <si>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</si>
  <si>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</si>
  <si>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</si>
  <si>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</si>
  <si>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</si>
  <si>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</si>
  <si>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</si>
  <si>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</si>
  <si>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</si>
  <si>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</si>
  <si>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</si>
  <si>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</si>
  <si>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</si>
  <si>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</si>
  <si>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</si>
  <si>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</si>
  <si>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</si>
  <si>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</si>
  <si>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</si>
  <si>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</si>
  <si>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</si>
  <si>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</si>
  <si>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</si>
  <si>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</si>
  <si>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</si>
  <si>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</si>
  <si>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</si>
  <si>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</si>
  <si>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</si>
  <si>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</si>
  <si>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</si>
  <si>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</si>
  <si>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</si>
  <si>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</si>
  <si>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</si>
  <si>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</si>
  <si>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</si>
  <si>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</si>
  <si>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</si>
  <si>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</si>
  <si>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</si>
  <si>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</si>
  <si>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</si>
  <si>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</si>
  <si>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</si>
  <si>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</si>
  <si>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</si>
  <si>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</si>
  <si>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</si>
  <si>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</si>
  <si>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</si>
  <si>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</si>
  <si>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</si>
  <si>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</si>
  <si>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</si>
  <si>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</si>
  <si>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</si>
  <si>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</si>
  <si>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</si>
  <si>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</si>
  <si>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</si>
  <si>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</si>
  <si>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</si>
  <si>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</si>
  <si>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</si>
  <si>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</si>
  <si>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</si>
  <si>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</si>
  <si>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</si>
  <si>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</si>
  <si>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</si>
  <si>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</si>
  <si>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</si>
  <si>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</si>
  <si>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</si>
  <si>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</si>
  <si>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</si>
  <si>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</si>
  <si>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</si>
  <si>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</si>
  <si>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</si>
  <si>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</si>
  <si>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</si>
  <si>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</si>
  <si>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</si>
  <si>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</si>
  <si>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</si>
  <si>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</si>
  <si>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</si>
  <si>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</si>
  <si>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</si>
  <si>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</si>
  <si>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</si>
  <si>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</si>
  <si>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</si>
  <si>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</si>
  <si>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</si>
  <si>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</si>
  <si>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</si>
  <si>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</si>
  <si>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</si>
  <si>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</si>
  <si>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</si>
  <si>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</si>
  <si>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</si>
  <si>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</si>
  <si>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</si>
  <si>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</si>
  <si>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</si>
  <si>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</si>
  <si>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</si>
  <si>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</si>
  <si>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</si>
  <si>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</si>
  <si>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</si>
  <si>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</si>
  <si>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</si>
  <si>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</si>
  <si>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</si>
  <si>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</si>
  <si>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</si>
  <si>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</si>
  <si>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</si>
  <si>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</si>
  <si>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</si>
  <si>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</si>
  <si>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</si>
  <si>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</si>
  <si>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</si>
  <si>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</si>
  <si>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</si>
  <si>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</si>
  <si>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</si>
  <si>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</si>
  <si>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</si>
  <si>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</si>
  <si>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</si>
  <si>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</si>
  <si>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</si>
  <si>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</si>
  <si>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</si>
  <si>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</si>
  <si>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</si>
  <si>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</si>
  <si>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</si>
  <si>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</si>
  <si>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</si>
  <si>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</si>
  <si>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</si>
  <si>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</si>
  <si>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</si>
  <si>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</si>
  <si>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</si>
  <si>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</si>
  <si>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</si>
  <si>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</si>
  <si>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</si>
  <si>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</si>
  <si>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</si>
  <si>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</si>
  <si>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</si>
  <si>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</si>
  <si>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</si>
  <si>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</si>
  <si>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</si>
  <si>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</si>
  <si>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</si>
  <si>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</si>
  <si>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</si>
  <si>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</si>
  <si>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</si>
  <si>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</si>
  <si>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</si>
  <si>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</si>
  <si>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</si>
  <si>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</si>
  <si>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</si>
  <si>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</si>
  <si>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</si>
  <si>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</si>
  <si>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</si>
  <si>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</si>
  <si>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</si>
  <si>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</si>
  <si>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</si>
  <si>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</si>
  <si>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</si>
  <si>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</si>
  <si>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</si>
  <si>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</si>
  <si>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</si>
  <si>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</si>
  <si>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</si>
  <si>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</si>
  <si>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</si>
  <si>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</si>
  <si>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</si>
  <si>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</si>
  <si>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</si>
  <si>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</si>
  <si>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</si>
  <si>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</si>
  <si>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</si>
  <si>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</si>
  <si>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</si>
  <si>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</si>
  <si>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</si>
  <si>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</si>
  <si>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</si>
  <si>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</si>
  <si>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</si>
  <si>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</si>
  <si>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</si>
  <si>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</si>
  <si>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</si>
  <si>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</si>
  <si>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</si>
  <si>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</si>
  <si>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</si>
  <si>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</si>
  <si>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</si>
  <si>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</si>
  <si>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</si>
  <si>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</si>
  <si>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</si>
  <si>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</si>
  <si>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</si>
  <si>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</si>
  <si>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</si>
  <si>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</si>
  <si>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</si>
  <si>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</si>
  <si>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</si>
  <si>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</si>
  <si>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</si>
  <si>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</si>
  <si>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</si>
  <si>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</si>
  <si>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</si>
  <si>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</si>
  <si>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</si>
  <si>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</si>
  <si>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</si>
  <si>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</si>
  <si>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</si>
  <si>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</si>
  <si>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</si>
  <si>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</si>
  <si>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</si>
  <si>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</si>
  <si>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</si>
  <si>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</si>
  <si>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</si>
  <si>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</si>
  <si>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</si>
  <si>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</si>
  <si>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</si>
  <si>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</si>
  <si>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</si>
  <si>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</si>
  <si>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</si>
  <si>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</si>
  <si>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</si>
  <si>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</si>
  <si>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</si>
  <si>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</si>
  <si>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</si>
  <si>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</si>
  <si>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</si>
  <si>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</si>
  <si>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</si>
  <si>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</si>
  <si>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</si>
  <si>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</si>
  <si>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</si>
  <si>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</si>
  <si>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</si>
  <si>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</si>
  <si>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</si>
  <si>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</si>
  <si>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</si>
  <si>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</si>
  <si>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</si>
  <si>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</si>
  <si>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</si>
  <si>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</si>
  <si>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</si>
  <si>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</si>
  <si>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</si>
  <si>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</si>
  <si>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</si>
  <si>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</si>
  <si>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</si>
  <si>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</si>
  <si>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</si>
  <si>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</si>
  <si>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</si>
  <si>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</si>
  <si>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</si>
  <si>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</si>
  <si>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</si>
  <si>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</si>
  <si>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</si>
  <si>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</si>
  <si>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</si>
  <si>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</si>
  <si>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</si>
  <si>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</si>
  <si>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</si>
  <si>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</si>
  <si>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</si>
  <si>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</si>
  <si>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</si>
  <si>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</si>
  <si>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</si>
  <si>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</si>
  <si>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</si>
  <si>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</si>
  <si>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</si>
  <si>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</si>
  <si>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</si>
  <si>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</si>
  <si>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</si>
  <si>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</si>
  <si>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</si>
  <si>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</si>
  <si>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</si>
  <si>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</si>
  <si>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</si>
  <si>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</si>
  <si>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</si>
  <si>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</si>
  <si>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</si>
  <si>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</si>
  <si>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</si>
  <si>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</si>
  <si>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</si>
  <si>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</si>
  <si>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</si>
  <si>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</si>
  <si>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</si>
  <si>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</si>
  <si>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</si>
  <si>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</si>
  <si>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</si>
  <si>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</si>
  <si>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</si>
  <si>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</si>
  <si>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</si>
  <si>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</si>
  <si>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</si>
  <si>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</si>
  <si>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</si>
  <si>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</si>
  <si>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</si>
  <si>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</si>
  <si>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</si>
  <si>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</si>
  <si>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</si>
  <si>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</si>
  <si>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</si>
  <si>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</si>
  <si>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</si>
  <si>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</si>
  <si>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</si>
  <si>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</si>
  <si>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</si>
  <si>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</si>
  <si>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</si>
  <si>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</si>
  <si>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</si>
  <si>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</si>
  <si>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</si>
  <si>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</si>
  <si>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</si>
  <si>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</si>
  <si>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</si>
  <si>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</si>
  <si>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</si>
  <si>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</si>
  <si>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</si>
  <si>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</si>
  <si>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</si>
  <si>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</si>
  <si>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</si>
  <si>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</si>
  <si>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</si>
  <si>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</si>
  <si>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</si>
  <si>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</si>
  <si>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</si>
  <si>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</si>
  <si>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</si>
  <si>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</si>
  <si>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</si>
  <si>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</si>
  <si>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</si>
  <si>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</si>
  <si>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</si>
  <si>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</si>
  <si>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</si>
  <si>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</si>
  <si>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</si>
  <si>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</si>
  <si>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</si>
  <si>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</si>
  <si>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</si>
  <si>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</si>
  <si>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</si>
  <si>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</si>
  <si>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</si>
  <si>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</si>
  <si>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</si>
  <si>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</si>
  <si>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</si>
  <si>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</si>
  <si>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</si>
  <si>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</si>
  <si>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</si>
  <si>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</si>
  <si>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</si>
  <si>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</si>
  <si>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</si>
  <si>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</si>
  <si>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</si>
  <si>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</si>
  <si>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</si>
  <si>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</si>
  <si>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</si>
  <si>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</si>
  <si>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</si>
  <si>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</si>
  <si>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</si>
  <si>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</si>
  <si>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</si>
  <si>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</si>
  <si>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</si>
  <si>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</si>
  <si>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</si>
  <si>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</si>
  <si>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</si>
  <si>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</si>
  <si>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</si>
  <si>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</si>
  <si>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</si>
  <si>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</si>
  <si>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</si>
  <si>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</si>
  <si>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</si>
  <si>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</si>
  <si>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</si>
  <si>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</si>
  <si>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</si>
  <si>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</si>
  <si>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</si>
  <si>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</si>
  <si>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</si>
  <si>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</si>
  <si>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</si>
  <si>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</si>
  <si>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</si>
  <si>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</si>
  <si>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</si>
  <si>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</si>
  <si>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</si>
  <si>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</si>
  <si>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</si>
  <si>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</si>
  <si>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</si>
  <si>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</si>
  <si>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</si>
  <si>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</si>
  <si>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</si>
  <si>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</si>
  <si>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</si>
  <si>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</si>
  <si>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</si>
  <si>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</si>
  <si>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</si>
  <si>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</si>
  <si>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</si>
  <si>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</si>
  <si>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</si>
  <si>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</si>
  <si>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</si>
  <si>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</si>
  <si>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</si>
  <si>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</si>
  <si>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</si>
  <si>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</si>
  <si>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</si>
  <si>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</si>
  <si>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</si>
  <si>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</si>
  <si>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</si>
  <si>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</si>
  <si>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</si>
  <si>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</si>
  <si>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</si>
  <si>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</si>
  <si>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</si>
  <si>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</si>
  <si>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</si>
  <si>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</si>
  <si>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</si>
  <si>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</si>
  <si>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</si>
  <si>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</si>
  <si>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</si>
  <si>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</si>
  <si>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</si>
  <si>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</si>
  <si>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</si>
  <si>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</si>
  <si>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</si>
  <si>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</si>
  <si>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</si>
  <si>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</si>
  <si>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</si>
  <si>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</si>
  <si>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</si>
  <si>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</si>
  <si>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</si>
  <si>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</si>
  <si>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</si>
  <si>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</si>
  <si>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</si>
  <si>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</si>
  <si>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</si>
  <si>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</si>
  <si>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</si>
  <si>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</si>
  <si>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</si>
  <si>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</si>
  <si>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</si>
  <si>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</si>
  <si>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</si>
  <si>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</si>
  <si>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</si>
  <si>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</si>
  <si>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</si>
  <si>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</si>
  <si>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</si>
  <si>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</si>
  <si>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</si>
  <si>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</si>
  <si>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</si>
  <si>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</si>
  <si>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</si>
  <si>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</si>
  <si>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</si>
  <si>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</si>
  <si>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</si>
  <si>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</si>
  <si>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</si>
  <si>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</si>
  <si>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</si>
  <si>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</si>
  <si>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</si>
  <si>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</si>
  <si>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</si>
  <si>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</si>
  <si>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</si>
  <si>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</si>
  <si>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</si>
  <si>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</si>
  <si>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</si>
  <si>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</si>
  <si>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</si>
  <si>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</si>
  <si>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</si>
  <si>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</si>
  <si>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</si>
  <si>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</si>
  <si>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</si>
  <si>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</si>
  <si>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</si>
  <si>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</si>
  <si>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</si>
  <si>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</si>
  <si>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</si>
  <si>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</si>
  <si>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</si>
  <si>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</si>
  <si>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</si>
  <si>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</si>
  <si>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</si>
  <si>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</si>
  <si>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</si>
  <si>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</si>
  <si>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</si>
  <si>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</si>
  <si>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</si>
  <si>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</si>
  <si>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</si>
  <si>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</si>
  <si>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</si>
  <si>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</si>
  <si>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</si>
  <si>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</si>
  <si>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</si>
  <si>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</si>
  <si>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</si>
  <si>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</si>
  <si>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</si>
  <si>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</si>
  <si>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</si>
  <si>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</si>
  <si>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</si>
  <si>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</si>
  <si>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</si>
  <si>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</si>
  <si>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</si>
  <si>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</si>
  <si>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</si>
  <si>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</si>
  <si>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</si>
  <si>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</si>
  <si>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</si>
  <si>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</si>
  <si>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</si>
  <si>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</si>
  <si>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</si>
  <si>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</si>
  <si>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</si>
  <si>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</si>
  <si>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</si>
  <si>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</si>
  <si>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</si>
  <si>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</si>
  <si>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</si>
  <si>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</si>
  <si>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</si>
  <si>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</si>
  <si>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</si>
  <si>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</si>
  <si>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</si>
  <si>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</si>
  <si>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</si>
  <si>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</si>
  <si>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</si>
  <si>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</si>
  <si>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</si>
  <si>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</si>
  <si>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</si>
  <si>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</si>
  <si>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</si>
  <si>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</si>
  <si>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</si>
  <si>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</si>
  <si>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</si>
  <si>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</si>
  <si>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</si>
  <si>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</si>
  <si>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</si>
  <si>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</si>
  <si>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</si>
  <si>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</si>
  <si>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</si>
  <si>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</si>
  <si>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</si>
  <si>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</si>
  <si>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</si>
  <si>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</si>
  <si>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</si>
  <si>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</si>
  <si>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</si>
  <si>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</si>
  <si>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</si>
  <si>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</si>
  <si>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</si>
  <si>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</si>
  <si>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</si>
  <si>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</si>
  <si>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</si>
  <si>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</si>
  <si>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</si>
  <si>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</si>
  <si>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</si>
  <si>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</si>
  <si>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</si>
  <si>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</si>
  <si>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</si>
  <si>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</si>
  <si>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</si>
  <si>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</si>
  <si>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</si>
  <si>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</si>
  <si>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</si>
  <si>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</si>
  <si>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</si>
  <si>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</si>
  <si>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</si>
  <si>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</si>
  <si>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</si>
  <si>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</si>
  <si>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</si>
  <si>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</si>
  <si>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</si>
  <si>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</si>
  <si>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</si>
  <si>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</si>
  <si>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</si>
  <si>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</si>
  <si>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</si>
  <si>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</si>
  <si>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</si>
  <si>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</si>
  <si>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</si>
  <si>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</si>
  <si>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</si>
  <si>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</si>
  <si>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</si>
  <si>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</si>
  <si>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</si>
  <si>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</si>
  <si>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</si>
  <si>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</si>
  <si>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</si>
  <si>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</si>
  <si>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</si>
  <si>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</si>
  <si>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</si>
  <si>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</si>
  <si>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</si>
  <si>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</si>
  <si>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</si>
  <si>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</si>
  <si>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</si>
  <si>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</si>
  <si>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</si>
  <si>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</si>
  <si>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</si>
  <si>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</si>
  <si>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</si>
  <si>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</si>
  <si>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</si>
  <si>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</si>
  <si>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</si>
  <si>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</si>
  <si>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</si>
  <si>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</si>
  <si>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</si>
  <si>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</si>
  <si>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</si>
  <si>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</si>
  <si>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</si>
  <si>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</si>
  <si>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</si>
  <si>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</si>
  <si>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</si>
  <si>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</si>
  <si>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</si>
  <si>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</si>
  <si>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</si>
  <si>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</si>
  <si>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</si>
  <si>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</si>
  <si>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</si>
  <si>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</si>
  <si>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</si>
  <si>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</si>
  <si>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</si>
  <si>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</si>
  <si>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</si>
  <si>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</si>
  <si>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</si>
  <si>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</si>
  <si>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</si>
  <si>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</si>
  <si>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</si>
  <si>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</si>
  <si>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</si>
  <si>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</si>
  <si>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</si>
  <si>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</si>
  <si>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</si>
  <si>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</si>
  <si>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</si>
  <si>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</si>
  <si>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</si>
  <si>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</si>
  <si>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</si>
  <si>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</si>
  <si>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</si>
  <si>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</si>
  <si>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</si>
  <si>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</si>
  <si>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</si>
  <si>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</si>
  <si>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</si>
  <si>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</si>
  <si>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</si>
  <si>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</si>
  <si>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</si>
  <si>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</si>
  <si>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</si>
  <si>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</si>
  <si>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</si>
  <si>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</si>
  <si>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</si>
  <si>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</si>
  <si>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</si>
  <si>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</si>
  <si>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</si>
  <si>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</si>
  <si>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</si>
  <si>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</si>
  <si>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</si>
  <si>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</si>
  <si>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</si>
  <si>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</si>
  <si>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</si>
  <si>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</si>
  <si>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</si>
  <si>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</si>
  <si>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</si>
  <si>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</si>
  <si>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</si>
  <si>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</si>
  <si>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</si>
  <si>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</si>
  <si>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</si>
  <si>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</si>
  <si>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</si>
  <si>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</si>
  <si>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</si>
  <si>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</si>
  <si>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</si>
  <si>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</si>
  <si>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</si>
  <si>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</si>
  <si>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</si>
  <si>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</si>
  <si>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</si>
  <si>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</si>
  <si>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</si>
  <si>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</si>
  <si>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</si>
  <si>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</si>
  <si>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</si>
  <si>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</si>
  <si>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</si>
  <si>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</si>
  <si>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</si>
  <si>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</si>
  <si>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</si>
  <si>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</si>
  <si>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</si>
  <si>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</si>
  <si>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</si>
  <si>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</si>
  <si>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</si>
  <si>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</si>
  <si>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</si>
  <si>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</si>
  <si>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</si>
  <si>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</si>
  <si>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</si>
  <si>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</si>
  <si>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</si>
  <si>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</si>
  <si>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</si>
  <si>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</si>
  <si>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</si>
  <si>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</si>
  <si>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</si>
  <si>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</si>
  <si>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</si>
  <si>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</si>
  <si>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</si>
  <si>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</si>
  <si>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</si>
  <si>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</si>
  <si>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</si>
  <si>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</si>
  <si>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</si>
  <si>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</si>
  <si>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</si>
  <si>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</si>
  <si>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</si>
  <si>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</si>
  <si>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</si>
  <si>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</si>
  <si>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</si>
  <si>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</si>
  <si>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</si>
  <si>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</si>
  <si>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</si>
  <si>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</si>
  <si>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</si>
  <si>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</si>
  <si>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</si>
  <si>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</si>
  <si>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</si>
  <si>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</si>
  <si>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</si>
  <si>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</si>
  <si>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</si>
  <si>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</si>
  <si>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</si>
  <si>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</si>
  <si>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</si>
  <si>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</si>
  <si>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</si>
  <si>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</si>
  <si>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</si>
  <si>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</si>
  <si>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</si>
  <si>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</si>
  <si>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</si>
  <si>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</si>
  <si>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</si>
  <si>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</si>
  <si>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</si>
  <si>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</si>
  <si>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</si>
  <si>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</si>
  <si>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</si>
  <si>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</si>
  <si>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</si>
  <si>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</si>
  <si>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</si>
  <si>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</si>
  <si>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</si>
  <si>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</si>
  <si>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</si>
  <si>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</si>
  <si>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</si>
  <si>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</si>
  <si>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</si>
  <si>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</si>
  <si>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</si>
  <si>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</si>
  <si>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</si>
  <si>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</si>
  <si>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</si>
  <si>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</si>
  <si>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</si>
  <si>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</si>
  <si>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</si>
  <si>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</si>
  <si>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</si>
  <si>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</si>
  <si>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</si>
  <si>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</si>
  <si>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</si>
  <si>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</si>
  <si>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</si>
  <si>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</si>
  <si>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</si>
  <si>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</si>
  <si>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</si>
  <si>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</si>
  <si>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</si>
  <si>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</si>
  <si>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</si>
  <si>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</si>
  <si>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</si>
  <si>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</si>
  <si>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</si>
  <si>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</si>
  <si>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</si>
  <si>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</si>
  <si>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</si>
  <si>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</si>
  <si>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</si>
  <si>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</si>
  <si>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</si>
  <si>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</si>
  <si>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</si>
  <si>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</si>
  <si>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</si>
  <si>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</si>
  <si>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</si>
  <si>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</si>
  <si>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</si>
  <si>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</si>
  <si>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</si>
  <si>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</si>
  <si>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</si>
  <si>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</si>
  <si>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</si>
  <si>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</si>
  <si>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</si>
  <si>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</si>
  <si>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</si>
  <si>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</si>
  <si>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</si>
  <si>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</si>
  <si>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</si>
  <si>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</si>
  <si>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</si>
  <si>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</si>
  <si>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</si>
  <si>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</si>
  <si>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</si>
  <si>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</si>
  <si>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</si>
  <si>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</si>
  <si>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</si>
  <si>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</si>
  <si>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</si>
  <si>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</si>
  <si>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</si>
  <si>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</si>
  <si>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</si>
  <si>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</si>
  <si>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</si>
  <si>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</si>
  <si>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</si>
  <si>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</si>
  <si>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</si>
  <si>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</si>
  <si>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</si>
  <si>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</si>
  <si>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</si>
  <si>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</si>
  <si>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</si>
  <si>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</si>
  <si>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</si>
  <si>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</si>
  <si>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</si>
  <si>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</si>
  <si>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</si>
  <si>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</si>
  <si>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</si>
  <si>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</si>
  <si>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</si>
  <si>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</si>
  <si>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</si>
  <si>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</si>
  <si>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</si>
  <si>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</si>
  <si>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</si>
  <si>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</si>
  <si>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</si>
  <si>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</si>
  <si>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</si>
  <si>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</si>
  <si>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</si>
  <si>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</si>
  <si>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</si>
  <si>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</si>
  <si>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</si>
  <si>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</si>
  <si>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</si>
  <si>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</si>
  <si>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</si>
  <si>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</si>
  <si>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</si>
  <si>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</si>
  <si>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</si>
  <si>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</si>
  <si>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</si>
  <si>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</si>
  <si>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</si>
  <si>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</si>
  <si>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</si>
  <si>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</si>
  <si>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</si>
  <si>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</si>
  <si>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</si>
  <si>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</si>
  <si>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</si>
  <si>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</si>
  <si>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</si>
  <si>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</si>
  <si>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</si>
  <si>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</si>
  <si>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</si>
  <si>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</si>
  <si>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</si>
  <si>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</si>
  <si>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</si>
  <si>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</si>
  <si>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</si>
  <si>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</si>
  <si>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</si>
  <si>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</si>
  <si>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</si>
  <si>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</si>
  <si>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</si>
  <si>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</si>
  <si>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</si>
  <si>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</si>
  <si>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</si>
  <si>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</si>
  <si>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</si>
  <si>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</si>
  <si>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</si>
  <si>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</si>
  <si>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</si>
  <si>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</si>
  <si>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</si>
  <si>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</si>
  <si>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</si>
  <si>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</si>
  <si>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</si>
  <si>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</si>
  <si>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</si>
  <si>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</si>
  <si>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</si>
  <si>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</si>
  <si>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</si>
  <si>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</si>
  <si>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</si>
  <si>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</si>
  <si>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</si>
  <si>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</si>
  <si>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</si>
  <si>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</si>
  <si>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</si>
  <si>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</si>
  <si>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</si>
  <si>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</si>
  <si>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</si>
  <si>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</si>
  <si>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</si>
  <si>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</si>
  <si>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</si>
  <si>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</si>
  <si>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</si>
  <si>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</si>
  <si>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</si>
  <si>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</si>
  <si>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</si>
  <si>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</si>
  <si>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</si>
  <si>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</si>
  <si>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</si>
  <si>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</si>
  <si>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</si>
  <si>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</si>
  <si>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</si>
  <si>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</si>
  <si>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</si>
  <si>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</si>
  <si>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</si>
  <si>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</si>
  <si>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</si>
  <si>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</si>
  <si>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</si>
  <si>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</si>
  <si>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</si>
  <si>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</si>
  <si>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</si>
  <si>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</si>
  <si>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</si>
  <si>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</si>
  <si>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</si>
  <si>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</si>
  <si>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</si>
  <si>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</si>
  <si>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</si>
  <si>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</si>
  <si>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</si>
  <si>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</si>
  <si>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</si>
  <si>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</si>
  <si>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</si>
  <si>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</si>
  <si>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</si>
  <si>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</si>
  <si>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</si>
  <si>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</si>
  <si>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</si>
  <si>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</si>
  <si>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</si>
  <si>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</si>
  <si>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</si>
  <si>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</si>
  <si>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</si>
  <si>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</si>
  <si>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</si>
  <si>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</si>
  <si>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</si>
  <si>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</si>
  <si>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</si>
  <si>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</si>
  <si>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</si>
  <si>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</si>
  <si>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</si>
  <si>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</si>
  <si>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</si>
  <si>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</si>
  <si>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</si>
  <si>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</si>
  <si>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</si>
  <si>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</si>
  <si>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</si>
  <si>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</si>
  <si>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</si>
  <si>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</si>
  <si>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</si>
  <si>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</si>
  <si>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</si>
  <si>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</si>
  <si>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</si>
  <si>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</si>
  <si>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</si>
  <si>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</si>
  <si>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</si>
  <si>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</si>
  <si>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</si>
  <si>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</si>
  <si>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</si>
  <si>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</si>
  <si>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</si>
  <si>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</si>
  <si>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</si>
  <si>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</si>
  <si>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</si>
  <si>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</si>
  <si>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</si>
  <si>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</si>
  <si>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</si>
  <si>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</si>
  <si>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</si>
  <si>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</si>
  <si>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</si>
  <si>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</si>
  <si>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</si>
  <si>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</si>
  <si>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</si>
  <si>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</si>
  <si>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</si>
  <si>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</si>
  <si>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</si>
  <si>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</si>
  <si>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</si>
  <si>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</si>
  <si>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</si>
  <si>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</si>
  <si>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</si>
  <si>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</si>
  <si>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</si>
  <si>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</si>
  <si>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</si>
  <si>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</si>
  <si>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</si>
  <si>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</si>
  <si>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</si>
  <si>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</si>
  <si>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</si>
  <si>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</si>
  <si>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</si>
  <si>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</si>
  <si>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</si>
  <si>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</si>
  <si>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</si>
  <si>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</si>
  <si>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</si>
  <si>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</si>
  <si>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</si>
  <si>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</si>
  <si>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</si>
  <si>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</si>
  <si>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</si>
  <si>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</si>
  <si>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</si>
  <si>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</si>
  <si>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</si>
  <si>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</si>
  <si>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</si>
  <si>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</si>
  <si>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</si>
  <si>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</si>
  <si>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</si>
  <si>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</si>
  <si>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</si>
  <si>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</si>
  <si>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</si>
  <si>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</si>
  <si>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</si>
  <si>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</si>
  <si>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</si>
  <si>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</si>
  <si>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</si>
  <si>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</si>
  <si>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</si>
  <si>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</si>
  <si>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</si>
  <si>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</si>
  <si>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</si>
  <si>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</si>
  <si>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</si>
  <si>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</si>
  <si>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</si>
  <si>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</si>
  <si>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</si>
  <si>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</si>
  <si>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</si>
  <si>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</si>
  <si>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</si>
  <si>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</si>
  <si>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</si>
  <si>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</si>
  <si>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</si>
  <si>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</si>
  <si>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</si>
  <si>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</si>
  <si>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</si>
  <si>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</si>
  <si>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</si>
  <si>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</si>
  <si>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</si>
  <si>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</si>
  <si>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</si>
  <si>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</si>
  <si>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</si>
  <si>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</si>
  <si>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</si>
  <si>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</si>
  <si>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</si>
  <si>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</si>
  <si>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</si>
  <si>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</si>
  <si>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</si>
  <si>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</si>
  <si>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</si>
  <si>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</si>
  <si>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</si>
  <si>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</si>
  <si>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</si>
  <si>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</si>
  <si>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</si>
  <si>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</si>
  <si>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</si>
  <si>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</si>
  <si>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</si>
  <si>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</si>
  <si>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</si>
  <si>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</si>
  <si>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</si>
  <si>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</si>
  <si>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</si>
  <si>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</si>
  <si>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</si>
  <si>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</si>
  <si>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</si>
  <si>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</si>
  <si>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</si>
  <si>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</si>
  <si>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</si>
  <si>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</si>
  <si>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</si>
  <si>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</si>
  <si>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</si>
  <si>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</si>
  <si>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</si>
  <si>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</si>
  <si>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</si>
  <si>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</si>
  <si>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</si>
  <si>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</si>
  <si>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</si>
  <si>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</si>
  <si>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</si>
  <si>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</si>
  <si>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</si>
  <si>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</si>
  <si>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</si>
  <si>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</si>
  <si>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</si>
  <si>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</si>
  <si>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</si>
  <si>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</si>
  <si>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</si>
  <si>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</si>
  <si>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</si>
  <si>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</si>
  <si>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</si>
  <si>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</si>
  <si>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</si>
  <si>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</si>
  <si>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</si>
  <si>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</si>
  <si>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</si>
  <si>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</si>
  <si>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</si>
  <si>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</si>
  <si>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</si>
  <si>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</si>
  <si>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</si>
  <si>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</si>
  <si>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</si>
  <si>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</si>
  <si>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</si>
  <si>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</si>
  <si>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</si>
  <si>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</si>
  <si>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</si>
  <si>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</si>
  <si>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</si>
  <si>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</si>
  <si>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</si>
  <si>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</si>
  <si>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</si>
  <si>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</si>
  <si>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</si>
  <si>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</si>
  <si>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</si>
  <si>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</si>
  <si>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</si>
  <si>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</si>
  <si>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</si>
  <si>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</si>
  <si>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</si>
  <si>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</si>
  <si>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</si>
  <si>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</si>
  <si>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</si>
  <si>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</si>
  <si>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</si>
  <si>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</si>
  <si>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</si>
  <si>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</si>
  <si>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</si>
  <si>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</si>
  <si>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</si>
  <si>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</si>
  <si>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</si>
  <si>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</si>
  <si>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</si>
  <si>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</si>
  <si>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</si>
  <si>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</si>
  <si>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</si>
  <si>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</si>
  <si>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</si>
  <si>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</si>
  <si>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</si>
  <si>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</si>
  <si>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</si>
  <si>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</si>
  <si>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</si>
  <si>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</si>
  <si>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</si>
  <si>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</si>
  <si>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</si>
  <si>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</si>
  <si>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</si>
  <si>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</si>
  <si>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</si>
  <si>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</si>
  <si>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</si>
  <si>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</si>
  <si>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</si>
  <si>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</si>
  <si>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</si>
  <si>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</si>
  <si>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</si>
  <si>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</si>
  <si>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</si>
  <si>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</si>
  <si>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</si>
  <si>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</si>
  <si>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</si>
  <si>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</si>
  <si>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</si>
  <si>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</si>
  <si>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</si>
  <si>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</si>
  <si>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</si>
  <si>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</si>
  <si>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</si>
  <si>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</si>
  <si>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</si>
  <si>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</si>
  <si>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</si>
  <si>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</si>
  <si>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</si>
  <si>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</si>
  <si>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</si>
  <si>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</si>
  <si>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</si>
  <si>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</si>
  <si>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</si>
  <si>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</si>
  <si>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</si>
  <si>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</si>
  <si>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</si>
  <si>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</si>
  <si>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</si>
  <si>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</si>
  <si>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</si>
  <si>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</si>
  <si>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</si>
  <si>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</si>
  <si>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</si>
  <si>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</si>
  <si>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</si>
  <si>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</si>
  <si>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</si>
  <si>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</si>
  <si>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</si>
  <si>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</si>
  <si>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</si>
  <si>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</si>
  <si>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</si>
  <si>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</si>
  <si>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</si>
  <si>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</si>
  <si>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</si>
  <si>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</si>
  <si>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</si>
  <si>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</si>
  <si>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</si>
  <si>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</si>
  <si>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</si>
  <si>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</si>
  <si>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</si>
  <si>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</si>
  <si>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</si>
  <si>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</si>
  <si>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</si>
  <si>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</si>
  <si>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</si>
  <si>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</si>
  <si>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</si>
  <si>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</si>
  <si>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</si>
  <si>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</si>
  <si>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</si>
  <si>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</si>
  <si>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</si>
  <si>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</si>
  <si>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</si>
  <si>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</si>
  <si>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</si>
  <si>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</si>
  <si>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</si>
  <si>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</si>
  <si>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</si>
  <si>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</si>
  <si>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</si>
  <si>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</si>
  <si>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</si>
  <si>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</si>
  <si>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</si>
  <si>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</si>
  <si>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</si>
  <si>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</si>
  <si>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</si>
  <si>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</si>
  <si>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</si>
  <si>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</si>
  <si>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</si>
  <si>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</si>
  <si>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</si>
  <si>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</si>
  <si>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</si>
  <si>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</si>
  <si>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</si>
  <si>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</si>
  <si>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</si>
  <si>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</si>
  <si>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</si>
  <si>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</si>
  <si>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</si>
  <si>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</si>
  <si>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</si>
  <si>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</si>
  <si>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</si>
  <si>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</si>
  <si>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</si>
  <si>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</si>
  <si>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</si>
  <si>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</si>
  <si>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</si>
  <si>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</si>
  <si>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</si>
  <si>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</si>
  <si>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</si>
  <si>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</si>
  <si>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</si>
  <si>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</si>
  <si>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</si>
  <si>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</si>
  <si>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</si>
  <si>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</si>
  <si>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</si>
  <si>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</si>
  <si>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</si>
  <si>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</si>
  <si>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</si>
  <si>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</si>
  <si>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</si>
  <si>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</si>
  <si>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</si>
  <si>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</si>
  <si>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</si>
  <si>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</si>
  <si>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</si>
  <si>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</si>
  <si>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</si>
  <si>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</si>
  <si>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</si>
  <si>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</si>
  <si>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</si>
  <si>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</si>
  <si>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</si>
  <si>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</si>
  <si>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</si>
  <si>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</si>
  <si>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</si>
  <si>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</si>
  <si>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</si>
  <si>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</si>
  <si>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</si>
  <si>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</si>
  <si>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</si>
  <si>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</si>
  <si>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</si>
  <si>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</si>
  <si>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</si>
  <si>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</si>
  <si>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</si>
  <si>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</si>
  <si>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</si>
  <si>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</si>
  <si>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</si>
  <si>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</si>
  <si>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</si>
  <si>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</si>
  <si>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</si>
  <si>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</si>
  <si>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</si>
  <si>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</si>
  <si>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</si>
  <si>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</si>
  <si>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</si>
  <si>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</si>
  <si>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</si>
  <si>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</si>
  <si>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</si>
  <si>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</si>
  <si>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</si>
  <si>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</si>
  <si>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</si>
  <si>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</si>
  <si>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</si>
  <si>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</si>
  <si>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</si>
  <si>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</si>
  <si>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</si>
  <si>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</si>
  <si>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</si>
  <si>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</si>
  <si>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</si>
  <si>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</si>
  <si>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</si>
  <si>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</si>
  <si>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</si>
  <si>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</si>
  <si>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</si>
  <si>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</si>
  <si>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</si>
  <si>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</si>
  <si>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</si>
  <si>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</si>
  <si>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</si>
  <si>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</si>
  <si>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</si>
  <si>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</si>
  <si>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</si>
  <si>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</si>
  <si>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</si>
  <si>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</si>
  <si>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</si>
  <si>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</si>
  <si>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</si>
  <si>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</si>
  <si>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</si>
  <si>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</si>
  <si>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</si>
  <si>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</si>
  <si>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</si>
  <si>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</si>
  <si>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</si>
  <si>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</si>
  <si>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</si>
  <si>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</si>
  <si>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</si>
  <si>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</si>
  <si>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</si>
  <si>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</si>
  <si>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</si>
  <si>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</si>
  <si>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</si>
  <si>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</si>
  <si>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</si>
  <si>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</si>
  <si>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</si>
  <si>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</si>
  <si>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</si>
  <si>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</si>
  <si>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</si>
  <si>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</si>
  <si>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</si>
  <si>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</si>
  <si>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</si>
  <si>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</si>
  <si>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</si>
  <si>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</si>
  <si>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</si>
  <si>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</si>
  <si>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</si>
  <si>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</si>
  <si>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</si>
  <si>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</si>
  <si>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</si>
  <si>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</si>
  <si>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</si>
  <si>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</si>
  <si>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</si>
  <si>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</si>
  <si>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</si>
  <si>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</si>
  <si>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</si>
  <si>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</si>
  <si>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</si>
  <si>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</si>
  <si>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</si>
  <si>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</si>
  <si>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</si>
  <si>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</si>
  <si>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</si>
  <si>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</si>
  <si>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</si>
  <si>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</si>
  <si>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</si>
  <si>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</si>
  <si>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</si>
  <si>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</si>
  <si>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</si>
  <si>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</si>
  <si>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</si>
  <si>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</si>
  <si>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</si>
  <si>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</si>
  <si>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</si>
  <si>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</si>
  <si>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</si>
  <si>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</si>
  <si>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</si>
  <si>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</si>
  <si>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</si>
  <si>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</si>
  <si>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</si>
  <si>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</si>
  <si>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</si>
  <si>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</si>
  <si>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</si>
  <si>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</si>
  <si>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</si>
  <si>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</si>
  <si>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</si>
  <si>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</si>
  <si>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</si>
  <si>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</si>
  <si>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</si>
  <si>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</si>
  <si>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</si>
  <si>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</si>
  <si>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</si>
  <si>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</si>
  <si>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</si>
  <si>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</si>
  <si>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</si>
  <si>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</si>
  <si>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</si>
  <si>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</si>
  <si>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</si>
  <si>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</si>
  <si>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</si>
  <si>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</si>
  <si>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</si>
  <si>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</si>
  <si>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</si>
  <si>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</si>
  <si>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</si>
  <si>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</si>
  <si>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</si>
  <si>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</si>
  <si>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</si>
  <si>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</si>
  <si>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</si>
  <si>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</si>
  <si>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</si>
  <si>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</si>
  <si>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</si>
  <si>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</si>
  <si>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</si>
  <si>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</si>
  <si>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</si>
  <si>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</si>
  <si>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</si>
  <si>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</si>
  <si>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</si>
  <si>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</si>
  <si>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</si>
  <si>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</si>
  <si>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</si>
  <si>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</si>
  <si>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</si>
  <si>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</si>
  <si>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</si>
  <si>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</si>
  <si>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</si>
  <si>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</si>
  <si>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</si>
  <si>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</si>
  <si>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</si>
  <si>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</si>
  <si>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</si>
  <si>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</si>
  <si>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</si>
  <si>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</si>
  <si>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</si>
  <si>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</si>
  <si>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</si>
  <si>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</si>
  <si>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</si>
  <si>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</si>
  <si>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</si>
  <si>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</si>
  <si>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</si>
  <si>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</si>
  <si>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</si>
  <si>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</si>
  <si>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</si>
  <si>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</si>
  <si>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</si>
  <si>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</si>
  <si>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</si>
  <si>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</si>
  <si>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</si>
  <si>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</si>
  <si>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</si>
  <si>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</si>
  <si>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</si>
  <si>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</si>
  <si>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</si>
  <si>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</si>
  <si>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</si>
  <si>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</si>
  <si>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</si>
  <si>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</si>
  <si>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</si>
  <si>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</si>
  <si>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</si>
  <si>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</si>
  <si>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haisankg</t>
  </si>
  <si>
    <t>namduiga</t>
  </si>
  <si>
    <t>namkimcham</t>
  </si>
  <si>
    <t>cachuabeef</t>
  </si>
  <si>
    <t>caphao</t>
  </si>
  <si>
    <t>namdongco</t>
  </si>
  <si>
    <t>hanhtimbaclot</t>
  </si>
  <si>
    <t>cuden</t>
  </si>
  <si>
    <t>chanhkhonghat</t>
  </si>
  <si>
    <t>caisay</t>
  </si>
  <si>
    <t>chanhvang</t>
  </si>
  <si>
    <t>mangtaylon</t>
  </si>
  <si>
    <t>mangtay</t>
  </si>
  <si>
    <t>trungmuoi</t>
  </si>
  <si>
    <t>trungvit</t>
  </si>
  <si>
    <t>dualeobb</t>
  </si>
  <si>
    <t>quetay</t>
  </si>
  <si>
    <t>otxanhdl</t>
  </si>
  <si>
    <t>otvangdl</t>
  </si>
  <si>
    <t>otdodl</t>
  </si>
  <si>
    <t>carotdl</t>
  </si>
  <si>
    <t>radichio</t>
  </si>
  <si>
    <t>carol</t>
  </si>
  <si>
    <t>loloxanh</t>
  </si>
  <si>
    <t>khoaitaybi</t>
  </si>
  <si>
    <t>bongcaixanh</t>
  </si>
  <si>
    <t>bongcaitrang</t>
  </si>
  <si>
    <t>cachuabi</t>
  </si>
  <si>
    <t>cachualon</t>
  </si>
  <si>
    <t>cachua</t>
  </si>
  <si>
    <t>bapcaitim</t>
  </si>
  <si>
    <t>lolotim</t>
  </si>
  <si>
    <t>otsungxanh</t>
  </si>
  <si>
    <t>toilot</t>
  </si>
  <si>
    <t>toicu</t>
  </si>
  <si>
    <t>khoaimoncao</t>
  </si>
  <si>
    <t>duduxanh</t>
  </si>
  <si>
    <t>cusen</t>
  </si>
  <si>
    <t>dualeo</t>
  </si>
  <si>
    <t>gungtq</t>
  </si>
  <si>
    <t>sacay</t>
  </si>
  <si>
    <t>khoailangnhat</t>
  </si>
  <si>
    <t>khoailo</t>
  </si>
  <si>
    <t>bidoholo</t>
  </si>
  <si>
    <t>bidotron</t>
  </si>
  <si>
    <t>mevat</t>
  </si>
  <si>
    <t>mehop</t>
  </si>
  <si>
    <t>hanhtimvn</t>
  </si>
  <si>
    <t>toibac</t>
  </si>
  <si>
    <t>cairo</t>
  </si>
  <si>
    <t>ngoom</t>
  </si>
  <si>
    <t>lanhip</t>
  </si>
  <si>
    <t>dautay</t>
  </si>
  <si>
    <t>camvang</t>
  </si>
  <si>
    <t>gialat</t>
  </si>
  <si>
    <t>caichua</t>
  </si>
  <si>
    <t>bapmytrai</t>
  </si>
  <si>
    <t>trungbacthao</t>
  </si>
  <si>
    <t>thomchin</t>
  </si>
  <si>
    <t>lachanhthai</t>
  </si>
  <si>
    <t>lalot</t>
  </si>
  <si>
    <t>khoaitaydl</t>
  </si>
  <si>
    <t>suhao</t>
  </si>
  <si>
    <t>khoailangmat</t>
  </si>
  <si>
    <t>bacha</t>
  </si>
  <si>
    <t>hanhparo</t>
  </si>
  <si>
    <t>sori</t>
  </si>
  <si>
    <t>botrai</t>
  </si>
  <si>
    <t>dualuoi</t>
  </si>
  <si>
    <t>xoaithai</t>
  </si>
  <si>
    <t>oitrai</t>
  </si>
  <si>
    <t>thanhlong</t>
  </si>
  <si>
    <t>thanhlongdo</t>
  </si>
  <si>
    <t>dauquephap</t>
  </si>
  <si>
    <t>cantay</t>
  </si>
  <si>
    <t>lasen</t>
  </si>
  <si>
    <t>cusan</t>
  </si>
  <si>
    <t>xoaixanh</t>
  </si>
  <si>
    <t>buoixanh</t>
  </si>
  <si>
    <t>cucaido</t>
  </si>
  <si>
    <t>bingoivang</t>
  </si>
  <si>
    <t>bingoixanh</t>
  </si>
  <si>
    <t>catim</t>
  </si>
  <si>
    <t>susu</t>
  </si>
  <si>
    <t>hanhlottq</t>
  </si>
  <si>
    <t>khoaimo</t>
  </si>
  <si>
    <t>khoaiso</t>
  </si>
  <si>
    <t>daubap</t>
  </si>
  <si>
    <t>hanhtaytim</t>
  </si>
  <si>
    <t>hanhtimtq</t>
  </si>
  <si>
    <t>muophuong</t>
  </si>
  <si>
    <t>bauxanh</t>
  </si>
  <si>
    <t>dauquetrang</t>
  </si>
  <si>
    <t>dauhalanlon</t>
  </si>
  <si>
    <t>othiemxanh</t>
  </si>
  <si>
    <t>othiem</t>
  </si>
  <si>
    <t>daudua</t>
  </si>
  <si>
    <t>thyme</t>
  </si>
  <si>
    <t>lachanh</t>
  </si>
  <si>
    <t>rosemary</t>
  </si>
  <si>
    <t>chuoichat</t>
  </si>
  <si>
    <t>lagiangkg</t>
  </si>
  <si>
    <t>ladua</t>
  </si>
  <si>
    <t>frisse</t>
  </si>
  <si>
    <t>tano</t>
  </si>
  <si>
    <t>khexanh</t>
  </si>
  <si>
    <t>thila</t>
  </si>
  <si>
    <t>carotbb</t>
  </si>
  <si>
    <t>xoaichin</t>
  </si>
  <si>
    <t>cantau</t>
  </si>
  <si>
    <t>ngori</t>
  </si>
  <si>
    <t>ngogai</t>
  </si>
  <si>
    <t>khoqua</t>
  </si>
  <si>
    <t>bidao</t>
  </si>
  <si>
    <t>cam</t>
  </si>
  <si>
    <t>dualeonhat</t>
  </si>
  <si>
    <t>raudang</t>
  </si>
  <si>
    <t>hanhtay</t>
  </si>
  <si>
    <t>hungcay</t>
  </si>
  <si>
    <t>caithia</t>
  </si>
  <si>
    <t>boxoi</t>
  </si>
  <si>
    <t>caithao</t>
  </si>
  <si>
    <t>duigabb</t>
  </si>
  <si>
    <t>caibe</t>
  </si>
  <si>
    <t>hungque</t>
  </si>
  <si>
    <t>carot</t>
  </si>
  <si>
    <t>lagiang</t>
  </si>
  <si>
    <t>quevi</t>
  </si>
  <si>
    <t>sondl</t>
  </si>
  <si>
    <t>tactrai</t>
  </si>
  <si>
    <t>caingot</t>
  </si>
  <si>
    <t>bapchuoi</t>
  </si>
  <si>
    <t>bapcaitrang</t>
  </si>
  <si>
    <t>caikale</t>
  </si>
  <si>
    <t>bonghe</t>
  </si>
  <si>
    <t>bapmyhat</t>
  </si>
  <si>
    <t>bupmy</t>
  </si>
  <si>
    <t>romain</t>
  </si>
  <si>
    <t>hunglui</t>
  </si>
  <si>
    <t>hela</t>
  </si>
  <si>
    <t>bunbo</t>
  </si>
  <si>
    <t>cucaitrang</t>
  </si>
  <si>
    <t>khoaitaytq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</si>
</sst>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9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topLeftCell="A130" zoomScale="85" zoomScaleNormal="85" workbookViewId="0">
      <selection activeCell="A2" sqref="A2:E160"/>
    </sheetView>
  </sheetViews>
  <sheetFormatPr defaultColWidth="9" defaultRowHeight="14.4"/>
  <cols>
    <col min="1" max="1" width="15.21875" customWidth="1"/>
    <col min="2" max="2" width="10.21875" customWidth="1"/>
    <col min="3" max="3" width="21.44140625" customWidth="1"/>
    <col min="4" max="4" width="9.77734375" customWidth="1"/>
    <col min="5" max="6" width="10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3045</v>
      </c>
      <c r="B2" t="str">
        <f>VLOOKUP(A2,CODE!A:B,2,0)</f>
        <v>I100477</v>
      </c>
      <c r="C2" t="str">
        <f>VLOOKUP(A2,CODE!A:C,3,0)</f>
        <v>Dâu tây ĐL</v>
      </c>
      <c r="D2" t="str">
        <f>VLOOKUP(A2,CODE!D:E,2,0)</f>
        <v>Kg</v>
      </c>
      <c r="E2">
        <v>0.2</v>
      </c>
      <c r="F2">
        <v>0</v>
      </c>
    </row>
    <row r="3" spans="1:6" ht="15" customHeight="1">
      <c r="A3" s="4" t="s">
        <v>3059</v>
      </c>
      <c r="B3" t="str">
        <f>VLOOKUP(A3,CODE!A:B,2,0)</f>
        <v>I100501</v>
      </c>
      <c r="C3" t="str">
        <f>VLOOKUP(A3,CODE!A:C,3,0)</f>
        <v>Sơ ri</v>
      </c>
      <c r="D3" t="str">
        <f>VLOOKUP(A3,CODE!D:E,2,0)</f>
        <v>Kg</v>
      </c>
      <c r="E3">
        <v>0.2</v>
      </c>
      <c r="F3">
        <v>0</v>
      </c>
    </row>
    <row r="4" spans="1:6" ht="15" customHeight="1">
      <c r="A4" s="4" t="s">
        <v>3091</v>
      </c>
      <c r="B4" t="str">
        <f>VLOOKUP(A4,CODE!A:B,2,0)</f>
        <v>I100133</v>
      </c>
      <c r="C4" t="str">
        <f>VLOOKUP(A4,CODE!A:C,3,0)</f>
        <v>Lá chanh</v>
      </c>
      <c r="D4" t="str">
        <f>VLOOKUP(A4,CODE!D:E,2,0)</f>
        <v>Kg</v>
      </c>
      <c r="E4">
        <v>0.2</v>
      </c>
      <c r="F4">
        <v>0</v>
      </c>
    </row>
    <row r="5" spans="1:6" ht="15" customHeight="1">
      <c r="A5" s="4" t="s">
        <v>3109</v>
      </c>
      <c r="B5" t="str">
        <f>VLOOKUP(A5,CODE!A:B,2,0)</f>
        <v>I100176</v>
      </c>
      <c r="C5" t="str">
        <f>VLOOKUP(A5,CODE!A:C,3,0)</f>
        <v>Rau đắng</v>
      </c>
      <c r="D5" t="str">
        <f>VLOOKUP(A5,CODE!D:E,2,0)</f>
        <v>Kg</v>
      </c>
      <c r="E5">
        <v>0.2</v>
      </c>
      <c r="F5">
        <v>0</v>
      </c>
    </row>
    <row r="6" spans="1:6" ht="14.25" customHeight="1">
      <c r="A6" s="4" t="s">
        <v>3047</v>
      </c>
      <c r="B6" t="str">
        <f>VLOOKUP(A6,CODE!A:B,2,0)</f>
        <v>I100093</v>
      </c>
      <c r="C6" t="str">
        <f>VLOOKUP(A6,CODE!A:C,3,0)</f>
        <v>Giá lặt</v>
      </c>
      <c r="D6" t="str">
        <f>VLOOKUP(A6,CODE!D:E,2,0)</f>
        <v>Kg</v>
      </c>
      <c r="E6">
        <v>0.3</v>
      </c>
      <c r="F6">
        <v>0.9</v>
      </c>
    </row>
    <row r="7" spans="1:6" ht="15" customHeight="1">
      <c r="A7" s="4" t="s">
        <v>3087</v>
      </c>
      <c r="B7" t="str">
        <f>VLOOKUP(A7,CODE!A:B,2,0)</f>
        <v>I100168</v>
      </c>
      <c r="C7" t="str">
        <f>VLOOKUP(A7,CODE!A:C,3,0)</f>
        <v>Ớt hiểm xanh</v>
      </c>
      <c r="D7" t="str">
        <f>VLOOKUP(A7,CODE!D:E,2,0)</f>
        <v>Kg</v>
      </c>
      <c r="E7">
        <v>0.3</v>
      </c>
      <c r="F7">
        <v>0</v>
      </c>
    </row>
    <row r="8" spans="1:6" ht="15" customHeight="1">
      <c r="A8" s="4" t="s">
        <v>3089</v>
      </c>
      <c r="B8" t="str">
        <f>VLOOKUP(A8,CODE!A:B,2,0)</f>
        <v>I100079</v>
      </c>
      <c r="C8" t="str">
        <f>VLOOKUP(A8,CODE!A:C,3,0)</f>
        <v>Đậu đũa xanh</v>
      </c>
      <c r="D8" t="str">
        <f>VLOOKUP(A8,CODE!D:E,2,0)</f>
        <v>Kg</v>
      </c>
      <c r="E8">
        <v>0.3</v>
      </c>
      <c r="F8">
        <v>0</v>
      </c>
    </row>
    <row r="9" spans="1:6" ht="15" customHeight="1">
      <c r="A9" s="4" t="s">
        <v>3093</v>
      </c>
      <c r="B9" t="str">
        <f>VLOOKUP(A9,CODE!A:B,2,0)</f>
        <v>I100063</v>
      </c>
      <c r="C9" t="str">
        <f>VLOOKUP(A9,CODE!A:C,3,0)</f>
        <v>Chuối chát</v>
      </c>
      <c r="D9" t="str">
        <f>VLOOKUP(A9,CODE!D:E,2,0)</f>
        <v>Kg</v>
      </c>
      <c r="E9">
        <v>0.3</v>
      </c>
      <c r="F9">
        <v>0</v>
      </c>
    </row>
    <row r="10" spans="1:6" ht="15" customHeight="1">
      <c r="A10" s="4" t="s">
        <v>3092</v>
      </c>
      <c r="B10" t="str">
        <f>VLOOKUP(A10,CODE!A:B,2,0)</f>
        <v>I100196</v>
      </c>
      <c r="C10" t="str">
        <f>VLOOKUP(A10,CODE!A:C,3,0)</f>
        <v>Rose mary</v>
      </c>
      <c r="D10" t="str">
        <f>VLOOKUP(A10,CODE!D:E,2,0)</f>
        <v>Kg</v>
      </c>
      <c r="E10">
        <v>0.3</v>
      </c>
      <c r="F10">
        <v>0</v>
      </c>
    </row>
    <row r="11" spans="1:6" ht="15" customHeight="1">
      <c r="A11" s="4" t="s">
        <v>3099</v>
      </c>
      <c r="B11" t="str">
        <f>VLOOKUP(A11,CODE!A:B,2,0)</f>
        <v>I100219</v>
      </c>
      <c r="C11" t="str">
        <f>VLOOKUP(A11,CODE!A:C,3,0)</f>
        <v>Thì là</v>
      </c>
      <c r="D11" t="str">
        <f>VLOOKUP(A11,CODE!D:E,2,0)</f>
        <v>Kg</v>
      </c>
      <c r="E11">
        <v>0.4</v>
      </c>
      <c r="F11">
        <v>3.7</v>
      </c>
    </row>
    <row r="12" spans="1:6" ht="15" customHeight="1">
      <c r="A12" s="4" t="s">
        <v>3030</v>
      </c>
      <c r="B12" t="str">
        <f>VLOOKUP(A12,CODE!A:B,2,0)</f>
        <v>I100074</v>
      </c>
      <c r="C12" t="str">
        <f>VLOOKUP(A12,CODE!A:C,3,0)</f>
        <v>Củ sen</v>
      </c>
      <c r="D12" t="str">
        <f>VLOOKUP(A12,CODE!D:E,2,0)</f>
        <v>Kg</v>
      </c>
      <c r="E12">
        <v>0.4</v>
      </c>
      <c r="F12">
        <v>0</v>
      </c>
    </row>
    <row r="13" spans="1:6" ht="15" customHeight="1">
      <c r="A13" s="4" t="s">
        <v>3076</v>
      </c>
      <c r="B13" t="str">
        <f>VLOOKUP(A13,CODE!A:B,2,0)</f>
        <v>I100214</v>
      </c>
      <c r="C13" t="str">
        <f>VLOOKUP(A13,CODE!A:C,3,0)</f>
        <v>Su Su</v>
      </c>
      <c r="D13" t="str">
        <f>VLOOKUP(A13,CODE!D:E,2,0)</f>
        <v>Kg</v>
      </c>
      <c r="E13">
        <v>0.4</v>
      </c>
      <c r="F13">
        <v>0</v>
      </c>
    </row>
    <row r="14" spans="1:6" ht="15" customHeight="1">
      <c r="A14" s="4" t="s">
        <v>3088</v>
      </c>
      <c r="B14" t="str">
        <f>VLOOKUP(A14,CODE!A:B,2,0)</f>
        <v>I100167</v>
      </c>
      <c r="C14" t="str">
        <f>VLOOKUP(A14,CODE!A:C,3,0)</f>
        <v>Ớt hiểm đỏ</v>
      </c>
      <c r="D14" t="str">
        <f>VLOOKUP(A14,CODE!D:E,2,0)</f>
        <v>Kg</v>
      </c>
      <c r="E14">
        <v>0.4</v>
      </c>
      <c r="F14">
        <v>0</v>
      </c>
    </row>
    <row r="15" spans="1:6" ht="15" customHeight="1">
      <c r="A15" s="4" t="s">
        <v>3053</v>
      </c>
      <c r="B15" t="str">
        <f>VLOOKUP(A15,CODE!A:B,2,0)</f>
        <v>I100139</v>
      </c>
      <c r="C15" t="str">
        <f>VLOOKUP(A15,CODE!A:C,3,0)</f>
        <v>Lá lốt</v>
      </c>
      <c r="D15" t="str">
        <f>VLOOKUP(A15,CODE!D:E,2,0)</f>
        <v>Kg</v>
      </c>
      <c r="E15">
        <v>0.5</v>
      </c>
      <c r="F15">
        <v>8</v>
      </c>
    </row>
    <row r="16" spans="1:6" ht="15" customHeight="1">
      <c r="A16" s="4" t="s">
        <v>3065</v>
      </c>
      <c r="B16" t="str">
        <f>VLOOKUP(A16,CODE!A:B,2,0)</f>
        <v>I100466</v>
      </c>
      <c r="C16" t="str">
        <f>VLOOKUP(A16,CODE!A:C,3,0)</f>
        <v>Thanh long ruột đỏ</v>
      </c>
      <c r="D16" t="str">
        <f>VLOOKUP(A16,CODE!D:E,2,0)</f>
        <v>Kg</v>
      </c>
      <c r="E16">
        <v>0.5</v>
      </c>
      <c r="F16">
        <v>0</v>
      </c>
    </row>
    <row r="17" spans="1:6" ht="15" customHeight="1">
      <c r="A17" s="4" t="s">
        <v>12</v>
      </c>
      <c r="B17" t="str">
        <f>VLOOKUP(A17,CODE!A:B,2,0)</f>
        <v>I100970</v>
      </c>
      <c r="C17" t="str">
        <f>VLOOKUP(A17,CODE!A:C,3,0)</f>
        <v>Nấm mối đen</v>
      </c>
      <c r="D17" t="str">
        <f>VLOOKUP(A17,CODE!D:E,2,0)</f>
        <v>Kg</v>
      </c>
      <c r="E17">
        <v>0.5</v>
      </c>
      <c r="F17">
        <v>0</v>
      </c>
    </row>
    <row r="18" spans="1:6" ht="15" customHeight="1">
      <c r="A18" s="4" t="s">
        <v>3103</v>
      </c>
      <c r="B18" t="str">
        <f>VLOOKUP(A18,CODE!A:B,2,0)</f>
        <v>I100156</v>
      </c>
      <c r="C18" t="str">
        <f>VLOOKUP(A18,CODE!A:C,3,0)</f>
        <v>Ngò rí</v>
      </c>
      <c r="D18" t="str">
        <f>VLOOKUP(A18,CODE!D:E,2,0)</f>
        <v>Kg</v>
      </c>
      <c r="E18">
        <v>0.5</v>
      </c>
      <c r="F18">
        <v>0</v>
      </c>
    </row>
    <row r="19" spans="1:6" ht="15" customHeight="1">
      <c r="A19" s="4" t="s">
        <v>3108</v>
      </c>
      <c r="B19" t="str">
        <f>VLOOKUP(A19,CODE!A:B,2,0)</f>
        <v>I100090</v>
      </c>
      <c r="C19" t="str">
        <f>VLOOKUP(A19,CODE!A:C,3,0)</f>
        <v>Dưa leo nhật</v>
      </c>
      <c r="D19" t="str">
        <f>VLOOKUP(A19,CODE!D:E,2,0)</f>
        <v>Kg</v>
      </c>
      <c r="E19">
        <v>0.5</v>
      </c>
      <c r="F19">
        <v>0</v>
      </c>
    </row>
    <row r="20" spans="1:6" ht="15" customHeight="1">
      <c r="A20" s="4" t="s">
        <v>3052</v>
      </c>
      <c r="B20" t="str">
        <f>VLOOKUP(A20,CODE!A:B,2,0)</f>
        <v>I100134</v>
      </c>
      <c r="C20" t="str">
        <f>VLOOKUP(A20,CODE!A:C,3,0)</f>
        <v>Lá chanh Thái</v>
      </c>
      <c r="D20" t="str">
        <f>VLOOKUP(A20,CODE!D:E,2,0)</f>
        <v>Kg</v>
      </c>
      <c r="E20">
        <v>0.6</v>
      </c>
      <c r="F20">
        <v>0</v>
      </c>
    </row>
    <row r="21" spans="1:6" ht="15" customHeight="1">
      <c r="A21" s="4" t="s">
        <v>3069</v>
      </c>
      <c r="B21" t="str">
        <f>VLOOKUP(A21,CODE!A:B,2,0)</f>
        <v>I100073</v>
      </c>
      <c r="C21" t="str">
        <f>VLOOKUP(A21,CODE!A:C,3,0)</f>
        <v>Củ sắn</v>
      </c>
      <c r="D21" t="str">
        <f>VLOOKUP(A21,CODE!D:E,2,0)</f>
        <v>Kg</v>
      </c>
      <c r="E21">
        <v>0.6</v>
      </c>
      <c r="F21">
        <v>0</v>
      </c>
    </row>
    <row r="22" spans="1:6" ht="15" customHeight="1">
      <c r="A22" s="4" t="s">
        <v>3060</v>
      </c>
      <c r="B22" t="str">
        <f>VLOOKUP(A22,CODE!A:B,2,0)</f>
        <v>I100465</v>
      </c>
      <c r="C22" t="str">
        <f>VLOOKUP(A22,CODE!A:C,3,0)</f>
        <v>Bơ trái</v>
      </c>
      <c r="D22" t="str">
        <f>VLOOKUP(A22,CODE!D:E,2,0)</f>
        <v>Kg</v>
      </c>
      <c r="E22">
        <v>0.7</v>
      </c>
      <c r="F22">
        <v>0</v>
      </c>
    </row>
    <row r="23" spans="1:6" ht="15" customHeight="1">
      <c r="A23" s="4" t="s">
        <v>3029</v>
      </c>
      <c r="B23" t="str">
        <f>VLOOKUP(A23,CODE!A:B,2,0)</f>
        <v>I100088</v>
      </c>
      <c r="C23" t="str">
        <f>VLOOKUP(A23,CODE!A:C,3,0)</f>
        <v>Đu đủ trái xanh</v>
      </c>
      <c r="D23" t="str">
        <f>VLOOKUP(A23,CODE!D:E,2,0)</f>
        <v>Kg</v>
      </c>
      <c r="E23">
        <v>0.8</v>
      </c>
      <c r="F23">
        <v>0</v>
      </c>
    </row>
    <row r="24" spans="1:6" ht="15" customHeight="1">
      <c r="A24" s="4" t="s">
        <v>3044</v>
      </c>
      <c r="B24" t="str">
        <f>VLOOKUP(A24,CODE!A:B,2,0)</f>
        <v>I100132</v>
      </c>
      <c r="C24" t="str">
        <f>VLOOKUP(A24,CODE!A:C,3,0)</f>
        <v>Lá cây nhíp</v>
      </c>
      <c r="D24" t="str">
        <f>VLOOKUP(A24,CODE!D:E,2,0)</f>
        <v>Kg</v>
      </c>
      <c r="E24">
        <v>0.8</v>
      </c>
      <c r="F24">
        <v>0</v>
      </c>
    </row>
    <row r="25" spans="1:6" ht="15" customHeight="1">
      <c r="A25" s="4" t="s">
        <v>3094</v>
      </c>
      <c r="B25" t="str">
        <f>VLOOKUP(A25,CODE!A:B,2,0)</f>
        <v>I100526</v>
      </c>
      <c r="C25" t="str">
        <f>VLOOKUP(A25,CODE!A:C,3,0)</f>
        <v>Lá Giang (kg)</v>
      </c>
      <c r="D25" t="str">
        <f>VLOOKUP(A25,CODE!D:E,2,0)</f>
        <v>Kg</v>
      </c>
      <c r="E25">
        <v>0.8</v>
      </c>
      <c r="F25">
        <v>0</v>
      </c>
    </row>
    <row r="26" spans="1:6" ht="15" customHeight="1">
      <c r="A26" s="4" t="s">
        <v>3095</v>
      </c>
      <c r="B26" t="str">
        <f>VLOOKUP(A26,CODE!A:B,2,0)</f>
        <v>I100136</v>
      </c>
      <c r="C26" t="str">
        <f>VLOOKUP(A26,CODE!A:C,3,0)</f>
        <v>Lá dứa</v>
      </c>
      <c r="D26" t="str">
        <f>VLOOKUP(A26,CODE!D:E,2,0)</f>
        <v>Kg</v>
      </c>
      <c r="E26">
        <v>0.8</v>
      </c>
      <c r="F26">
        <v>0</v>
      </c>
    </row>
    <row r="27" spans="1:6" ht="15" customHeight="1">
      <c r="A27" s="4" t="s">
        <v>3096</v>
      </c>
      <c r="B27" t="str">
        <f>VLOOKUP(A27,CODE!A:B,2,0)</f>
        <v>I100201</v>
      </c>
      <c r="C27" t="str">
        <f>VLOOKUP(A27,CODE!A:C,3,0)</f>
        <v>Xà lách Big Frisse</v>
      </c>
      <c r="D27" t="str">
        <f>VLOOKUP(A27,CODE!D:E,2,0)</f>
        <v>Kg</v>
      </c>
      <c r="E27">
        <v>0.8</v>
      </c>
      <c r="F27">
        <v>0</v>
      </c>
    </row>
    <row r="28" spans="1:6" ht="15" customHeight="1">
      <c r="A28" s="4" t="s">
        <v>3063</v>
      </c>
      <c r="B28" t="str">
        <f>VLOOKUP(A28,CODE!A:B,2,0)</f>
        <v>I100498</v>
      </c>
      <c r="C28" t="str">
        <f>VLOOKUP(A28,CODE!A:C,3,0)</f>
        <v>Ổi trái</v>
      </c>
      <c r="D28" t="str">
        <f>VLOOKUP(A28,CODE!D:E,2,0)</f>
        <v>Kg</v>
      </c>
      <c r="E28">
        <v>1</v>
      </c>
      <c r="F28">
        <v>0</v>
      </c>
    </row>
    <row r="29" spans="1:6" ht="15" customHeight="1">
      <c r="A29" s="4" t="s">
        <v>3079</v>
      </c>
      <c r="B29" t="str">
        <f>VLOOKUP(A29,CODE!A:B,2,0)</f>
        <v>I100126</v>
      </c>
      <c r="C29" t="str">
        <f>VLOOKUP(A29,CODE!A:C,3,0)</f>
        <v>Khoai môn sọ</v>
      </c>
      <c r="D29" t="str">
        <f>VLOOKUP(A29,CODE!D:E,2,0)</f>
        <v>Kg</v>
      </c>
      <c r="E29">
        <v>1</v>
      </c>
      <c r="F29">
        <v>0</v>
      </c>
    </row>
    <row r="30" spans="1:6" ht="15" customHeight="1">
      <c r="A30" s="4" t="s">
        <v>3090</v>
      </c>
      <c r="B30" t="str">
        <f>VLOOKUP(A30,CODE!A:B,2,0)</f>
        <v>I100193</v>
      </c>
      <c r="C30" t="str">
        <f>VLOOKUP(A30,CODE!A:C,3,0)</f>
        <v>Rau thyme</v>
      </c>
      <c r="D30" t="str">
        <f>VLOOKUP(A30,CODE!D:E,2,0)</f>
        <v>Kg</v>
      </c>
      <c r="E30">
        <v>1</v>
      </c>
      <c r="F30">
        <v>0</v>
      </c>
    </row>
    <row r="31" spans="1:6" ht="15" customHeight="1">
      <c r="A31" s="4" t="s">
        <v>3041</v>
      </c>
      <c r="B31" t="str">
        <f>VLOOKUP(A31,CODE!A:B,2,0)</f>
        <v>I100223</v>
      </c>
      <c r="C31" t="str">
        <f>VLOOKUP(A31,CODE!A:C,3,0)</f>
        <v>Tỏi bắc</v>
      </c>
      <c r="D31" t="str">
        <f>VLOOKUP(A31,CODE!D:E,2,0)</f>
        <v>Kg</v>
      </c>
      <c r="E31">
        <v>1.1000000000000001</v>
      </c>
      <c r="F31">
        <v>0</v>
      </c>
    </row>
    <row r="32" spans="1:6" ht="15" customHeight="1">
      <c r="A32" s="4" t="s">
        <v>3104</v>
      </c>
      <c r="B32" t="str">
        <f>VLOOKUP(A32,CODE!A:B,2,0)</f>
        <v>I100154</v>
      </c>
      <c r="C32" t="str">
        <f>VLOOKUP(A32,CODE!A:C,3,0)</f>
        <v>Ngò gai</v>
      </c>
      <c r="D32" t="str">
        <f>VLOOKUP(A32,CODE!D:E,2,0)</f>
        <v>Kg</v>
      </c>
      <c r="E32">
        <v>1.2</v>
      </c>
      <c r="F32">
        <v>0.8</v>
      </c>
    </row>
    <row r="33" spans="1:6" ht="15" customHeight="1">
      <c r="A33" s="4" t="s">
        <v>3061</v>
      </c>
      <c r="B33" t="str">
        <f>VLOOKUP(A33,CODE!A:B,2,0)</f>
        <v>I100470</v>
      </c>
      <c r="C33" t="str">
        <f>VLOOKUP(A33,CODE!A:C,3,0)</f>
        <v>Dưa lưới</v>
      </c>
      <c r="D33" t="str">
        <f>VLOOKUP(A33,CODE!D:E,2,0)</f>
        <v>Kg</v>
      </c>
      <c r="E33">
        <v>1.2</v>
      </c>
      <c r="F33">
        <v>0</v>
      </c>
    </row>
    <row r="34" spans="1:6" ht="15" customHeight="1">
      <c r="A34" s="4" t="s">
        <v>3073</v>
      </c>
      <c r="B34" t="str">
        <f>VLOOKUP(A34,CODE!A:B,2,0)</f>
        <v>I100015</v>
      </c>
      <c r="C34" t="str">
        <f>VLOOKUP(A34,CODE!A:C,3,0)</f>
        <v>Bí ngòi vàng</v>
      </c>
      <c r="D34" t="str">
        <f>VLOOKUP(A34,CODE!D:E,2,0)</f>
        <v>Kg</v>
      </c>
      <c r="E34">
        <v>1.3</v>
      </c>
      <c r="F34">
        <v>0</v>
      </c>
    </row>
    <row r="35" spans="1:6" ht="15" customHeight="1">
      <c r="A35" s="4" t="s">
        <v>3067</v>
      </c>
      <c r="B35" t="str">
        <f>VLOOKUP(A35,CODE!A:B,2,0)</f>
        <v>I100057</v>
      </c>
      <c r="C35" t="str">
        <f>VLOOKUP(A35,CODE!A:C,3,0)</f>
        <v>Cần tây</v>
      </c>
      <c r="D35" t="str">
        <f>VLOOKUP(A35,CODE!D:E,2,0)</f>
        <v>Kg</v>
      </c>
      <c r="E35">
        <v>1.4</v>
      </c>
      <c r="F35">
        <v>0</v>
      </c>
    </row>
    <row r="36" spans="1:6" ht="15" customHeight="1">
      <c r="A36" s="4" t="s">
        <v>3086</v>
      </c>
      <c r="B36" t="str">
        <f>VLOOKUP(A36,CODE!A:B,2,0)</f>
        <v>I100405</v>
      </c>
      <c r="C36" t="str">
        <f>VLOOKUP(A36,CODE!A:C,3,0)</f>
        <v>Đậu Hà Lan</v>
      </c>
      <c r="D36" t="str">
        <f>VLOOKUP(A36,CODE!D:E,2,0)</f>
        <v>Kg</v>
      </c>
      <c r="E36">
        <v>1.5</v>
      </c>
      <c r="F36">
        <v>0.3</v>
      </c>
    </row>
    <row r="37" spans="1:6" ht="15" customHeight="1">
      <c r="A37" s="4" t="s">
        <v>3000</v>
      </c>
      <c r="B37" t="str">
        <f>VLOOKUP(A37,CODE!A:B,2,0)</f>
        <v>I100068</v>
      </c>
      <c r="C37" t="str">
        <f>VLOOKUP(A37,CODE!A:C,3,0)</f>
        <v>Củ dền lớn</v>
      </c>
      <c r="D37" t="str">
        <f>VLOOKUP(A37,CODE!D:E,2,0)</f>
        <v>Kg</v>
      </c>
      <c r="E37">
        <v>1.5</v>
      </c>
      <c r="F37">
        <v>0</v>
      </c>
    </row>
    <row r="38" spans="1:6" ht="15" customHeight="1">
      <c r="A38" s="4" t="s">
        <v>3100</v>
      </c>
      <c r="B38" t="str">
        <f>VLOOKUP(A38,CODE!A:B,2,0)</f>
        <v>I100040</v>
      </c>
      <c r="C38" t="str">
        <f>VLOOKUP(A38,CODE!A:C,3,0)</f>
        <v>Cà rốt baby</v>
      </c>
      <c r="D38" t="str">
        <f>VLOOKUP(A38,CODE!D:E,2,0)</f>
        <v>Kg</v>
      </c>
      <c r="E38">
        <v>1.5</v>
      </c>
      <c r="F38">
        <v>0</v>
      </c>
    </row>
    <row r="39" spans="1:6" ht="15" customHeight="1">
      <c r="A39" s="4" t="s">
        <v>1977</v>
      </c>
      <c r="B39" t="str">
        <f>VLOOKUP(A39,CODE!A:B,2,0)</f>
        <v>I100626</v>
      </c>
      <c r="C39" t="str">
        <f>VLOOKUP(A39,CODE!A:C,3,0)</f>
        <v>Rau má nhỏ</v>
      </c>
      <c r="D39" t="str">
        <f>VLOOKUP(A39,CODE!D:E,2,0)</f>
        <v>Kg</v>
      </c>
      <c r="E39">
        <v>1.5</v>
      </c>
      <c r="F39">
        <v>0</v>
      </c>
    </row>
    <row r="40" spans="1:6" ht="15" customHeight="1">
      <c r="A40" s="4" t="s">
        <v>3025</v>
      </c>
      <c r="B40" t="str">
        <f>VLOOKUP(A40,CODE!A:B,2,0)</f>
        <v>I100171</v>
      </c>
      <c r="C40" t="str">
        <f>VLOOKUP(A40,CODE!A:C,3,0)</f>
        <v>Ớt sừng xanh</v>
      </c>
      <c r="D40" t="str">
        <f>VLOOKUP(A40,CODE!D:E,2,0)</f>
        <v>Kg</v>
      </c>
      <c r="E40">
        <v>1.7</v>
      </c>
      <c r="F40">
        <v>0</v>
      </c>
    </row>
    <row r="41" spans="1:6" ht="15" customHeight="1">
      <c r="A41" s="4" t="s">
        <v>3040</v>
      </c>
      <c r="B41" t="str">
        <f>VLOOKUP(A41,CODE!A:B,2,0)</f>
        <v>I100108</v>
      </c>
      <c r="C41" t="str">
        <f>VLOOKUP(A41,CODE!A:C,3,0)</f>
        <v>Hành tím VN nguyên củ</v>
      </c>
      <c r="D41" t="str">
        <f>VLOOKUP(A41,CODE!D:E,2,0)</f>
        <v>Kg</v>
      </c>
      <c r="E41">
        <v>1.8</v>
      </c>
      <c r="F41">
        <v>0</v>
      </c>
    </row>
    <row r="42" spans="1:6" ht="15" customHeight="1">
      <c r="A42" s="4" t="s">
        <v>3064</v>
      </c>
      <c r="B42" t="str">
        <f>VLOOKUP(A42,CODE!A:B,2,0)</f>
        <v>I100507</v>
      </c>
      <c r="C42" t="str">
        <f>VLOOKUP(A42,CODE!A:C,3,0)</f>
        <v>Thanh long ruột trắng</v>
      </c>
      <c r="D42" t="str">
        <f>VLOOKUP(A42,CODE!D:E,2,0)</f>
        <v>Kg</v>
      </c>
      <c r="E42">
        <v>1.9</v>
      </c>
      <c r="F42">
        <v>0</v>
      </c>
    </row>
    <row r="43" spans="1:6" ht="15" customHeight="1">
      <c r="A43" s="4" t="s">
        <v>3014</v>
      </c>
      <c r="B43" t="str">
        <f>VLOOKUP(A43,CODE!A:B,2,0)</f>
        <v>I100208</v>
      </c>
      <c r="C43" t="str">
        <f>VLOOKUP(A43,CODE!A:C,3,0)</f>
        <v>Xà lách Radichio</v>
      </c>
      <c r="D43" t="str">
        <f>VLOOKUP(A43,CODE!D:E,2,0)</f>
        <v>Kg</v>
      </c>
      <c r="E43">
        <v>2</v>
      </c>
      <c r="F43">
        <v>0.2</v>
      </c>
    </row>
    <row r="44" spans="1:6" ht="15" customHeight="1">
      <c r="A44" s="4" t="s">
        <v>3098</v>
      </c>
      <c r="B44" t="str">
        <f>VLOOKUP(A44,CODE!A:B,2,0)</f>
        <v>I100116</v>
      </c>
      <c r="C44" t="str">
        <f>VLOOKUP(A44,CODE!A:C,3,0)</f>
        <v>Khế xanh</v>
      </c>
      <c r="D44" t="str">
        <f>VLOOKUP(A44,CODE!D:E,2,0)</f>
        <v>Kg</v>
      </c>
      <c r="E44">
        <v>2</v>
      </c>
      <c r="F44">
        <v>0.7</v>
      </c>
    </row>
    <row r="45" spans="1:6" ht="15" customHeight="1">
      <c r="A45" s="4" t="s">
        <v>680</v>
      </c>
      <c r="B45" t="str">
        <f>VLOOKUP(A45,CODE!A:B,2,0)</f>
        <v>I100185</v>
      </c>
      <c r="C45" t="str">
        <f>VLOOKUP(A45,CODE!A:C,3,0)</f>
        <v>Rau muống hạt</v>
      </c>
      <c r="D45" t="str">
        <f>VLOOKUP(A45,CODE!D:E,2,0)</f>
        <v>Kg</v>
      </c>
      <c r="E45">
        <v>2</v>
      </c>
      <c r="F45">
        <v>1.2</v>
      </c>
    </row>
    <row r="46" spans="1:6" ht="15" customHeight="1">
      <c r="A46" s="4" t="s">
        <v>2997</v>
      </c>
      <c r="B46" t="str">
        <f>VLOOKUP(A46,CODE!A:B,2,0)</f>
        <v>I100036</v>
      </c>
      <c r="C46" t="str">
        <f>VLOOKUP(A46,CODE!A:C,3,0)</f>
        <v>Cà pháo</v>
      </c>
      <c r="D46" t="str">
        <f>VLOOKUP(A46,CODE!D:E,2,0)</f>
        <v>Kg</v>
      </c>
      <c r="E46">
        <v>2</v>
      </c>
      <c r="F46">
        <v>0</v>
      </c>
    </row>
    <row r="47" spans="1:6" ht="15" customHeight="1">
      <c r="A47" s="4" t="s">
        <v>3009</v>
      </c>
      <c r="B47" t="str">
        <f>VLOOKUP(A47,CODE!A:B,2,0)</f>
        <v>I100172</v>
      </c>
      <c r="C47" t="str">
        <f>VLOOKUP(A47,CODE!A:C,3,0)</f>
        <v>Quế tây</v>
      </c>
      <c r="D47" t="str">
        <f>VLOOKUP(A47,CODE!D:E,2,0)</f>
        <v>Kg</v>
      </c>
      <c r="E47">
        <v>2</v>
      </c>
      <c r="F47">
        <v>0</v>
      </c>
    </row>
    <row r="48" spans="1:6" ht="15" customHeight="1">
      <c r="A48" s="4" t="s">
        <v>3013</v>
      </c>
      <c r="B48" t="str">
        <f>VLOOKUP(A48,CODE!A:B,2,0)</f>
        <v>I100041</v>
      </c>
      <c r="C48" t="str">
        <f>VLOOKUP(A48,CODE!A:C,3,0)</f>
        <v>Cà rốt ĐaLat</v>
      </c>
      <c r="D48" t="str">
        <f>VLOOKUP(A48,CODE!D:E,2,0)</f>
        <v>Kg</v>
      </c>
      <c r="E48">
        <v>2</v>
      </c>
      <c r="F48">
        <v>0</v>
      </c>
    </row>
    <row r="49" spans="1:6" ht="15" customHeight="1">
      <c r="A49" s="4" t="s">
        <v>3027</v>
      </c>
      <c r="B49" t="str">
        <f>VLOOKUP(A49,CODE!A:B,2,0)</f>
        <v>I100228</v>
      </c>
      <c r="C49" t="str">
        <f>VLOOKUP(A49,CODE!A:C,3,0)</f>
        <v>Tỏi củ</v>
      </c>
      <c r="D49" t="str">
        <f>VLOOKUP(A49,CODE!D:E,2,0)</f>
        <v>Kg</v>
      </c>
      <c r="E49">
        <v>2</v>
      </c>
      <c r="F49">
        <v>0</v>
      </c>
    </row>
    <row r="50" spans="1:6" ht="15" customHeight="1">
      <c r="A50" s="4" t="s">
        <v>2357</v>
      </c>
      <c r="B50" t="str">
        <f>VLOOKUP(A50,CODE!A:B,2,0)</f>
        <v>I100800</v>
      </c>
      <c r="C50" t="str">
        <f>VLOOKUP(A50,CODE!A:C,3,0)</f>
        <v>Đậu hủ trứng cây Ichiban 220gr</v>
      </c>
      <c r="D50" t="str">
        <f>VLOOKUP(A50,CODE!D:E,2,0)</f>
        <v>cây</v>
      </c>
      <c r="E50">
        <v>2</v>
      </c>
      <c r="F50">
        <v>0</v>
      </c>
    </row>
    <row r="51" spans="1:6" ht="15" customHeight="1">
      <c r="A51" s="4" t="s">
        <v>3102</v>
      </c>
      <c r="B51" t="str">
        <f>VLOOKUP(A51,CODE!A:B,2,0)</f>
        <v>I100056</v>
      </c>
      <c r="C51" t="str">
        <f>VLOOKUP(A51,CODE!A:C,3,0)</f>
        <v>Cần tàu</v>
      </c>
      <c r="D51" t="str">
        <f>VLOOKUP(A51,CODE!D:E,2,0)</f>
        <v>Kg</v>
      </c>
      <c r="E51">
        <v>2</v>
      </c>
      <c r="F51">
        <v>0</v>
      </c>
    </row>
    <row r="52" spans="1:6" ht="15" customHeight="1">
      <c r="A52" s="4" t="s">
        <v>2993</v>
      </c>
      <c r="B52" t="str">
        <f>VLOOKUP(A52,CODE!A:B,2,0)</f>
        <v>I100634</v>
      </c>
      <c r="C52" t="str">
        <f>VLOOKUP(A52,CODE!A:C,3,0)</f>
        <v>Nấm hải sản (kg)</v>
      </c>
      <c r="D52" t="str">
        <f>VLOOKUP(A52,CODE!D:E,2,0)</f>
        <v>Kg</v>
      </c>
      <c r="E52">
        <v>2.5</v>
      </c>
      <c r="F52">
        <v>4</v>
      </c>
    </row>
    <row r="53" spans="1:6" ht="15" customHeight="1">
      <c r="A53" s="4" t="s">
        <v>3072</v>
      </c>
      <c r="B53" t="str">
        <f>VLOOKUP(A53,CODE!A:B,2,0)</f>
        <v>I100064</v>
      </c>
      <c r="C53" t="str">
        <f>VLOOKUP(A53,CODE!A:C,3,0)</f>
        <v>Củ cải đỏ (Radis)</v>
      </c>
      <c r="D53" t="str">
        <f>VLOOKUP(A53,CODE!D:E,2,0)</f>
        <v>Kg</v>
      </c>
      <c r="E53">
        <v>2.5</v>
      </c>
      <c r="F53">
        <v>0</v>
      </c>
    </row>
    <row r="54" spans="1:6" ht="15" customHeight="1">
      <c r="A54" s="4" t="s">
        <v>3004</v>
      </c>
      <c r="B54" t="str">
        <f>VLOOKUP(A54,CODE!A:B,2,0)</f>
        <v>I100645</v>
      </c>
      <c r="C54" t="str">
        <f>VLOOKUP(A54,CODE!A:C,3,0)</f>
        <v>Măng tây xanh (lớn)</v>
      </c>
      <c r="D54" t="str">
        <f>VLOOKUP(A54,CODE!D:E,2,0)</f>
        <v>Kg</v>
      </c>
      <c r="E54">
        <v>2.5</v>
      </c>
      <c r="F54">
        <v>0</v>
      </c>
    </row>
    <row r="55" spans="1:6" ht="15" customHeight="1">
      <c r="A55" s="4" t="s">
        <v>2113</v>
      </c>
      <c r="B55" t="str">
        <f>VLOOKUP(A55,CODE!A:B,2,0)</f>
        <v>I100681</v>
      </c>
      <c r="C55" t="str">
        <f>VLOOKUP(A55,CODE!A:C,3,0)</f>
        <v>Xà lách Crispy</v>
      </c>
      <c r="D55" t="str">
        <f>VLOOKUP(A55,CODE!D:E,2,0)</f>
        <v>Kg</v>
      </c>
      <c r="E55">
        <v>3</v>
      </c>
      <c r="F55">
        <v>0.8</v>
      </c>
    </row>
    <row r="56" spans="1:6" ht="15" customHeight="1">
      <c r="A56" s="4" t="s">
        <v>3057</v>
      </c>
      <c r="B56" t="str">
        <f>VLOOKUP(A56,CODE!A:B,2,0)</f>
        <v>I100001</v>
      </c>
      <c r="C56" t="str">
        <f>VLOOKUP(A56,CODE!A:C,3,0)</f>
        <v>Bạc hà</v>
      </c>
      <c r="D56" t="str">
        <f>VLOOKUP(A56,CODE!D:E,2,0)</f>
        <v>Kg</v>
      </c>
      <c r="E56">
        <v>3</v>
      </c>
      <c r="F56">
        <v>1</v>
      </c>
    </row>
    <row r="57" spans="1:6" ht="15" customHeight="1">
      <c r="A57" s="4" t="s">
        <v>3097</v>
      </c>
      <c r="B57" t="str">
        <f>VLOOKUP(A57,CODE!A:B,2,0)</f>
        <v>I100217</v>
      </c>
      <c r="C57" t="str">
        <f>VLOOKUP(A57,CODE!A:C,3,0)</f>
        <v>Tần ô</v>
      </c>
      <c r="D57" t="str">
        <f>VLOOKUP(A57,CODE!D:E,2,0)</f>
        <v>Kg</v>
      </c>
      <c r="E57">
        <v>3</v>
      </c>
      <c r="F57">
        <v>6.2</v>
      </c>
    </row>
    <row r="58" spans="1:6" ht="15" customHeight="1">
      <c r="A58" s="4" t="s">
        <v>7</v>
      </c>
      <c r="B58" t="str">
        <f>VLOOKUP(A58,CODE!A:B,2,0)</f>
        <v>I101266</v>
      </c>
      <c r="C58" t="str">
        <f>VLOOKUP(A58,CODE!A:C,3,0)</f>
        <v>Măng tây trung</v>
      </c>
      <c r="D58" t="str">
        <f>VLOOKUP(A58,CODE!D:E,2,0)</f>
        <v>Kg</v>
      </c>
      <c r="E58">
        <v>3</v>
      </c>
      <c r="F58">
        <v>0</v>
      </c>
    </row>
    <row r="59" spans="1:6" ht="15" customHeight="1">
      <c r="A59" s="4" t="s">
        <v>3068</v>
      </c>
      <c r="B59" t="str">
        <f>VLOOKUP(A59,CODE!A:B,2,0)</f>
        <v>I100141</v>
      </c>
      <c r="C59" t="str">
        <f>VLOOKUP(A59,CODE!A:C,3,0)</f>
        <v>Lá sen tươi</v>
      </c>
      <c r="D59" t="str">
        <f>VLOOKUP(A59,CODE!D:E,2,0)</f>
        <v>Lá</v>
      </c>
      <c r="E59">
        <v>3</v>
      </c>
      <c r="F59">
        <v>0</v>
      </c>
    </row>
    <row r="60" spans="1:6" ht="15" customHeight="1">
      <c r="A60" s="4" t="s">
        <v>3042</v>
      </c>
      <c r="B60" t="str">
        <f>VLOOKUP(A60,CODE!A:B,2,0)</f>
        <v>I100049</v>
      </c>
      <c r="C60" t="str">
        <f>VLOOKUP(A60,CODE!A:C,3,0)</f>
        <v>Cải rổ</v>
      </c>
      <c r="D60" t="str">
        <f>VLOOKUP(A60,CODE!D:E,2,0)</f>
        <v>Kg</v>
      </c>
      <c r="E60">
        <v>3.5</v>
      </c>
      <c r="F60">
        <v>1</v>
      </c>
    </row>
    <row r="61" spans="1:6" ht="15" customHeight="1">
      <c r="A61" s="4" t="s">
        <v>3043</v>
      </c>
      <c r="B61" t="str">
        <f>VLOOKUP(A61,CODE!A:B,2,0)</f>
        <v>I100155</v>
      </c>
      <c r="C61" t="str">
        <f>VLOOKUP(A61,CODE!A:C,3,0)</f>
        <v>Ngò om</v>
      </c>
      <c r="D61" t="str">
        <f>VLOOKUP(A61,CODE!D:E,2,0)</f>
        <v>Kg</v>
      </c>
      <c r="E61">
        <v>3.5</v>
      </c>
      <c r="F61">
        <v>3</v>
      </c>
    </row>
    <row r="62" spans="1:6" ht="15" customHeight="1">
      <c r="A62" s="4" t="s">
        <v>3005</v>
      </c>
      <c r="B62" t="str">
        <f>VLOOKUP(A62,CODE!A:B,2,0)</f>
        <v>I100144</v>
      </c>
      <c r="C62" t="str">
        <f>VLOOKUP(A62,CODE!A:C,3,0)</f>
        <v>Măng tây xanh</v>
      </c>
      <c r="D62" t="str">
        <f>VLOOKUP(A62,CODE!D:E,2,0)</f>
        <v>Kg</v>
      </c>
      <c r="E62">
        <v>3.5</v>
      </c>
      <c r="F62">
        <v>0</v>
      </c>
    </row>
    <row r="63" spans="1:6" ht="15" customHeight="1">
      <c r="A63" s="4" t="s">
        <v>3031</v>
      </c>
      <c r="B63" t="str">
        <f>VLOOKUP(A63,CODE!A:B,2,0)</f>
        <v>I100089</v>
      </c>
      <c r="C63" t="str">
        <f>VLOOKUP(A63,CODE!A:C,3,0)</f>
        <v>Dưa leo</v>
      </c>
      <c r="D63" t="str">
        <f>VLOOKUP(A63,CODE!D:E,2,0)</f>
        <v>Kg</v>
      </c>
      <c r="E63">
        <v>3.8</v>
      </c>
      <c r="F63">
        <v>0</v>
      </c>
    </row>
    <row r="64" spans="1:6" ht="15" customHeight="1">
      <c r="A64" s="4" t="s">
        <v>706</v>
      </c>
      <c r="B64" t="str">
        <f>VLOOKUP(A64,CODE!A:B,2,0)</f>
        <v>I100194</v>
      </c>
      <c r="C64" t="str">
        <f>VLOOKUP(A64,CODE!A:C,3,0)</f>
        <v>Rau tía tô</v>
      </c>
      <c r="D64" t="str">
        <f>VLOOKUP(A64,CODE!D:E,2,0)</f>
        <v>Kg</v>
      </c>
      <c r="E64">
        <v>4</v>
      </c>
      <c r="F64">
        <v>1</v>
      </c>
    </row>
    <row r="65" spans="1:6" ht="15" customHeight="1">
      <c r="A65" s="4" t="s">
        <v>3080</v>
      </c>
      <c r="B65" t="str">
        <f>VLOOKUP(A65,CODE!A:B,2,0)</f>
        <v>I100075</v>
      </c>
      <c r="C65" t="str">
        <f>VLOOKUP(A65,CODE!A:C,3,0)</f>
        <v>Đậu bắp</v>
      </c>
      <c r="D65" t="str">
        <f>VLOOKUP(A65,CODE!D:E,2,0)</f>
        <v>Kg</v>
      </c>
      <c r="E65">
        <v>4</v>
      </c>
      <c r="F65">
        <v>2</v>
      </c>
    </row>
    <row r="66" spans="1:6" ht="15" customHeight="1">
      <c r="A66" s="4" t="s">
        <v>3028</v>
      </c>
      <c r="B66" t="str">
        <f>VLOOKUP(A66,CODE!A:B,2,0)</f>
        <v>I100125</v>
      </c>
      <c r="C66" t="str">
        <f>VLOOKUP(A66,CODE!A:C,3,0)</f>
        <v>Khoai môn cao</v>
      </c>
      <c r="D66" t="str">
        <f>VLOOKUP(A66,CODE!D:E,2,0)</f>
        <v>Kg</v>
      </c>
      <c r="E66">
        <v>4</v>
      </c>
      <c r="F66">
        <v>0</v>
      </c>
    </row>
    <row r="67" spans="1:6" ht="15" customHeight="1">
      <c r="A67" s="4" t="s">
        <v>3032</v>
      </c>
      <c r="B67" t="str">
        <f>VLOOKUP(A67,CODE!A:B,2,0)</f>
        <v>I100097</v>
      </c>
      <c r="C67" t="str">
        <f>VLOOKUP(A67,CODE!A:C,3,0)</f>
        <v>Củ Gừng</v>
      </c>
      <c r="D67" t="str">
        <f>VLOOKUP(A67,CODE!D:E,2,0)</f>
        <v>Kg</v>
      </c>
      <c r="E67">
        <v>4</v>
      </c>
      <c r="F67">
        <v>0</v>
      </c>
    </row>
    <row r="68" spans="1:6" ht="15" customHeight="1">
      <c r="A68" s="4" t="s">
        <v>3054</v>
      </c>
      <c r="B68" t="str">
        <f>VLOOKUP(A68,CODE!A:B,2,0)</f>
        <v>I100128</v>
      </c>
      <c r="C68" t="str">
        <f>VLOOKUP(A68,CODE!A:C,3,0)</f>
        <v>Khoai Tây DL lớn</v>
      </c>
      <c r="D68" t="str">
        <f>VLOOKUP(A68,CODE!D:E,2,0)</f>
        <v>Kg</v>
      </c>
      <c r="E68">
        <v>4</v>
      </c>
      <c r="F68">
        <v>0</v>
      </c>
    </row>
    <row r="69" spans="1:6" ht="15" customHeight="1">
      <c r="A69" s="4" t="s">
        <v>3015</v>
      </c>
      <c r="B69" t="str">
        <f>VLOOKUP(A69,CODE!A:B,2,0)</f>
        <v>I100204</v>
      </c>
      <c r="C69" t="str">
        <f>VLOOKUP(A69,CODE!A:C,3,0)</f>
        <v>Xà lách carol</v>
      </c>
      <c r="D69" t="str">
        <f>VLOOKUP(A69,CODE!D:E,2,0)</f>
        <v>Kg</v>
      </c>
      <c r="E69">
        <v>4.4000000000000004</v>
      </c>
      <c r="F69">
        <v>0.5</v>
      </c>
    </row>
    <row r="70" spans="1:6" ht="15" customHeight="1">
      <c r="A70" s="4" t="s">
        <v>3020</v>
      </c>
      <c r="B70" t="str">
        <f>VLOOKUP(A70,CODE!A:B,2,0)</f>
        <v>I100033</v>
      </c>
      <c r="C70" t="str">
        <f>VLOOKUP(A70,CODE!A:C,3,0)</f>
        <v>Cà chua bi</v>
      </c>
      <c r="D70" t="str">
        <f>VLOOKUP(A70,CODE!D:E,2,0)</f>
        <v>Kg</v>
      </c>
      <c r="E70">
        <v>4.5</v>
      </c>
      <c r="F70">
        <v>0</v>
      </c>
    </row>
    <row r="71" spans="1:6" ht="15" customHeight="1">
      <c r="A71" s="4" t="s">
        <v>3021</v>
      </c>
      <c r="B71" t="str">
        <f>VLOOKUP(A71,CODE!A:B,2,0)</f>
        <v>I100612</v>
      </c>
      <c r="C71" t="str">
        <f>VLOOKUP(A71,CODE!A:C,3,0)</f>
        <v>Cà Chua Lớn</v>
      </c>
      <c r="D71" t="str">
        <f>VLOOKUP(A71,CODE!D:E,2,0)</f>
        <v>Kg</v>
      </c>
      <c r="E71">
        <v>4.5</v>
      </c>
      <c r="F71">
        <v>0</v>
      </c>
    </row>
    <row r="72" spans="1:6" ht="15" customHeight="1">
      <c r="A72" s="4" t="s">
        <v>3062</v>
      </c>
      <c r="B72" t="str">
        <f>VLOOKUP(A72,CODE!A:B,2,0)</f>
        <v>I100510</v>
      </c>
      <c r="C72" t="str">
        <f>VLOOKUP(A72,CODE!A:C,3,0)</f>
        <v>Xoài thái</v>
      </c>
      <c r="D72" t="str">
        <f>VLOOKUP(A72,CODE!D:E,2,0)</f>
        <v>Kg</v>
      </c>
      <c r="E72">
        <v>4.5</v>
      </c>
      <c r="F72">
        <v>0</v>
      </c>
    </row>
    <row r="73" spans="1:6" ht="15" customHeight="1">
      <c r="A73" s="4" t="s">
        <v>3085</v>
      </c>
      <c r="B73" t="str">
        <f>VLOOKUP(A73,CODE!A:B,2,0)</f>
        <v>I100078</v>
      </c>
      <c r="C73" t="str">
        <f>VLOOKUP(A73,CODE!A:C,3,0)</f>
        <v>Đậu cove trắng</v>
      </c>
      <c r="D73" t="str">
        <f>VLOOKUP(A73,CODE!D:E,2,0)</f>
        <v>Kg</v>
      </c>
      <c r="E73">
        <v>4.5</v>
      </c>
      <c r="F73">
        <v>0</v>
      </c>
    </row>
    <row r="74" spans="1:6" ht="15" customHeight="1">
      <c r="A74" s="4" t="s">
        <v>3083</v>
      </c>
      <c r="B74" t="str">
        <f>VLOOKUP(A74,CODE!A:B,2,0)</f>
        <v>I100151</v>
      </c>
      <c r="C74" t="str">
        <f>VLOOKUP(A74,CODE!A:C,3,0)</f>
        <v>Mướp hương</v>
      </c>
      <c r="D74" t="str">
        <f>VLOOKUP(A74,CODE!D:E,2,0)</f>
        <v>Kg</v>
      </c>
      <c r="E74">
        <v>5</v>
      </c>
      <c r="F74">
        <v>1</v>
      </c>
    </row>
    <row r="75" spans="1:6" ht="15" customHeight="1">
      <c r="A75" s="4" t="s">
        <v>3078</v>
      </c>
      <c r="B75" t="str">
        <f>VLOOKUP(A75,CODE!A:B,2,0)</f>
        <v>I100124</v>
      </c>
      <c r="C75" t="str">
        <f>VLOOKUP(A75,CODE!A:C,3,0)</f>
        <v>Khoai mỡ</v>
      </c>
      <c r="D75" t="str">
        <f>VLOOKUP(A75,CODE!D:E,2,0)</f>
        <v>Kg</v>
      </c>
      <c r="E75">
        <v>5</v>
      </c>
      <c r="F75">
        <v>0</v>
      </c>
    </row>
    <row r="76" spans="1:6" ht="15" customHeight="1">
      <c r="A76" s="4" t="s">
        <v>3070</v>
      </c>
      <c r="B76" t="str">
        <f>VLOOKUP(A76,CODE!A:B,2,0)</f>
        <v>I100511</v>
      </c>
      <c r="C76" t="str">
        <f>VLOOKUP(A76,CODE!A:C,3,0)</f>
        <v>Xoài Keo</v>
      </c>
      <c r="D76" t="str">
        <f>VLOOKUP(A76,CODE!D:E,2,0)</f>
        <v>Kg</v>
      </c>
      <c r="E76">
        <v>5.2</v>
      </c>
      <c r="F76">
        <v>0.3</v>
      </c>
    </row>
    <row r="77" spans="1:6" ht="15" customHeight="1">
      <c r="A77" s="4" t="s">
        <v>3046</v>
      </c>
      <c r="B77" t="str">
        <f>VLOOKUP(A77,CODE!A:B,2,0)</f>
        <v>I100469</v>
      </c>
      <c r="C77" t="str">
        <f>VLOOKUP(A77,CODE!A:C,3,0)</f>
        <v>Cam vàng</v>
      </c>
      <c r="D77" t="str">
        <f>VLOOKUP(A77,CODE!D:E,2,0)</f>
        <v>Kg</v>
      </c>
      <c r="E77">
        <v>5.5</v>
      </c>
      <c r="F77">
        <v>0</v>
      </c>
    </row>
    <row r="78" spans="1:6" ht="15" customHeight="1">
      <c r="A78" s="4" t="s">
        <v>3017</v>
      </c>
      <c r="B78" t="str">
        <f>VLOOKUP(A78,CODE!A:B,2,0)</f>
        <v>I100127</v>
      </c>
      <c r="C78" t="str">
        <f>VLOOKUP(A78,CODE!A:C,3,0)</f>
        <v>Khoai tây bi</v>
      </c>
      <c r="D78" t="str">
        <f>VLOOKUP(A78,CODE!D:E,2,0)</f>
        <v>Kg</v>
      </c>
      <c r="E78">
        <v>6</v>
      </c>
      <c r="F78">
        <v>0.4</v>
      </c>
    </row>
    <row r="79" spans="1:6" ht="15" customHeight="1">
      <c r="A79" s="4" t="s">
        <v>3033</v>
      </c>
      <c r="B79" t="str">
        <f>VLOOKUP(A79,CODE!A:B,2,0)</f>
        <v>I100198</v>
      </c>
      <c r="C79" t="str">
        <f>VLOOKUP(A79,CODE!A:C,3,0)</f>
        <v>Sả cây</v>
      </c>
      <c r="D79" t="str">
        <f>VLOOKUP(A79,CODE!D:E,2,0)</f>
        <v>Kg</v>
      </c>
      <c r="E79">
        <v>6</v>
      </c>
      <c r="F79">
        <v>0</v>
      </c>
    </row>
    <row r="80" spans="1:6" ht="15" customHeight="1">
      <c r="A80" s="4" t="s">
        <v>3074</v>
      </c>
      <c r="B80" t="str">
        <f>VLOOKUP(A80,CODE!A:B,2,0)</f>
        <v>I100016</v>
      </c>
      <c r="C80" t="str">
        <f>VLOOKUP(A80,CODE!A:C,3,0)</f>
        <v>Bí ngòi xanh</v>
      </c>
      <c r="D80" t="str">
        <f>VLOOKUP(A80,CODE!D:E,2,0)</f>
        <v>Kg</v>
      </c>
      <c r="E80">
        <v>6</v>
      </c>
      <c r="F80">
        <v>0</v>
      </c>
    </row>
    <row r="81" spans="1:6" ht="15" customHeight="1">
      <c r="A81" s="4" t="s">
        <v>3101</v>
      </c>
      <c r="B81" t="str">
        <f>VLOOKUP(A81,CODE!A:B,2,0)</f>
        <v>I100509</v>
      </c>
      <c r="C81" t="str">
        <f>VLOOKUP(A81,CODE!A:C,3,0)</f>
        <v>Xoài chín</v>
      </c>
      <c r="D81" t="str">
        <f>VLOOKUP(A81,CODE!D:E,2,0)</f>
        <v>Kg</v>
      </c>
      <c r="E81">
        <v>6.5</v>
      </c>
      <c r="F81">
        <v>0.4</v>
      </c>
    </row>
    <row r="82" spans="1:6" ht="15" customHeight="1">
      <c r="A82" s="4" t="s">
        <v>3066</v>
      </c>
      <c r="B82" t="str">
        <f>VLOOKUP(A82,CODE!A:B,2,0)</f>
        <v>I100077</v>
      </c>
      <c r="C82" t="str">
        <f>VLOOKUP(A82,CODE!A:C,3,0)</f>
        <v>Đậu cove Pháp (Nhật)</v>
      </c>
      <c r="D82" t="str">
        <f>VLOOKUP(A82,CODE!D:E,2,0)</f>
        <v>Kg</v>
      </c>
      <c r="E82">
        <v>7</v>
      </c>
      <c r="F82">
        <v>0</v>
      </c>
    </row>
    <row r="83" spans="1:6" ht="15" customHeight="1">
      <c r="A83" s="4" t="s">
        <v>3011</v>
      </c>
      <c r="B83" t="str">
        <f>VLOOKUP(A83,CODE!A:B,2,0)</f>
        <v>I100165</v>
      </c>
      <c r="C83" t="str">
        <f>VLOOKUP(A83,CODE!A:C,3,0)</f>
        <v>Ớt đà lạt (vàng)</v>
      </c>
      <c r="D83" t="str">
        <f>VLOOKUP(A83,CODE!D:E,2,0)</f>
        <v>Kg</v>
      </c>
      <c r="E83">
        <v>7</v>
      </c>
      <c r="F83">
        <v>0</v>
      </c>
    </row>
    <row r="84" spans="1:6" ht="15" customHeight="1">
      <c r="A84" s="4" t="s">
        <v>3036</v>
      </c>
      <c r="B84" t="str">
        <f>VLOOKUP(A84,CODE!A:B,2,0)</f>
        <v>I100012</v>
      </c>
      <c r="C84" t="str">
        <f>VLOOKUP(A84,CODE!A:C,3,0)</f>
        <v>Bí đỏ hồ lô</v>
      </c>
      <c r="D84" t="str">
        <f>VLOOKUP(A84,CODE!D:E,2,0)</f>
        <v>Kg</v>
      </c>
      <c r="E84">
        <v>7</v>
      </c>
      <c r="F84">
        <v>0</v>
      </c>
    </row>
    <row r="85" spans="1:6" ht="15" customHeight="1">
      <c r="A85" s="4" t="s">
        <v>3056</v>
      </c>
      <c r="B85" t="str">
        <f>VLOOKUP(A85,CODE!A:B,2,0)</f>
        <v>I100120</v>
      </c>
      <c r="C85" t="str">
        <f>VLOOKUP(A85,CODE!A:C,3,0)</f>
        <v>Khoai lang mật</v>
      </c>
      <c r="D85" t="str">
        <f>VLOOKUP(A85,CODE!D:E,2,0)</f>
        <v>Kg</v>
      </c>
      <c r="E85">
        <v>7</v>
      </c>
      <c r="F85">
        <v>0</v>
      </c>
    </row>
    <row r="86" spans="1:6" ht="15" customHeight="1">
      <c r="A86" s="4" t="s">
        <v>3055</v>
      </c>
      <c r="B86" t="str">
        <f>VLOOKUP(A86,CODE!A:B,2,0)</f>
        <v>I100213</v>
      </c>
      <c r="C86" t="str">
        <f>VLOOKUP(A86,CODE!A:C,3,0)</f>
        <v>Su hào</v>
      </c>
      <c r="D86" t="str">
        <f>VLOOKUP(A86,CODE!D:E,2,0)</f>
        <v>Kg</v>
      </c>
      <c r="E86">
        <v>7.3</v>
      </c>
      <c r="F86">
        <v>0</v>
      </c>
    </row>
    <row r="87" spans="1:6" ht="15" customHeight="1">
      <c r="A87" s="4" t="s">
        <v>3058</v>
      </c>
      <c r="B87" t="str">
        <f>VLOOKUP(A87,CODE!A:B,2,0)</f>
        <v>I100099</v>
      </c>
      <c r="C87" t="str">
        <f>VLOOKUP(A87,CODE!A:C,3,0)</f>
        <v>Hành Paro</v>
      </c>
      <c r="D87" t="str">
        <f>VLOOKUP(A87,CODE!D:E,2,0)</f>
        <v>Kg</v>
      </c>
      <c r="E87">
        <v>7.5</v>
      </c>
      <c r="F87">
        <v>0.8</v>
      </c>
    </row>
    <row r="88" spans="1:6" ht="15" customHeight="1">
      <c r="A88" s="4" t="s">
        <v>14</v>
      </c>
      <c r="B88" t="str">
        <f>VLOOKUP(A88,CODE!A:B,2,0)</f>
        <v>I100815</v>
      </c>
      <c r="C88" t="str">
        <f>VLOOKUP(A88,CODE!A:C,3,0)</f>
        <v>Hoa décor</v>
      </c>
      <c r="D88" t="str">
        <f>VLOOKUP(A88,CODE!D:E,2,0)</f>
        <v>Hộp</v>
      </c>
      <c r="E88">
        <v>8</v>
      </c>
      <c r="F88">
        <v>0</v>
      </c>
    </row>
    <row r="89" spans="1:6" ht="15" customHeight="1">
      <c r="A89" s="4" t="s">
        <v>3024</v>
      </c>
      <c r="B89" t="str">
        <f>VLOOKUP(A89,CODE!A:B,2,0)</f>
        <v>I100206</v>
      </c>
      <c r="C89" t="str">
        <f>VLOOKUP(A89,CODE!A:C,3,0)</f>
        <v>Xà lách lolo tím</v>
      </c>
      <c r="D89" t="str">
        <f>VLOOKUP(A89,CODE!D:E,2,0)</f>
        <v>Kg</v>
      </c>
      <c r="E89">
        <v>8</v>
      </c>
      <c r="F89">
        <v>0</v>
      </c>
    </row>
    <row r="90" spans="1:6" ht="15" customHeight="1">
      <c r="A90" s="4" t="s">
        <v>3035</v>
      </c>
      <c r="B90" t="str">
        <f>VLOOKUP(A90,CODE!A:B,2,0)</f>
        <v>I100350</v>
      </c>
      <c r="C90" t="str">
        <f>VLOOKUP(A90,CODE!A:C,3,0)</f>
        <v>Khoai tây (lỡ)</v>
      </c>
      <c r="D90" t="str">
        <f>VLOOKUP(A90,CODE!D:E,2,0)</f>
        <v>Kg</v>
      </c>
      <c r="E90">
        <v>8</v>
      </c>
      <c r="F90">
        <v>0</v>
      </c>
    </row>
    <row r="91" spans="1:6" ht="15" customHeight="1">
      <c r="A91" s="4" t="s">
        <v>3071</v>
      </c>
      <c r="B91" t="str">
        <f>VLOOKUP(A91,CODE!A:B,2,0)</f>
        <v>I100467</v>
      </c>
      <c r="C91" t="str">
        <f>VLOOKUP(A91,CODE!A:C,3,0)</f>
        <v>Bưởi da xanh</v>
      </c>
      <c r="D91" t="str">
        <f>VLOOKUP(A91,CODE!D:E,2,0)</f>
        <v>Kg</v>
      </c>
      <c r="E91">
        <v>8</v>
      </c>
      <c r="F91">
        <v>0</v>
      </c>
    </row>
    <row r="92" spans="1:6" ht="15" customHeight="1">
      <c r="A92" s="4" t="s">
        <v>3075</v>
      </c>
      <c r="B92" t="str">
        <f>VLOOKUP(A92,CODE!A:B,2,0)</f>
        <v>I100042</v>
      </c>
      <c r="C92" t="str">
        <f>VLOOKUP(A92,CODE!A:C,3,0)</f>
        <v>Cà tím</v>
      </c>
      <c r="D92" t="str">
        <f>VLOOKUP(A92,CODE!D:E,2,0)</f>
        <v>Kg</v>
      </c>
      <c r="E92">
        <v>8.6999999999999993</v>
      </c>
      <c r="F92">
        <v>0</v>
      </c>
    </row>
    <row r="93" spans="1:6" ht="15" customHeight="1">
      <c r="A93" s="4" t="s">
        <v>3077</v>
      </c>
      <c r="B93" t="str">
        <f>VLOOKUP(A93,CODE!A:B,2,0)</f>
        <v>I100104</v>
      </c>
      <c r="C93" t="str">
        <f>VLOOKUP(A93,CODE!A:C,3,0)</f>
        <v>Hành tím lột vỏ TQ</v>
      </c>
      <c r="D93" t="str">
        <f>VLOOKUP(A93,CODE!D:E,2,0)</f>
        <v>Kg</v>
      </c>
      <c r="E93">
        <v>9</v>
      </c>
      <c r="F93">
        <v>0</v>
      </c>
    </row>
    <row r="94" spans="1:6" ht="15" customHeight="1">
      <c r="A94" s="4" t="s">
        <v>3107</v>
      </c>
      <c r="B94" t="str">
        <f>VLOOKUP(A94,CODE!A:B,2,0)</f>
        <v>I100468</v>
      </c>
      <c r="C94" t="str">
        <f>VLOOKUP(A94,CODE!A:C,3,0)</f>
        <v>Cam tươi</v>
      </c>
      <c r="D94" t="str">
        <f>VLOOKUP(A94,CODE!D:E,2,0)</f>
        <v>Kg</v>
      </c>
      <c r="E94">
        <v>9</v>
      </c>
      <c r="F94">
        <v>0</v>
      </c>
    </row>
    <row r="95" spans="1:6" ht="15" customHeight="1">
      <c r="A95" s="4" t="s">
        <v>3038</v>
      </c>
      <c r="B95" t="str">
        <f>VLOOKUP(A95,CODE!A:B,2,0)</f>
        <v>I100147</v>
      </c>
      <c r="C95" t="str">
        <f>VLOOKUP(A95,CODE!A:C,3,0)</f>
        <v>Me Vắt</v>
      </c>
      <c r="D95" t="str">
        <f>VLOOKUP(A95,CODE!D:E,2,0)</f>
        <v>Kg</v>
      </c>
      <c r="E95">
        <v>9.5</v>
      </c>
      <c r="F95">
        <v>0</v>
      </c>
    </row>
    <row r="96" spans="1:6" ht="15" customHeight="1">
      <c r="A96" s="4" t="s">
        <v>3022</v>
      </c>
      <c r="B96" t="str">
        <f>VLOOKUP(A96,CODE!A:B,2,0)</f>
        <v>I100034</v>
      </c>
      <c r="C96" t="str">
        <f>VLOOKUP(A96,CODE!A:C,3,0)</f>
        <v>Cà chua</v>
      </c>
      <c r="D96" t="str">
        <f>VLOOKUP(A96,CODE!D:E,2,0)</f>
        <v>Kg</v>
      </c>
      <c r="E96">
        <v>10</v>
      </c>
      <c r="F96">
        <v>1</v>
      </c>
    </row>
    <row r="97" spans="1:6" ht="15" customHeight="1">
      <c r="A97" s="4" t="s">
        <v>3023</v>
      </c>
      <c r="B97" t="str">
        <f>VLOOKUP(A97,CODE!A:B,2,0)</f>
        <v>I100002</v>
      </c>
      <c r="C97" t="str">
        <f>VLOOKUP(A97,CODE!A:C,3,0)</f>
        <v>Bắp cải tím</v>
      </c>
      <c r="D97" t="str">
        <f>VLOOKUP(A97,CODE!D:E,2,0)</f>
        <v>Kg</v>
      </c>
      <c r="E97">
        <v>10</v>
      </c>
      <c r="F97">
        <v>1.5</v>
      </c>
    </row>
    <row r="98" spans="1:6" ht="15" customHeight="1">
      <c r="A98" s="4" t="s">
        <v>3012</v>
      </c>
      <c r="B98" t="str">
        <f>VLOOKUP(A98,CODE!A:B,2,0)</f>
        <v>I100164</v>
      </c>
      <c r="C98" t="str">
        <f>VLOOKUP(A98,CODE!A:C,3,0)</f>
        <v>Ớt đà lạt (đỏ)</v>
      </c>
      <c r="D98" t="str">
        <f>VLOOKUP(A98,CODE!D:E,2,0)</f>
        <v>Kg</v>
      </c>
      <c r="E98">
        <v>11</v>
      </c>
      <c r="F98">
        <v>0</v>
      </c>
    </row>
    <row r="99" spans="1:6" ht="15" customHeight="1">
      <c r="A99" s="4" t="s">
        <v>9</v>
      </c>
      <c r="B99" t="str">
        <f>VLOOKUP(A99,CODE!A:B,2,0)</f>
        <v>I100170</v>
      </c>
      <c r="C99" t="str">
        <f>VLOOKUP(A99,CODE!A:C,3,0)</f>
        <v>Ớt sừng đỏ</v>
      </c>
      <c r="D99" t="str">
        <f>VLOOKUP(A99,CODE!D:E,2,0)</f>
        <v>Kg</v>
      </c>
      <c r="E99">
        <v>12</v>
      </c>
      <c r="F99">
        <v>0</v>
      </c>
    </row>
    <row r="100" spans="1:6" ht="15" customHeight="1">
      <c r="A100" s="4" t="s">
        <v>8</v>
      </c>
      <c r="B100" t="str">
        <f>VLOOKUP(A100,CODE!A:B,2,0)</f>
        <v>I100474</v>
      </c>
      <c r="C100" t="str">
        <f>VLOOKUP(A100,CODE!A:C,3,0)</f>
        <v>Chanh Dây</v>
      </c>
      <c r="D100" t="str">
        <f>VLOOKUP(A100,CODE!D:E,2,0)</f>
        <v>Kg</v>
      </c>
      <c r="E100">
        <v>12</v>
      </c>
      <c r="F100">
        <v>0</v>
      </c>
    </row>
    <row r="101" spans="1:6" ht="15" customHeight="1">
      <c r="A101" s="4" t="s">
        <v>3002</v>
      </c>
      <c r="B101" t="str">
        <f>VLOOKUP(A101,CODE!A:B,2,0)</f>
        <v>I100050</v>
      </c>
      <c r="C101" t="str">
        <f>VLOOKUP(A101,CODE!A:C,3,0)</f>
        <v>Cải sậy</v>
      </c>
      <c r="D101" t="str">
        <f>VLOOKUP(A101,CODE!D:E,2,0)</f>
        <v>Kg</v>
      </c>
      <c r="E101">
        <v>12.5</v>
      </c>
      <c r="F101">
        <v>0</v>
      </c>
    </row>
    <row r="102" spans="1:6" ht="15" customHeight="1">
      <c r="A102" s="4" t="s">
        <v>3008</v>
      </c>
      <c r="B102" t="str">
        <f>VLOOKUP(A102,CODE!A:B,2,0)</f>
        <v>I100521</v>
      </c>
      <c r="C102" t="str">
        <f>VLOOKUP(A102,CODE!A:C,3,0)</f>
        <v>Dưa leo baby</v>
      </c>
      <c r="D102" t="str">
        <f>VLOOKUP(A102,CODE!D:E,2,0)</f>
        <v>Kg</v>
      </c>
      <c r="E102">
        <v>12.5</v>
      </c>
      <c r="F102">
        <v>0</v>
      </c>
    </row>
    <row r="103" spans="1:6" ht="15" customHeight="1">
      <c r="A103" s="4" t="s">
        <v>2994</v>
      </c>
      <c r="B103" t="str">
        <f>VLOOKUP(A103,CODE!A:B,2,0)</f>
        <v>I100237</v>
      </c>
      <c r="C103" t="str">
        <f>VLOOKUP(A103,CODE!A:C,3,0)</f>
        <v>Nấm đùi gà</v>
      </c>
      <c r="D103" t="str">
        <f>VLOOKUP(A103,CODE!D:E,2,0)</f>
        <v>Kg</v>
      </c>
      <c r="E103">
        <v>13</v>
      </c>
      <c r="F103">
        <v>0</v>
      </c>
    </row>
    <row r="104" spans="1:6" ht="15" customHeight="1">
      <c r="A104" s="4" t="s">
        <v>3003</v>
      </c>
      <c r="B104" t="str">
        <f>VLOOKUP(A104,CODE!A:B,2,0)</f>
        <v>I100062</v>
      </c>
      <c r="C104" t="str">
        <f>VLOOKUP(A104,CODE!A:C,3,0)</f>
        <v>Chanh vàng</v>
      </c>
      <c r="D104" t="str">
        <f>VLOOKUP(A104,CODE!D:E,2,0)</f>
        <v>Kg</v>
      </c>
      <c r="E104">
        <v>13</v>
      </c>
      <c r="F104">
        <v>0</v>
      </c>
    </row>
    <row r="105" spans="1:6" ht="15" customHeight="1">
      <c r="A105" s="4" t="s">
        <v>3019</v>
      </c>
      <c r="B105" t="str">
        <f>VLOOKUP(A105,CODE!A:B,2,0)</f>
        <v>I100022</v>
      </c>
      <c r="C105" t="str">
        <f>VLOOKUP(A105,CODE!A:C,3,0)</f>
        <v>Bông cải trắng</v>
      </c>
      <c r="D105" t="str">
        <f>VLOOKUP(A105,CODE!D:E,2,0)</f>
        <v>Kg</v>
      </c>
      <c r="E105">
        <v>15</v>
      </c>
      <c r="F105">
        <v>0</v>
      </c>
    </row>
    <row r="106" spans="1:6" ht="15" customHeight="1">
      <c r="A106" s="4" t="s">
        <v>3018</v>
      </c>
      <c r="B106" t="str">
        <f>VLOOKUP(A106,CODE!A:B,2,0)</f>
        <v>I100024</v>
      </c>
      <c r="C106" t="str">
        <f>VLOOKUP(A106,CODE!A:C,3,0)</f>
        <v>Bông cải xanh</v>
      </c>
      <c r="D106" t="str">
        <f>VLOOKUP(A106,CODE!D:E,2,0)</f>
        <v>Kg</v>
      </c>
      <c r="E106">
        <v>16</v>
      </c>
      <c r="F106">
        <v>0</v>
      </c>
    </row>
    <row r="107" spans="1:6" ht="15" customHeight="1">
      <c r="A107" s="4" t="s">
        <v>2998</v>
      </c>
      <c r="B107" t="str">
        <f>VLOOKUP(A107,CODE!A:B,2,0)</f>
        <v>I100236</v>
      </c>
      <c r="C107" t="str">
        <f>VLOOKUP(A107,CODE!A:C,3,0)</f>
        <v>Nấm đông cô tươi</v>
      </c>
      <c r="D107" t="str">
        <f>VLOOKUP(A107,CODE!D:E,2,0)</f>
        <v>Kg</v>
      </c>
      <c r="E107">
        <v>16.5</v>
      </c>
      <c r="F107">
        <v>0.2</v>
      </c>
    </row>
    <row r="108" spans="1:6" ht="15" customHeight="1">
      <c r="A108" s="4" t="s">
        <v>3105</v>
      </c>
      <c r="B108" t="str">
        <f>VLOOKUP(A108,CODE!A:B,2,0)</f>
        <v>I100118</v>
      </c>
      <c r="C108" t="str">
        <f>VLOOKUP(A108,CODE!A:C,3,0)</f>
        <v>Khổ qua</v>
      </c>
      <c r="D108" t="str">
        <f>VLOOKUP(A108,CODE!D:E,2,0)</f>
        <v>Kg</v>
      </c>
      <c r="E108">
        <v>17</v>
      </c>
      <c r="F108">
        <v>4</v>
      </c>
    </row>
    <row r="109" spans="1:6" ht="15" customHeight="1">
      <c r="A109" s="4" t="s">
        <v>3026</v>
      </c>
      <c r="B109" t="str">
        <f>VLOOKUP(A109,CODE!A:B,2,0)</f>
        <v>I100229</v>
      </c>
      <c r="C109" t="str">
        <f>VLOOKUP(A109,CODE!A:C,3,0)</f>
        <v>Tỏi lột</v>
      </c>
      <c r="D109" t="str">
        <f>VLOOKUP(A109,CODE!D:E,2,0)</f>
        <v>Kg</v>
      </c>
      <c r="E109">
        <v>17</v>
      </c>
      <c r="F109">
        <v>0</v>
      </c>
    </row>
    <row r="110" spans="1:6" ht="15" customHeight="1">
      <c r="A110" s="4" t="s">
        <v>3010</v>
      </c>
      <c r="B110" t="str">
        <f>VLOOKUP(A110,CODE!A:B,2,0)</f>
        <v>I100166</v>
      </c>
      <c r="C110" t="str">
        <f>VLOOKUP(A110,CODE!A:C,3,0)</f>
        <v>Ớt đà lạt (xanh)</v>
      </c>
      <c r="D110" t="str">
        <f>VLOOKUP(A110,CODE!D:E,2,0)</f>
        <v>Kg</v>
      </c>
      <c r="E110">
        <v>18</v>
      </c>
      <c r="F110">
        <v>0</v>
      </c>
    </row>
    <row r="111" spans="1:6" ht="15" customHeight="1">
      <c r="A111" s="4" t="s">
        <v>3106</v>
      </c>
      <c r="B111" t="str">
        <f>VLOOKUP(A111,CODE!A:B,2,0)</f>
        <v>I100011</v>
      </c>
      <c r="C111" t="str">
        <f>VLOOKUP(A111,CODE!A:C,3,0)</f>
        <v>Bí đao</v>
      </c>
      <c r="D111" t="str">
        <f>VLOOKUP(A111,CODE!D:E,2,0)</f>
        <v>Kg</v>
      </c>
      <c r="E111">
        <v>19</v>
      </c>
      <c r="F111">
        <v>0</v>
      </c>
    </row>
    <row r="112" spans="1:6" ht="15" customHeight="1">
      <c r="A112" s="4" t="s">
        <v>2996</v>
      </c>
      <c r="B112" t="str">
        <f>VLOOKUP(A112,CODE!A:B,2,0)</f>
        <v>I100625</v>
      </c>
      <c r="C112" t="str">
        <f>VLOOKUP(A112,CODE!A:C,3,0)</f>
        <v>Cà chua Beef</v>
      </c>
      <c r="D112" t="str">
        <f>VLOOKUP(A112,CODE!D:E,2,0)</f>
        <v>Kg</v>
      </c>
      <c r="E112">
        <v>21.5</v>
      </c>
      <c r="F112">
        <v>1.5</v>
      </c>
    </row>
    <row r="113" spans="1:6" ht="15" customHeight="1">
      <c r="A113" s="4" t="s">
        <v>3039</v>
      </c>
      <c r="B113" t="str">
        <f>VLOOKUP(A113,CODE!A:B,2,0)</f>
        <v>I100676</v>
      </c>
      <c r="C113" t="str">
        <f>VLOOKUP(A113,CODE!A:C,3,0)</f>
        <v>Me Hộp</v>
      </c>
      <c r="D113" t="str">
        <f>VLOOKUP(A113,CODE!D:E,2,0)</f>
        <v>Hộp</v>
      </c>
      <c r="E113">
        <v>23</v>
      </c>
      <c r="F113">
        <v>0</v>
      </c>
    </row>
    <row r="114" spans="1:6" ht="15" customHeight="1">
      <c r="A114" s="4" t="s">
        <v>3034</v>
      </c>
      <c r="B114" t="str">
        <f>VLOOKUP(A114,CODE!A:B,2,0)</f>
        <v>I100121</v>
      </c>
      <c r="C114" t="str">
        <f>VLOOKUP(A114,CODE!A:C,3,0)</f>
        <v>Khoai lang nhật</v>
      </c>
      <c r="D114" t="str">
        <f>VLOOKUP(A114,CODE!D:E,2,0)</f>
        <v>Kg</v>
      </c>
      <c r="E114">
        <v>24</v>
      </c>
      <c r="F114">
        <v>0</v>
      </c>
    </row>
    <row r="115" spans="1:6" ht="15" customHeight="1">
      <c r="A115" s="4" t="s">
        <v>3084</v>
      </c>
      <c r="B115" t="str">
        <f>VLOOKUP(A115,CODE!A:B,2,0)</f>
        <v>I100010</v>
      </c>
      <c r="C115" t="str">
        <f>VLOOKUP(A115,CODE!A:C,3,0)</f>
        <v>Bầu xanh</v>
      </c>
      <c r="D115" t="str">
        <f>VLOOKUP(A115,CODE!D:E,2,0)</f>
        <v>Kg</v>
      </c>
      <c r="E115">
        <v>24</v>
      </c>
      <c r="F115">
        <v>0</v>
      </c>
    </row>
    <row r="116" spans="1:6" ht="15" customHeight="1">
      <c r="A116" s="4" t="s">
        <v>2999</v>
      </c>
      <c r="B116" t="str">
        <f>VLOOKUP(A116,CODE!A:B,2,0)</f>
        <v>I100730</v>
      </c>
      <c r="C116" t="str">
        <f>VLOOKUP(A116,CODE!A:C,3,0)</f>
        <v>Hành tím bắc lột</v>
      </c>
      <c r="D116" t="str">
        <f>VLOOKUP(A116,CODE!D:E,2,0)</f>
        <v>Kg</v>
      </c>
      <c r="E116">
        <v>25</v>
      </c>
      <c r="F116">
        <v>0</v>
      </c>
    </row>
    <row r="117" spans="1:6" ht="15" customHeight="1">
      <c r="A117" s="4" t="s">
        <v>3001</v>
      </c>
      <c r="B117" t="str">
        <f>VLOOKUP(A117,CODE!A:B,2,0)</f>
        <v>I100060</v>
      </c>
      <c r="C117" t="str">
        <f>VLOOKUP(A117,CODE!A:C,3,0)</f>
        <v>Chanh ko hạt</v>
      </c>
      <c r="D117" t="str">
        <f>VLOOKUP(A117,CODE!D:E,2,0)</f>
        <v>Kg</v>
      </c>
      <c r="E117">
        <v>27</v>
      </c>
      <c r="F117">
        <v>5</v>
      </c>
    </row>
    <row r="118" spans="1:6" ht="15" customHeight="1">
      <c r="A118" s="4" t="s">
        <v>3049</v>
      </c>
      <c r="B118" t="str">
        <f>VLOOKUP(A118,CODE!A:B,2,0)</f>
        <v>I100008</v>
      </c>
      <c r="C118" t="str">
        <f>VLOOKUP(A118,CODE!A:C,3,0)</f>
        <v>Bắp mỹ trái (Loại 1)</v>
      </c>
      <c r="D118" t="str">
        <f>VLOOKUP(A118,CODE!D:E,2,0)</f>
        <v>Trái</v>
      </c>
      <c r="E118">
        <v>30</v>
      </c>
      <c r="F118">
        <v>0</v>
      </c>
    </row>
    <row r="119" spans="1:6" ht="15" customHeight="1">
      <c r="A119" s="4" t="s">
        <v>2995</v>
      </c>
      <c r="B119" t="str">
        <f>VLOOKUP(A119,CODE!A:B,2,0)</f>
        <v>I100240</v>
      </c>
      <c r="C119" t="str">
        <f>VLOOKUP(A119,CODE!A:C,3,0)</f>
        <v>Nấm kim châm tươi</v>
      </c>
      <c r="D119" t="str">
        <f>VLOOKUP(A119,CODE!D:E,2,0)</f>
        <v>Kg</v>
      </c>
      <c r="E119">
        <v>34.5</v>
      </c>
      <c r="F119">
        <v>0.2</v>
      </c>
    </row>
    <row r="120" spans="1:6" ht="15" customHeight="1">
      <c r="A120" s="4" t="s">
        <v>3081</v>
      </c>
      <c r="B120" t="str">
        <f>VLOOKUP(A120,CODE!A:B,2,0)</f>
        <v>I100102</v>
      </c>
      <c r="C120" t="str">
        <f>VLOOKUP(A120,CODE!A:C,3,0)</f>
        <v>Hành tây tím</v>
      </c>
      <c r="D120" t="str">
        <f>VLOOKUP(A120,CODE!D:E,2,0)</f>
        <v>Kg</v>
      </c>
      <c r="E120">
        <v>35</v>
      </c>
      <c r="F120">
        <v>0</v>
      </c>
    </row>
    <row r="121" spans="1:6" ht="15" customHeight="1">
      <c r="A121" s="4" t="s">
        <v>3037</v>
      </c>
      <c r="B121" t="str">
        <f>VLOOKUP(A121,CODE!A:B,2,0)</f>
        <v>I100014</v>
      </c>
      <c r="C121" t="str">
        <f>VLOOKUP(A121,CODE!A:C,3,0)</f>
        <v>Bí đỏ tròn</v>
      </c>
      <c r="D121" t="str">
        <f>VLOOKUP(A121,CODE!D:E,2,0)</f>
        <v>Kg</v>
      </c>
      <c r="E121">
        <v>44</v>
      </c>
      <c r="F121">
        <v>0</v>
      </c>
    </row>
    <row r="122" spans="1:6" ht="15" customHeight="1">
      <c r="A122" s="4" t="s">
        <v>2992</v>
      </c>
      <c r="B122" t="str">
        <f>VLOOKUP(A122,CODE!A:B,2,0)</f>
        <v>I100241</v>
      </c>
      <c r="C122" t="str">
        <f>VLOOKUP(A122,CODE!A:C,3,0)</f>
        <v>Nấm linh chi đen</v>
      </c>
      <c r="D122" t="str">
        <f>VLOOKUP(A122,CODE!D:E,2,0)</f>
        <v>Hộp</v>
      </c>
      <c r="E122">
        <v>45</v>
      </c>
      <c r="F122">
        <v>0</v>
      </c>
    </row>
    <row r="123" spans="1:6" ht="15" customHeight="1">
      <c r="A123" s="4" t="s">
        <v>3082</v>
      </c>
      <c r="B123" t="str">
        <f>VLOOKUP(A123,CODE!A:B,2,0)</f>
        <v>I100103</v>
      </c>
      <c r="C123" t="str">
        <f>VLOOKUP(A123,CODE!A:C,3,0)</f>
        <v>Hành tím củ</v>
      </c>
      <c r="D123" t="str">
        <f>VLOOKUP(A123,CODE!D:E,2,0)</f>
        <v>Kg</v>
      </c>
      <c r="E123">
        <v>47</v>
      </c>
      <c r="F123">
        <v>1.2</v>
      </c>
    </row>
    <row r="124" spans="1:6" ht="15" customHeight="1">
      <c r="A124" s="4" t="s">
        <v>3007</v>
      </c>
      <c r="B124" t="str">
        <f>VLOOKUP(A124,CODE!A:B,2,0)</f>
        <v>I100274</v>
      </c>
      <c r="C124" t="str">
        <f>VLOOKUP(A124,CODE!A:C,3,0)</f>
        <v>Trứng vịt</v>
      </c>
      <c r="D124" t="str">
        <f>VLOOKUP(A124,CODE!D:E,2,0)</f>
        <v>Quả</v>
      </c>
      <c r="E124">
        <v>50</v>
      </c>
      <c r="F124">
        <v>0</v>
      </c>
    </row>
    <row r="125" spans="1:6" ht="15" customHeight="1">
      <c r="A125" s="4" t="s">
        <v>3048</v>
      </c>
      <c r="B125" t="str">
        <f>VLOOKUP(A125,CODE!A:B,2,0)</f>
        <v>I100044</v>
      </c>
      <c r="C125" t="str">
        <f>VLOOKUP(A125,CODE!A:C,3,0)</f>
        <v>Cải chua nguyên cây</v>
      </c>
      <c r="D125" t="str">
        <f>VLOOKUP(A125,CODE!D:E,2,0)</f>
        <v>Kg</v>
      </c>
      <c r="E125">
        <v>52</v>
      </c>
      <c r="F125">
        <v>0</v>
      </c>
    </row>
    <row r="126" spans="1:6" ht="15" customHeight="1">
      <c r="A126" s="4" t="s">
        <v>13</v>
      </c>
      <c r="B126" t="str">
        <f>VLOOKUP(A126,CODE!A:B,2,0)</f>
        <v>I100233</v>
      </c>
      <c r="C126" t="str">
        <f>VLOOKUP(A126,CODE!A:C,3,0)</f>
        <v>Trứng gà</v>
      </c>
      <c r="D126" t="str">
        <f>VLOOKUP(A126,CODE!D:E,2,0)</f>
        <v>Vỉ</v>
      </c>
      <c r="E126">
        <v>76</v>
      </c>
      <c r="F126">
        <v>0</v>
      </c>
    </row>
    <row r="127" spans="1:6" ht="15" customHeight="1">
      <c r="A127" s="4" t="s">
        <v>3051</v>
      </c>
      <c r="B127" t="str">
        <f>VLOOKUP(A127,CODE!A:B,2,0)</f>
        <v>I100891</v>
      </c>
      <c r="C127" t="str">
        <f>VLOOKUP(A127,CODE!A:C,3,0)</f>
        <v>Thơm chín</v>
      </c>
      <c r="D127" t="str">
        <f>VLOOKUP(A127,CODE!D:E,2,0)</f>
        <v>Trái</v>
      </c>
      <c r="E127">
        <v>90</v>
      </c>
      <c r="F127">
        <v>0</v>
      </c>
    </row>
    <row r="128" spans="1:6" ht="15" customHeight="1">
      <c r="A128" s="4" t="s">
        <v>2991</v>
      </c>
      <c r="B128" t="str">
        <f>VLOOKUP(A128,CODE!A:B,2,0)</f>
        <v>I100242</v>
      </c>
      <c r="C128" t="str">
        <f>VLOOKUP(A128,CODE!A:C,3,0)</f>
        <v>Nấm linh chi trắng</v>
      </c>
      <c r="D128" t="str">
        <f>VLOOKUP(A128,CODE!D:E,2,0)</f>
        <v>Hộp</v>
      </c>
      <c r="E128">
        <v>131</v>
      </c>
      <c r="F128">
        <v>0</v>
      </c>
    </row>
    <row r="129" spans="1:6" ht="15" customHeight="1">
      <c r="A129" s="4" t="s">
        <v>3050</v>
      </c>
      <c r="B129" t="str">
        <f>VLOOKUP(A129,CODE!A:B,2,0)</f>
        <v>I100270</v>
      </c>
      <c r="C129" t="str">
        <f>VLOOKUP(A129,CODE!A:C,3,0)</f>
        <v>Trứng bắc thảo</v>
      </c>
      <c r="D129" t="str">
        <f>VLOOKUP(A129,CODE!D:E,2,0)</f>
        <v>Quả</v>
      </c>
      <c r="E129">
        <v>145</v>
      </c>
      <c r="F129">
        <v>0</v>
      </c>
    </row>
    <row r="130" spans="1:6" ht="15" customHeight="1">
      <c r="A130" s="4" t="s">
        <v>3006</v>
      </c>
      <c r="B130" t="str">
        <f>VLOOKUP(A130,CODE!A:B,2,0)</f>
        <v>I100275</v>
      </c>
      <c r="C130" t="str">
        <f>VLOOKUP(A130,CODE!A:C,3,0)</f>
        <v>Trứng vịt muối</v>
      </c>
      <c r="D130" t="str">
        <f>VLOOKUP(A130,CODE!D:E,2,0)</f>
        <v>Quả</v>
      </c>
      <c r="E130">
        <v>170</v>
      </c>
      <c r="F130">
        <v>0</v>
      </c>
    </row>
    <row r="131" spans="1:6" ht="15" customHeight="1">
      <c r="A131" s="8" t="s">
        <v>3110</v>
      </c>
      <c r="B131" t="str">
        <f>VLOOKUP(A131,CODE!A:B,2,0)</f>
        <v>I100101</v>
      </c>
      <c r="C131" t="str">
        <f>VLOOKUP(A131,CODE!A:C,3,0)</f>
        <v>Hành tây</v>
      </c>
      <c r="D131" t="str">
        <f>VLOOKUP(A131,CODE!D:E,2,0)</f>
        <v>Kg</v>
      </c>
      <c r="E131">
        <v>700</v>
      </c>
      <c r="F131">
        <v>5</v>
      </c>
    </row>
    <row r="132" spans="1:6" ht="15" customHeight="1">
      <c r="A132" s="4" t="s">
        <v>3115</v>
      </c>
      <c r="B132" t="str">
        <f>VLOOKUP(A132,CODE!A:B,2,0)</f>
        <v>I100650</v>
      </c>
      <c r="C132" t="str">
        <f>VLOOKUP(A132,CODE!A:C,3,0)</f>
        <v>Nấm đùi gà baby</v>
      </c>
      <c r="D132" t="str">
        <f>VLOOKUP(A132,CODE!D:E,2,0)</f>
        <v>Kg</v>
      </c>
      <c r="E132">
        <v>0</v>
      </c>
      <c r="F132">
        <v>0.2</v>
      </c>
    </row>
    <row r="133" spans="1:6" ht="15" customHeight="1">
      <c r="A133" s="4" t="s">
        <v>3121</v>
      </c>
      <c r="B133" t="str">
        <f>VLOOKUP(A133,CODE!A:B,2,0)</f>
        <v>I100211</v>
      </c>
      <c r="C133" t="str">
        <f>VLOOKUP(A133,CODE!A:C,3,0)</f>
        <v>Xà lách son Đà Lạt</v>
      </c>
      <c r="D133" t="str">
        <f>VLOOKUP(A133,CODE!D:E,2,0)</f>
        <v>Kg</v>
      </c>
      <c r="E133">
        <v>0</v>
      </c>
      <c r="F133">
        <v>0.3</v>
      </c>
    </row>
    <row r="134" spans="1:6" ht="15" customHeight="1">
      <c r="A134" s="4" t="s">
        <v>3124</v>
      </c>
      <c r="B134" t="str">
        <f>VLOOKUP(A134,CODE!A:B,2,0)</f>
        <v>I100005</v>
      </c>
      <c r="C134" t="str">
        <f>VLOOKUP(A134,CODE!A:C,3,0)</f>
        <v>Bắp chuối nguyên trái</v>
      </c>
      <c r="D134" t="str">
        <f>VLOOKUP(A134,CODE!D:E,2,0)</f>
        <v>Kg</v>
      </c>
      <c r="E134">
        <v>0</v>
      </c>
      <c r="F134">
        <v>0.5</v>
      </c>
    </row>
    <row r="135" spans="1:6" ht="15" customHeight="1">
      <c r="A135" s="4" t="s">
        <v>3126</v>
      </c>
      <c r="B135" t="str">
        <f>VLOOKUP(A135,CODE!A:B,2,0)</f>
        <v>I100523</v>
      </c>
      <c r="C135" t="str">
        <f>VLOOKUP(A135,CODE!A:C,3,0)</f>
        <v>Cải Kale</v>
      </c>
      <c r="D135" t="str">
        <f>VLOOKUP(A135,CODE!D:E,2,0)</f>
        <v>Kg</v>
      </c>
      <c r="E135">
        <v>0</v>
      </c>
      <c r="F135">
        <v>0.6</v>
      </c>
    </row>
    <row r="136" spans="1:6" ht="15" customHeight="1">
      <c r="A136" s="4" t="s">
        <v>667</v>
      </c>
      <c r="B136" t="str">
        <f>VLOOKUP(A136,CODE!A:B,2,0)</f>
        <v>I100180</v>
      </c>
      <c r="C136" t="str">
        <f>VLOOKUP(A136,CODE!A:C,3,0)</f>
        <v>Rau diếp cá</v>
      </c>
      <c r="D136" t="str">
        <f>VLOOKUP(A136,CODE!D:E,2,0)</f>
        <v>Kg</v>
      </c>
      <c r="E136">
        <v>0</v>
      </c>
      <c r="F136">
        <v>0.7</v>
      </c>
    </row>
    <row r="137" spans="1:6" ht="15" customHeight="1">
      <c r="A137" s="4" t="s">
        <v>3120</v>
      </c>
      <c r="B137" t="str">
        <f>VLOOKUP(A137,CODE!A:B,2,0)</f>
        <v>I100518</v>
      </c>
      <c r="C137" t="str">
        <f>VLOOKUP(A137,CODE!A:C,3,0)</f>
        <v>Quế vị</v>
      </c>
      <c r="D137" t="str">
        <f>VLOOKUP(A137,CODE!D:E,2,0)</f>
        <v>Kg</v>
      </c>
      <c r="E137">
        <v>0</v>
      </c>
      <c r="F137">
        <v>0.7</v>
      </c>
    </row>
    <row r="138" spans="1:6" ht="15" customHeight="1">
      <c r="A138" s="4" t="s">
        <v>3129</v>
      </c>
      <c r="B138" t="str">
        <f>VLOOKUP(A138,CODE!A:B,2,0)</f>
        <v>I100203</v>
      </c>
      <c r="C138" t="str">
        <f>VLOOKUP(A138,CODE!A:C,3,0)</f>
        <v>Xà lách búp mỹ</v>
      </c>
      <c r="D138" t="str">
        <f>VLOOKUP(A138,CODE!D:E,2,0)</f>
        <v>Kg</v>
      </c>
      <c r="E138">
        <v>0</v>
      </c>
      <c r="F138">
        <v>0.8</v>
      </c>
    </row>
    <row r="139" spans="1:6">
      <c r="A139" s="4" t="s">
        <v>3134</v>
      </c>
      <c r="B139" t="str">
        <f>VLOOKUP(A139,CODE!A:B,2,0)</f>
        <v>I100067</v>
      </c>
      <c r="C139" t="str">
        <f>VLOOKUP(A139,CODE!A:C,3,0)</f>
        <v>Củ cải trắng (Loại 1)</v>
      </c>
      <c r="D139" t="str">
        <f>VLOOKUP(A139,CODE!D:E,2,0)</f>
        <v>Kg</v>
      </c>
      <c r="E139">
        <v>0</v>
      </c>
      <c r="F139">
        <v>0.8</v>
      </c>
    </row>
    <row r="140" spans="1:6">
      <c r="A140" s="4" t="s">
        <v>3132</v>
      </c>
      <c r="B140" t="str">
        <f>VLOOKUP(A140,CODE!A:B,2,0)</f>
        <v>I100111</v>
      </c>
      <c r="C140" t="str">
        <f>VLOOKUP(A140,CODE!A:C,3,0)</f>
        <v>Hẹ lá</v>
      </c>
      <c r="D140" t="str">
        <f>VLOOKUP(A140,CODE!D:E,2,0)</f>
        <v>Kg</v>
      </c>
      <c r="E140">
        <v>0</v>
      </c>
      <c r="F140">
        <v>0.8</v>
      </c>
    </row>
    <row r="141" spans="1:6">
      <c r="A141" s="4" t="s">
        <v>3119</v>
      </c>
      <c r="B141" t="str">
        <f>VLOOKUP(A141,CODE!A:B,2,0)</f>
        <v>I100137</v>
      </c>
      <c r="C141" t="str">
        <f>VLOOKUP(A141,CODE!A:C,3,0)</f>
        <v>Lá Giang (bó)</v>
      </c>
      <c r="D141" t="str">
        <f>VLOOKUP(A141,CODE!D:E,2,0)</f>
        <v>Bó</v>
      </c>
      <c r="E141">
        <v>0</v>
      </c>
      <c r="F141">
        <v>1</v>
      </c>
    </row>
    <row r="142" spans="1:6">
      <c r="A142" s="4" t="s">
        <v>3123</v>
      </c>
      <c r="B142" t="str">
        <f>VLOOKUP(A142,CODE!A:B,2,0)</f>
        <v>I100047</v>
      </c>
      <c r="C142" t="str">
        <f>VLOOKUP(A142,CODE!A:C,3,0)</f>
        <v>Cải ngọt</v>
      </c>
      <c r="D142" t="str">
        <f>VLOOKUP(A142,CODE!D:E,2,0)</f>
        <v>Kg</v>
      </c>
      <c r="E142">
        <v>0</v>
      </c>
      <c r="F142">
        <v>1</v>
      </c>
    </row>
    <row r="143" spans="1:6">
      <c r="A143" s="4" t="s">
        <v>3125</v>
      </c>
      <c r="B143" t="str">
        <f>VLOOKUP(A143,CODE!A:B,2,0)</f>
        <v>I100003</v>
      </c>
      <c r="C143" t="str">
        <f>VLOOKUP(A143,CODE!A:C,3,0)</f>
        <v>Bắp cải trắng</v>
      </c>
      <c r="D143" t="str">
        <f>VLOOKUP(A143,CODE!D:E,2,0)</f>
        <v>Kg</v>
      </c>
      <c r="E143">
        <v>0</v>
      </c>
      <c r="F143">
        <v>1</v>
      </c>
    </row>
    <row r="144" spans="1:6">
      <c r="A144" s="4" t="s">
        <v>3127</v>
      </c>
      <c r="B144" t="str">
        <f>VLOOKUP(A144,CODE!A:B,2,0)</f>
        <v>I100028</v>
      </c>
      <c r="C144" t="str">
        <f>VLOOKUP(A144,CODE!A:C,3,0)</f>
        <v>Bông hẹ</v>
      </c>
      <c r="D144" t="str">
        <f>VLOOKUP(A144,CODE!D:E,2,0)</f>
        <v>Kg</v>
      </c>
      <c r="E144">
        <v>0</v>
      </c>
      <c r="F144">
        <v>1</v>
      </c>
    </row>
    <row r="145" spans="1:6">
      <c r="A145" s="4" t="s">
        <v>3133</v>
      </c>
      <c r="B145" t="str">
        <f>VLOOKUP(A145,CODE!A:B,2,0)</f>
        <v>I100255</v>
      </c>
      <c r="C145" t="str">
        <f>VLOOKUP(A145,CODE!A:C,3,0)</f>
        <v>Bún bò</v>
      </c>
      <c r="D145" t="str">
        <f>VLOOKUP(A145,CODE!D:E,2,0)</f>
        <v>Kg</v>
      </c>
      <c r="E145">
        <v>0</v>
      </c>
      <c r="F145">
        <v>1</v>
      </c>
    </row>
    <row r="146" spans="1:6">
      <c r="A146" s="4" t="s">
        <v>3113</v>
      </c>
      <c r="B146" t="str">
        <f>VLOOKUP(A146,CODE!A:B,2,0)</f>
        <v>I100018</v>
      </c>
      <c r="C146" t="str">
        <f>VLOOKUP(A146,CODE!A:C,3,0)</f>
        <v>Bó xôi (Nhà Lồng)</v>
      </c>
      <c r="D146" t="str">
        <f>VLOOKUP(A146,CODE!D:E,2,0)</f>
        <v>Kg</v>
      </c>
      <c r="E146">
        <v>0</v>
      </c>
      <c r="F146">
        <v>1.5</v>
      </c>
    </row>
    <row r="147" spans="1:6">
      <c r="A147" s="4" t="s">
        <v>3116</v>
      </c>
      <c r="B147" t="str">
        <f>VLOOKUP(A147,CODE!A:B,2,0)</f>
        <v>I100043</v>
      </c>
      <c r="C147" t="str">
        <f>VLOOKUP(A147,CODE!A:C,3,0)</f>
        <v>Cải bẹ xanh có gốc</v>
      </c>
      <c r="D147" t="str">
        <f>VLOOKUP(A147,CODE!D:E,2,0)</f>
        <v>Kg</v>
      </c>
      <c r="E147">
        <v>0</v>
      </c>
      <c r="F147">
        <v>1.5</v>
      </c>
    </row>
    <row r="148" spans="1:6">
      <c r="A148" s="4" t="s">
        <v>3135</v>
      </c>
      <c r="B148" t="str">
        <f>VLOOKUP(A148,CODE!A:B,2,0)</f>
        <v>I100129</v>
      </c>
      <c r="C148" t="str">
        <f>VLOOKUP(A148,CODE!A:C,3,0)</f>
        <v>Khoai Tây TQ</v>
      </c>
      <c r="D148" t="str">
        <f>VLOOKUP(A148,CODE!D:E,2,0)</f>
        <v>Kg</v>
      </c>
      <c r="E148">
        <v>0</v>
      </c>
      <c r="F148">
        <v>1.5</v>
      </c>
    </row>
    <row r="149" spans="1:6">
      <c r="A149" s="4" t="s">
        <v>3122</v>
      </c>
      <c r="B149" t="str">
        <f>VLOOKUP(A149,CODE!A:B,2,0)</f>
        <v>I100216</v>
      </c>
      <c r="C149" t="str">
        <f>VLOOKUP(A149,CODE!A:C,3,0)</f>
        <v>Tắc trái</v>
      </c>
      <c r="D149" t="str">
        <f>VLOOKUP(A149,CODE!D:E,2,0)</f>
        <v>Kg</v>
      </c>
      <c r="E149">
        <v>0</v>
      </c>
      <c r="F149">
        <v>1.8</v>
      </c>
    </row>
    <row r="150" spans="1:6">
      <c r="A150" s="4" t="s">
        <v>3112</v>
      </c>
      <c r="B150" t="str">
        <f>VLOOKUP(A150,CODE!A:B,2,0)</f>
        <v>I100052</v>
      </c>
      <c r="C150" t="str">
        <f>VLOOKUP(A150,CODE!A:C,3,0)</f>
        <v>Cải thìa</v>
      </c>
      <c r="D150" t="str">
        <f>VLOOKUP(A150,CODE!D:E,2,0)</f>
        <v>Kg</v>
      </c>
      <c r="E150">
        <v>0</v>
      </c>
      <c r="F150">
        <v>2</v>
      </c>
    </row>
    <row r="151" spans="1:6">
      <c r="A151" s="8" t="s">
        <v>3117</v>
      </c>
      <c r="B151" t="str">
        <f>VLOOKUP(A151,CODE!A:B,2,0)</f>
        <v>I100114</v>
      </c>
      <c r="C151" t="str">
        <f>VLOOKUP(A151,CODE!A:C,3,0)</f>
        <v>Húng quế</v>
      </c>
      <c r="D151" t="str">
        <f>VLOOKUP(A151,CODE!D:E,2,0)</f>
        <v>Kg</v>
      </c>
      <c r="E151">
        <v>0</v>
      </c>
      <c r="F151">
        <v>2</v>
      </c>
    </row>
    <row r="152" spans="1:6">
      <c r="A152" s="4" t="s">
        <v>3130</v>
      </c>
      <c r="B152" t="str">
        <f>VLOOKUP(A152,CODE!A:B,2,0)</f>
        <v>I100209</v>
      </c>
      <c r="C152" t="str">
        <f>VLOOKUP(A152,CODE!A:C,3,0)</f>
        <v>Xà lách romain</v>
      </c>
      <c r="D152" t="str">
        <f>VLOOKUP(A152,CODE!D:E,2,0)</f>
        <v>Kg</v>
      </c>
      <c r="E152">
        <v>0</v>
      </c>
      <c r="F152">
        <v>2</v>
      </c>
    </row>
    <row r="153" spans="1:6">
      <c r="A153" s="4" t="s">
        <v>3111</v>
      </c>
      <c r="B153" t="str">
        <f>VLOOKUP(A153,CODE!A:B,2,0)</f>
        <v>I100112</v>
      </c>
      <c r="C153" t="str">
        <f>VLOOKUP(A153,CODE!A:C,3,0)</f>
        <v>Húng cây</v>
      </c>
      <c r="D153" t="str">
        <f>VLOOKUP(A153,CODE!D:E,2,0)</f>
        <v>Kg</v>
      </c>
      <c r="E153">
        <v>0</v>
      </c>
      <c r="F153">
        <v>3</v>
      </c>
    </row>
    <row r="154" spans="1:6">
      <c r="A154" s="4" t="s">
        <v>3118</v>
      </c>
      <c r="B154" t="str">
        <f>VLOOKUP(A154,CODE!A:B,2,0)</f>
        <v>I100039</v>
      </c>
      <c r="C154" t="str">
        <f>VLOOKUP(A154,CODE!A:C,3,0)</f>
        <v>Cà rốt</v>
      </c>
      <c r="D154" t="str">
        <f>VLOOKUP(A154,CODE!D:E,2,0)</f>
        <v>Kg</v>
      </c>
      <c r="E154">
        <v>0</v>
      </c>
      <c r="F154">
        <v>3</v>
      </c>
    </row>
    <row r="155" spans="1:6">
      <c r="A155" s="4" t="s">
        <v>3016</v>
      </c>
      <c r="B155" t="str">
        <f>VLOOKUP(A155,CODE!A:B,2,0)</f>
        <v>I100207</v>
      </c>
      <c r="C155" t="str">
        <f>VLOOKUP(A155,CODE!A:C,3,0)</f>
        <v>Xà lách lolo xanh</v>
      </c>
      <c r="D155" t="str">
        <f>VLOOKUP(A155,CODE!D:E,2,0)</f>
        <v>Kg</v>
      </c>
      <c r="E155">
        <v>0</v>
      </c>
      <c r="F155">
        <v>3</v>
      </c>
    </row>
    <row r="156" spans="1:6">
      <c r="A156" s="4" t="s">
        <v>6</v>
      </c>
      <c r="B156" t="str">
        <f>VLOOKUP(A156,CODE!A:B,2,0)</f>
        <v>I100186</v>
      </c>
      <c r="C156" t="str">
        <f>VLOOKUP(A156,CODE!A:C,3,0)</f>
        <v>Rau muống lá</v>
      </c>
      <c r="D156" t="str">
        <f>VLOOKUP(A156,CODE!D:E,2,0)</f>
        <v>Kg</v>
      </c>
      <c r="E156">
        <v>0</v>
      </c>
      <c r="F156">
        <v>5</v>
      </c>
    </row>
    <row r="157" spans="1:6">
      <c r="A157" s="4" t="s">
        <v>3131</v>
      </c>
      <c r="B157" t="str">
        <f>VLOOKUP(A157,CODE!A:B,2,0)</f>
        <v>I100113</v>
      </c>
      <c r="C157" t="str">
        <f>VLOOKUP(A157,CODE!A:C,3,0)</f>
        <v>Húng lũi</v>
      </c>
      <c r="D157" t="str">
        <f>VLOOKUP(A157,CODE!D:E,2,0)</f>
        <v>Kg</v>
      </c>
      <c r="E157">
        <v>0</v>
      </c>
      <c r="F157">
        <v>6</v>
      </c>
    </row>
    <row r="158" spans="1:6">
      <c r="A158" s="4" t="s">
        <v>3128</v>
      </c>
      <c r="B158" t="str">
        <f>VLOOKUP(A158,CODE!A:B,2,0)</f>
        <v>I100006</v>
      </c>
      <c r="C158" t="str">
        <f>VLOOKUP(A158,CODE!A:C,3,0)</f>
        <v>Bắp mỹ hạt</v>
      </c>
      <c r="D158" t="str">
        <f>VLOOKUP(A158,CODE!D:E,2,0)</f>
        <v>Kg</v>
      </c>
      <c r="E158">
        <v>0</v>
      </c>
      <c r="F158">
        <v>7.5</v>
      </c>
    </row>
    <row r="159" spans="1:6">
      <c r="A159" s="4" t="s">
        <v>3114</v>
      </c>
      <c r="B159" t="str">
        <f>VLOOKUP(A159,CODE!A:B,2,0)</f>
        <v>I100051</v>
      </c>
      <c r="C159" t="str">
        <f>VLOOKUP(A159,CODE!A:C,3,0)</f>
        <v>Cải thảo</v>
      </c>
      <c r="D159" t="str">
        <f>VLOOKUP(A159,CODE!D:E,2,0)</f>
        <v>Kg</v>
      </c>
      <c r="E159">
        <v>0</v>
      </c>
      <c r="F159">
        <v>10</v>
      </c>
    </row>
    <row r="160" spans="1:6">
      <c r="A160" t="s">
        <v>1569</v>
      </c>
      <c r="B160" t="s">
        <v>1570</v>
      </c>
      <c r="C160" t="s">
        <v>1571</v>
      </c>
      <c r="D160" t="s">
        <v>25</v>
      </c>
      <c r="E160">
        <v>43</v>
      </c>
      <c r="F160">
        <v>0</v>
      </c>
    </row>
  </sheetData>
  <autoFilter ref="A1:F159" xr:uid="{00000000-0009-0000-0000-000000000000}">
    <sortState ref="A2:F159">
      <sortCondition ref="E1:E159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59">
    <cfRule type="duplicateValues" dxfId="1" priority="313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2026-05-14T10:30:22Z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