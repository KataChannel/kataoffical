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ẢO TRÂN\ĐỐI CHIẾU CÔNG NỢ\NĂM 2026\THÁNG 1\T1.26\TRẦN GIA\Tháng 01 ĐỢT 1 1--15\"/>
    </mc:Choice>
  </mc:AlternateContent>
  <xr:revisionPtr revIDLastSave="0" documentId="13_ncr:1_{74B89621-A26C-4A68-B375-6BDA996888C2}" xr6:coauthVersionLast="47" xr6:coauthVersionMax="47" xr10:uidLastSave="{00000000-0000-0000-0000-000000000000}"/>
  <bookViews>
    <workbookView xWindow="14385" yWindow="540" windowWidth="14400" windowHeight="15285" firstSheet="1" activeTab="1" xr2:uid="{00000000-000D-0000-FFFF-FFFF00000000}"/>
  </bookViews>
  <sheets>
    <sheet name="LW 1" sheetId="2" state="hidden" r:id="rId1"/>
    <sheet name="GMT" sheetId="3" r:id="rId2"/>
    <sheet name="Sheet2" sheetId="5" state="hidden" r:id="rId3"/>
    <sheet name="mã" sheetId="4" state="hidden" r:id="rId4"/>
  </sheets>
  <externalReferences>
    <externalReference r:id="rId5"/>
  </externalReferences>
  <definedNames>
    <definedName name="_xlnm._FilterDatabase" localSheetId="1" hidden="1">GMT!$A$14:$V$387</definedName>
    <definedName name="_xlnm._FilterDatabase" localSheetId="0" hidden="1">'LW 1'!$A$14:$M$222</definedName>
    <definedName name="_xlnm._FilterDatabase" localSheetId="2" hidden="1">Sheet2!$A$1:$X$1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2" i="3" l="1"/>
  <c r="N30" i="3"/>
  <c r="N47" i="3"/>
  <c r="V47" i="3" s="1"/>
  <c r="N83" i="3"/>
  <c r="V83" i="3" s="1"/>
  <c r="N112" i="3"/>
  <c r="N114" i="3"/>
  <c r="V114" i="3" s="1"/>
  <c r="N186" i="3"/>
  <c r="N210" i="3"/>
  <c r="V210" i="3" s="1"/>
  <c r="N231" i="3"/>
  <c r="V231" i="3" s="1"/>
  <c r="N261" i="3"/>
  <c r="N264" i="3"/>
  <c r="V264" i="3" s="1"/>
  <c r="N360" i="3"/>
  <c r="V360" i="3" s="1"/>
  <c r="N384" i="3"/>
  <c r="V384" i="3" s="1"/>
  <c r="L387" i="3"/>
  <c r="T387" i="3" s="1"/>
  <c r="L386" i="3"/>
  <c r="T386" i="3" s="1"/>
  <c r="L385" i="3"/>
  <c r="T385" i="3" s="1"/>
  <c r="L383" i="3"/>
  <c r="N383" i="3" s="1"/>
  <c r="L382" i="3"/>
  <c r="N382" i="3" s="1"/>
  <c r="L381" i="3"/>
  <c r="N381" i="3" s="1"/>
  <c r="L380" i="3"/>
  <c r="N380" i="3" s="1"/>
  <c r="L379" i="3"/>
  <c r="N379" i="3" s="1"/>
  <c r="L378" i="3"/>
  <c r="T378" i="3" s="1"/>
  <c r="L377" i="3"/>
  <c r="N377" i="3" s="1"/>
  <c r="L376" i="3"/>
  <c r="T376" i="3" s="1"/>
  <c r="L375" i="3"/>
  <c r="T375" i="3" s="1"/>
  <c r="L374" i="3"/>
  <c r="T374" i="3" s="1"/>
  <c r="L373" i="3"/>
  <c r="T373" i="3" s="1"/>
  <c r="L372" i="3"/>
  <c r="N372" i="3" s="1"/>
  <c r="L371" i="3"/>
  <c r="N371" i="3" s="1"/>
  <c r="L370" i="3"/>
  <c r="L369" i="3"/>
  <c r="N369" i="3" s="1"/>
  <c r="L368" i="3"/>
  <c r="N368" i="3" s="1"/>
  <c r="L367" i="3"/>
  <c r="N367" i="3" s="1"/>
  <c r="L366" i="3"/>
  <c r="T366" i="3" s="1"/>
  <c r="L365" i="3"/>
  <c r="T365" i="3" s="1"/>
  <c r="L364" i="3"/>
  <c r="T364" i="3" s="1"/>
  <c r="L363" i="3"/>
  <c r="T363" i="3" s="1"/>
  <c r="L362" i="3"/>
  <c r="T362" i="3" s="1"/>
  <c r="L361" i="3"/>
  <c r="T361" i="3" s="1"/>
  <c r="L359" i="3"/>
  <c r="L358" i="3"/>
  <c r="L357" i="3"/>
  <c r="L356" i="3"/>
  <c r="N356" i="3" s="1"/>
  <c r="L355" i="3"/>
  <c r="N355" i="3" s="1"/>
  <c r="L354" i="3"/>
  <c r="T354" i="3" s="1"/>
  <c r="L353" i="3"/>
  <c r="T353" i="3" s="1"/>
  <c r="L352" i="3"/>
  <c r="T352" i="3" s="1"/>
  <c r="L351" i="3"/>
  <c r="T351" i="3" s="1"/>
  <c r="L350" i="3"/>
  <c r="T350" i="3" s="1"/>
  <c r="L349" i="3"/>
  <c r="T349" i="3" s="1"/>
  <c r="L348" i="3"/>
  <c r="N348" i="3" s="1"/>
  <c r="L347" i="3"/>
  <c r="L346" i="3"/>
  <c r="L345" i="3"/>
  <c r="N345" i="3" s="1"/>
  <c r="L344" i="3"/>
  <c r="N344" i="3" s="1"/>
  <c r="L343" i="3"/>
  <c r="N343" i="3" s="1"/>
  <c r="L342" i="3"/>
  <c r="T342" i="3" s="1"/>
  <c r="L341" i="3"/>
  <c r="T341" i="3" s="1"/>
  <c r="L340" i="3"/>
  <c r="T340" i="3" s="1"/>
  <c r="L339" i="3"/>
  <c r="T339" i="3" s="1"/>
  <c r="L338" i="3"/>
  <c r="T338" i="3" s="1"/>
  <c r="L337" i="3"/>
  <c r="T337" i="3" s="1"/>
  <c r="L336" i="3"/>
  <c r="L335" i="3"/>
  <c r="N335" i="3" s="1"/>
  <c r="L334" i="3"/>
  <c r="L333" i="3"/>
  <c r="N333" i="3" s="1"/>
  <c r="L332" i="3"/>
  <c r="N332" i="3" s="1"/>
  <c r="L331" i="3"/>
  <c r="N331" i="3" s="1"/>
  <c r="L330" i="3"/>
  <c r="T330" i="3" s="1"/>
  <c r="L329" i="3"/>
  <c r="T329" i="3" s="1"/>
  <c r="L328" i="3"/>
  <c r="L327" i="3"/>
  <c r="T327" i="3" s="1"/>
  <c r="L326" i="3"/>
  <c r="T326" i="3" s="1"/>
  <c r="L325" i="3"/>
  <c r="T325" i="3" s="1"/>
  <c r="L324" i="3"/>
  <c r="L323" i="3"/>
  <c r="T323" i="3" s="1"/>
  <c r="L322" i="3"/>
  <c r="L321" i="3"/>
  <c r="L320" i="3"/>
  <c r="N320" i="3" s="1"/>
  <c r="L319" i="3"/>
  <c r="N319" i="3" s="1"/>
  <c r="L318" i="3"/>
  <c r="T318" i="3" s="1"/>
  <c r="L317" i="3"/>
  <c r="T317" i="3" s="1"/>
  <c r="L316" i="3"/>
  <c r="N316" i="3" s="1"/>
  <c r="L315" i="3"/>
  <c r="T315" i="3" s="1"/>
  <c r="L314" i="3"/>
  <c r="T314" i="3" s="1"/>
  <c r="L313" i="3"/>
  <c r="T313" i="3" s="1"/>
  <c r="L312" i="3"/>
  <c r="T312" i="3" s="1"/>
  <c r="L311" i="3"/>
  <c r="L310" i="3"/>
  <c r="L309" i="3"/>
  <c r="T309" i="3" s="1"/>
  <c r="L308" i="3"/>
  <c r="N308" i="3" s="1"/>
  <c r="L307" i="3"/>
  <c r="N307" i="3" s="1"/>
  <c r="L306" i="3"/>
  <c r="T306" i="3" s="1"/>
  <c r="L305" i="3"/>
  <c r="T305" i="3" s="1"/>
  <c r="L304" i="3"/>
  <c r="T304" i="3" s="1"/>
  <c r="L303" i="3"/>
  <c r="T303" i="3" s="1"/>
  <c r="L302" i="3"/>
  <c r="T302" i="3" s="1"/>
  <c r="L301" i="3"/>
  <c r="T301" i="3" s="1"/>
  <c r="L300" i="3"/>
  <c r="T300" i="3" s="1"/>
  <c r="L299" i="3"/>
  <c r="N299" i="3" s="1"/>
  <c r="L298" i="3"/>
  <c r="T298" i="3" s="1"/>
  <c r="L297" i="3"/>
  <c r="T297" i="3" s="1"/>
  <c r="L296" i="3"/>
  <c r="N296" i="3" s="1"/>
  <c r="L295" i="3"/>
  <c r="T295" i="3" s="1"/>
  <c r="L294" i="3"/>
  <c r="T294" i="3" s="1"/>
  <c r="L293" i="3"/>
  <c r="N293" i="3" s="1"/>
  <c r="L292" i="3"/>
  <c r="T292" i="3" s="1"/>
  <c r="L291" i="3"/>
  <c r="T291" i="3" s="1"/>
  <c r="L290" i="3"/>
  <c r="N290" i="3" s="1"/>
  <c r="L289" i="3"/>
  <c r="N289" i="3" s="1"/>
  <c r="L288" i="3"/>
  <c r="L287" i="3"/>
  <c r="T287" i="3" s="1"/>
  <c r="L286" i="3"/>
  <c r="L285" i="3"/>
  <c r="T285" i="3" s="1"/>
  <c r="L284" i="3"/>
  <c r="N284" i="3" s="1"/>
  <c r="L283" i="3"/>
  <c r="N283" i="3" s="1"/>
  <c r="L282" i="3"/>
  <c r="L281" i="3"/>
  <c r="N281" i="3" s="1"/>
  <c r="L280" i="3"/>
  <c r="L279" i="3"/>
  <c r="N279" i="3" s="1"/>
  <c r="L278" i="3"/>
  <c r="T278" i="3" s="1"/>
  <c r="L277" i="3"/>
  <c r="T277" i="3" s="1"/>
  <c r="L276" i="3"/>
  <c r="T276" i="3" s="1"/>
  <c r="L275" i="3"/>
  <c r="L274" i="3"/>
  <c r="T274" i="3" s="1"/>
  <c r="L273" i="3"/>
  <c r="T273" i="3" s="1"/>
  <c r="L272" i="3"/>
  <c r="T272" i="3" s="1"/>
  <c r="L271" i="3"/>
  <c r="N271" i="3" s="1"/>
  <c r="L270" i="3"/>
  <c r="L269" i="3"/>
  <c r="N269" i="3" s="1"/>
  <c r="L268" i="3"/>
  <c r="T268" i="3" s="1"/>
  <c r="L267" i="3"/>
  <c r="N267" i="3" s="1"/>
  <c r="L266" i="3"/>
  <c r="T266" i="3" s="1"/>
  <c r="L265" i="3"/>
  <c r="T265" i="3" s="1"/>
  <c r="T264" i="3"/>
  <c r="L263" i="3"/>
  <c r="L262" i="3"/>
  <c r="T262" i="3" s="1"/>
  <c r="T261" i="3"/>
  <c r="L260" i="3"/>
  <c r="T260" i="3" s="1"/>
  <c r="L259" i="3"/>
  <c r="T259" i="3" s="1"/>
  <c r="L258" i="3"/>
  <c r="L257" i="3"/>
  <c r="N257" i="3" s="1"/>
  <c r="L256" i="3"/>
  <c r="T256" i="3" s="1"/>
  <c r="L255" i="3"/>
  <c r="N255" i="3" s="1"/>
  <c r="L254" i="3"/>
  <c r="N254" i="3" s="1"/>
  <c r="L253" i="3"/>
  <c r="N253" i="3" s="1"/>
  <c r="L252" i="3"/>
  <c r="T252" i="3" s="1"/>
  <c r="L251" i="3"/>
  <c r="L250" i="3"/>
  <c r="T250" i="3" s="1"/>
  <c r="L249" i="3"/>
  <c r="N249" i="3" s="1"/>
  <c r="L248" i="3"/>
  <c r="N248" i="3" s="1"/>
  <c r="L247" i="3"/>
  <c r="N247" i="3" s="1"/>
  <c r="L246" i="3"/>
  <c r="L245" i="3"/>
  <c r="T245" i="3" s="1"/>
  <c r="L244" i="3"/>
  <c r="T244" i="3" s="1"/>
  <c r="L243" i="3"/>
  <c r="T243" i="3" s="1"/>
  <c r="L242" i="3"/>
  <c r="T242" i="3" s="1"/>
  <c r="L241" i="3"/>
  <c r="N241" i="3" s="1"/>
  <c r="L240" i="3"/>
  <c r="T240" i="3" s="1"/>
  <c r="L239" i="3"/>
  <c r="L238" i="3"/>
  <c r="T238" i="3" s="1"/>
  <c r="L237" i="3"/>
  <c r="T237" i="3" s="1"/>
  <c r="L236" i="3"/>
  <c r="T236" i="3" s="1"/>
  <c r="L235" i="3"/>
  <c r="N235" i="3" s="1"/>
  <c r="L234" i="3"/>
  <c r="T234" i="3" s="1"/>
  <c r="L233" i="3"/>
  <c r="T233" i="3" s="1"/>
  <c r="L232" i="3"/>
  <c r="T232" i="3" s="1"/>
  <c r="T231" i="3"/>
  <c r="L230" i="3"/>
  <c r="T230" i="3" s="1"/>
  <c r="L229" i="3"/>
  <c r="N229" i="3" s="1"/>
  <c r="L228" i="3"/>
  <c r="T228" i="3" s="1"/>
  <c r="L227" i="3"/>
  <c r="L226" i="3"/>
  <c r="L225" i="3"/>
  <c r="N225" i="3" s="1"/>
  <c r="L224" i="3"/>
  <c r="N224" i="3" s="1"/>
  <c r="L223" i="3"/>
  <c r="N223" i="3" s="1"/>
  <c r="L222" i="3"/>
  <c r="T222" i="3" s="1"/>
  <c r="L221" i="3"/>
  <c r="T221" i="3" s="1"/>
  <c r="L220" i="3"/>
  <c r="N220" i="3" s="1"/>
  <c r="L219" i="3"/>
  <c r="T219" i="3" s="1"/>
  <c r="L218" i="3"/>
  <c r="N218" i="3" s="1"/>
  <c r="L217" i="3"/>
  <c r="N217" i="3" s="1"/>
  <c r="L216" i="3"/>
  <c r="T216" i="3" s="1"/>
  <c r="L215" i="3"/>
  <c r="T215" i="3" s="1"/>
  <c r="L214" i="3"/>
  <c r="N214" i="3" s="1"/>
  <c r="L213" i="3"/>
  <c r="T213" i="3" s="1"/>
  <c r="L212" i="3"/>
  <c r="T212" i="3" s="1"/>
  <c r="L211" i="3"/>
  <c r="N211" i="3" s="1"/>
  <c r="T210" i="3"/>
  <c r="L209" i="3"/>
  <c r="T209" i="3" s="1"/>
  <c r="L208" i="3"/>
  <c r="T208" i="3" s="1"/>
  <c r="L207" i="3"/>
  <c r="N207" i="3" s="1"/>
  <c r="V207" i="3" s="1"/>
  <c r="L206" i="3"/>
  <c r="N206" i="3" s="1"/>
  <c r="L205" i="3"/>
  <c r="N205" i="3" s="1"/>
  <c r="L204" i="3"/>
  <c r="L203" i="3"/>
  <c r="N203" i="3" s="1"/>
  <c r="L202" i="3"/>
  <c r="N202" i="3" s="1"/>
  <c r="L201" i="3"/>
  <c r="T201" i="3" s="1"/>
  <c r="L200" i="3"/>
  <c r="T200" i="3" s="1"/>
  <c r="L199" i="3"/>
  <c r="T199" i="3" s="1"/>
  <c r="L198" i="3"/>
  <c r="L197" i="3"/>
  <c r="T197" i="3" s="1"/>
  <c r="L196" i="3"/>
  <c r="L195" i="3"/>
  <c r="N195" i="3" s="1"/>
  <c r="L194" i="3"/>
  <c r="N194" i="3" s="1"/>
  <c r="L193" i="3"/>
  <c r="N193" i="3" s="1"/>
  <c r="L192" i="3"/>
  <c r="T192" i="3" s="1"/>
  <c r="L191" i="3"/>
  <c r="T191" i="3" s="1"/>
  <c r="L190" i="3"/>
  <c r="N190" i="3" s="1"/>
  <c r="L189" i="3"/>
  <c r="T189" i="3" s="1"/>
  <c r="L188" i="3"/>
  <c r="N188" i="3" s="1"/>
  <c r="L187" i="3"/>
  <c r="T187" i="3" s="1"/>
  <c r="T186" i="3"/>
  <c r="L185" i="3"/>
  <c r="T185" i="3" s="1"/>
  <c r="L184" i="3"/>
  <c r="T184" i="3" s="1"/>
  <c r="L183" i="3"/>
  <c r="N183" i="3" s="1"/>
  <c r="L182" i="3"/>
  <c r="N182" i="3" s="1"/>
  <c r="L181" i="3"/>
  <c r="N181" i="3" s="1"/>
  <c r="L180" i="3"/>
  <c r="T180" i="3" s="1"/>
  <c r="L179" i="3"/>
  <c r="L178" i="3"/>
  <c r="T178" i="3" s="1"/>
  <c r="L177" i="3"/>
  <c r="T177" i="3" s="1"/>
  <c r="L176" i="3"/>
  <c r="N176" i="3" s="1"/>
  <c r="L175" i="3"/>
  <c r="N175" i="3" s="1"/>
  <c r="L174" i="3"/>
  <c r="T174" i="3" s="1"/>
  <c r="L173" i="3"/>
  <c r="T173" i="3" s="1"/>
  <c r="L172" i="3"/>
  <c r="T172" i="3" s="1"/>
  <c r="L171" i="3"/>
  <c r="T171" i="3" s="1"/>
  <c r="L170" i="3"/>
  <c r="N170" i="3" s="1"/>
  <c r="L169" i="3"/>
  <c r="N169" i="3" s="1"/>
  <c r="L168" i="3"/>
  <c r="L167" i="3"/>
  <c r="L166" i="3"/>
  <c r="T166" i="3" s="1"/>
  <c r="L165" i="3"/>
  <c r="N165" i="3" s="1"/>
  <c r="L164" i="3"/>
  <c r="T164" i="3" s="1"/>
  <c r="L163" i="3"/>
  <c r="T163" i="3" s="1"/>
  <c r="L162" i="3"/>
  <c r="L161" i="3"/>
  <c r="T161" i="3" s="1"/>
  <c r="L160" i="3"/>
  <c r="T160" i="3" s="1"/>
  <c r="L159" i="3"/>
  <c r="N159" i="3" s="1"/>
  <c r="L158" i="3"/>
  <c r="N158" i="3" s="1"/>
  <c r="L157" i="3"/>
  <c r="N157" i="3" s="1"/>
  <c r="L156" i="3"/>
  <c r="L155" i="3"/>
  <c r="N155" i="3" s="1"/>
  <c r="L154" i="3"/>
  <c r="T154" i="3" s="1"/>
  <c r="L153" i="3"/>
  <c r="N153" i="3" s="1"/>
  <c r="L152" i="3"/>
  <c r="T152" i="3" s="1"/>
  <c r="L151" i="3"/>
  <c r="T151" i="3" s="1"/>
  <c r="L150" i="3"/>
  <c r="N150" i="3" s="1"/>
  <c r="L149" i="3"/>
  <c r="N149" i="3" s="1"/>
  <c r="L148" i="3"/>
  <c r="T148" i="3" s="1"/>
  <c r="L147" i="3"/>
  <c r="N147" i="3" s="1"/>
  <c r="L146" i="3"/>
  <c r="T146" i="3" s="1"/>
  <c r="L145" i="3"/>
  <c r="N145" i="3" s="1"/>
  <c r="L144" i="3"/>
  <c r="N144" i="3" s="1"/>
  <c r="L143" i="3"/>
  <c r="T143" i="3" s="1"/>
  <c r="L142" i="3"/>
  <c r="T142" i="3" s="1"/>
  <c r="L141" i="3"/>
  <c r="T141" i="3" s="1"/>
  <c r="L140" i="3"/>
  <c r="T140" i="3" s="1"/>
  <c r="L139" i="3"/>
  <c r="T139" i="3" s="1"/>
  <c r="L138" i="3"/>
  <c r="N138" i="3" s="1"/>
  <c r="L137" i="3"/>
  <c r="T137" i="3" s="1"/>
  <c r="L136" i="3"/>
  <c r="T136" i="3" s="1"/>
  <c r="L135" i="3"/>
  <c r="N135" i="3" s="1"/>
  <c r="L134" i="3"/>
  <c r="N134" i="3" s="1"/>
  <c r="L133" i="3"/>
  <c r="N133" i="3" s="1"/>
  <c r="L132" i="3"/>
  <c r="T132" i="3" s="1"/>
  <c r="L131" i="3"/>
  <c r="L130" i="3"/>
  <c r="N130" i="3" s="1"/>
  <c r="L129" i="3"/>
  <c r="T129" i="3" s="1"/>
  <c r="L128" i="3"/>
  <c r="N128" i="3" s="1"/>
  <c r="L127" i="3"/>
  <c r="T127" i="3" s="1"/>
  <c r="L126" i="3"/>
  <c r="T126" i="3" s="1"/>
  <c r="L125" i="3"/>
  <c r="T125" i="3" s="1"/>
  <c r="L124" i="3"/>
  <c r="L123" i="3"/>
  <c r="N123" i="3" s="1"/>
  <c r="V123" i="3" s="1"/>
  <c r="L122" i="3"/>
  <c r="T122" i="3" s="1"/>
  <c r="L121" i="3"/>
  <c r="T121" i="3" s="1"/>
  <c r="L120" i="3"/>
  <c r="N120" i="3" s="1"/>
  <c r="L119" i="3"/>
  <c r="L118" i="3"/>
  <c r="T118" i="3" s="1"/>
  <c r="L117" i="3"/>
  <c r="N117" i="3" s="1"/>
  <c r="L116" i="3"/>
  <c r="N116" i="3" s="1"/>
  <c r="L115" i="3"/>
  <c r="N115" i="3" s="1"/>
  <c r="T114" i="3"/>
  <c r="L113" i="3"/>
  <c r="T113" i="3" s="1"/>
  <c r="V112" i="3"/>
  <c r="L111" i="3"/>
  <c r="N111" i="3" s="1"/>
  <c r="L110" i="3"/>
  <c r="N110" i="3" s="1"/>
  <c r="L109" i="3"/>
  <c r="T109" i="3" s="1"/>
  <c r="L108" i="3"/>
  <c r="T108" i="3" s="1"/>
  <c r="L107" i="3"/>
  <c r="T107" i="3" s="1"/>
  <c r="L106" i="3"/>
  <c r="T106" i="3" s="1"/>
  <c r="L105" i="3"/>
  <c r="T105" i="3" s="1"/>
  <c r="L104" i="3"/>
  <c r="T104" i="3" s="1"/>
  <c r="L103" i="3"/>
  <c r="T103" i="3" s="1"/>
  <c r="L102" i="3"/>
  <c r="N102" i="3" s="1"/>
  <c r="L101" i="3"/>
  <c r="N101" i="3" s="1"/>
  <c r="L100" i="3"/>
  <c r="L99" i="3"/>
  <c r="N99" i="3" s="1"/>
  <c r="L98" i="3"/>
  <c r="T98" i="3" s="1"/>
  <c r="L97" i="3"/>
  <c r="T97" i="3" s="1"/>
  <c r="L96" i="3"/>
  <c r="N96" i="3" s="1"/>
  <c r="L95" i="3"/>
  <c r="T95" i="3" s="1"/>
  <c r="L94" i="3"/>
  <c r="T94" i="3" s="1"/>
  <c r="L93" i="3"/>
  <c r="T93" i="3" s="1"/>
  <c r="L92" i="3"/>
  <c r="N92" i="3" s="1"/>
  <c r="L91" i="3"/>
  <c r="T91" i="3" s="1"/>
  <c r="L90" i="3"/>
  <c r="N90" i="3" s="1"/>
  <c r="L89" i="3"/>
  <c r="N89" i="3" s="1"/>
  <c r="L88" i="3"/>
  <c r="N88" i="3" s="1"/>
  <c r="L87" i="3"/>
  <c r="T87" i="3" s="1"/>
  <c r="L86" i="3"/>
  <c r="T86" i="3" s="1"/>
  <c r="L85" i="3"/>
  <c r="T85" i="3" s="1"/>
  <c r="L84" i="3"/>
  <c r="T84" i="3" s="1"/>
  <c r="L82" i="3"/>
  <c r="N82" i="3" s="1"/>
  <c r="L81" i="3"/>
  <c r="T81" i="3" s="1"/>
  <c r="L80" i="3"/>
  <c r="N80" i="3" s="1"/>
  <c r="L79" i="3"/>
  <c r="N79" i="3" s="1"/>
  <c r="L78" i="3"/>
  <c r="T78" i="3" s="1"/>
  <c r="L77" i="3"/>
  <c r="T77" i="3" s="1"/>
  <c r="L76" i="3"/>
  <c r="N76" i="3" s="1"/>
  <c r="L75" i="3"/>
  <c r="N75" i="3" s="1"/>
  <c r="L74" i="3"/>
  <c r="N74" i="3" s="1"/>
  <c r="L73" i="3"/>
  <c r="T73" i="3" s="1"/>
  <c r="L72" i="3"/>
  <c r="T72" i="3" s="1"/>
  <c r="L71" i="3"/>
  <c r="T71" i="3" s="1"/>
  <c r="L70" i="3"/>
  <c r="T70" i="3" s="1"/>
  <c r="L69" i="3"/>
  <c r="N69" i="3" s="1"/>
  <c r="L68" i="3"/>
  <c r="N68" i="3" s="1"/>
  <c r="L67" i="3"/>
  <c r="T67" i="3" s="1"/>
  <c r="L66" i="3"/>
  <c r="T66" i="3" s="1"/>
  <c r="L65" i="3"/>
  <c r="L64" i="3"/>
  <c r="N64" i="3" s="1"/>
  <c r="L63" i="3"/>
  <c r="T63" i="3" s="1"/>
  <c r="L62" i="3"/>
  <c r="T62" i="3" s="1"/>
  <c r="L61" i="3"/>
  <c r="T61" i="3" s="1"/>
  <c r="L60" i="3"/>
  <c r="T60" i="3" s="1"/>
  <c r="L59" i="3"/>
  <c r="T59" i="3" s="1"/>
  <c r="L58" i="3"/>
  <c r="N58" i="3" s="1"/>
  <c r="L57" i="3"/>
  <c r="T57" i="3" s="1"/>
  <c r="L56" i="3"/>
  <c r="N56" i="3" s="1"/>
  <c r="L55" i="3"/>
  <c r="N55" i="3" s="1"/>
  <c r="L54" i="3"/>
  <c r="T54" i="3" s="1"/>
  <c r="L53" i="3"/>
  <c r="T53" i="3" s="1"/>
  <c r="L52" i="3"/>
  <c r="T52" i="3" s="1"/>
  <c r="L51" i="3"/>
  <c r="T51" i="3" s="1"/>
  <c r="L50" i="3"/>
  <c r="N50" i="3" s="1"/>
  <c r="L49" i="3"/>
  <c r="N49" i="3" s="1"/>
  <c r="L48" i="3"/>
  <c r="T48" i="3" s="1"/>
  <c r="T47" i="3"/>
  <c r="L46" i="3"/>
  <c r="N46" i="3" s="1"/>
  <c r="L45" i="3"/>
  <c r="T45" i="3" s="1"/>
  <c r="L44" i="3"/>
  <c r="T44" i="3" s="1"/>
  <c r="L43" i="3"/>
  <c r="T43" i="3" s="1"/>
  <c r="L42" i="3"/>
  <c r="T42" i="3" s="1"/>
  <c r="L41" i="3"/>
  <c r="N41" i="3" s="1"/>
  <c r="L40" i="3"/>
  <c r="T40" i="3" s="1"/>
  <c r="L39" i="3"/>
  <c r="N39" i="3" s="1"/>
  <c r="L38" i="3"/>
  <c r="N38" i="3" s="1"/>
  <c r="L37" i="3"/>
  <c r="N37" i="3" s="1"/>
  <c r="L36" i="3"/>
  <c r="L35" i="3"/>
  <c r="L34" i="3"/>
  <c r="T34" i="3" s="1"/>
  <c r="L33" i="3"/>
  <c r="T33" i="3" s="1"/>
  <c r="L32" i="3"/>
  <c r="T32" i="3" s="1"/>
  <c r="L31" i="3"/>
  <c r="N31" i="3" s="1"/>
  <c r="L29" i="3"/>
  <c r="T29" i="3" s="1"/>
  <c r="L28" i="3"/>
  <c r="N28" i="3" s="1"/>
  <c r="L27" i="3"/>
  <c r="N27" i="3" s="1"/>
  <c r="L26" i="3"/>
  <c r="N26" i="3" s="1"/>
  <c r="T25" i="3"/>
  <c r="L24" i="3"/>
  <c r="N24" i="3" s="1"/>
  <c r="L23" i="3"/>
  <c r="L21" i="3"/>
  <c r="L20" i="3"/>
  <c r="T20" i="3" s="1"/>
  <c r="L19" i="3"/>
  <c r="N19" i="3" s="1"/>
  <c r="L18" i="3"/>
  <c r="T18" i="3" s="1"/>
  <c r="L17" i="3"/>
  <c r="T17" i="3" s="1"/>
  <c r="L16" i="3"/>
  <c r="T16" i="3" s="1"/>
  <c r="L15" i="3"/>
  <c r="T15" i="3" s="1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220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" i="5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2" i="5"/>
  <c r="M250" i="3" l="1"/>
  <c r="M95" i="3"/>
  <c r="M93" i="3"/>
  <c r="M94" i="3"/>
  <c r="R97" i="3"/>
  <c r="R98" i="3"/>
  <c r="M98" i="3"/>
  <c r="N366" i="3"/>
  <c r="N1" i="5"/>
  <c r="M54" i="3"/>
  <c r="U54" i="3" s="1"/>
  <c r="Q54" i="3" s="1"/>
  <c r="R43" i="3"/>
  <c r="R140" i="3"/>
  <c r="R260" i="3"/>
  <c r="R294" i="3"/>
  <c r="R189" i="3"/>
  <c r="R330" i="3"/>
  <c r="M66" i="3"/>
  <c r="U66" i="3" s="1"/>
  <c r="Q66" i="3" s="1"/>
  <c r="R33" i="3"/>
  <c r="R57" i="3"/>
  <c r="R34" i="3"/>
  <c r="R70" i="3"/>
  <c r="M228" i="3"/>
  <c r="U228" i="3" s="1"/>
  <c r="Q228" i="3" s="1"/>
  <c r="M318" i="3"/>
  <c r="U318" i="3" s="1"/>
  <c r="Q318" i="3" s="1"/>
  <c r="M78" i="3"/>
  <c r="U78" i="3" s="1"/>
  <c r="Q78" i="3" s="1"/>
  <c r="M313" i="3"/>
  <c r="U313" i="3" s="1"/>
  <c r="Q313" i="3" s="1"/>
  <c r="M325" i="3"/>
  <c r="U325" i="3" s="1"/>
  <c r="Q325" i="3" s="1"/>
  <c r="R73" i="3"/>
  <c r="M314" i="3"/>
  <c r="U314" i="3" s="1"/>
  <c r="Q314" i="3" s="1"/>
  <c r="R199" i="3"/>
  <c r="M62" i="3"/>
  <c r="U62" i="3" s="1"/>
  <c r="Q62" i="3" s="1"/>
  <c r="R232" i="3"/>
  <c r="M114" i="3"/>
  <c r="U114" i="3" s="1"/>
  <c r="Q114" i="3" s="1"/>
  <c r="M52" i="3"/>
  <c r="R185" i="3"/>
  <c r="R221" i="3"/>
  <c r="R233" i="3"/>
  <c r="N327" i="3"/>
  <c r="V327" i="3" s="1"/>
  <c r="N387" i="3"/>
  <c r="N315" i="3"/>
  <c r="V315" i="3" s="1"/>
  <c r="N303" i="3"/>
  <c r="V303" i="3" s="1"/>
  <c r="N87" i="3"/>
  <c r="N291" i="3"/>
  <c r="N378" i="3"/>
  <c r="N375" i="3"/>
  <c r="N171" i="3"/>
  <c r="N63" i="3"/>
  <c r="N51" i="3"/>
  <c r="V51" i="3" s="1"/>
  <c r="N363" i="3"/>
  <c r="V363" i="3" s="1"/>
  <c r="N243" i="3"/>
  <c r="V243" i="3" s="1"/>
  <c r="N351" i="3"/>
  <c r="V351" i="3" s="1"/>
  <c r="N339" i="3"/>
  <c r="V339" i="3" s="1"/>
  <c r="N219" i="3"/>
  <c r="V219" i="3" s="1"/>
  <c r="V371" i="3"/>
  <c r="V383" i="3"/>
  <c r="N386" i="3"/>
  <c r="N374" i="3"/>
  <c r="N362" i="3"/>
  <c r="N350" i="3"/>
  <c r="V350" i="3" s="1"/>
  <c r="N338" i="3"/>
  <c r="V338" i="3" s="1"/>
  <c r="N326" i="3"/>
  <c r="V326" i="3" s="1"/>
  <c r="N314" i="3"/>
  <c r="V314" i="3" s="1"/>
  <c r="N302" i="3"/>
  <c r="V302" i="3" s="1"/>
  <c r="N278" i="3"/>
  <c r="V278" i="3" s="1"/>
  <c r="N266" i="3"/>
  <c r="V266" i="3" s="1"/>
  <c r="N242" i="3"/>
  <c r="N230" i="3"/>
  <c r="N146" i="3"/>
  <c r="N122" i="3"/>
  <c r="N98" i="3"/>
  <c r="N86" i="3"/>
  <c r="V86" i="3" s="1"/>
  <c r="N62" i="3"/>
  <c r="V62" i="3" s="1"/>
  <c r="N385" i="3"/>
  <c r="V385" i="3" s="1"/>
  <c r="N373" i="3"/>
  <c r="V373" i="3" s="1"/>
  <c r="N361" i="3"/>
  <c r="V361" i="3" s="1"/>
  <c r="N349" i="3"/>
  <c r="V349" i="3" s="1"/>
  <c r="N337" i="3"/>
  <c r="V337" i="3" s="1"/>
  <c r="N325" i="3"/>
  <c r="N313" i="3"/>
  <c r="N301" i="3"/>
  <c r="N277" i="3"/>
  <c r="V277" i="3" s="1"/>
  <c r="N265" i="3"/>
  <c r="N121" i="3"/>
  <c r="N109" i="3"/>
  <c r="V109" i="3" s="1"/>
  <c r="N97" i="3"/>
  <c r="V97" i="3" s="1"/>
  <c r="N85" i="3"/>
  <c r="V85" i="3" s="1"/>
  <c r="N73" i="3"/>
  <c r="N61" i="3"/>
  <c r="V61" i="3" s="1"/>
  <c r="N25" i="3"/>
  <c r="V25" i="3" s="1"/>
  <c r="V145" i="3"/>
  <c r="V157" i="3"/>
  <c r="V169" i="3"/>
  <c r="V181" i="3"/>
  <c r="V193" i="3"/>
  <c r="V205" i="3"/>
  <c r="V217" i="3"/>
  <c r="V229" i="3"/>
  <c r="V241" i="3"/>
  <c r="N336" i="3"/>
  <c r="V336" i="3" s="1"/>
  <c r="N324" i="3"/>
  <c r="V324" i="3" s="1"/>
  <c r="N312" i="3"/>
  <c r="V312" i="3" s="1"/>
  <c r="N300" i="3"/>
  <c r="N288" i="3"/>
  <c r="V288" i="3" s="1"/>
  <c r="N276" i="3"/>
  <c r="V276" i="3" s="1"/>
  <c r="N252" i="3"/>
  <c r="V252" i="3" s="1"/>
  <c r="N240" i="3"/>
  <c r="V240" i="3" s="1"/>
  <c r="N228" i="3"/>
  <c r="V228" i="3" s="1"/>
  <c r="N216" i="3"/>
  <c r="V216" i="3" s="1"/>
  <c r="N204" i="3"/>
  <c r="V204" i="3" s="1"/>
  <c r="N192" i="3"/>
  <c r="V192" i="3" s="1"/>
  <c r="N180" i="3"/>
  <c r="V180" i="3" s="1"/>
  <c r="N168" i="3"/>
  <c r="V168" i="3" s="1"/>
  <c r="N156" i="3"/>
  <c r="V156" i="3" s="1"/>
  <c r="N132" i="3"/>
  <c r="N108" i="3"/>
  <c r="N84" i="3"/>
  <c r="V84" i="3" s="1"/>
  <c r="N72" i="3"/>
  <c r="V72" i="3" s="1"/>
  <c r="N60" i="3"/>
  <c r="V60" i="3" s="1"/>
  <c r="N48" i="3"/>
  <c r="N36" i="3"/>
  <c r="V36" i="3" s="1"/>
  <c r="V134" i="3"/>
  <c r="V158" i="3"/>
  <c r="V170" i="3"/>
  <c r="V182" i="3"/>
  <c r="V194" i="3"/>
  <c r="V206" i="3"/>
  <c r="V218" i="3"/>
  <c r="V253" i="3"/>
  <c r="V289" i="3"/>
  <c r="N359" i="3"/>
  <c r="V359" i="3" s="1"/>
  <c r="N347" i="3"/>
  <c r="V347" i="3" s="1"/>
  <c r="N323" i="3"/>
  <c r="V323" i="3" s="1"/>
  <c r="N311" i="3"/>
  <c r="V311" i="3" s="1"/>
  <c r="N287" i="3"/>
  <c r="V287" i="3" s="1"/>
  <c r="N275" i="3"/>
  <c r="V275" i="3" s="1"/>
  <c r="N263" i="3"/>
  <c r="V263" i="3" s="1"/>
  <c r="N251" i="3"/>
  <c r="V251" i="3" s="1"/>
  <c r="N239" i="3"/>
  <c r="V239" i="3" s="1"/>
  <c r="N227" i="3"/>
  <c r="V227" i="3" s="1"/>
  <c r="N215" i="3"/>
  <c r="V215" i="3" s="1"/>
  <c r="N191" i="3"/>
  <c r="V191" i="3" s="1"/>
  <c r="N179" i="3"/>
  <c r="V179" i="3" s="1"/>
  <c r="N167" i="3"/>
  <c r="V167" i="3" s="1"/>
  <c r="N143" i="3"/>
  <c r="V143" i="3" s="1"/>
  <c r="N131" i="3"/>
  <c r="V131" i="3" s="1"/>
  <c r="N119" i="3"/>
  <c r="V119" i="3" s="1"/>
  <c r="N107" i="3"/>
  <c r="N95" i="3"/>
  <c r="V95" i="3" s="1"/>
  <c r="N71" i="3"/>
  <c r="V71" i="3" s="1"/>
  <c r="N59" i="3"/>
  <c r="N35" i="3"/>
  <c r="V35" i="3" s="1"/>
  <c r="N23" i="3"/>
  <c r="V23" i="3" s="1"/>
  <c r="V254" i="3"/>
  <c r="V290" i="3"/>
  <c r="N370" i="3"/>
  <c r="V370" i="3" s="1"/>
  <c r="N358" i="3"/>
  <c r="V358" i="3" s="1"/>
  <c r="N346" i="3"/>
  <c r="V346" i="3" s="1"/>
  <c r="N334" i="3"/>
  <c r="V334" i="3" s="1"/>
  <c r="N322" i="3"/>
  <c r="V322" i="3" s="1"/>
  <c r="N310" i="3"/>
  <c r="V310" i="3" s="1"/>
  <c r="N298" i="3"/>
  <c r="V298" i="3" s="1"/>
  <c r="N286" i="3"/>
  <c r="V286" i="3" s="1"/>
  <c r="N274" i="3"/>
  <c r="N262" i="3"/>
  <c r="N250" i="3"/>
  <c r="V250" i="3" s="1"/>
  <c r="N238" i="3"/>
  <c r="N226" i="3"/>
  <c r="V226" i="3" s="1"/>
  <c r="N178" i="3"/>
  <c r="V178" i="3" s="1"/>
  <c r="N166" i="3"/>
  <c r="V166" i="3" s="1"/>
  <c r="N154" i="3"/>
  <c r="V154" i="3" s="1"/>
  <c r="N142" i="3"/>
  <c r="V142" i="3" s="1"/>
  <c r="N118" i="3"/>
  <c r="V118" i="3" s="1"/>
  <c r="N106" i="3"/>
  <c r="V106" i="3" s="1"/>
  <c r="N94" i="3"/>
  <c r="N70" i="3"/>
  <c r="N34" i="3"/>
  <c r="V34" i="3" s="1"/>
  <c r="V214" i="3"/>
  <c r="V50" i="3"/>
  <c r="V26" i="3"/>
  <c r="N357" i="3"/>
  <c r="V357" i="3" s="1"/>
  <c r="N321" i="3"/>
  <c r="V321" i="3" s="1"/>
  <c r="N309" i="3"/>
  <c r="V309" i="3" s="1"/>
  <c r="N297" i="3"/>
  <c r="N285" i="3"/>
  <c r="V285" i="3" s="1"/>
  <c r="N273" i="3"/>
  <c r="V273" i="3" s="1"/>
  <c r="N237" i="3"/>
  <c r="V237" i="3" s="1"/>
  <c r="N213" i="3"/>
  <c r="N201" i="3"/>
  <c r="V201" i="3" s="1"/>
  <c r="N189" i="3"/>
  <c r="V189" i="3" s="1"/>
  <c r="N177" i="3"/>
  <c r="V177" i="3" s="1"/>
  <c r="N141" i="3"/>
  <c r="V141" i="3" s="1"/>
  <c r="N129" i="3"/>
  <c r="V129" i="3" s="1"/>
  <c r="N105" i="3"/>
  <c r="V105" i="3" s="1"/>
  <c r="N93" i="3"/>
  <c r="V93" i="3" s="1"/>
  <c r="N81" i="3"/>
  <c r="V81" i="3" s="1"/>
  <c r="N57" i="3"/>
  <c r="V57" i="3" s="1"/>
  <c r="N45" i="3"/>
  <c r="V45" i="3" s="1"/>
  <c r="N33" i="3"/>
  <c r="V33" i="3" s="1"/>
  <c r="N21" i="3"/>
  <c r="V21" i="3" s="1"/>
  <c r="V69" i="3"/>
  <c r="V190" i="3"/>
  <c r="V382" i="3"/>
  <c r="V49" i="3"/>
  <c r="N272" i="3"/>
  <c r="V272" i="3" s="1"/>
  <c r="N260" i="3"/>
  <c r="V260" i="3" s="1"/>
  <c r="N236" i="3"/>
  <c r="V236" i="3" s="1"/>
  <c r="N212" i="3"/>
  <c r="V212" i="3" s="1"/>
  <c r="N200" i="3"/>
  <c r="V200" i="3" s="1"/>
  <c r="N164" i="3"/>
  <c r="V164" i="3" s="1"/>
  <c r="N152" i="3"/>
  <c r="V152" i="3" s="1"/>
  <c r="N140" i="3"/>
  <c r="N104" i="3"/>
  <c r="V104" i="3" s="1"/>
  <c r="N44" i="3"/>
  <c r="V44" i="3" s="1"/>
  <c r="N32" i="3"/>
  <c r="V32" i="3" s="1"/>
  <c r="N20" i="3"/>
  <c r="V202" i="3"/>
  <c r="V37" i="3"/>
  <c r="N295" i="3"/>
  <c r="V295" i="3" s="1"/>
  <c r="N259" i="3"/>
  <c r="V259" i="3" s="1"/>
  <c r="N199" i="3"/>
  <c r="V199" i="3" s="1"/>
  <c r="N187" i="3"/>
  <c r="V187" i="3" s="1"/>
  <c r="N163" i="3"/>
  <c r="V163" i="3" s="1"/>
  <c r="N151" i="3"/>
  <c r="V151" i="3" s="1"/>
  <c r="N139" i="3"/>
  <c r="V139" i="3" s="1"/>
  <c r="N127" i="3"/>
  <c r="N103" i="3"/>
  <c r="V103" i="3" s="1"/>
  <c r="N91" i="3"/>
  <c r="V91" i="3" s="1"/>
  <c r="N67" i="3"/>
  <c r="V67" i="3" s="1"/>
  <c r="N43" i="3"/>
  <c r="V43" i="3" s="1"/>
  <c r="V247" i="3"/>
  <c r="V367" i="3"/>
  <c r="N354" i="3"/>
  <c r="V354" i="3" s="1"/>
  <c r="N342" i="3"/>
  <c r="V342" i="3" s="1"/>
  <c r="N330" i="3"/>
  <c r="N318" i="3"/>
  <c r="V318" i="3" s="1"/>
  <c r="N306" i="3"/>
  <c r="V306" i="3" s="1"/>
  <c r="N294" i="3"/>
  <c r="V294" i="3" s="1"/>
  <c r="N282" i="3"/>
  <c r="V282" i="3" s="1"/>
  <c r="N270" i="3"/>
  <c r="V270" i="3" s="1"/>
  <c r="N258" i="3"/>
  <c r="V258" i="3" s="1"/>
  <c r="N246" i="3"/>
  <c r="V246" i="3" s="1"/>
  <c r="N234" i="3"/>
  <c r="V234" i="3" s="1"/>
  <c r="N222" i="3"/>
  <c r="V222" i="3" s="1"/>
  <c r="N198" i="3"/>
  <c r="V198" i="3" s="1"/>
  <c r="N174" i="3"/>
  <c r="V174" i="3" s="1"/>
  <c r="N162" i="3"/>
  <c r="V162" i="3" s="1"/>
  <c r="N126" i="3"/>
  <c r="V126" i="3" s="1"/>
  <c r="N78" i="3"/>
  <c r="V78" i="3" s="1"/>
  <c r="N66" i="3"/>
  <c r="V66" i="3" s="1"/>
  <c r="N54" i="3"/>
  <c r="V54" i="3" s="1"/>
  <c r="N42" i="3"/>
  <c r="V42" i="3" s="1"/>
  <c r="N18" i="3"/>
  <c r="V18" i="3" s="1"/>
  <c r="V345" i="3"/>
  <c r="V175" i="3"/>
  <c r="V31" i="3"/>
  <c r="V55" i="3"/>
  <c r="V92" i="3"/>
  <c r="V116" i="3"/>
  <c r="V128" i="3"/>
  <c r="V224" i="3"/>
  <c r="V248" i="3"/>
  <c r="V271" i="3"/>
  <c r="V283" i="3"/>
  <c r="V307" i="3"/>
  <c r="V331" i="3"/>
  <c r="V343" i="3"/>
  <c r="V355" i="3"/>
  <c r="V368" i="3"/>
  <c r="V380" i="3"/>
  <c r="N365" i="3"/>
  <c r="N353" i="3"/>
  <c r="V353" i="3" s="1"/>
  <c r="N341" i="3"/>
  <c r="V341" i="3" s="1"/>
  <c r="N329" i="3"/>
  <c r="V329" i="3" s="1"/>
  <c r="N317" i="3"/>
  <c r="V317" i="3" s="1"/>
  <c r="N305" i="3"/>
  <c r="V305" i="3" s="1"/>
  <c r="N245" i="3"/>
  <c r="V245" i="3" s="1"/>
  <c r="N233" i="3"/>
  <c r="V233" i="3" s="1"/>
  <c r="N221" i="3"/>
  <c r="V221" i="3" s="1"/>
  <c r="N209" i="3"/>
  <c r="V209" i="3" s="1"/>
  <c r="N197" i="3"/>
  <c r="V197" i="3" s="1"/>
  <c r="N185" i="3"/>
  <c r="V185" i="3" s="1"/>
  <c r="N173" i="3"/>
  <c r="N161" i="3"/>
  <c r="N137" i="3"/>
  <c r="V137" i="3" s="1"/>
  <c r="N125" i="3"/>
  <c r="V125" i="3" s="1"/>
  <c r="N113" i="3"/>
  <c r="N77" i="3"/>
  <c r="V77" i="3" s="1"/>
  <c r="N65" i="3"/>
  <c r="V65" i="3" s="1"/>
  <c r="N53" i="3"/>
  <c r="V53" i="3" s="1"/>
  <c r="N29" i="3"/>
  <c r="V29" i="3" s="1"/>
  <c r="N17" i="3"/>
  <c r="V17" i="3" s="1"/>
  <c r="V333" i="3"/>
  <c r="V68" i="3"/>
  <c r="V80" i="3"/>
  <c r="V153" i="3"/>
  <c r="V225" i="3"/>
  <c r="V249" i="3"/>
  <c r="V296" i="3"/>
  <c r="V320" i="3"/>
  <c r="V332" i="3"/>
  <c r="V344" i="3"/>
  <c r="V356" i="3"/>
  <c r="V369" i="3"/>
  <c r="N15" i="3"/>
  <c r="V15" i="3" s="1"/>
  <c r="N376" i="3"/>
  <c r="V376" i="3" s="1"/>
  <c r="N364" i="3"/>
  <c r="N352" i="3"/>
  <c r="V352" i="3" s="1"/>
  <c r="N340" i="3"/>
  <c r="N328" i="3"/>
  <c r="V328" i="3" s="1"/>
  <c r="N304" i="3"/>
  <c r="V304" i="3" s="1"/>
  <c r="N292" i="3"/>
  <c r="V292" i="3" s="1"/>
  <c r="N280" i="3"/>
  <c r="V280" i="3" s="1"/>
  <c r="N268" i="3"/>
  <c r="V268" i="3" s="1"/>
  <c r="N256" i="3"/>
  <c r="V256" i="3" s="1"/>
  <c r="N244" i="3"/>
  <c r="V244" i="3" s="1"/>
  <c r="N232" i="3"/>
  <c r="V232" i="3" s="1"/>
  <c r="N208" i="3"/>
  <c r="V208" i="3" s="1"/>
  <c r="N196" i="3"/>
  <c r="V196" i="3" s="1"/>
  <c r="N184" i="3"/>
  <c r="V184" i="3" s="1"/>
  <c r="N172" i="3"/>
  <c r="V172" i="3" s="1"/>
  <c r="N160" i="3"/>
  <c r="V160" i="3" s="1"/>
  <c r="N148" i="3"/>
  <c r="V148" i="3" s="1"/>
  <c r="N136" i="3"/>
  <c r="V136" i="3" s="1"/>
  <c r="N124" i="3"/>
  <c r="V124" i="3" s="1"/>
  <c r="N100" i="3"/>
  <c r="V100" i="3" s="1"/>
  <c r="N52" i="3"/>
  <c r="V52" i="3" s="1"/>
  <c r="N40" i="3"/>
  <c r="V40" i="3" s="1"/>
  <c r="N16" i="3"/>
  <c r="V16" i="3" s="1"/>
  <c r="V99" i="3"/>
  <c r="V111" i="3"/>
  <c r="V135" i="3"/>
  <c r="V147" i="3"/>
  <c r="V159" i="3"/>
  <c r="V183" i="3"/>
  <c r="V195" i="3"/>
  <c r="V39" i="3"/>
  <c r="V75" i="3"/>
  <c r="V255" i="3"/>
  <c r="V267" i="3"/>
  <c r="V279" i="3"/>
  <c r="V27" i="3"/>
  <c r="V379" i="3"/>
  <c r="V381" i="3"/>
  <c r="V372" i="3"/>
  <c r="V348" i="3"/>
  <c r="V121" i="3"/>
  <c r="R52" i="3"/>
  <c r="V107" i="3"/>
  <c r="R54" i="3"/>
  <c r="V122" i="3"/>
  <c r="M330" i="3"/>
  <c r="T195" i="3"/>
  <c r="M195" i="3" s="1"/>
  <c r="O195" i="3" s="1"/>
  <c r="R66" i="3"/>
  <c r="V87" i="3"/>
  <c r="V98" i="3"/>
  <c r="M118" i="3"/>
  <c r="U118" i="3" s="1"/>
  <c r="Q118" i="3" s="1"/>
  <c r="T183" i="3"/>
  <c r="M183" i="3" s="1"/>
  <c r="V140" i="3"/>
  <c r="V242" i="3"/>
  <c r="V330" i="3"/>
  <c r="T159" i="3"/>
  <c r="T147" i="3"/>
  <c r="M147" i="3" s="1"/>
  <c r="T279" i="3"/>
  <c r="M279" i="3" s="1"/>
  <c r="T123" i="3"/>
  <c r="M70" i="3"/>
  <c r="U70" i="3" s="1"/>
  <c r="Q70" i="3" s="1"/>
  <c r="T267" i="3"/>
  <c r="T111" i="3"/>
  <c r="M111" i="3" s="1"/>
  <c r="U111" i="3" s="1"/>
  <c r="Q111" i="3" s="1"/>
  <c r="T255" i="3"/>
  <c r="M255" i="3" s="1"/>
  <c r="V70" i="3"/>
  <c r="V325" i="3"/>
  <c r="T75" i="3"/>
  <c r="M75" i="3" s="1"/>
  <c r="V365" i="3"/>
  <c r="V146" i="3"/>
  <c r="M199" i="3"/>
  <c r="U199" i="3" s="1"/>
  <c r="Q199" i="3" s="1"/>
  <c r="T39" i="3"/>
  <c r="T207" i="3"/>
  <c r="M207" i="3" s="1"/>
  <c r="O207" i="3" s="1"/>
  <c r="T27" i="3"/>
  <c r="M353" i="3"/>
  <c r="U353" i="3" s="1"/>
  <c r="Q353" i="3" s="1"/>
  <c r="R353" i="3"/>
  <c r="V56" i="3"/>
  <c r="T56" i="3"/>
  <c r="R56" i="3" s="1"/>
  <c r="V120" i="3"/>
  <c r="T120" i="3"/>
  <c r="M215" i="3"/>
  <c r="R215" i="3"/>
  <c r="T284" i="3"/>
  <c r="V284" i="3"/>
  <c r="V335" i="3"/>
  <c r="T335" i="3"/>
  <c r="R335" i="3" s="1"/>
  <c r="T135" i="3"/>
  <c r="V74" i="3"/>
  <c r="T74" i="3"/>
  <c r="R74" i="3" s="1"/>
  <c r="M233" i="3"/>
  <c r="U233" i="3" s="1"/>
  <c r="Q233" i="3" s="1"/>
  <c r="M260" i="3"/>
  <c r="U260" i="3" s="1"/>
  <c r="Q260" i="3" s="1"/>
  <c r="R276" i="3"/>
  <c r="M276" i="3"/>
  <c r="U276" i="3" s="1"/>
  <c r="Q276" i="3" s="1"/>
  <c r="R285" i="3"/>
  <c r="M285" i="3"/>
  <c r="U285" i="3" s="1"/>
  <c r="Q285" i="3" s="1"/>
  <c r="M354" i="3"/>
  <c r="U354" i="3" s="1"/>
  <c r="Q354" i="3" s="1"/>
  <c r="R354" i="3"/>
  <c r="M365" i="3"/>
  <c r="O365" i="3" s="1"/>
  <c r="R365" i="3"/>
  <c r="T64" i="3"/>
  <c r="R64" i="3" s="1"/>
  <c r="V64" i="3"/>
  <c r="T203" i="3"/>
  <c r="V203" i="3"/>
  <c r="V101" i="3"/>
  <c r="T101" i="3"/>
  <c r="T102" i="3"/>
  <c r="V102" i="3"/>
  <c r="M33" i="3"/>
  <c r="U33" i="3" s="1"/>
  <c r="Q33" i="3" s="1"/>
  <c r="T41" i="3"/>
  <c r="M41" i="3" s="1"/>
  <c r="V41" i="3"/>
  <c r="T149" i="3"/>
  <c r="R149" i="3" s="1"/>
  <c r="V149" i="3"/>
  <c r="M216" i="3"/>
  <c r="U216" i="3" s="1"/>
  <c r="Q216" i="3" s="1"/>
  <c r="R216" i="3"/>
  <c r="V24" i="3"/>
  <c r="T24" i="3"/>
  <c r="V138" i="3"/>
  <c r="T138" i="3"/>
  <c r="V58" i="3"/>
  <c r="T58" i="3"/>
  <c r="T76" i="3"/>
  <c r="V76" i="3"/>
  <c r="M105" i="3"/>
  <c r="U105" i="3" s="1"/>
  <c r="Q105" i="3" s="1"/>
  <c r="R105" i="3"/>
  <c r="M140" i="3"/>
  <c r="V150" i="3"/>
  <c r="T150" i="3"/>
  <c r="R244" i="3"/>
  <c r="M244" i="3"/>
  <c r="U244" i="3" s="1"/>
  <c r="Q244" i="3" s="1"/>
  <c r="R261" i="3"/>
  <c r="M261" i="3"/>
  <c r="U261" i="3" s="1"/>
  <c r="Q261" i="3" s="1"/>
  <c r="R277" i="3"/>
  <c r="M277" i="3"/>
  <c r="U277" i="3" s="1"/>
  <c r="Q277" i="3" s="1"/>
  <c r="V308" i="3"/>
  <c r="T308" i="3"/>
  <c r="M308" i="3" s="1"/>
  <c r="V319" i="3"/>
  <c r="T319" i="3"/>
  <c r="M319" i="3" s="1"/>
  <c r="M366" i="3"/>
  <c r="U366" i="3" s="1"/>
  <c r="Q366" i="3" s="1"/>
  <c r="R366" i="3"/>
  <c r="T377" i="3"/>
  <c r="V377" i="3"/>
  <c r="T99" i="3"/>
  <c r="T90" i="3"/>
  <c r="V90" i="3"/>
  <c r="R126" i="3"/>
  <c r="M126" i="3"/>
  <c r="O126" i="3" s="1"/>
  <c r="V96" i="3"/>
  <c r="T96" i="3"/>
  <c r="V130" i="3"/>
  <c r="T130" i="3"/>
  <c r="R191" i="3"/>
  <c r="M191" i="3"/>
  <c r="U191" i="3" s="1"/>
  <c r="Q191" i="3" s="1"/>
  <c r="R329" i="3"/>
  <c r="M329" i="3"/>
  <c r="U329" i="3" s="1"/>
  <c r="Q329" i="3" s="1"/>
  <c r="M378" i="3"/>
  <c r="U378" i="3" s="1"/>
  <c r="Q378" i="3" s="1"/>
  <c r="R378" i="3"/>
  <c r="V110" i="3"/>
  <c r="T110" i="3"/>
  <c r="M110" i="3" s="1"/>
  <c r="T83" i="3"/>
  <c r="R152" i="3"/>
  <c r="M152" i="3"/>
  <c r="R278" i="3"/>
  <c r="M278" i="3"/>
  <c r="U278" i="3" s="1"/>
  <c r="Q278" i="3" s="1"/>
  <c r="V19" i="3"/>
  <c r="T19" i="3"/>
  <c r="R19" i="3" s="1"/>
  <c r="V20" i="3"/>
  <c r="T28" i="3"/>
  <c r="M28" i="3" s="1"/>
  <c r="V28" i="3"/>
  <c r="R78" i="3"/>
  <c r="V115" i="3"/>
  <c r="T115" i="3"/>
  <c r="M192" i="3"/>
  <c r="U192" i="3" s="1"/>
  <c r="Q192" i="3" s="1"/>
  <c r="R192" i="3"/>
  <c r="R200" i="3"/>
  <c r="M200" i="3"/>
  <c r="U200" i="3" s="1"/>
  <c r="Q200" i="3" s="1"/>
  <c r="V299" i="3"/>
  <c r="T299" i="3"/>
  <c r="R299" i="3" s="1"/>
  <c r="V38" i="3"/>
  <c r="T38" i="3"/>
  <c r="M146" i="3"/>
  <c r="O146" i="3" s="1"/>
  <c r="R146" i="3"/>
  <c r="R177" i="3"/>
  <c r="M177" i="3"/>
  <c r="V79" i="3"/>
  <c r="T79" i="3"/>
  <c r="T88" i="3"/>
  <c r="R88" i="3" s="1"/>
  <c r="V88" i="3"/>
  <c r="O98" i="3"/>
  <c r="V133" i="3"/>
  <c r="T133" i="3"/>
  <c r="R133" i="3" s="1"/>
  <c r="R164" i="3"/>
  <c r="M164" i="3"/>
  <c r="U164" i="3" s="1"/>
  <c r="Q164" i="3" s="1"/>
  <c r="R201" i="3"/>
  <c r="M201" i="3"/>
  <c r="U201" i="3" s="1"/>
  <c r="Q201" i="3" s="1"/>
  <c r="U341" i="3"/>
  <c r="Q341" i="3" s="1"/>
  <c r="T117" i="3"/>
  <c r="R117" i="3" s="1"/>
  <c r="V117" i="3"/>
  <c r="V144" i="3"/>
  <c r="T144" i="3"/>
  <c r="V165" i="3"/>
  <c r="T165" i="3"/>
  <c r="M165" i="3" s="1"/>
  <c r="M342" i="3"/>
  <c r="U342" i="3" s="1"/>
  <c r="Q342" i="3" s="1"/>
  <c r="R342" i="3"/>
  <c r="V82" i="3"/>
  <c r="T82" i="3"/>
  <c r="R259" i="3"/>
  <c r="M259" i="3"/>
  <c r="U259" i="3" s="1"/>
  <c r="Q259" i="3" s="1"/>
  <c r="R15" i="3"/>
  <c r="M15" i="3"/>
  <c r="V22" i="3"/>
  <c r="T22" i="3"/>
  <c r="R22" i="3" s="1"/>
  <c r="T30" i="3"/>
  <c r="R30" i="3" s="1"/>
  <c r="V30" i="3"/>
  <c r="T46" i="3"/>
  <c r="V46" i="3"/>
  <c r="R273" i="3"/>
  <c r="M273" i="3"/>
  <c r="R292" i="3"/>
  <c r="M292" i="3"/>
  <c r="U292" i="3" s="1"/>
  <c r="Q292" i="3" s="1"/>
  <c r="T290" i="3"/>
  <c r="R290" i="3" s="1"/>
  <c r="T254" i="3"/>
  <c r="R254" i="3" s="1"/>
  <c r="T218" i="3"/>
  <c r="R218" i="3" s="1"/>
  <c r="T206" i="3"/>
  <c r="M206" i="3" s="1"/>
  <c r="T194" i="3"/>
  <c r="T182" i="3"/>
  <c r="T170" i="3"/>
  <c r="R170" i="3" s="1"/>
  <c r="T158" i="3"/>
  <c r="T134" i="3"/>
  <c r="R134" i="3" s="1"/>
  <c r="T50" i="3"/>
  <c r="R50" i="3" s="1"/>
  <c r="T26" i="3"/>
  <c r="V59" i="3"/>
  <c r="V73" i="3"/>
  <c r="V94" i="3"/>
  <c r="V155" i="3"/>
  <c r="V257" i="3"/>
  <c r="V265" i="3"/>
  <c r="V293" i="3"/>
  <c r="T289" i="3"/>
  <c r="R289" i="3" s="1"/>
  <c r="T253" i="3"/>
  <c r="R253" i="3" s="1"/>
  <c r="T241" i="3"/>
  <c r="T229" i="3"/>
  <c r="R229" i="3" s="1"/>
  <c r="T217" i="3"/>
  <c r="T205" i="3"/>
  <c r="M205" i="3" s="1"/>
  <c r="T193" i="3"/>
  <c r="T181" i="3"/>
  <c r="R181" i="3" s="1"/>
  <c r="T169" i="3"/>
  <c r="M169" i="3" s="1"/>
  <c r="T157" i="3"/>
  <c r="M157" i="3" s="1"/>
  <c r="T145" i="3"/>
  <c r="R145" i="3" s="1"/>
  <c r="T49" i="3"/>
  <c r="R49" i="3" s="1"/>
  <c r="T37" i="3"/>
  <c r="M37" i="3" s="1"/>
  <c r="V186" i="3"/>
  <c r="V366" i="3"/>
  <c r="T384" i="3"/>
  <c r="M384" i="3" s="1"/>
  <c r="T372" i="3"/>
  <c r="R372" i="3" s="1"/>
  <c r="T360" i="3"/>
  <c r="R360" i="3" s="1"/>
  <c r="T348" i="3"/>
  <c r="R348" i="3" s="1"/>
  <c r="T336" i="3"/>
  <c r="T324" i="3"/>
  <c r="T288" i="3"/>
  <c r="T204" i="3"/>
  <c r="T168" i="3"/>
  <c r="M168" i="3" s="1"/>
  <c r="U168" i="3" s="1"/>
  <c r="Q168" i="3" s="1"/>
  <c r="T156" i="3"/>
  <c r="T36" i="3"/>
  <c r="R349" i="3"/>
  <c r="T383" i="3"/>
  <c r="R383" i="3" s="1"/>
  <c r="T371" i="3"/>
  <c r="R371" i="3" s="1"/>
  <c r="T359" i="3"/>
  <c r="R359" i="3" s="1"/>
  <c r="T347" i="3"/>
  <c r="T311" i="3"/>
  <c r="M311" i="3" s="1"/>
  <c r="T275" i="3"/>
  <c r="T263" i="3"/>
  <c r="T251" i="3"/>
  <c r="T239" i="3"/>
  <c r="T227" i="3"/>
  <c r="M227" i="3" s="1"/>
  <c r="U227" i="3" s="1"/>
  <c r="Q227" i="3" s="1"/>
  <c r="T179" i="3"/>
  <c r="T167" i="3"/>
  <c r="T155" i="3"/>
  <c r="R155" i="3" s="1"/>
  <c r="T131" i="3"/>
  <c r="T119" i="3"/>
  <c r="T35" i="3"/>
  <c r="T23" i="3"/>
  <c r="R23" i="3" s="1"/>
  <c r="R62" i="3"/>
  <c r="R132" i="3"/>
  <c r="V261" i="3"/>
  <c r="V378" i="3"/>
  <c r="T382" i="3"/>
  <c r="T370" i="3"/>
  <c r="T358" i="3"/>
  <c r="T346" i="3"/>
  <c r="T334" i="3"/>
  <c r="T322" i="3"/>
  <c r="M322" i="3" s="1"/>
  <c r="T310" i="3"/>
  <c r="T286" i="3"/>
  <c r="T226" i="3"/>
  <c r="T214" i="3"/>
  <c r="M214" i="3" s="1"/>
  <c r="T202" i="3"/>
  <c r="T190" i="3"/>
  <c r="R85" i="3"/>
  <c r="M97" i="3"/>
  <c r="U97" i="3" s="1"/>
  <c r="Q97" i="3" s="1"/>
  <c r="M109" i="3"/>
  <c r="U109" i="3" s="1"/>
  <c r="Q109" i="3" s="1"/>
  <c r="T381" i="3"/>
  <c r="T369" i="3"/>
  <c r="T357" i="3"/>
  <c r="T345" i="3"/>
  <c r="T333" i="3"/>
  <c r="T321" i="3"/>
  <c r="M321" i="3" s="1"/>
  <c r="T249" i="3"/>
  <c r="M249" i="3" s="1"/>
  <c r="T225" i="3"/>
  <c r="T153" i="3"/>
  <c r="T69" i="3"/>
  <c r="T21" i="3"/>
  <c r="V132" i="3"/>
  <c r="V281" i="3"/>
  <c r="T380" i="3"/>
  <c r="M380" i="3" s="1"/>
  <c r="O380" i="3" s="1"/>
  <c r="T368" i="3"/>
  <c r="M368" i="3" s="1"/>
  <c r="O368" i="3" s="1"/>
  <c r="T356" i="3"/>
  <c r="M356" i="3" s="1"/>
  <c r="O356" i="3" s="1"/>
  <c r="T344" i="3"/>
  <c r="M344" i="3" s="1"/>
  <c r="T332" i="3"/>
  <c r="R332" i="3" s="1"/>
  <c r="T320" i="3"/>
  <c r="M320" i="3" s="1"/>
  <c r="T296" i="3"/>
  <c r="M296" i="3" s="1"/>
  <c r="T248" i="3"/>
  <c r="M248" i="3" s="1"/>
  <c r="U248" i="3" s="1"/>
  <c r="Q248" i="3" s="1"/>
  <c r="T224" i="3"/>
  <c r="T188" i="3"/>
  <c r="M188" i="3" s="1"/>
  <c r="U188" i="3" s="1"/>
  <c r="Q188" i="3" s="1"/>
  <c r="T176" i="3"/>
  <c r="R176" i="3" s="1"/>
  <c r="T128" i="3"/>
  <c r="T116" i="3"/>
  <c r="R116" i="3" s="1"/>
  <c r="T92" i="3"/>
  <c r="M92" i="3" s="1"/>
  <c r="T80" i="3"/>
  <c r="R80" i="3" s="1"/>
  <c r="T68" i="3"/>
  <c r="R313" i="3"/>
  <c r="T379" i="3"/>
  <c r="T367" i="3"/>
  <c r="M367" i="3" s="1"/>
  <c r="T355" i="3"/>
  <c r="M355" i="3" s="1"/>
  <c r="U355" i="3" s="1"/>
  <c r="Q355" i="3" s="1"/>
  <c r="T343" i="3"/>
  <c r="M343" i="3" s="1"/>
  <c r="T331" i="3"/>
  <c r="T307" i="3"/>
  <c r="M307" i="3" s="1"/>
  <c r="U307" i="3" s="1"/>
  <c r="Q307" i="3" s="1"/>
  <c r="T283" i="3"/>
  <c r="R283" i="3" s="1"/>
  <c r="T271" i="3"/>
  <c r="T247" i="3"/>
  <c r="T235" i="3"/>
  <c r="R235" i="3" s="1"/>
  <c r="T223" i="3"/>
  <c r="R223" i="3" s="1"/>
  <c r="T211" i="3"/>
  <c r="M211" i="3" s="1"/>
  <c r="U211" i="3" s="1"/>
  <c r="Q211" i="3" s="1"/>
  <c r="T175" i="3"/>
  <c r="T55" i="3"/>
  <c r="M55" i="3" s="1"/>
  <c r="U55" i="3" s="1"/>
  <c r="Q55" i="3" s="1"/>
  <c r="T31" i="3"/>
  <c r="R31" i="3" s="1"/>
  <c r="T282" i="3"/>
  <c r="M282" i="3" s="1"/>
  <c r="T270" i="3"/>
  <c r="T258" i="3"/>
  <c r="T246" i="3"/>
  <c r="T198" i="3"/>
  <c r="T162" i="3"/>
  <c r="R162" i="3" s="1"/>
  <c r="V313" i="3"/>
  <c r="R325" i="3"/>
  <c r="T293" i="3"/>
  <c r="R293" i="3" s="1"/>
  <c r="T281" i="3"/>
  <c r="R281" i="3" s="1"/>
  <c r="T269" i="3"/>
  <c r="R269" i="3" s="1"/>
  <c r="T257" i="3"/>
  <c r="M257" i="3" s="1"/>
  <c r="T89" i="3"/>
  <c r="R89" i="3" s="1"/>
  <c r="T65" i="3"/>
  <c r="M65" i="3" s="1"/>
  <c r="U65" i="3" s="1"/>
  <c r="Q65" i="3" s="1"/>
  <c r="R228" i="3"/>
  <c r="R264" i="3"/>
  <c r="V269" i="3"/>
  <c r="T328" i="3"/>
  <c r="R328" i="3" s="1"/>
  <c r="T316" i="3"/>
  <c r="M316" i="3" s="1"/>
  <c r="U316" i="3" s="1"/>
  <c r="Q316" i="3" s="1"/>
  <c r="T280" i="3"/>
  <c r="T220" i="3"/>
  <c r="R220" i="3" s="1"/>
  <c r="T196" i="3"/>
  <c r="T124" i="3"/>
  <c r="T112" i="3"/>
  <c r="T100" i="3"/>
  <c r="R314" i="3"/>
  <c r="R302" i="3"/>
  <c r="M67" i="3"/>
  <c r="R67" i="3"/>
  <c r="R32" i="3"/>
  <c r="M32" i="3"/>
  <c r="M17" i="3"/>
  <c r="R17" i="3"/>
  <c r="M16" i="3"/>
  <c r="R16" i="3"/>
  <c r="M47" i="3"/>
  <c r="R47" i="3"/>
  <c r="R63" i="3"/>
  <c r="M63" i="3"/>
  <c r="M25" i="3"/>
  <c r="R25" i="3"/>
  <c r="R18" i="3"/>
  <c r="M18" i="3"/>
  <c r="M53" i="3"/>
  <c r="R53" i="3"/>
  <c r="M44" i="3"/>
  <c r="R44" i="3"/>
  <c r="R81" i="3"/>
  <c r="M81" i="3"/>
  <c r="M29" i="3"/>
  <c r="R29" i="3"/>
  <c r="M87" i="3"/>
  <c r="R87" i="3"/>
  <c r="R20" i="3"/>
  <c r="M20" i="3"/>
  <c r="M40" i="3"/>
  <c r="R40" i="3"/>
  <c r="M45" i="3"/>
  <c r="R45" i="3"/>
  <c r="M59" i="3"/>
  <c r="R59" i="3"/>
  <c r="M71" i="3"/>
  <c r="R71" i="3"/>
  <c r="R61" i="3"/>
  <c r="M61" i="3"/>
  <c r="M51" i="3"/>
  <c r="R51" i="3"/>
  <c r="M77" i="3"/>
  <c r="R77" i="3"/>
  <c r="R107" i="3"/>
  <c r="M107" i="3"/>
  <c r="M34" i="3"/>
  <c r="M43" i="3"/>
  <c r="U52" i="3"/>
  <c r="Q52" i="3" s="1"/>
  <c r="M57" i="3"/>
  <c r="R95" i="3"/>
  <c r="V113" i="3"/>
  <c r="M121" i="3"/>
  <c r="V108" i="3"/>
  <c r="R122" i="3"/>
  <c r="M122" i="3"/>
  <c r="R143" i="3"/>
  <c r="M143" i="3"/>
  <c r="V173" i="3"/>
  <c r="V63" i="3"/>
  <c r="R174" i="3"/>
  <c r="M174" i="3"/>
  <c r="M73" i="3"/>
  <c r="M85" i="3"/>
  <c r="V89" i="3"/>
  <c r="V48" i="3"/>
  <c r="R109" i="3"/>
  <c r="R94" i="3"/>
  <c r="V127" i="3"/>
  <c r="R186" i="3"/>
  <c r="M186" i="3"/>
  <c r="R114" i="3"/>
  <c r="R197" i="3"/>
  <c r="M197" i="3"/>
  <c r="V171" i="3"/>
  <c r="R210" i="3"/>
  <c r="M210" i="3"/>
  <c r="U132" i="3"/>
  <c r="Q132" i="3" s="1"/>
  <c r="R151" i="3"/>
  <c r="M151" i="3"/>
  <c r="V161" i="3"/>
  <c r="R163" i="3"/>
  <c r="M163" i="3"/>
  <c r="M189" i="3"/>
  <c r="R212" i="3"/>
  <c r="M212" i="3"/>
  <c r="R222" i="3"/>
  <c r="M222" i="3"/>
  <c r="R219" i="3"/>
  <c r="M219" i="3"/>
  <c r="U177" i="3"/>
  <c r="Q177" i="3" s="1"/>
  <c r="R187" i="3"/>
  <c r="M187" i="3"/>
  <c r="M231" i="3"/>
  <c r="R231" i="3"/>
  <c r="R256" i="3"/>
  <c r="M256" i="3"/>
  <c r="M185" i="3"/>
  <c r="R209" i="3"/>
  <c r="M209" i="3"/>
  <c r="M213" i="3"/>
  <c r="R213" i="3"/>
  <c r="M180" i="3"/>
  <c r="R180" i="3"/>
  <c r="V176" i="3"/>
  <c r="V238" i="3"/>
  <c r="M265" i="3"/>
  <c r="R265" i="3"/>
  <c r="V213" i="3"/>
  <c r="V220" i="3"/>
  <c r="V223" i="3"/>
  <c r="R236" i="3"/>
  <c r="M236" i="3"/>
  <c r="M266" i="3"/>
  <c r="R266" i="3"/>
  <c r="V235" i="3"/>
  <c r="M295" i="3"/>
  <c r="R295" i="3"/>
  <c r="V230" i="3"/>
  <c r="R242" i="3"/>
  <c r="M242" i="3"/>
  <c r="M232" i="3"/>
  <c r="V211" i="3"/>
  <c r="M268" i="3"/>
  <c r="R268" i="3"/>
  <c r="V188" i="3"/>
  <c r="M221" i="3"/>
  <c r="R250" i="3"/>
  <c r="M264" i="3"/>
  <c r="M294" i="3"/>
  <c r="M306" i="3"/>
  <c r="R306" i="3"/>
  <c r="R279" i="3"/>
  <c r="V300" i="3"/>
  <c r="V297" i="3"/>
  <c r="V301" i="3"/>
  <c r="R317" i="3"/>
  <c r="M317" i="3"/>
  <c r="M262" i="3"/>
  <c r="R262" i="3"/>
  <c r="M274" i="3"/>
  <c r="R274" i="3"/>
  <c r="R337" i="3"/>
  <c r="M337" i="3"/>
  <c r="V262" i="3"/>
  <c r="V274" i="3"/>
  <c r="V291" i="3"/>
  <c r="M305" i="3"/>
  <c r="R305" i="3"/>
  <c r="V340" i="3"/>
  <c r="R362" i="3"/>
  <c r="M362" i="3"/>
  <c r="R375" i="3"/>
  <c r="M375" i="3"/>
  <c r="V364" i="3"/>
  <c r="M349" i="3"/>
  <c r="R318" i="3"/>
  <c r="R385" i="3"/>
  <c r="M385" i="3"/>
  <c r="R338" i="3"/>
  <c r="M338" i="3"/>
  <c r="R350" i="3"/>
  <c r="M350" i="3"/>
  <c r="M302" i="3"/>
  <c r="R373" i="3"/>
  <c r="M373" i="3"/>
  <c r="R386" i="3"/>
  <c r="M386" i="3"/>
  <c r="V316" i="3"/>
  <c r="R361" i="3"/>
  <c r="M361" i="3"/>
  <c r="R374" i="3"/>
  <c r="M374" i="3"/>
  <c r="R387" i="3"/>
  <c r="M387" i="3"/>
  <c r="V375" i="3"/>
  <c r="V387" i="3"/>
  <c r="V362" i="3"/>
  <c r="V374" i="3"/>
  <c r="V386" i="3"/>
  <c r="O276" i="3" l="1"/>
  <c r="O152" i="3"/>
  <c r="R347" i="3"/>
  <c r="M347" i="3"/>
  <c r="O347" i="3" s="1"/>
  <c r="O215" i="3"/>
  <c r="R257" i="3"/>
  <c r="R168" i="3"/>
  <c r="M253" i="3"/>
  <c r="U253" i="3" s="1"/>
  <c r="Q253" i="3" s="1"/>
  <c r="M50" i="3"/>
  <c r="M64" i="3"/>
  <c r="U64" i="3" s="1"/>
  <c r="Q64" i="3" s="1"/>
  <c r="R308" i="3"/>
  <c r="O105" i="3"/>
  <c r="S105" i="3" s="1"/>
  <c r="O201" i="3"/>
  <c r="S201" i="3" s="1"/>
  <c r="R96" i="3"/>
  <c r="M96" i="3"/>
  <c r="O96" i="3" s="1"/>
  <c r="R100" i="3"/>
  <c r="M100" i="3"/>
  <c r="U100" i="3" s="1"/>
  <c r="Q100" i="3" s="1"/>
  <c r="R99" i="3"/>
  <c r="M99" i="3"/>
  <c r="R101" i="3"/>
  <c r="M101" i="3"/>
  <c r="U101" i="3" s="1"/>
  <c r="Q101" i="3" s="1"/>
  <c r="R319" i="3"/>
  <c r="M74" i="3"/>
  <c r="U74" i="3" s="1"/>
  <c r="Q74" i="3" s="1"/>
  <c r="O322" i="3"/>
  <c r="M56" i="3"/>
  <c r="O56" i="3" s="1"/>
  <c r="R214" i="3"/>
  <c r="O260" i="3"/>
  <c r="S260" i="3" s="1"/>
  <c r="R255" i="3"/>
  <c r="M134" i="3"/>
  <c r="O134" i="3" s="1"/>
  <c r="S134" i="3" s="1"/>
  <c r="R111" i="3"/>
  <c r="R380" i="3"/>
  <c r="S380" i="3" s="1"/>
  <c r="M88" i="3"/>
  <c r="U88" i="3" s="1"/>
  <c r="Q88" i="3" s="1"/>
  <c r="O168" i="3"/>
  <c r="O111" i="3"/>
  <c r="R296" i="3"/>
  <c r="M120" i="3"/>
  <c r="U120" i="3" s="1"/>
  <c r="Q120" i="3" s="1"/>
  <c r="O314" i="3"/>
  <c r="S314" i="3" s="1"/>
  <c r="U195" i="3"/>
  <c r="Q195" i="3" s="1"/>
  <c r="U215" i="3"/>
  <c r="Q215" i="3" s="1"/>
  <c r="S152" i="3"/>
  <c r="R183" i="3"/>
  <c r="R28" i="3"/>
  <c r="M49" i="3"/>
  <c r="U49" i="3" s="1"/>
  <c r="Q49" i="3" s="1"/>
  <c r="M229" i="3"/>
  <c r="U229" i="3" s="1"/>
  <c r="Q229" i="3" s="1"/>
  <c r="M223" i="3"/>
  <c r="U223" i="3" s="1"/>
  <c r="Q223" i="3" s="1"/>
  <c r="U322" i="3"/>
  <c r="Q322" i="3" s="1"/>
  <c r="R311" i="3"/>
  <c r="O133" i="3"/>
  <c r="R110" i="3"/>
  <c r="S98" i="3"/>
  <c r="U126" i="3"/>
  <c r="Q126" i="3" s="1"/>
  <c r="S126" i="3"/>
  <c r="O177" i="3"/>
  <c r="S177" i="3" s="1"/>
  <c r="M283" i="3"/>
  <c r="U283" i="3" s="1"/>
  <c r="Q283" i="3" s="1"/>
  <c r="R165" i="3"/>
  <c r="O285" i="3"/>
  <c r="S285" i="3" s="1"/>
  <c r="U146" i="3"/>
  <c r="Q146" i="3" s="1"/>
  <c r="R322" i="3"/>
  <c r="U365" i="3"/>
  <c r="Q365" i="3" s="1"/>
  <c r="M299" i="3"/>
  <c r="O299" i="3" s="1"/>
  <c r="M218" i="3"/>
  <c r="O218" i="3" s="1"/>
  <c r="O248" i="3"/>
  <c r="R206" i="3"/>
  <c r="U98" i="3"/>
  <c r="Q98" i="3" s="1"/>
  <c r="M359" i="3"/>
  <c r="O359" i="3" s="1"/>
  <c r="O355" i="3"/>
  <c r="M181" i="3"/>
  <c r="U181" i="3" s="1"/>
  <c r="Q181" i="3" s="1"/>
  <c r="M30" i="3"/>
  <c r="U30" i="3" s="1"/>
  <c r="Q30" i="3" s="1"/>
  <c r="R169" i="3"/>
  <c r="M360" i="3"/>
  <c r="O360" i="3" s="1"/>
  <c r="R188" i="3"/>
  <c r="M31" i="3"/>
  <c r="U31" i="3" s="1"/>
  <c r="Q31" i="3" s="1"/>
  <c r="O277" i="3"/>
  <c r="S277" i="3" s="1"/>
  <c r="R355" i="3"/>
  <c r="M19" i="3"/>
  <c r="O19" i="3" s="1"/>
  <c r="R343" i="3"/>
  <c r="O313" i="3"/>
  <c r="S313" i="3" s="1"/>
  <c r="R195" i="3"/>
  <c r="S195" i="3" s="1"/>
  <c r="R37" i="3"/>
  <c r="M149" i="3"/>
  <c r="O307" i="3"/>
  <c r="O316" i="3"/>
  <c r="U380" i="3"/>
  <c r="Q380" i="3" s="1"/>
  <c r="M23" i="3"/>
  <c r="O23" i="3" s="1"/>
  <c r="R282" i="3"/>
  <c r="O330" i="3"/>
  <c r="S330" i="3" s="1"/>
  <c r="R227" i="3"/>
  <c r="R307" i="3"/>
  <c r="R55" i="3"/>
  <c r="M290" i="3"/>
  <c r="U290" i="3" s="1"/>
  <c r="Q290" i="3" s="1"/>
  <c r="U330" i="3"/>
  <c r="Q330" i="3" s="1"/>
  <c r="O227" i="3"/>
  <c r="R249" i="3"/>
  <c r="O97" i="3"/>
  <c r="S97" i="3" s="1"/>
  <c r="S146" i="3"/>
  <c r="M348" i="3"/>
  <c r="U348" i="3" s="1"/>
  <c r="Q348" i="3" s="1"/>
  <c r="U152" i="3"/>
  <c r="Q152" i="3" s="1"/>
  <c r="R367" i="3"/>
  <c r="M328" i="3"/>
  <c r="U328" i="3" s="1"/>
  <c r="Q328" i="3" s="1"/>
  <c r="O55" i="3"/>
  <c r="U35" i="3"/>
  <c r="Q35" i="3" s="1"/>
  <c r="O199" i="3"/>
  <c r="S199" i="3" s="1"/>
  <c r="M162" i="3"/>
  <c r="O162" i="3" s="1"/>
  <c r="R384" i="3"/>
  <c r="O353" i="3"/>
  <c r="S353" i="3" s="1"/>
  <c r="M332" i="3"/>
  <c r="U332" i="3" s="1"/>
  <c r="Q332" i="3" s="1"/>
  <c r="O216" i="3"/>
  <c r="S216" i="3" s="1"/>
  <c r="O325" i="3"/>
  <c r="S325" i="3" s="1"/>
  <c r="R207" i="3"/>
  <c r="S207" i="3" s="1"/>
  <c r="O228" i="3"/>
  <c r="S228" i="3" s="1"/>
  <c r="R211" i="3"/>
  <c r="O191" i="3"/>
  <c r="S191" i="3" s="1"/>
  <c r="O114" i="3"/>
  <c r="S114" i="3" s="1"/>
  <c r="O342" i="3"/>
  <c r="S342" i="3" s="1"/>
  <c r="M254" i="3"/>
  <c r="U254" i="3" s="1"/>
  <c r="Q254" i="3" s="1"/>
  <c r="O366" i="3"/>
  <c r="S366" i="3" s="1"/>
  <c r="O329" i="3"/>
  <c r="S329" i="3" s="1"/>
  <c r="R321" i="3"/>
  <c r="R147" i="3"/>
  <c r="M80" i="3"/>
  <c r="U80" i="3" s="1"/>
  <c r="Q80" i="3" s="1"/>
  <c r="R75" i="3"/>
  <c r="O70" i="3"/>
  <c r="S70" i="3" s="1"/>
  <c r="O233" i="3"/>
  <c r="S233" i="3" s="1"/>
  <c r="R205" i="3"/>
  <c r="U207" i="3"/>
  <c r="Q207" i="3" s="1"/>
  <c r="R320" i="3"/>
  <c r="M289" i="3"/>
  <c r="O289" i="3" s="1"/>
  <c r="M117" i="3"/>
  <c r="O117" i="3" s="1"/>
  <c r="O65" i="3"/>
  <c r="O164" i="3"/>
  <c r="S164" i="3" s="1"/>
  <c r="O261" i="3"/>
  <c r="S261" i="3" s="1"/>
  <c r="M22" i="3"/>
  <c r="U22" i="3" s="1"/>
  <c r="Q22" i="3" s="1"/>
  <c r="U257" i="3"/>
  <c r="Q257" i="3" s="1"/>
  <c r="O257" i="3"/>
  <c r="S257" i="3" s="1"/>
  <c r="M167" i="3"/>
  <c r="R167" i="3"/>
  <c r="M176" i="3"/>
  <c r="U176" i="3" s="1"/>
  <c r="Q176" i="3" s="1"/>
  <c r="M182" i="3"/>
  <c r="R182" i="3"/>
  <c r="U273" i="3"/>
  <c r="Q273" i="3" s="1"/>
  <c r="O273" i="3"/>
  <c r="S273" i="3" s="1"/>
  <c r="R82" i="3"/>
  <c r="M82" i="3"/>
  <c r="R377" i="3"/>
  <c r="M377" i="3"/>
  <c r="R24" i="3"/>
  <c r="M24" i="3"/>
  <c r="R196" i="3"/>
  <c r="M196" i="3"/>
  <c r="R258" i="3"/>
  <c r="M258" i="3"/>
  <c r="R357" i="3"/>
  <c r="M357" i="3"/>
  <c r="M382" i="3"/>
  <c r="R382" i="3"/>
  <c r="M335" i="3"/>
  <c r="O335" i="3" s="1"/>
  <c r="O188" i="3"/>
  <c r="M381" i="3"/>
  <c r="R381" i="3"/>
  <c r="R179" i="3"/>
  <c r="M179" i="3"/>
  <c r="R36" i="3"/>
  <c r="M36" i="3"/>
  <c r="R102" i="3"/>
  <c r="M102" i="3"/>
  <c r="R284" i="3"/>
  <c r="M284" i="3"/>
  <c r="R41" i="3"/>
  <c r="O354" i="3"/>
  <c r="S354" i="3" s="1"/>
  <c r="M372" i="3"/>
  <c r="O372" i="3" s="1"/>
  <c r="R128" i="3"/>
  <c r="M128" i="3"/>
  <c r="M370" i="3"/>
  <c r="R370" i="3"/>
  <c r="O132" i="3"/>
  <c r="S132" i="3" s="1"/>
  <c r="M331" i="3"/>
  <c r="R331" i="3"/>
  <c r="R21" i="3"/>
  <c r="M21" i="3"/>
  <c r="M281" i="3"/>
  <c r="R226" i="3"/>
  <c r="M226" i="3"/>
  <c r="M239" i="3"/>
  <c r="R239" i="3"/>
  <c r="R316" i="3"/>
  <c r="M89" i="3"/>
  <c r="U89" i="3" s="1"/>
  <c r="Q89" i="3" s="1"/>
  <c r="R46" i="3"/>
  <c r="M46" i="3"/>
  <c r="O52" i="3"/>
  <c r="S52" i="3" s="1"/>
  <c r="O140" i="3"/>
  <c r="U140" i="3"/>
  <c r="Q140" i="3" s="1"/>
  <c r="O318" i="3"/>
  <c r="S318" i="3" s="1"/>
  <c r="O378" i="3"/>
  <c r="S378" i="3" s="1"/>
  <c r="R280" i="3"/>
  <c r="M280" i="3"/>
  <c r="M369" i="3"/>
  <c r="R369" i="3"/>
  <c r="M383" i="3"/>
  <c r="O383" i="3" s="1"/>
  <c r="U368" i="3"/>
  <c r="Q368" i="3" s="1"/>
  <c r="M116" i="3"/>
  <c r="O116" i="3" s="1"/>
  <c r="R157" i="3"/>
  <c r="O118" i="3"/>
  <c r="S118" i="3" s="1"/>
  <c r="M269" i="3"/>
  <c r="U343" i="3"/>
  <c r="Q343" i="3" s="1"/>
  <c r="O343" i="3"/>
  <c r="R248" i="3"/>
  <c r="M204" i="3"/>
  <c r="R204" i="3"/>
  <c r="M235" i="3"/>
  <c r="U235" i="3" s="1"/>
  <c r="Q235" i="3" s="1"/>
  <c r="R83" i="3"/>
  <c r="M83" i="3"/>
  <c r="M145" i="3"/>
  <c r="O145" i="3" s="1"/>
  <c r="O192" i="3"/>
  <c r="S192" i="3" s="1"/>
  <c r="M224" i="3"/>
  <c r="R224" i="3"/>
  <c r="M288" i="3"/>
  <c r="R288" i="3"/>
  <c r="M203" i="3"/>
  <c r="R203" i="3"/>
  <c r="M220" i="3"/>
  <c r="O220" i="3" s="1"/>
  <c r="M190" i="3"/>
  <c r="R190" i="3"/>
  <c r="O244" i="3"/>
  <c r="S244" i="3" s="1"/>
  <c r="U367" i="3"/>
  <c r="Q367" i="3" s="1"/>
  <c r="O367" i="3"/>
  <c r="M225" i="3"/>
  <c r="R225" i="3"/>
  <c r="M293" i="3"/>
  <c r="M144" i="3"/>
  <c r="R144" i="3"/>
  <c r="O278" i="3"/>
  <c r="S278" i="3" s="1"/>
  <c r="M170" i="3"/>
  <c r="U170" i="3" s="1"/>
  <c r="Q170" i="3" s="1"/>
  <c r="O109" i="3"/>
  <c r="S109" i="3" s="1"/>
  <c r="O33" i="3"/>
  <c r="S33" i="3" s="1"/>
  <c r="M379" i="3"/>
  <c r="R379" i="3"/>
  <c r="M334" i="3"/>
  <c r="R334" i="3"/>
  <c r="R76" i="3"/>
  <c r="M76" i="3"/>
  <c r="M345" i="3"/>
  <c r="R345" i="3"/>
  <c r="M138" i="3"/>
  <c r="R138" i="3"/>
  <c r="O259" i="3"/>
  <c r="S259" i="3" s="1"/>
  <c r="R92" i="3"/>
  <c r="R344" i="3"/>
  <c r="U356" i="3"/>
  <c r="Q356" i="3" s="1"/>
  <c r="O341" i="3"/>
  <c r="S341" i="3" s="1"/>
  <c r="U131" i="3"/>
  <c r="Q131" i="3" s="1"/>
  <c r="M112" i="3"/>
  <c r="R112" i="3"/>
  <c r="R346" i="3"/>
  <c r="M346" i="3"/>
  <c r="R58" i="3"/>
  <c r="M58" i="3"/>
  <c r="M158" i="3"/>
  <c r="R158" i="3"/>
  <c r="M371" i="3"/>
  <c r="O371" i="3" s="1"/>
  <c r="R368" i="3"/>
  <c r="S368" i="3" s="1"/>
  <c r="R356" i="3"/>
  <c r="S356" i="3" s="1"/>
  <c r="M155" i="3"/>
  <c r="U155" i="3" s="1"/>
  <c r="Q155" i="3" s="1"/>
  <c r="R65" i="3"/>
  <c r="O292" i="3"/>
  <c r="R124" i="3"/>
  <c r="M124" i="3"/>
  <c r="R246" i="3"/>
  <c r="M246" i="3"/>
  <c r="M333" i="3"/>
  <c r="R333" i="3"/>
  <c r="M358" i="3"/>
  <c r="R358" i="3"/>
  <c r="R90" i="3"/>
  <c r="M90" i="3"/>
  <c r="U350" i="3"/>
  <c r="Q350" i="3" s="1"/>
  <c r="O350" i="3"/>
  <c r="M243" i="3"/>
  <c r="R243" i="3"/>
  <c r="R312" i="3"/>
  <c r="M312" i="3"/>
  <c r="U231" i="3"/>
  <c r="Q231" i="3" s="1"/>
  <c r="O231" i="3"/>
  <c r="U121" i="3"/>
  <c r="Q121" i="3" s="1"/>
  <c r="O121" i="3"/>
  <c r="O57" i="3"/>
  <c r="U57" i="3"/>
  <c r="Q57" i="3" s="1"/>
  <c r="R363" i="3"/>
  <c r="R340" i="3"/>
  <c r="M340" i="3"/>
  <c r="U317" i="3"/>
  <c r="Q317" i="3" s="1"/>
  <c r="O317" i="3"/>
  <c r="R326" i="3"/>
  <c r="M326" i="3"/>
  <c r="O232" i="3"/>
  <c r="U232" i="3"/>
  <c r="Q232" i="3" s="1"/>
  <c r="R148" i="3"/>
  <c r="M148" i="3"/>
  <c r="U205" i="3"/>
  <c r="Q205" i="3" s="1"/>
  <c r="O205" i="3"/>
  <c r="M184" i="3"/>
  <c r="R184" i="3"/>
  <c r="M178" i="3"/>
  <c r="R178" i="3"/>
  <c r="M123" i="3"/>
  <c r="R123" i="3"/>
  <c r="M115" i="3"/>
  <c r="R115" i="3"/>
  <c r="O85" i="3"/>
  <c r="U85" i="3"/>
  <c r="Q85" i="3" s="1"/>
  <c r="U147" i="3"/>
  <c r="Q147" i="3" s="1"/>
  <c r="O147" i="3"/>
  <c r="R108" i="3"/>
  <c r="M108" i="3"/>
  <c r="O59" i="3"/>
  <c r="U59" i="3"/>
  <c r="Q59" i="3" s="1"/>
  <c r="U37" i="3"/>
  <c r="Q37" i="3" s="1"/>
  <c r="O37" i="3"/>
  <c r="U386" i="3"/>
  <c r="Q386" i="3" s="1"/>
  <c r="O386" i="3"/>
  <c r="U34" i="3"/>
  <c r="Q34" i="3" s="1"/>
  <c r="O34" i="3"/>
  <c r="O373" i="3"/>
  <c r="U373" i="3"/>
  <c r="Q373" i="3" s="1"/>
  <c r="O384" i="3"/>
  <c r="U384" i="3"/>
  <c r="Q384" i="3" s="1"/>
  <c r="M315" i="3"/>
  <c r="R315" i="3"/>
  <c r="O295" i="3"/>
  <c r="U295" i="3"/>
  <c r="Q295" i="3" s="1"/>
  <c r="R237" i="3"/>
  <c r="M237" i="3"/>
  <c r="M240" i="3"/>
  <c r="R240" i="3"/>
  <c r="U265" i="3"/>
  <c r="Q265" i="3" s="1"/>
  <c r="O265" i="3"/>
  <c r="U185" i="3"/>
  <c r="Q185" i="3" s="1"/>
  <c r="O185" i="3"/>
  <c r="R150" i="3"/>
  <c r="M150" i="3"/>
  <c r="U210" i="3"/>
  <c r="Q210" i="3" s="1"/>
  <c r="O210" i="3"/>
  <c r="O94" i="3"/>
  <c r="U94" i="3"/>
  <c r="Q94" i="3" s="1"/>
  <c r="O73" i="3"/>
  <c r="U73" i="3"/>
  <c r="Q73" i="3" s="1"/>
  <c r="M91" i="3"/>
  <c r="R91" i="3"/>
  <c r="U143" i="3"/>
  <c r="Q143" i="3" s="1"/>
  <c r="O143" i="3"/>
  <c r="U50" i="3"/>
  <c r="Q50" i="3" s="1"/>
  <c r="O50" i="3"/>
  <c r="O18" i="3"/>
  <c r="U18" i="3"/>
  <c r="Q18" i="3" s="1"/>
  <c r="O17" i="3"/>
  <c r="U17" i="3"/>
  <c r="Q17" i="3" s="1"/>
  <c r="O308" i="3"/>
  <c r="U308" i="3"/>
  <c r="Q308" i="3" s="1"/>
  <c r="M153" i="3"/>
  <c r="R153" i="3"/>
  <c r="O110" i="3"/>
  <c r="U110" i="3"/>
  <c r="Q110" i="3" s="1"/>
  <c r="U87" i="3"/>
  <c r="Q87" i="3" s="1"/>
  <c r="O87" i="3"/>
  <c r="O81" i="3"/>
  <c r="U81" i="3"/>
  <c r="Q81" i="3" s="1"/>
  <c r="O16" i="3"/>
  <c r="U16" i="3"/>
  <c r="Q16" i="3" s="1"/>
  <c r="U374" i="3"/>
  <c r="Q374" i="3" s="1"/>
  <c r="O374" i="3"/>
  <c r="R324" i="3"/>
  <c r="M324" i="3"/>
  <c r="M286" i="3"/>
  <c r="R286" i="3"/>
  <c r="R352" i="3"/>
  <c r="M352" i="3"/>
  <c r="M297" i="3"/>
  <c r="R297" i="3"/>
  <c r="R303" i="3"/>
  <c r="M303" i="3"/>
  <c r="S276" i="3"/>
  <c r="R252" i="3"/>
  <c r="M252" i="3"/>
  <c r="M241" i="3"/>
  <c r="R241" i="3"/>
  <c r="U189" i="3"/>
  <c r="Q189" i="3" s="1"/>
  <c r="O189" i="3"/>
  <c r="O163" i="3"/>
  <c r="U163" i="3"/>
  <c r="Q163" i="3" s="1"/>
  <c r="R113" i="3"/>
  <c r="M113" i="3"/>
  <c r="U165" i="3"/>
  <c r="Q165" i="3" s="1"/>
  <c r="O165" i="3"/>
  <c r="U77" i="3"/>
  <c r="Q77" i="3" s="1"/>
  <c r="O77" i="3"/>
  <c r="U44" i="3"/>
  <c r="Q44" i="3" s="1"/>
  <c r="O44" i="3"/>
  <c r="M309" i="3"/>
  <c r="R309" i="3"/>
  <c r="R247" i="3"/>
  <c r="M247" i="3"/>
  <c r="M103" i="3"/>
  <c r="R103" i="3"/>
  <c r="U338" i="3"/>
  <c r="Q338" i="3" s="1"/>
  <c r="O338" i="3"/>
  <c r="R336" i="3"/>
  <c r="M336" i="3"/>
  <c r="O311" i="3"/>
  <c r="U311" i="3"/>
  <c r="Q311" i="3" s="1"/>
  <c r="O320" i="3"/>
  <c r="U320" i="3"/>
  <c r="Q320" i="3" s="1"/>
  <c r="U306" i="3"/>
  <c r="Q306" i="3" s="1"/>
  <c r="O306" i="3"/>
  <c r="U236" i="3"/>
  <c r="Q236" i="3" s="1"/>
  <c r="O236" i="3"/>
  <c r="R154" i="3"/>
  <c r="M154" i="3"/>
  <c r="R208" i="3"/>
  <c r="M208" i="3"/>
  <c r="O222" i="3"/>
  <c r="U222" i="3"/>
  <c r="Q222" i="3" s="1"/>
  <c r="R160" i="3"/>
  <c r="M160" i="3"/>
  <c r="R84" i="3"/>
  <c r="M84" i="3"/>
  <c r="O95" i="3"/>
  <c r="U95" i="3"/>
  <c r="Q95" i="3" s="1"/>
  <c r="O107" i="3"/>
  <c r="U107" i="3"/>
  <c r="Q107" i="3" s="1"/>
  <c r="R339" i="3"/>
  <c r="M339" i="3"/>
  <c r="O302" i="3"/>
  <c r="U302" i="3"/>
  <c r="Q302" i="3" s="1"/>
  <c r="R298" i="3"/>
  <c r="M298" i="3"/>
  <c r="R270" i="3"/>
  <c r="M270" i="3"/>
  <c r="R327" i="3"/>
  <c r="M327" i="3"/>
  <c r="O268" i="3"/>
  <c r="U268" i="3"/>
  <c r="Q268" i="3" s="1"/>
  <c r="U242" i="3"/>
  <c r="Q242" i="3" s="1"/>
  <c r="O242" i="3"/>
  <c r="R198" i="3"/>
  <c r="M198" i="3"/>
  <c r="R136" i="3"/>
  <c r="M136" i="3"/>
  <c r="O187" i="3"/>
  <c r="U187" i="3"/>
  <c r="Q187" i="3" s="1"/>
  <c r="O206" i="3"/>
  <c r="U206" i="3"/>
  <c r="Q206" i="3" s="1"/>
  <c r="M171" i="3"/>
  <c r="R171" i="3"/>
  <c r="M166" i="3"/>
  <c r="R166" i="3"/>
  <c r="M27" i="3"/>
  <c r="R27" i="3"/>
  <c r="R68" i="3"/>
  <c r="M68" i="3"/>
  <c r="M139" i="3"/>
  <c r="R139" i="3"/>
  <c r="R137" i="3"/>
  <c r="M137" i="3"/>
  <c r="M79" i="3"/>
  <c r="R79" i="3"/>
  <c r="U51" i="3"/>
  <c r="Q51" i="3" s="1"/>
  <c r="O51" i="3"/>
  <c r="U25" i="3"/>
  <c r="Q25" i="3" s="1"/>
  <c r="O25" i="3"/>
  <c r="R275" i="3"/>
  <c r="M275" i="3"/>
  <c r="R304" i="3"/>
  <c r="M304" i="3"/>
  <c r="O255" i="3"/>
  <c r="U255" i="3"/>
  <c r="Q255" i="3" s="1"/>
  <c r="R194" i="3"/>
  <c r="M194" i="3"/>
  <c r="O180" i="3"/>
  <c r="U180" i="3"/>
  <c r="Q180" i="3" s="1"/>
  <c r="O211" i="3"/>
  <c r="M161" i="3"/>
  <c r="R161" i="3"/>
  <c r="O197" i="3"/>
  <c r="U197" i="3"/>
  <c r="Q197" i="3" s="1"/>
  <c r="O66" i="3"/>
  <c r="U174" i="3"/>
  <c r="Q174" i="3" s="1"/>
  <c r="O174" i="3"/>
  <c r="R60" i="3"/>
  <c r="M60" i="3"/>
  <c r="O78" i="3"/>
  <c r="M69" i="3"/>
  <c r="R69" i="3"/>
  <c r="O45" i="3"/>
  <c r="U45" i="3"/>
  <c r="Q45" i="3" s="1"/>
  <c r="U63" i="3"/>
  <c r="Q63" i="3" s="1"/>
  <c r="O63" i="3"/>
  <c r="O32" i="3"/>
  <c r="U32" i="3"/>
  <c r="Q32" i="3" s="1"/>
  <c r="U305" i="3"/>
  <c r="Q305" i="3" s="1"/>
  <c r="O305" i="3"/>
  <c r="R267" i="3"/>
  <c r="M267" i="3"/>
  <c r="R300" i="3"/>
  <c r="M300" i="3"/>
  <c r="R271" i="3"/>
  <c r="M271" i="3"/>
  <c r="U282" i="3"/>
  <c r="Q282" i="3" s="1"/>
  <c r="O282" i="3"/>
  <c r="O183" i="3"/>
  <c r="U183" i="3"/>
  <c r="Q183" i="3" s="1"/>
  <c r="O256" i="3"/>
  <c r="U256" i="3"/>
  <c r="Q256" i="3" s="1"/>
  <c r="S215" i="3"/>
  <c r="M142" i="3"/>
  <c r="R142" i="3"/>
  <c r="R175" i="3"/>
  <c r="M175" i="3"/>
  <c r="R172" i="3"/>
  <c r="M172" i="3"/>
  <c r="O157" i="3"/>
  <c r="U157" i="3"/>
  <c r="Q157" i="3" s="1"/>
  <c r="R72" i="3"/>
  <c r="M72" i="3"/>
  <c r="R106" i="3"/>
  <c r="M106" i="3"/>
  <c r="O64" i="3"/>
  <c r="O41" i="3"/>
  <c r="U41" i="3"/>
  <c r="Q41" i="3" s="1"/>
  <c r="O28" i="3"/>
  <c r="U28" i="3"/>
  <c r="Q28" i="3" s="1"/>
  <c r="U274" i="3"/>
  <c r="Q274" i="3" s="1"/>
  <c r="O274" i="3"/>
  <c r="R323" i="3"/>
  <c r="M323" i="3"/>
  <c r="U279" i="3"/>
  <c r="Q279" i="3" s="1"/>
  <c r="O279" i="3"/>
  <c r="O264" i="3"/>
  <c r="U264" i="3"/>
  <c r="Q264" i="3" s="1"/>
  <c r="M230" i="3"/>
  <c r="R230" i="3"/>
  <c r="R202" i="3"/>
  <c r="M202" i="3"/>
  <c r="R238" i="3"/>
  <c r="M238" i="3"/>
  <c r="U212" i="3"/>
  <c r="Q212" i="3" s="1"/>
  <c r="O212" i="3"/>
  <c r="M130" i="3"/>
  <c r="R130" i="3"/>
  <c r="U186" i="3"/>
  <c r="Q186" i="3" s="1"/>
  <c r="O186" i="3"/>
  <c r="M104" i="3"/>
  <c r="R104" i="3"/>
  <c r="M38" i="3"/>
  <c r="R38" i="3"/>
  <c r="O61" i="3"/>
  <c r="U61" i="3"/>
  <c r="Q61" i="3" s="1"/>
  <c r="O40" i="3"/>
  <c r="U40" i="3"/>
  <c r="Q40" i="3" s="1"/>
  <c r="O29" i="3"/>
  <c r="U29" i="3"/>
  <c r="Q29" i="3" s="1"/>
  <c r="U375" i="3"/>
  <c r="Q375" i="3" s="1"/>
  <c r="O375" i="3"/>
  <c r="R364" i="3"/>
  <c r="M364" i="3"/>
  <c r="M291" i="3"/>
  <c r="R291" i="3"/>
  <c r="R251" i="3"/>
  <c r="M251" i="3"/>
  <c r="M217" i="3"/>
  <c r="R217" i="3"/>
  <c r="R234" i="3"/>
  <c r="M234" i="3"/>
  <c r="M129" i="3"/>
  <c r="R129" i="3"/>
  <c r="R42" i="3"/>
  <c r="M42" i="3"/>
  <c r="O20" i="3"/>
  <c r="U20" i="3"/>
  <c r="Q20" i="3" s="1"/>
  <c r="U75" i="3"/>
  <c r="Q75" i="3" s="1"/>
  <c r="O75" i="3"/>
  <c r="U47" i="3"/>
  <c r="Q47" i="3" s="1"/>
  <c r="O47" i="3"/>
  <c r="O294" i="3"/>
  <c r="U294" i="3"/>
  <c r="Q294" i="3" s="1"/>
  <c r="U250" i="3"/>
  <c r="Q250" i="3" s="1"/>
  <c r="O250" i="3"/>
  <c r="O344" i="3"/>
  <c r="U344" i="3"/>
  <c r="Q344" i="3" s="1"/>
  <c r="S365" i="3"/>
  <c r="U362" i="3"/>
  <c r="Q362" i="3" s="1"/>
  <c r="O362" i="3"/>
  <c r="R263" i="3"/>
  <c r="M263" i="3"/>
  <c r="O262" i="3"/>
  <c r="U262" i="3"/>
  <c r="Q262" i="3" s="1"/>
  <c r="U296" i="3"/>
  <c r="Q296" i="3" s="1"/>
  <c r="O296" i="3"/>
  <c r="M287" i="3"/>
  <c r="R287" i="3"/>
  <c r="R272" i="3"/>
  <c r="M272" i="3"/>
  <c r="U249" i="3"/>
  <c r="Q249" i="3" s="1"/>
  <c r="O249" i="3"/>
  <c r="M193" i="3"/>
  <c r="R193" i="3"/>
  <c r="U214" i="3"/>
  <c r="Q214" i="3" s="1"/>
  <c r="O214" i="3"/>
  <c r="M245" i="3"/>
  <c r="R245" i="3"/>
  <c r="U213" i="3"/>
  <c r="Q213" i="3" s="1"/>
  <c r="O213" i="3"/>
  <c r="U169" i="3"/>
  <c r="Q169" i="3" s="1"/>
  <c r="O169" i="3"/>
  <c r="M127" i="3"/>
  <c r="R127" i="3"/>
  <c r="U122" i="3"/>
  <c r="Q122" i="3" s="1"/>
  <c r="O122" i="3"/>
  <c r="M141" i="3"/>
  <c r="R141" i="3"/>
  <c r="O62" i="3"/>
  <c r="R351" i="3"/>
  <c r="M351" i="3"/>
  <c r="O361" i="3"/>
  <c r="U361" i="3"/>
  <c r="Q361" i="3" s="1"/>
  <c r="O385" i="3"/>
  <c r="U385" i="3"/>
  <c r="Q385" i="3" s="1"/>
  <c r="U387" i="3"/>
  <c r="Q387" i="3" s="1"/>
  <c r="O387" i="3"/>
  <c r="O349" i="3"/>
  <c r="U349" i="3"/>
  <c r="Q349" i="3" s="1"/>
  <c r="R376" i="3"/>
  <c r="M376" i="3"/>
  <c r="O337" i="3"/>
  <c r="U337" i="3"/>
  <c r="Q337" i="3" s="1"/>
  <c r="O319" i="3"/>
  <c r="U319" i="3"/>
  <c r="Q319" i="3" s="1"/>
  <c r="O321" i="3"/>
  <c r="U321" i="3"/>
  <c r="Q321" i="3" s="1"/>
  <c r="U221" i="3"/>
  <c r="Q221" i="3" s="1"/>
  <c r="O221" i="3"/>
  <c r="O266" i="3"/>
  <c r="U266" i="3"/>
  <c r="Q266" i="3" s="1"/>
  <c r="U209" i="3"/>
  <c r="Q209" i="3" s="1"/>
  <c r="O209" i="3"/>
  <c r="O219" i="3"/>
  <c r="U219" i="3"/>
  <c r="Q219" i="3" s="1"/>
  <c r="O200" i="3"/>
  <c r="O151" i="3"/>
  <c r="U151" i="3"/>
  <c r="Q151" i="3" s="1"/>
  <c r="M156" i="3"/>
  <c r="R156" i="3"/>
  <c r="M135" i="3"/>
  <c r="R135" i="3"/>
  <c r="M159" i="3"/>
  <c r="R159" i="3"/>
  <c r="R48" i="3"/>
  <c r="M48" i="3"/>
  <c r="R93" i="3"/>
  <c r="R173" i="3"/>
  <c r="M173" i="3"/>
  <c r="M26" i="3"/>
  <c r="R26" i="3"/>
  <c r="R125" i="3"/>
  <c r="M125" i="3"/>
  <c r="U43" i="3"/>
  <c r="Q43" i="3" s="1"/>
  <c r="O43" i="3"/>
  <c r="U71" i="3"/>
  <c r="Q71" i="3" s="1"/>
  <c r="O71" i="3"/>
  <c r="O54" i="3"/>
  <c r="U53" i="3"/>
  <c r="Q53" i="3" s="1"/>
  <c r="O53" i="3"/>
  <c r="U67" i="3"/>
  <c r="Q67" i="3" s="1"/>
  <c r="O67" i="3"/>
  <c r="U15" i="3"/>
  <c r="Q15" i="3" s="1"/>
  <c r="O15" i="3"/>
  <c r="O253" i="3" l="1"/>
  <c r="O74" i="3"/>
  <c r="U56" i="3"/>
  <c r="Q56" i="3" s="1"/>
  <c r="S168" i="3"/>
  <c r="U19" i="3"/>
  <c r="Q19" i="3" s="1"/>
  <c r="O283" i="3"/>
  <c r="S283" i="3" s="1"/>
  <c r="O100" i="3"/>
  <c r="O101" i="3"/>
  <c r="S101" i="3" s="1"/>
  <c r="U299" i="3"/>
  <c r="Q299" i="3" s="1"/>
  <c r="O120" i="3"/>
  <c r="S120" i="3" s="1"/>
  <c r="U360" i="3"/>
  <c r="Q360" i="3" s="1"/>
  <c r="O49" i="3"/>
  <c r="S49" i="3" s="1"/>
  <c r="S322" i="3"/>
  <c r="S111" i="3"/>
  <c r="O30" i="3"/>
  <c r="S30" i="3" s="1"/>
  <c r="O89" i="3"/>
  <c r="S89" i="3" s="1"/>
  <c r="O223" i="3"/>
  <c r="S223" i="3" s="1"/>
  <c r="O181" i="3"/>
  <c r="S181" i="3" s="1"/>
  <c r="O88" i="3"/>
  <c r="S88" i="3" s="1"/>
  <c r="U134" i="3"/>
  <c r="Q134" i="3" s="1"/>
  <c r="U359" i="3"/>
  <c r="Q359" i="3" s="1"/>
  <c r="O35" i="3"/>
  <c r="S35" i="3" s="1"/>
  <c r="S55" i="3"/>
  <c r="O229" i="3"/>
  <c r="S229" i="3" s="1"/>
  <c r="U347" i="3"/>
  <c r="Q347" i="3" s="1"/>
  <c r="S316" i="3"/>
  <c r="U133" i="3"/>
  <c r="Q133" i="3" s="1"/>
  <c r="U23" i="3"/>
  <c r="Q23" i="3" s="1"/>
  <c r="O332" i="3"/>
  <c r="S332" i="3" s="1"/>
  <c r="O170" i="3"/>
  <c r="S170" i="3" s="1"/>
  <c r="U117" i="3"/>
  <c r="Q117" i="3" s="1"/>
  <c r="O348" i="3"/>
  <c r="S348" i="3" s="1"/>
  <c r="O31" i="3"/>
  <c r="S31" i="3" s="1"/>
  <c r="U218" i="3"/>
  <c r="Q218" i="3" s="1"/>
  <c r="S188" i="3"/>
  <c r="S367" i="3"/>
  <c r="S248" i="3"/>
  <c r="U145" i="3"/>
  <c r="Q145" i="3" s="1"/>
  <c r="O254" i="3"/>
  <c r="S254" i="3" s="1"/>
  <c r="U220" i="3"/>
  <c r="Q220" i="3" s="1"/>
  <c r="U383" i="3"/>
  <c r="Q383" i="3" s="1"/>
  <c r="U289" i="3"/>
  <c r="Q289" i="3" s="1"/>
  <c r="S100" i="3"/>
  <c r="S227" i="3"/>
  <c r="S65" i="3"/>
  <c r="U162" i="3"/>
  <c r="Q162" i="3" s="1"/>
  <c r="S343" i="3"/>
  <c r="S355" i="3"/>
  <c r="S307" i="3"/>
  <c r="U96" i="3"/>
  <c r="Q96" i="3" s="1"/>
  <c r="O176" i="3"/>
  <c r="S176" i="3" s="1"/>
  <c r="O131" i="3"/>
  <c r="S131" i="3" s="1"/>
  <c r="O290" i="3"/>
  <c r="S290" i="3" s="1"/>
  <c r="O155" i="3"/>
  <c r="S155" i="3" s="1"/>
  <c r="O149" i="3"/>
  <c r="S149" i="3" s="1"/>
  <c r="U149" i="3"/>
  <c r="Q149" i="3" s="1"/>
  <c r="O328" i="3"/>
  <c r="O80" i="3"/>
  <c r="S80" i="3" s="1"/>
  <c r="U372" i="3"/>
  <c r="Q372" i="3" s="1"/>
  <c r="U371" i="3"/>
  <c r="Q371" i="3" s="1"/>
  <c r="O22" i="3"/>
  <c r="S22" i="3" s="1"/>
  <c r="O190" i="3"/>
  <c r="S190" i="3" s="1"/>
  <c r="U190" i="3"/>
  <c r="Q190" i="3" s="1"/>
  <c r="O82" i="3"/>
  <c r="S82" i="3" s="1"/>
  <c r="U82" i="3"/>
  <c r="Q82" i="3" s="1"/>
  <c r="O382" i="3"/>
  <c r="S382" i="3" s="1"/>
  <c r="U382" i="3"/>
  <c r="Q382" i="3" s="1"/>
  <c r="U116" i="3"/>
  <c r="Q116" i="3" s="1"/>
  <c r="U90" i="3"/>
  <c r="Q90" i="3" s="1"/>
  <c r="O90" i="3"/>
  <c r="S90" i="3" s="1"/>
  <c r="U112" i="3"/>
  <c r="Q112" i="3" s="1"/>
  <c r="O112" i="3"/>
  <c r="S112" i="3" s="1"/>
  <c r="O76" i="3"/>
  <c r="S76" i="3" s="1"/>
  <c r="U76" i="3"/>
  <c r="Q76" i="3" s="1"/>
  <c r="O293" i="3"/>
  <c r="S293" i="3" s="1"/>
  <c r="U293" i="3"/>
  <c r="Q293" i="3" s="1"/>
  <c r="U203" i="3"/>
  <c r="Q203" i="3" s="1"/>
  <c r="O203" i="3"/>
  <c r="S203" i="3" s="1"/>
  <c r="O357" i="3"/>
  <c r="S357" i="3" s="1"/>
  <c r="U357" i="3"/>
  <c r="Q357" i="3" s="1"/>
  <c r="U284" i="3"/>
  <c r="Q284" i="3" s="1"/>
  <c r="O284" i="3"/>
  <c r="S284" i="3" s="1"/>
  <c r="U36" i="3"/>
  <c r="Q36" i="3" s="1"/>
  <c r="O36" i="3"/>
  <c r="S36" i="3" s="1"/>
  <c r="O346" i="3"/>
  <c r="S346" i="3" s="1"/>
  <c r="U346" i="3"/>
  <c r="Q346" i="3" s="1"/>
  <c r="U83" i="3"/>
  <c r="Q83" i="3" s="1"/>
  <c r="O83" i="3"/>
  <c r="S83" i="3" s="1"/>
  <c r="O225" i="3"/>
  <c r="S225" i="3" s="1"/>
  <c r="U225" i="3"/>
  <c r="Q225" i="3" s="1"/>
  <c r="U288" i="3"/>
  <c r="Q288" i="3" s="1"/>
  <c r="O288" i="3"/>
  <c r="S288" i="3" s="1"/>
  <c r="O369" i="3"/>
  <c r="S369" i="3" s="1"/>
  <c r="U369" i="3"/>
  <c r="Q369" i="3" s="1"/>
  <c r="O370" i="3"/>
  <c r="S370" i="3" s="1"/>
  <c r="U370" i="3"/>
  <c r="Q370" i="3" s="1"/>
  <c r="U258" i="3"/>
  <c r="Q258" i="3" s="1"/>
  <c r="O258" i="3"/>
  <c r="S258" i="3" s="1"/>
  <c r="U331" i="3"/>
  <c r="Q331" i="3" s="1"/>
  <c r="O331" i="3"/>
  <c r="S331" i="3" s="1"/>
  <c r="O358" i="3"/>
  <c r="S358" i="3" s="1"/>
  <c r="U358" i="3"/>
  <c r="Q358" i="3" s="1"/>
  <c r="O334" i="3"/>
  <c r="S334" i="3" s="1"/>
  <c r="U334" i="3"/>
  <c r="Q334" i="3" s="1"/>
  <c r="U280" i="3"/>
  <c r="Q280" i="3" s="1"/>
  <c r="O280" i="3"/>
  <c r="S280" i="3" s="1"/>
  <c r="U239" i="3"/>
  <c r="Q239" i="3" s="1"/>
  <c r="O239" i="3"/>
  <c r="S239" i="3" s="1"/>
  <c r="U128" i="3"/>
  <c r="Q128" i="3" s="1"/>
  <c r="O128" i="3"/>
  <c r="S128" i="3" s="1"/>
  <c r="U179" i="3"/>
  <c r="Q179" i="3" s="1"/>
  <c r="O179" i="3"/>
  <c r="S179" i="3" s="1"/>
  <c r="O182" i="3"/>
  <c r="S182" i="3" s="1"/>
  <c r="U182" i="3"/>
  <c r="Q182" i="3" s="1"/>
  <c r="U102" i="3"/>
  <c r="Q102" i="3" s="1"/>
  <c r="O102" i="3"/>
  <c r="S102" i="3" s="1"/>
  <c r="O310" i="3"/>
  <c r="S310" i="3" s="1"/>
  <c r="U310" i="3"/>
  <c r="Q310" i="3" s="1"/>
  <c r="O226" i="3"/>
  <c r="S226" i="3" s="1"/>
  <c r="U226" i="3"/>
  <c r="Q226" i="3" s="1"/>
  <c r="U196" i="3"/>
  <c r="Q196" i="3" s="1"/>
  <c r="O196" i="3"/>
  <c r="S196" i="3" s="1"/>
  <c r="U345" i="3"/>
  <c r="Q345" i="3" s="1"/>
  <c r="O345" i="3"/>
  <c r="S345" i="3" s="1"/>
  <c r="U333" i="3"/>
  <c r="Q333" i="3" s="1"/>
  <c r="O333" i="3"/>
  <c r="S333" i="3" s="1"/>
  <c r="U92" i="3"/>
  <c r="Q92" i="3" s="1"/>
  <c r="O92" i="3"/>
  <c r="U379" i="3"/>
  <c r="Q379" i="3" s="1"/>
  <c r="O379" i="3"/>
  <c r="S379" i="3" s="1"/>
  <c r="U269" i="3"/>
  <c r="Q269" i="3" s="1"/>
  <c r="O269" i="3"/>
  <c r="S269" i="3" s="1"/>
  <c r="U138" i="3"/>
  <c r="Q138" i="3" s="1"/>
  <c r="O138" i="3"/>
  <c r="S138" i="3" s="1"/>
  <c r="S292" i="3"/>
  <c r="U335" i="3"/>
  <c r="Q335" i="3" s="1"/>
  <c r="U246" i="3"/>
  <c r="Q246" i="3" s="1"/>
  <c r="O246" i="3"/>
  <c r="S246" i="3" s="1"/>
  <c r="O158" i="3"/>
  <c r="S158" i="3" s="1"/>
  <c r="U158" i="3"/>
  <c r="Q158" i="3" s="1"/>
  <c r="U224" i="3"/>
  <c r="Q224" i="3" s="1"/>
  <c r="O224" i="3"/>
  <c r="S224" i="3" s="1"/>
  <c r="U281" i="3"/>
  <c r="Q281" i="3" s="1"/>
  <c r="O281" i="3"/>
  <c r="S281" i="3" s="1"/>
  <c r="O381" i="3"/>
  <c r="S381" i="3" s="1"/>
  <c r="U381" i="3"/>
  <c r="Q381" i="3" s="1"/>
  <c r="U24" i="3"/>
  <c r="Q24" i="3" s="1"/>
  <c r="O24" i="3"/>
  <c r="S24" i="3" s="1"/>
  <c r="U167" i="3"/>
  <c r="Q167" i="3" s="1"/>
  <c r="O167" i="3"/>
  <c r="S167" i="3" s="1"/>
  <c r="U204" i="3"/>
  <c r="Q204" i="3" s="1"/>
  <c r="O204" i="3"/>
  <c r="S204" i="3" s="1"/>
  <c r="U58" i="3"/>
  <c r="Q58" i="3" s="1"/>
  <c r="O58" i="3"/>
  <c r="S58" i="3" s="1"/>
  <c r="O21" i="3"/>
  <c r="S21" i="3" s="1"/>
  <c r="U21" i="3"/>
  <c r="Q21" i="3" s="1"/>
  <c r="O46" i="3"/>
  <c r="U46" i="3"/>
  <c r="Q46" i="3" s="1"/>
  <c r="O144" i="3"/>
  <c r="S144" i="3" s="1"/>
  <c r="U144" i="3"/>
  <c r="Q144" i="3" s="1"/>
  <c r="O235" i="3"/>
  <c r="S235" i="3" s="1"/>
  <c r="O124" i="3"/>
  <c r="S124" i="3" s="1"/>
  <c r="U124" i="3"/>
  <c r="Q124" i="3" s="1"/>
  <c r="S140" i="3"/>
  <c r="O377" i="3"/>
  <c r="S377" i="3" s="1"/>
  <c r="U377" i="3"/>
  <c r="Q377" i="3" s="1"/>
  <c r="S253" i="3"/>
  <c r="O154" i="3"/>
  <c r="U154" i="3"/>
  <c r="Q154" i="3" s="1"/>
  <c r="S165" i="3"/>
  <c r="S50" i="3"/>
  <c r="U148" i="3"/>
  <c r="Q148" i="3" s="1"/>
  <c r="O148" i="3"/>
  <c r="U312" i="3"/>
  <c r="Q312" i="3" s="1"/>
  <c r="O312" i="3"/>
  <c r="S209" i="3"/>
  <c r="S328" i="3"/>
  <c r="U141" i="3"/>
  <c r="Q141" i="3" s="1"/>
  <c r="O141" i="3"/>
  <c r="S116" i="3"/>
  <c r="S214" i="3"/>
  <c r="S296" i="3"/>
  <c r="S29" i="3"/>
  <c r="O38" i="3"/>
  <c r="U38" i="3"/>
  <c r="Q38" i="3" s="1"/>
  <c r="O230" i="3"/>
  <c r="U230" i="3"/>
  <c r="Q230" i="3" s="1"/>
  <c r="S41" i="3"/>
  <c r="S157" i="3"/>
  <c r="S256" i="3"/>
  <c r="S299" i="3"/>
  <c r="U99" i="3"/>
  <c r="Q99" i="3" s="1"/>
  <c r="O99" i="3"/>
  <c r="S359" i="3"/>
  <c r="U171" i="3"/>
  <c r="Q171" i="3" s="1"/>
  <c r="O171" i="3"/>
  <c r="S107" i="3"/>
  <c r="S117" i="3"/>
  <c r="U241" i="3"/>
  <c r="Q241" i="3" s="1"/>
  <c r="O241" i="3"/>
  <c r="O297" i="3"/>
  <c r="U297" i="3"/>
  <c r="Q297" i="3" s="1"/>
  <c r="S16" i="3"/>
  <c r="S308" i="3"/>
  <c r="S94" i="3"/>
  <c r="U123" i="3"/>
  <c r="Q123" i="3" s="1"/>
  <c r="O123" i="3"/>
  <c r="O234" i="3"/>
  <c r="U234" i="3"/>
  <c r="Q234" i="3" s="1"/>
  <c r="S197" i="3"/>
  <c r="S43" i="3"/>
  <c r="S319" i="3"/>
  <c r="S169" i="3"/>
  <c r="S344" i="3"/>
  <c r="U364" i="3"/>
  <c r="Q364" i="3" s="1"/>
  <c r="O364" i="3"/>
  <c r="S64" i="3"/>
  <c r="O172" i="3"/>
  <c r="U172" i="3"/>
  <c r="Q172" i="3" s="1"/>
  <c r="U300" i="3"/>
  <c r="Q300" i="3" s="1"/>
  <c r="O300" i="3"/>
  <c r="O161" i="3"/>
  <c r="U161" i="3"/>
  <c r="Q161" i="3" s="1"/>
  <c r="U304" i="3"/>
  <c r="Q304" i="3" s="1"/>
  <c r="O304" i="3"/>
  <c r="S338" i="3"/>
  <c r="O247" i="3"/>
  <c r="U247" i="3"/>
  <c r="Q247" i="3" s="1"/>
  <c r="O252" i="3"/>
  <c r="U252" i="3"/>
  <c r="Q252" i="3" s="1"/>
  <c r="O324" i="3"/>
  <c r="U324" i="3"/>
  <c r="Q324" i="3" s="1"/>
  <c r="O108" i="3"/>
  <c r="U108" i="3"/>
  <c r="Q108" i="3" s="1"/>
  <c r="U340" i="3"/>
  <c r="Q340" i="3" s="1"/>
  <c r="O340" i="3"/>
  <c r="S23" i="3"/>
  <c r="S34" i="3"/>
  <c r="U159" i="3"/>
  <c r="Q159" i="3" s="1"/>
  <c r="O159" i="3"/>
  <c r="S250" i="3"/>
  <c r="S20" i="3"/>
  <c r="S40" i="3"/>
  <c r="U130" i="3"/>
  <c r="Q130" i="3" s="1"/>
  <c r="O130" i="3"/>
  <c r="S264" i="3"/>
  <c r="O69" i="3"/>
  <c r="U69" i="3"/>
  <c r="Q69" i="3" s="1"/>
  <c r="S211" i="3"/>
  <c r="S372" i="3"/>
  <c r="U139" i="3"/>
  <c r="Q139" i="3" s="1"/>
  <c r="O139" i="3"/>
  <c r="S95" i="3"/>
  <c r="S133" i="3"/>
  <c r="S81" i="3"/>
  <c r="S218" i="3"/>
  <c r="U119" i="3"/>
  <c r="Q119" i="3" s="1"/>
  <c r="O119" i="3"/>
  <c r="U315" i="3"/>
  <c r="Q315" i="3" s="1"/>
  <c r="O315" i="3"/>
  <c r="U178" i="3"/>
  <c r="Q178" i="3" s="1"/>
  <c r="O178" i="3"/>
  <c r="S232" i="3"/>
  <c r="S57" i="3"/>
  <c r="O243" i="3"/>
  <c r="U243" i="3"/>
  <c r="Q243" i="3" s="1"/>
  <c r="O198" i="3"/>
  <c r="U198" i="3"/>
  <c r="Q198" i="3" s="1"/>
  <c r="O125" i="3"/>
  <c r="U125" i="3"/>
  <c r="Q125" i="3" s="1"/>
  <c r="S337" i="3"/>
  <c r="S385" i="3"/>
  <c r="S122" i="3"/>
  <c r="O193" i="3"/>
  <c r="U193" i="3"/>
  <c r="Q193" i="3" s="1"/>
  <c r="S262" i="3"/>
  <c r="S96" i="3"/>
  <c r="S212" i="3"/>
  <c r="S279" i="3"/>
  <c r="U175" i="3"/>
  <c r="Q175" i="3" s="1"/>
  <c r="O175" i="3"/>
  <c r="S78" i="3"/>
  <c r="S25" i="3"/>
  <c r="U68" i="3"/>
  <c r="Q68" i="3" s="1"/>
  <c r="O68" i="3"/>
  <c r="U270" i="3"/>
  <c r="Q270" i="3" s="1"/>
  <c r="O270" i="3"/>
  <c r="O113" i="3"/>
  <c r="U113" i="3"/>
  <c r="Q113" i="3" s="1"/>
  <c r="S374" i="3"/>
  <c r="S87" i="3"/>
  <c r="S143" i="3"/>
  <c r="S210" i="3"/>
  <c r="S265" i="3"/>
  <c r="S386" i="3"/>
  <c r="S147" i="3"/>
  <c r="U363" i="3"/>
  <c r="Q363" i="3" s="1"/>
  <c r="O363" i="3"/>
  <c r="S121" i="3"/>
  <c r="S219" i="3"/>
  <c r="S67" i="3"/>
  <c r="U135" i="3"/>
  <c r="Q135" i="3" s="1"/>
  <c r="O135" i="3"/>
  <c r="U376" i="3"/>
  <c r="Q376" i="3" s="1"/>
  <c r="O376" i="3"/>
  <c r="S249" i="3"/>
  <c r="U263" i="3"/>
  <c r="Q263" i="3" s="1"/>
  <c r="O263" i="3"/>
  <c r="U217" i="3"/>
  <c r="Q217" i="3" s="1"/>
  <c r="O217" i="3"/>
  <c r="S61" i="3"/>
  <c r="S183" i="3"/>
  <c r="U60" i="3"/>
  <c r="Q60" i="3" s="1"/>
  <c r="O60" i="3"/>
  <c r="S180" i="3"/>
  <c r="S206" i="3"/>
  <c r="S302" i="3"/>
  <c r="S320" i="3"/>
  <c r="O309" i="3"/>
  <c r="U309" i="3"/>
  <c r="Q309" i="3" s="1"/>
  <c r="S163" i="3"/>
  <c r="S17" i="3"/>
  <c r="U184" i="3"/>
  <c r="Q184" i="3" s="1"/>
  <c r="O184" i="3"/>
  <c r="S71" i="3"/>
  <c r="U48" i="3"/>
  <c r="Q48" i="3" s="1"/>
  <c r="O48" i="3"/>
  <c r="S360" i="3"/>
  <c r="U327" i="3"/>
  <c r="Q327" i="3" s="1"/>
  <c r="O327" i="3"/>
  <c r="S266" i="3"/>
  <c r="S361" i="3"/>
  <c r="S294" i="3"/>
  <c r="U42" i="3"/>
  <c r="Q42" i="3" s="1"/>
  <c r="O42" i="3"/>
  <c r="O251" i="3"/>
  <c r="U251" i="3"/>
  <c r="Q251" i="3" s="1"/>
  <c r="S375" i="3"/>
  <c r="U238" i="3"/>
  <c r="Q238" i="3" s="1"/>
  <c r="O238" i="3"/>
  <c r="O323" i="3"/>
  <c r="U323" i="3"/>
  <c r="Q323" i="3" s="1"/>
  <c r="U267" i="3"/>
  <c r="Q267" i="3" s="1"/>
  <c r="O267" i="3"/>
  <c r="O194" i="3"/>
  <c r="U194" i="3"/>
  <c r="Q194" i="3" s="1"/>
  <c r="S242" i="3"/>
  <c r="U339" i="3"/>
  <c r="Q339" i="3" s="1"/>
  <c r="O339" i="3"/>
  <c r="U160" i="3"/>
  <c r="Q160" i="3" s="1"/>
  <c r="O160" i="3"/>
  <c r="S236" i="3"/>
  <c r="S189" i="3"/>
  <c r="U352" i="3"/>
  <c r="Q352" i="3" s="1"/>
  <c r="O352" i="3"/>
  <c r="U150" i="3"/>
  <c r="Q150" i="3" s="1"/>
  <c r="O150" i="3"/>
  <c r="S37" i="3"/>
  <c r="U326" i="3"/>
  <c r="Q326" i="3" s="1"/>
  <c r="O326" i="3"/>
  <c r="S347" i="3"/>
  <c r="U272" i="3"/>
  <c r="Q272" i="3" s="1"/>
  <c r="O272" i="3"/>
  <c r="S362" i="3"/>
  <c r="U86" i="3"/>
  <c r="Q86" i="3" s="1"/>
  <c r="O86" i="3"/>
  <c r="O104" i="3"/>
  <c r="U104" i="3"/>
  <c r="Q104" i="3" s="1"/>
  <c r="U142" i="3"/>
  <c r="Q142" i="3" s="1"/>
  <c r="O142" i="3"/>
  <c r="S32" i="3"/>
  <c r="S174" i="3"/>
  <c r="S335" i="3"/>
  <c r="S371" i="3"/>
  <c r="O27" i="3"/>
  <c r="U27" i="3"/>
  <c r="Q27" i="3" s="1"/>
  <c r="S187" i="3"/>
  <c r="S311" i="3"/>
  <c r="U103" i="3"/>
  <c r="Q103" i="3" s="1"/>
  <c r="O103" i="3"/>
  <c r="S56" i="3"/>
  <c r="S110" i="3"/>
  <c r="S18" i="3"/>
  <c r="U91" i="3"/>
  <c r="Q91" i="3" s="1"/>
  <c r="O91" i="3"/>
  <c r="U240" i="3"/>
  <c r="Q240" i="3" s="1"/>
  <c r="O240" i="3"/>
  <c r="S384" i="3"/>
  <c r="S85" i="3"/>
  <c r="S19" i="3"/>
  <c r="U84" i="3"/>
  <c r="Q84" i="3" s="1"/>
  <c r="O84" i="3"/>
  <c r="U26" i="3"/>
  <c r="Q26" i="3" s="1"/>
  <c r="O26" i="3"/>
  <c r="S186" i="3"/>
  <c r="O202" i="3"/>
  <c r="U202" i="3"/>
  <c r="Q202" i="3" s="1"/>
  <c r="S274" i="3"/>
  <c r="O106" i="3"/>
  <c r="U106" i="3"/>
  <c r="Q106" i="3" s="1"/>
  <c r="S282" i="3"/>
  <c r="S305" i="3"/>
  <c r="S63" i="3"/>
  <c r="S220" i="3"/>
  <c r="U275" i="3"/>
  <c r="Q275" i="3" s="1"/>
  <c r="O275" i="3"/>
  <c r="S51" i="3"/>
  <c r="O136" i="3"/>
  <c r="U136" i="3"/>
  <c r="Q136" i="3" s="1"/>
  <c r="O298" i="3"/>
  <c r="U298" i="3"/>
  <c r="Q298" i="3" s="1"/>
  <c r="O336" i="3"/>
  <c r="U336" i="3"/>
  <c r="Q336" i="3" s="1"/>
  <c r="S44" i="3"/>
  <c r="U237" i="3"/>
  <c r="Q237" i="3" s="1"/>
  <c r="O237" i="3"/>
  <c r="S162" i="3"/>
  <c r="U245" i="3"/>
  <c r="Q245" i="3" s="1"/>
  <c r="O245" i="3"/>
  <c r="O137" i="3"/>
  <c r="U137" i="3"/>
  <c r="Q137" i="3" s="1"/>
  <c r="S185" i="3"/>
  <c r="S53" i="3"/>
  <c r="U156" i="3"/>
  <c r="Q156" i="3" s="1"/>
  <c r="O156" i="3"/>
  <c r="S221" i="3"/>
  <c r="U351" i="3"/>
  <c r="Q351" i="3" s="1"/>
  <c r="O351" i="3"/>
  <c r="O173" i="3"/>
  <c r="U173" i="3"/>
  <c r="Q173" i="3" s="1"/>
  <c r="S54" i="3"/>
  <c r="S151" i="3"/>
  <c r="S62" i="3"/>
  <c r="U127" i="3"/>
  <c r="Q127" i="3" s="1"/>
  <c r="O127" i="3"/>
  <c r="S213" i="3"/>
  <c r="S47" i="3"/>
  <c r="O129" i="3"/>
  <c r="U129" i="3"/>
  <c r="Q129" i="3" s="1"/>
  <c r="S268" i="3"/>
  <c r="S222" i="3"/>
  <c r="U153" i="3"/>
  <c r="Q153" i="3" s="1"/>
  <c r="O153" i="3"/>
  <c r="S73" i="3"/>
  <c r="S373" i="3"/>
  <c r="S59" i="3"/>
  <c r="O93" i="3"/>
  <c r="U93" i="3"/>
  <c r="Q93" i="3" s="1"/>
  <c r="S200" i="3"/>
  <c r="S321" i="3"/>
  <c r="S349" i="3"/>
  <c r="O287" i="3"/>
  <c r="U287" i="3"/>
  <c r="Q287" i="3" s="1"/>
  <c r="S74" i="3"/>
  <c r="U72" i="3"/>
  <c r="Q72" i="3" s="1"/>
  <c r="O72" i="3"/>
  <c r="O271" i="3"/>
  <c r="U271" i="3"/>
  <c r="Q271" i="3" s="1"/>
  <c r="S66" i="3"/>
  <c r="O208" i="3"/>
  <c r="U208" i="3"/>
  <c r="Q208" i="3" s="1"/>
  <c r="S306" i="3"/>
  <c r="S77" i="3"/>
  <c r="U303" i="3"/>
  <c r="Q303" i="3" s="1"/>
  <c r="O303" i="3"/>
  <c r="U301" i="3"/>
  <c r="Q301" i="3" s="1"/>
  <c r="O301" i="3"/>
  <c r="S205" i="3"/>
  <c r="S317" i="3"/>
  <c r="S231" i="3"/>
  <c r="S350" i="3"/>
  <c r="S289" i="3"/>
  <c r="S387" i="3"/>
  <c r="S75" i="3"/>
  <c r="O39" i="3"/>
  <c r="U39" i="3"/>
  <c r="Q39" i="3" s="1"/>
  <c r="O291" i="3"/>
  <c r="U291" i="3"/>
  <c r="Q291" i="3" s="1"/>
  <c r="S145" i="3"/>
  <c r="S28" i="3"/>
  <c r="S45" i="3"/>
  <c r="S255" i="3"/>
  <c r="S383" i="3"/>
  <c r="U79" i="3"/>
  <c r="Q79" i="3" s="1"/>
  <c r="O79" i="3"/>
  <c r="U166" i="3"/>
  <c r="Q166" i="3" s="1"/>
  <c r="O166" i="3"/>
  <c r="U286" i="3"/>
  <c r="Q286" i="3" s="1"/>
  <c r="O286" i="3"/>
  <c r="S295" i="3"/>
  <c r="O115" i="3"/>
  <c r="U115" i="3"/>
  <c r="Q115" i="3" s="1"/>
  <c r="S15" i="3"/>
  <c r="O13" i="3" l="1"/>
  <c r="P13" i="3" s="1"/>
  <c r="S92" i="3"/>
  <c r="S46" i="3"/>
  <c r="S79" i="3"/>
  <c r="S153" i="3"/>
  <c r="S60" i="3"/>
  <c r="S115" i="3"/>
  <c r="S291" i="3"/>
  <c r="S336" i="3"/>
  <c r="S198" i="3"/>
  <c r="S340" i="3"/>
  <c r="S26" i="3"/>
  <c r="S91" i="3"/>
  <c r="S142" i="3"/>
  <c r="S326" i="3"/>
  <c r="S160" i="3"/>
  <c r="S48" i="3"/>
  <c r="S135" i="3"/>
  <c r="S364" i="3"/>
  <c r="S148" i="3"/>
  <c r="S39" i="3"/>
  <c r="S93" i="3"/>
  <c r="S173" i="3"/>
  <c r="S137" i="3"/>
  <c r="S298" i="3"/>
  <c r="S323" i="3"/>
  <c r="S309" i="3"/>
  <c r="S113" i="3"/>
  <c r="S193" i="3"/>
  <c r="S243" i="3"/>
  <c r="S108" i="3"/>
  <c r="S230" i="3"/>
  <c r="S127" i="3"/>
  <c r="S351" i="3"/>
  <c r="S245" i="3"/>
  <c r="S84" i="3"/>
  <c r="S339" i="3"/>
  <c r="S238" i="3"/>
  <c r="S175" i="3"/>
  <c r="S304" i="3"/>
  <c r="S99" i="3"/>
  <c r="S287" i="3"/>
  <c r="S136" i="3"/>
  <c r="S27" i="3"/>
  <c r="S104" i="3"/>
  <c r="S69" i="3"/>
  <c r="S324" i="3"/>
  <c r="S234" i="3"/>
  <c r="S297" i="3"/>
  <c r="S86" i="3"/>
  <c r="S150" i="3"/>
  <c r="S184" i="3"/>
  <c r="S217" i="3"/>
  <c r="S159" i="3"/>
  <c r="S241" i="3"/>
  <c r="S141" i="3"/>
  <c r="S119" i="3"/>
  <c r="S208" i="3"/>
  <c r="S106" i="3"/>
  <c r="S161" i="3"/>
  <c r="S38" i="3"/>
  <c r="S72" i="3"/>
  <c r="S240" i="3"/>
  <c r="S376" i="3"/>
  <c r="S286" i="3"/>
  <c r="S156" i="3"/>
  <c r="S237" i="3"/>
  <c r="S275" i="3"/>
  <c r="S352" i="3"/>
  <c r="S263" i="3"/>
  <c r="S270" i="3"/>
  <c r="S178" i="3"/>
  <c r="S130" i="3"/>
  <c r="S300" i="3"/>
  <c r="S123" i="3"/>
  <c r="S312" i="3"/>
  <c r="S194" i="3"/>
  <c r="S251" i="3"/>
  <c r="S252" i="3"/>
  <c r="S154" i="3"/>
  <c r="S166" i="3"/>
  <c r="S301" i="3"/>
  <c r="S103" i="3"/>
  <c r="S272" i="3"/>
  <c r="S267" i="3"/>
  <c r="S42" i="3"/>
  <c r="S327" i="3"/>
  <c r="S363" i="3"/>
  <c r="S68" i="3"/>
  <c r="S315" i="3"/>
  <c r="S139" i="3"/>
  <c r="S303" i="3"/>
  <c r="S171" i="3"/>
  <c r="S271" i="3"/>
  <c r="S129" i="3"/>
  <c r="S202" i="3"/>
  <c r="S125" i="3"/>
  <c r="S247" i="3"/>
  <c r="S172" i="3"/>
  <c r="J307" i="3" l="1"/>
  <c r="P307" i="3" s="1"/>
  <c r="J308" i="3"/>
  <c r="P308" i="3" s="1"/>
  <c r="J309" i="3"/>
  <c r="P309" i="3" s="1"/>
  <c r="J310" i="3"/>
  <c r="P310" i="3" s="1"/>
  <c r="J311" i="3"/>
  <c r="P311" i="3" s="1"/>
  <c r="J312" i="3"/>
  <c r="P312" i="3" s="1"/>
  <c r="J313" i="3"/>
  <c r="P313" i="3" s="1"/>
  <c r="J314" i="3"/>
  <c r="P314" i="3" s="1"/>
  <c r="J315" i="3"/>
  <c r="P315" i="3" s="1"/>
  <c r="J316" i="3"/>
  <c r="P316" i="3" s="1"/>
  <c r="J317" i="3"/>
  <c r="P317" i="3" s="1"/>
  <c r="J318" i="3"/>
  <c r="P318" i="3" s="1"/>
  <c r="J319" i="3"/>
  <c r="P319" i="3" s="1"/>
  <c r="J320" i="3"/>
  <c r="P320" i="3" s="1"/>
  <c r="J321" i="3"/>
  <c r="P321" i="3" s="1"/>
  <c r="J322" i="3"/>
  <c r="P322" i="3" s="1"/>
  <c r="J323" i="3"/>
  <c r="P323" i="3" s="1"/>
  <c r="J324" i="3"/>
  <c r="P324" i="3" s="1"/>
  <c r="J325" i="3"/>
  <c r="P325" i="3" s="1"/>
  <c r="J326" i="3"/>
  <c r="P326" i="3" s="1"/>
  <c r="J327" i="3"/>
  <c r="P327" i="3" s="1"/>
  <c r="J328" i="3"/>
  <c r="P328" i="3" s="1"/>
  <c r="J329" i="3"/>
  <c r="P329" i="3" s="1"/>
  <c r="J330" i="3"/>
  <c r="P330" i="3" s="1"/>
  <c r="J331" i="3"/>
  <c r="P331" i="3" s="1"/>
  <c r="J332" i="3"/>
  <c r="P332" i="3" s="1"/>
  <c r="J333" i="3"/>
  <c r="P333" i="3" s="1"/>
  <c r="J334" i="3"/>
  <c r="P334" i="3" s="1"/>
  <c r="J335" i="3"/>
  <c r="P335" i="3" s="1"/>
  <c r="J336" i="3"/>
  <c r="P336" i="3" s="1"/>
  <c r="J337" i="3"/>
  <c r="P337" i="3" s="1"/>
  <c r="J338" i="3"/>
  <c r="P338" i="3" s="1"/>
  <c r="J339" i="3"/>
  <c r="P339" i="3" s="1"/>
  <c r="J340" i="3"/>
  <c r="P340" i="3" s="1"/>
  <c r="J341" i="3"/>
  <c r="P341" i="3" s="1"/>
  <c r="J342" i="3"/>
  <c r="P342" i="3" s="1"/>
  <c r="J343" i="3"/>
  <c r="P343" i="3" s="1"/>
  <c r="J344" i="3"/>
  <c r="P344" i="3" s="1"/>
  <c r="J345" i="3"/>
  <c r="P345" i="3" s="1"/>
  <c r="J346" i="3"/>
  <c r="P346" i="3" s="1"/>
  <c r="J347" i="3"/>
  <c r="P347" i="3" s="1"/>
  <c r="J348" i="3"/>
  <c r="P348" i="3" s="1"/>
  <c r="J349" i="3"/>
  <c r="P349" i="3" s="1"/>
  <c r="J350" i="3"/>
  <c r="P350" i="3" s="1"/>
  <c r="J351" i="3"/>
  <c r="P351" i="3" s="1"/>
  <c r="J352" i="3"/>
  <c r="P352" i="3" s="1"/>
  <c r="J353" i="3"/>
  <c r="P353" i="3" s="1"/>
  <c r="J354" i="3"/>
  <c r="P354" i="3" s="1"/>
  <c r="J355" i="3"/>
  <c r="P355" i="3" s="1"/>
  <c r="J356" i="3"/>
  <c r="P356" i="3" s="1"/>
  <c r="J357" i="3"/>
  <c r="P357" i="3" s="1"/>
  <c r="J358" i="3"/>
  <c r="P358" i="3" s="1"/>
  <c r="J359" i="3"/>
  <c r="P359" i="3" s="1"/>
  <c r="J360" i="3"/>
  <c r="P360" i="3" s="1"/>
  <c r="J361" i="3"/>
  <c r="P361" i="3" s="1"/>
  <c r="J362" i="3"/>
  <c r="P362" i="3" s="1"/>
  <c r="J363" i="3"/>
  <c r="P363" i="3" s="1"/>
  <c r="J364" i="3"/>
  <c r="P364" i="3" s="1"/>
  <c r="J365" i="3"/>
  <c r="P365" i="3" s="1"/>
  <c r="J366" i="3"/>
  <c r="P366" i="3" s="1"/>
  <c r="J367" i="3"/>
  <c r="P367" i="3" s="1"/>
  <c r="J368" i="3"/>
  <c r="P368" i="3" s="1"/>
  <c r="J369" i="3"/>
  <c r="P369" i="3" s="1"/>
  <c r="J370" i="3"/>
  <c r="P370" i="3" s="1"/>
  <c r="J371" i="3"/>
  <c r="P371" i="3" s="1"/>
  <c r="J372" i="3"/>
  <c r="P372" i="3" s="1"/>
  <c r="J373" i="3"/>
  <c r="P373" i="3" s="1"/>
  <c r="J374" i="3"/>
  <c r="P374" i="3" s="1"/>
  <c r="J375" i="3"/>
  <c r="P375" i="3" s="1"/>
  <c r="J376" i="3"/>
  <c r="P376" i="3" s="1"/>
  <c r="J377" i="3"/>
  <c r="P377" i="3" s="1"/>
  <c r="J378" i="3"/>
  <c r="P378" i="3" s="1"/>
  <c r="J379" i="3"/>
  <c r="P379" i="3" s="1"/>
  <c r="J380" i="3"/>
  <c r="P380" i="3" s="1"/>
  <c r="J381" i="3"/>
  <c r="P381" i="3" s="1"/>
  <c r="J382" i="3"/>
  <c r="P382" i="3" s="1"/>
  <c r="J383" i="3"/>
  <c r="P383" i="3" s="1"/>
  <c r="J384" i="3"/>
  <c r="P384" i="3" s="1"/>
  <c r="J385" i="3"/>
  <c r="P385" i="3" s="1"/>
  <c r="J386" i="3"/>
  <c r="P386" i="3" s="1"/>
  <c r="J387" i="3"/>
  <c r="P387" i="3" s="1"/>
  <c r="J13" i="2"/>
  <c r="J602" i="2"/>
  <c r="J603" i="2"/>
  <c r="J604" i="2"/>
  <c r="J605" i="2"/>
  <c r="J606" i="2"/>
  <c r="J607" i="2"/>
  <c r="J608" i="2"/>
  <c r="J609" i="2"/>
  <c r="J610" i="2"/>
  <c r="J611" i="2"/>
  <c r="J612" i="2"/>
  <c r="J16" i="3"/>
  <c r="P16" i="3" s="1"/>
  <c r="J17" i="3"/>
  <c r="P17" i="3" s="1"/>
  <c r="J18" i="3"/>
  <c r="P18" i="3" s="1"/>
  <c r="J19" i="3"/>
  <c r="P19" i="3" s="1"/>
  <c r="J20" i="3"/>
  <c r="P20" i="3" s="1"/>
  <c r="J21" i="3"/>
  <c r="P21" i="3" s="1"/>
  <c r="J22" i="3"/>
  <c r="P22" i="3" s="1"/>
  <c r="J23" i="3"/>
  <c r="P23" i="3" s="1"/>
  <c r="J24" i="3"/>
  <c r="P24" i="3" s="1"/>
  <c r="J25" i="3"/>
  <c r="P25" i="3" s="1"/>
  <c r="J26" i="3"/>
  <c r="P26" i="3" s="1"/>
  <c r="J27" i="3"/>
  <c r="P27" i="3" s="1"/>
  <c r="J28" i="3"/>
  <c r="P28" i="3" s="1"/>
  <c r="J29" i="3"/>
  <c r="P29" i="3" s="1"/>
  <c r="J30" i="3"/>
  <c r="P30" i="3" s="1"/>
  <c r="J31" i="3"/>
  <c r="P31" i="3" s="1"/>
  <c r="J32" i="3"/>
  <c r="P32" i="3" s="1"/>
  <c r="J33" i="3"/>
  <c r="P33" i="3" s="1"/>
  <c r="J34" i="3"/>
  <c r="P34" i="3" s="1"/>
  <c r="J35" i="3"/>
  <c r="P35" i="3" s="1"/>
  <c r="J36" i="3"/>
  <c r="P36" i="3" s="1"/>
  <c r="J37" i="3"/>
  <c r="P37" i="3" s="1"/>
  <c r="J38" i="3"/>
  <c r="P38" i="3" s="1"/>
  <c r="J39" i="3"/>
  <c r="P39" i="3" s="1"/>
  <c r="J40" i="3"/>
  <c r="P40" i="3" s="1"/>
  <c r="J41" i="3"/>
  <c r="P41" i="3" s="1"/>
  <c r="J42" i="3"/>
  <c r="P42" i="3" s="1"/>
  <c r="J43" i="3"/>
  <c r="P43" i="3" s="1"/>
  <c r="J44" i="3"/>
  <c r="P44" i="3" s="1"/>
  <c r="J45" i="3"/>
  <c r="P45" i="3" s="1"/>
  <c r="J46" i="3"/>
  <c r="P46" i="3" s="1"/>
  <c r="J47" i="3"/>
  <c r="P47" i="3" s="1"/>
  <c r="J48" i="3"/>
  <c r="P48" i="3" s="1"/>
  <c r="J49" i="3"/>
  <c r="P49" i="3" s="1"/>
  <c r="J50" i="3"/>
  <c r="P50" i="3" s="1"/>
  <c r="J51" i="3"/>
  <c r="P51" i="3" s="1"/>
  <c r="J52" i="3"/>
  <c r="P52" i="3" s="1"/>
  <c r="J53" i="3"/>
  <c r="P53" i="3" s="1"/>
  <c r="J54" i="3"/>
  <c r="P54" i="3" s="1"/>
  <c r="J55" i="3"/>
  <c r="P55" i="3" s="1"/>
  <c r="J56" i="3"/>
  <c r="P56" i="3" s="1"/>
  <c r="J57" i="3"/>
  <c r="P57" i="3" s="1"/>
  <c r="J58" i="3"/>
  <c r="P58" i="3" s="1"/>
  <c r="J59" i="3"/>
  <c r="P59" i="3" s="1"/>
  <c r="J60" i="3"/>
  <c r="P60" i="3" s="1"/>
  <c r="J61" i="3"/>
  <c r="P61" i="3" s="1"/>
  <c r="J62" i="3"/>
  <c r="P62" i="3" s="1"/>
  <c r="J63" i="3"/>
  <c r="P63" i="3" s="1"/>
  <c r="J64" i="3"/>
  <c r="P64" i="3" s="1"/>
  <c r="J65" i="3"/>
  <c r="P65" i="3" s="1"/>
  <c r="J66" i="3"/>
  <c r="P66" i="3" s="1"/>
  <c r="J67" i="3"/>
  <c r="P67" i="3" s="1"/>
  <c r="J68" i="3"/>
  <c r="P68" i="3" s="1"/>
  <c r="J69" i="3"/>
  <c r="P69" i="3" s="1"/>
  <c r="J70" i="3"/>
  <c r="P70" i="3" s="1"/>
  <c r="J71" i="3"/>
  <c r="P71" i="3" s="1"/>
  <c r="J72" i="3"/>
  <c r="P72" i="3" s="1"/>
  <c r="J73" i="3"/>
  <c r="P73" i="3" s="1"/>
  <c r="J74" i="3"/>
  <c r="P74" i="3" s="1"/>
  <c r="J75" i="3"/>
  <c r="P75" i="3" s="1"/>
  <c r="J76" i="3"/>
  <c r="P76" i="3" s="1"/>
  <c r="J77" i="3"/>
  <c r="P77" i="3" s="1"/>
  <c r="J78" i="3"/>
  <c r="P78" i="3" s="1"/>
  <c r="J79" i="3"/>
  <c r="P79" i="3" s="1"/>
  <c r="J80" i="3"/>
  <c r="P80" i="3" s="1"/>
  <c r="J81" i="3"/>
  <c r="P81" i="3" s="1"/>
  <c r="J82" i="3"/>
  <c r="P82" i="3" s="1"/>
  <c r="J83" i="3"/>
  <c r="P83" i="3" s="1"/>
  <c r="J84" i="3"/>
  <c r="P84" i="3" s="1"/>
  <c r="J85" i="3"/>
  <c r="P85" i="3" s="1"/>
  <c r="J86" i="3"/>
  <c r="P86" i="3" s="1"/>
  <c r="J87" i="3"/>
  <c r="P87" i="3" s="1"/>
  <c r="J88" i="3"/>
  <c r="P88" i="3" s="1"/>
  <c r="J89" i="3"/>
  <c r="P89" i="3" s="1"/>
  <c r="J90" i="3"/>
  <c r="P90" i="3" s="1"/>
  <c r="J91" i="3"/>
  <c r="P91" i="3" s="1"/>
  <c r="J92" i="3"/>
  <c r="P92" i="3" s="1"/>
  <c r="J93" i="3"/>
  <c r="P93" i="3" s="1"/>
  <c r="J94" i="3"/>
  <c r="P94" i="3" s="1"/>
  <c r="J95" i="3"/>
  <c r="P95" i="3" s="1"/>
  <c r="J96" i="3"/>
  <c r="P96" i="3" s="1"/>
  <c r="J97" i="3"/>
  <c r="P97" i="3" s="1"/>
  <c r="J98" i="3"/>
  <c r="P98" i="3" s="1"/>
  <c r="J99" i="3"/>
  <c r="P99" i="3" s="1"/>
  <c r="J100" i="3"/>
  <c r="P100" i="3" s="1"/>
  <c r="J101" i="3"/>
  <c r="P101" i="3" s="1"/>
  <c r="J102" i="3"/>
  <c r="P102" i="3" s="1"/>
  <c r="J103" i="3"/>
  <c r="P103" i="3" s="1"/>
  <c r="J104" i="3"/>
  <c r="P104" i="3" s="1"/>
  <c r="J105" i="3"/>
  <c r="P105" i="3" s="1"/>
  <c r="J106" i="3"/>
  <c r="P106" i="3" s="1"/>
  <c r="J107" i="3"/>
  <c r="P107" i="3" s="1"/>
  <c r="J108" i="3"/>
  <c r="P108" i="3" s="1"/>
  <c r="J109" i="3"/>
  <c r="P109" i="3" s="1"/>
  <c r="J110" i="3"/>
  <c r="P110" i="3" s="1"/>
  <c r="J111" i="3"/>
  <c r="P111" i="3" s="1"/>
  <c r="J112" i="3"/>
  <c r="P112" i="3" s="1"/>
  <c r="J113" i="3"/>
  <c r="P113" i="3" s="1"/>
  <c r="J114" i="3"/>
  <c r="P114" i="3" s="1"/>
  <c r="J115" i="3"/>
  <c r="P115" i="3" s="1"/>
  <c r="J116" i="3"/>
  <c r="P116" i="3" s="1"/>
  <c r="J117" i="3"/>
  <c r="P117" i="3" s="1"/>
  <c r="J118" i="3"/>
  <c r="P118" i="3" s="1"/>
  <c r="J119" i="3"/>
  <c r="P119" i="3" s="1"/>
  <c r="J120" i="3"/>
  <c r="P120" i="3" s="1"/>
  <c r="J121" i="3"/>
  <c r="P121" i="3" s="1"/>
  <c r="J122" i="3"/>
  <c r="P122" i="3" s="1"/>
  <c r="J123" i="3"/>
  <c r="P123" i="3" s="1"/>
  <c r="J124" i="3"/>
  <c r="P124" i="3" s="1"/>
  <c r="J125" i="3"/>
  <c r="P125" i="3" s="1"/>
  <c r="J126" i="3"/>
  <c r="P126" i="3" s="1"/>
  <c r="J127" i="3"/>
  <c r="P127" i="3" s="1"/>
  <c r="J128" i="3"/>
  <c r="P128" i="3" s="1"/>
  <c r="J129" i="3"/>
  <c r="P129" i="3" s="1"/>
  <c r="J130" i="3"/>
  <c r="P130" i="3" s="1"/>
  <c r="J131" i="3"/>
  <c r="P131" i="3" s="1"/>
  <c r="J132" i="3"/>
  <c r="P132" i="3" s="1"/>
  <c r="J133" i="3"/>
  <c r="P133" i="3" s="1"/>
  <c r="J134" i="3"/>
  <c r="P134" i="3" s="1"/>
  <c r="J135" i="3"/>
  <c r="P135" i="3" s="1"/>
  <c r="J136" i="3"/>
  <c r="P136" i="3" s="1"/>
  <c r="J137" i="3"/>
  <c r="P137" i="3" s="1"/>
  <c r="J138" i="3"/>
  <c r="P138" i="3" s="1"/>
  <c r="J139" i="3"/>
  <c r="P139" i="3" s="1"/>
  <c r="J140" i="3"/>
  <c r="P140" i="3" s="1"/>
  <c r="J141" i="3"/>
  <c r="P141" i="3" s="1"/>
  <c r="J142" i="3"/>
  <c r="P142" i="3" s="1"/>
  <c r="J143" i="3"/>
  <c r="P143" i="3" s="1"/>
  <c r="J144" i="3"/>
  <c r="P144" i="3" s="1"/>
  <c r="J145" i="3"/>
  <c r="P145" i="3" s="1"/>
  <c r="J146" i="3"/>
  <c r="P146" i="3" s="1"/>
  <c r="J147" i="3"/>
  <c r="P147" i="3" s="1"/>
  <c r="J148" i="3"/>
  <c r="P148" i="3" s="1"/>
  <c r="J149" i="3"/>
  <c r="P149" i="3" s="1"/>
  <c r="J150" i="3"/>
  <c r="P150" i="3" s="1"/>
  <c r="J151" i="3"/>
  <c r="P151" i="3" s="1"/>
  <c r="J152" i="3"/>
  <c r="P152" i="3" s="1"/>
  <c r="J153" i="3"/>
  <c r="P153" i="3" s="1"/>
  <c r="J154" i="3"/>
  <c r="P154" i="3" s="1"/>
  <c r="J155" i="3"/>
  <c r="P155" i="3" s="1"/>
  <c r="J156" i="3"/>
  <c r="P156" i="3" s="1"/>
  <c r="J157" i="3"/>
  <c r="P157" i="3" s="1"/>
  <c r="J158" i="3"/>
  <c r="P158" i="3" s="1"/>
  <c r="J159" i="3"/>
  <c r="P159" i="3" s="1"/>
  <c r="J160" i="3"/>
  <c r="P160" i="3" s="1"/>
  <c r="J161" i="3"/>
  <c r="P161" i="3" s="1"/>
  <c r="J162" i="3"/>
  <c r="P162" i="3" s="1"/>
  <c r="J163" i="3"/>
  <c r="P163" i="3" s="1"/>
  <c r="J164" i="3"/>
  <c r="P164" i="3" s="1"/>
  <c r="J165" i="3"/>
  <c r="P165" i="3" s="1"/>
  <c r="J166" i="3"/>
  <c r="P166" i="3" s="1"/>
  <c r="J167" i="3"/>
  <c r="P167" i="3" s="1"/>
  <c r="J168" i="3"/>
  <c r="P168" i="3" s="1"/>
  <c r="J169" i="3"/>
  <c r="P169" i="3" s="1"/>
  <c r="J170" i="3"/>
  <c r="P170" i="3" s="1"/>
  <c r="J171" i="3"/>
  <c r="P171" i="3" s="1"/>
  <c r="J172" i="3"/>
  <c r="P172" i="3" s="1"/>
  <c r="J173" i="3"/>
  <c r="P173" i="3" s="1"/>
  <c r="J174" i="3"/>
  <c r="P174" i="3" s="1"/>
  <c r="J175" i="3"/>
  <c r="P175" i="3" s="1"/>
  <c r="J176" i="3"/>
  <c r="P176" i="3" s="1"/>
  <c r="J177" i="3"/>
  <c r="P177" i="3" s="1"/>
  <c r="J178" i="3"/>
  <c r="P178" i="3" s="1"/>
  <c r="J179" i="3"/>
  <c r="P179" i="3" s="1"/>
  <c r="J180" i="3"/>
  <c r="P180" i="3" s="1"/>
  <c r="J181" i="3"/>
  <c r="P181" i="3" s="1"/>
  <c r="J182" i="3"/>
  <c r="P182" i="3" s="1"/>
  <c r="J183" i="3"/>
  <c r="P183" i="3" s="1"/>
  <c r="J184" i="3"/>
  <c r="P184" i="3" s="1"/>
  <c r="J185" i="3"/>
  <c r="P185" i="3" s="1"/>
  <c r="J186" i="3"/>
  <c r="P186" i="3" s="1"/>
  <c r="J187" i="3"/>
  <c r="P187" i="3" s="1"/>
  <c r="J188" i="3"/>
  <c r="P188" i="3" s="1"/>
  <c r="J189" i="3"/>
  <c r="P189" i="3" s="1"/>
  <c r="J190" i="3"/>
  <c r="P190" i="3" s="1"/>
  <c r="J191" i="3"/>
  <c r="P191" i="3" s="1"/>
  <c r="J192" i="3"/>
  <c r="P192" i="3" s="1"/>
  <c r="J193" i="3"/>
  <c r="P193" i="3" s="1"/>
  <c r="J194" i="3"/>
  <c r="P194" i="3" s="1"/>
  <c r="J195" i="3"/>
  <c r="P195" i="3" s="1"/>
  <c r="J196" i="3"/>
  <c r="P196" i="3" s="1"/>
  <c r="J197" i="3"/>
  <c r="P197" i="3" s="1"/>
  <c r="J198" i="3"/>
  <c r="P198" i="3" s="1"/>
  <c r="J199" i="3"/>
  <c r="P199" i="3" s="1"/>
  <c r="J200" i="3"/>
  <c r="P200" i="3" s="1"/>
  <c r="J201" i="3"/>
  <c r="P201" i="3" s="1"/>
  <c r="J202" i="3"/>
  <c r="P202" i="3" s="1"/>
  <c r="J203" i="3"/>
  <c r="P203" i="3" s="1"/>
  <c r="J204" i="3"/>
  <c r="P204" i="3" s="1"/>
  <c r="J205" i="3"/>
  <c r="P205" i="3" s="1"/>
  <c r="J206" i="3"/>
  <c r="P206" i="3" s="1"/>
  <c r="J207" i="3"/>
  <c r="P207" i="3" s="1"/>
  <c r="J208" i="3"/>
  <c r="P208" i="3" s="1"/>
  <c r="J209" i="3"/>
  <c r="P209" i="3" s="1"/>
  <c r="J210" i="3"/>
  <c r="P210" i="3" s="1"/>
  <c r="J211" i="3"/>
  <c r="P211" i="3" s="1"/>
  <c r="J212" i="3"/>
  <c r="P212" i="3" s="1"/>
  <c r="J213" i="3"/>
  <c r="P213" i="3" s="1"/>
  <c r="J214" i="3"/>
  <c r="P214" i="3" s="1"/>
  <c r="J215" i="3"/>
  <c r="P215" i="3" s="1"/>
  <c r="J216" i="3"/>
  <c r="P216" i="3" s="1"/>
  <c r="J217" i="3"/>
  <c r="P217" i="3" s="1"/>
  <c r="J218" i="3"/>
  <c r="P218" i="3" s="1"/>
  <c r="J219" i="3"/>
  <c r="P219" i="3" s="1"/>
  <c r="J220" i="3"/>
  <c r="P220" i="3" s="1"/>
  <c r="J221" i="3"/>
  <c r="P221" i="3" s="1"/>
  <c r="J222" i="3"/>
  <c r="P222" i="3" s="1"/>
  <c r="J223" i="3"/>
  <c r="P223" i="3" s="1"/>
  <c r="J224" i="3"/>
  <c r="P224" i="3" s="1"/>
  <c r="J225" i="3"/>
  <c r="P225" i="3" s="1"/>
  <c r="J226" i="3"/>
  <c r="P226" i="3" s="1"/>
  <c r="J227" i="3"/>
  <c r="P227" i="3" s="1"/>
  <c r="J228" i="3"/>
  <c r="P228" i="3" s="1"/>
  <c r="J229" i="3"/>
  <c r="P229" i="3" s="1"/>
  <c r="J230" i="3"/>
  <c r="P230" i="3" s="1"/>
  <c r="J231" i="3"/>
  <c r="P231" i="3" s="1"/>
  <c r="J232" i="3"/>
  <c r="P232" i="3" s="1"/>
  <c r="J233" i="3"/>
  <c r="P233" i="3" s="1"/>
  <c r="J234" i="3"/>
  <c r="P234" i="3" s="1"/>
  <c r="J235" i="3"/>
  <c r="P235" i="3" s="1"/>
  <c r="J236" i="3"/>
  <c r="P236" i="3" s="1"/>
  <c r="J237" i="3"/>
  <c r="P237" i="3" s="1"/>
  <c r="J238" i="3"/>
  <c r="P238" i="3" s="1"/>
  <c r="J239" i="3"/>
  <c r="P239" i="3" s="1"/>
  <c r="J240" i="3"/>
  <c r="P240" i="3" s="1"/>
  <c r="J241" i="3"/>
  <c r="P241" i="3" s="1"/>
  <c r="J242" i="3"/>
  <c r="P242" i="3" s="1"/>
  <c r="J243" i="3"/>
  <c r="P243" i="3" s="1"/>
  <c r="J244" i="3"/>
  <c r="P244" i="3" s="1"/>
  <c r="J245" i="3"/>
  <c r="P245" i="3" s="1"/>
  <c r="J246" i="3"/>
  <c r="P246" i="3" s="1"/>
  <c r="J247" i="3"/>
  <c r="P247" i="3" s="1"/>
  <c r="J248" i="3"/>
  <c r="P248" i="3" s="1"/>
  <c r="J249" i="3"/>
  <c r="P249" i="3" s="1"/>
  <c r="J250" i="3"/>
  <c r="P250" i="3" s="1"/>
  <c r="J251" i="3"/>
  <c r="P251" i="3" s="1"/>
  <c r="J252" i="3"/>
  <c r="P252" i="3" s="1"/>
  <c r="J253" i="3"/>
  <c r="P253" i="3" s="1"/>
  <c r="J254" i="3"/>
  <c r="P254" i="3" s="1"/>
  <c r="J255" i="3"/>
  <c r="P255" i="3" s="1"/>
  <c r="J256" i="3"/>
  <c r="P256" i="3" s="1"/>
  <c r="J257" i="3"/>
  <c r="P257" i="3" s="1"/>
  <c r="J258" i="3"/>
  <c r="P258" i="3" s="1"/>
  <c r="J259" i="3"/>
  <c r="P259" i="3" s="1"/>
  <c r="J260" i="3"/>
  <c r="P260" i="3" s="1"/>
  <c r="J261" i="3"/>
  <c r="P261" i="3" s="1"/>
  <c r="J262" i="3"/>
  <c r="P262" i="3" s="1"/>
  <c r="J263" i="3"/>
  <c r="P263" i="3" s="1"/>
  <c r="J264" i="3"/>
  <c r="P264" i="3" s="1"/>
  <c r="J265" i="3"/>
  <c r="P265" i="3" s="1"/>
  <c r="J266" i="3"/>
  <c r="P266" i="3" s="1"/>
  <c r="J267" i="3"/>
  <c r="P267" i="3" s="1"/>
  <c r="J268" i="3"/>
  <c r="P268" i="3" s="1"/>
  <c r="J269" i="3"/>
  <c r="P269" i="3" s="1"/>
  <c r="J270" i="3"/>
  <c r="P270" i="3" s="1"/>
  <c r="J271" i="3"/>
  <c r="P271" i="3" s="1"/>
  <c r="J272" i="3"/>
  <c r="P272" i="3" s="1"/>
  <c r="J273" i="3"/>
  <c r="P273" i="3" s="1"/>
  <c r="J274" i="3"/>
  <c r="P274" i="3" s="1"/>
  <c r="J275" i="3"/>
  <c r="P275" i="3" s="1"/>
  <c r="J276" i="3"/>
  <c r="P276" i="3" s="1"/>
  <c r="J277" i="3"/>
  <c r="P277" i="3" s="1"/>
  <c r="J278" i="3"/>
  <c r="P278" i="3" s="1"/>
  <c r="J279" i="3"/>
  <c r="P279" i="3" s="1"/>
  <c r="J280" i="3"/>
  <c r="P280" i="3" s="1"/>
  <c r="J281" i="3"/>
  <c r="P281" i="3" s="1"/>
  <c r="J282" i="3"/>
  <c r="P282" i="3" s="1"/>
  <c r="J283" i="3"/>
  <c r="P283" i="3" s="1"/>
  <c r="J284" i="3"/>
  <c r="P284" i="3" s="1"/>
  <c r="J285" i="3"/>
  <c r="P285" i="3" s="1"/>
  <c r="J286" i="3"/>
  <c r="P286" i="3" s="1"/>
  <c r="J287" i="3"/>
  <c r="P287" i="3" s="1"/>
  <c r="J288" i="3"/>
  <c r="P288" i="3" s="1"/>
  <c r="J289" i="3"/>
  <c r="P289" i="3" s="1"/>
  <c r="J290" i="3"/>
  <c r="P290" i="3" s="1"/>
  <c r="J291" i="3"/>
  <c r="P291" i="3" s="1"/>
  <c r="J292" i="3"/>
  <c r="P292" i="3" s="1"/>
  <c r="J293" i="3"/>
  <c r="P293" i="3" s="1"/>
  <c r="J294" i="3"/>
  <c r="P294" i="3" s="1"/>
  <c r="J295" i="3"/>
  <c r="P295" i="3" s="1"/>
  <c r="J296" i="3"/>
  <c r="P296" i="3" s="1"/>
  <c r="J297" i="3"/>
  <c r="P297" i="3" s="1"/>
  <c r="J298" i="3"/>
  <c r="P298" i="3" s="1"/>
  <c r="J299" i="3"/>
  <c r="P299" i="3" s="1"/>
  <c r="J300" i="3"/>
  <c r="P300" i="3" s="1"/>
  <c r="J301" i="3"/>
  <c r="P301" i="3" s="1"/>
  <c r="J302" i="3"/>
  <c r="P302" i="3" s="1"/>
  <c r="J303" i="3"/>
  <c r="P303" i="3" s="1"/>
  <c r="J304" i="3"/>
  <c r="P304" i="3" s="1"/>
  <c r="J305" i="3"/>
  <c r="P305" i="3" s="1"/>
  <c r="J306" i="3"/>
  <c r="P306" i="3" s="1"/>
  <c r="J15" i="3"/>
  <c r="P15" i="3" s="1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15" i="2"/>
  <c r="J13" i="3" l="1"/>
</calcChain>
</file>

<file path=xl/sharedStrings.xml><?xml version="1.0" encoding="utf-8"?>
<sst xmlns="http://schemas.openxmlformats.org/spreadsheetml/2006/main" count="14176" uniqueCount="884">
  <si>
    <r>
      <rPr>
        <b/>
        <sz val="14"/>
        <color rgb="FF000000"/>
        <rFont val="Segoe UI Light"/>
        <family val="2"/>
      </rPr>
      <t xml:space="preserve">CÔNG TY TNHH NÔNG SẢN THỰC PHẨM TRẦN GIA
</t>
    </r>
    <r>
      <rPr>
        <sz val="11"/>
        <color rgb="FF000000"/>
        <rFont val="Segoe UI Light"/>
        <family val="2"/>
      </rPr>
      <t xml:space="preserve">HTX: Ấp Lộc Tiến, Xã Mỹ Lộc, Huyện Cần Giuộc, Tỉnh Long An
</t>
    </r>
    <r>
      <rPr>
        <sz val="11"/>
        <color rgb="FF000000"/>
        <rFont val="Segoe UI Light"/>
        <family val="2"/>
      </rPr>
      <t xml:space="preserve">VP: Tòa nhà An Phú Plaza, 117-119 Lý Chính Thắng, P.7. Q.3, TP.HCM
</t>
    </r>
    <r>
      <rPr>
        <sz val="11"/>
        <color rgb="FF000000"/>
        <rFont val="Segoe UI Light"/>
        <family val="2"/>
      </rPr>
      <t xml:space="preserve">Kho sơ chế: 30 Kha Vạn Cân, P. Hiệp Bình Chánh, TP.Thủ Đức, TP.HCM
</t>
    </r>
    <r>
      <rPr>
        <sz val="11"/>
        <color rgb="FF000000"/>
        <rFont val="Segoe UI Light"/>
        <family val="2"/>
      </rPr>
      <t xml:space="preserve">Kho Đà Lạt: 69 Trần Thủ Độ, TT Liên Nghĩa, Huyện Đức Trọng, Tỉnh Lâm Đồng.
</t>
    </r>
    <r>
      <rPr>
        <sz val="11"/>
        <color rgb="FF000000"/>
        <rFont val="Segoe UI Light"/>
        <family val="2"/>
      </rPr>
      <t>Website: rausachtrangia.com - Hotline: 090.245.8081</t>
    </r>
  </si>
  <si>
    <t>CHI TIẾT ĐỐI CHIẾU CÔNG NỢ</t>
  </si>
  <si>
    <t xml:space="preserve">Địa chỉ: </t>
  </si>
  <si>
    <t>Người liên hệ:                                                                                              Email:</t>
  </si>
  <si>
    <t>MÃ ĐƠN HÀNG</t>
  </si>
  <si>
    <t>NGÀY</t>
  </si>
  <si>
    <t>MÃ HÀNG</t>
  </si>
  <si>
    <t>TÊN HÀNG</t>
  </si>
  <si>
    <t>ĐVT</t>
  </si>
  <si>
    <t>ĐƠN GIÁ</t>
  </si>
  <si>
    <t>THÀNH TIỀN</t>
  </si>
  <si>
    <t>GHI CHÚ</t>
  </si>
  <si>
    <t>I100003</t>
  </si>
  <si>
    <t>Bắp cải trắng</t>
  </si>
  <si>
    <t>Kg</t>
  </si>
  <si>
    <t/>
  </si>
  <si>
    <t>I100008</t>
  </si>
  <si>
    <t>Bắp mỹ trái (Loại 1)</t>
  </si>
  <si>
    <t>Trái</t>
  </si>
  <si>
    <t>I100075</t>
  </si>
  <si>
    <t>Đậu bắp</t>
  </si>
  <si>
    <t>I100098</t>
  </si>
  <si>
    <t>Hành lá</t>
  </si>
  <si>
    <t>I100101</t>
  </si>
  <si>
    <t>Hành tây</t>
  </si>
  <si>
    <t>I100113</t>
  </si>
  <si>
    <t>Húng lũi</t>
  </si>
  <si>
    <t>I100229</t>
  </si>
  <si>
    <t>Tỏi lột</t>
  </si>
  <si>
    <t>I100240</t>
  </si>
  <si>
    <t>Nấm kim châm tươi</t>
  </si>
  <si>
    <t>I100730</t>
  </si>
  <si>
    <t>Hành tím bắc lột</t>
  </si>
  <si>
    <t>I100060</t>
  </si>
  <si>
    <t>Chanh không hạt</t>
  </si>
  <si>
    <t>I100097</t>
  </si>
  <si>
    <t>Củ Gừng</t>
  </si>
  <si>
    <t>I100151</t>
  </si>
  <si>
    <t>Mướp hương</t>
  </si>
  <si>
    <t>I100236</t>
  </si>
  <si>
    <t>Nấm đông cô tươi</t>
  </si>
  <si>
    <t>I100167</t>
  </si>
  <si>
    <t>Ớt hiểm đỏ</t>
  </si>
  <si>
    <t>I100189</t>
  </si>
  <si>
    <t>Rau răm</t>
  </si>
  <si>
    <t>I100198</t>
  </si>
  <si>
    <t>Sả cây</t>
  </si>
  <si>
    <t>I100216</t>
  </si>
  <si>
    <t>Tắc trái</t>
  </si>
  <si>
    <t>I100474</t>
  </si>
  <si>
    <t>Chanh Dây</t>
  </si>
  <si>
    <t>I100479</t>
  </si>
  <si>
    <t>Dưa hấu</t>
  </si>
  <si>
    <t>I100237</t>
  </si>
  <si>
    <t>Nấm đùi gà</t>
  </si>
  <si>
    <t>I100160</t>
  </si>
  <si>
    <t>Ngò tây</t>
  </si>
  <si>
    <t>I100170</t>
  </si>
  <si>
    <t>Ớt sừng đỏ</t>
  </si>
  <si>
    <t>I100012</t>
  </si>
  <si>
    <t>Bí đỏ hồ lô</t>
  </si>
  <si>
    <t>I100634</t>
  </si>
  <si>
    <t>Nấm hải sản (kg)</t>
  </si>
  <si>
    <t>I100156</t>
  </si>
  <si>
    <t>Ngò rí</t>
  </si>
  <si>
    <t>Xà lách romain</t>
  </si>
  <si>
    <t>I100209</t>
  </si>
  <si>
    <t>LONGWANG 1</t>
  </si>
  <si>
    <t>Xà lách Rocket</t>
  </si>
  <si>
    <t>I100212</t>
  </si>
  <si>
    <t>Quả</t>
  </si>
  <si>
    <t>Trứng vịt muối</t>
  </si>
  <si>
    <t>I100275</t>
  </si>
  <si>
    <t>Thì là</t>
  </si>
  <si>
    <t>I100219</t>
  </si>
  <si>
    <t>Rau má nhỏ</t>
  </si>
  <si>
    <t>I100626</t>
  </si>
  <si>
    <t>Nấm linh chi nâu (kg)</t>
  </si>
  <si>
    <t>I100635</t>
  </si>
  <si>
    <t>Nấm đùi gà baby</t>
  </si>
  <si>
    <t>I100650</t>
  </si>
  <si>
    <t>Lá dứa</t>
  </si>
  <si>
    <t>I100136</t>
  </si>
  <si>
    <t>Khoai lang nhật</t>
  </si>
  <si>
    <t>I100121</t>
  </si>
  <si>
    <t>Hành Paro</t>
  </si>
  <si>
    <t>I100099</t>
  </si>
  <si>
    <t>Cây</t>
  </si>
  <si>
    <t>Đậu hủ trứng CP 220gr</t>
  </si>
  <si>
    <t>I100883</t>
  </si>
  <si>
    <t>Củ sen</t>
  </si>
  <si>
    <t>I100074</t>
  </si>
  <si>
    <t>Chanh vàng</t>
  </si>
  <si>
    <t>I100062</t>
  </si>
  <si>
    <t>Cần tây</t>
  </si>
  <si>
    <t>I100057</t>
  </si>
  <si>
    <t>Cam vàng</t>
  </si>
  <si>
    <t>I100469</t>
  </si>
  <si>
    <t>Cải Hongkong(Cai ngong)</t>
  </si>
  <si>
    <t>I100045</t>
  </si>
  <si>
    <t>Bí ngòi xanh</t>
  </si>
  <si>
    <t>I100016</t>
  </si>
  <si>
    <t>Bánh ướt</t>
  </si>
  <si>
    <t>I100253</t>
  </si>
  <si>
    <t>Nấm mối đen</t>
  </si>
  <si>
    <t>I100970</t>
  </si>
  <si>
    <t>Lá chanh</t>
  </si>
  <si>
    <t>I100133</t>
  </si>
  <si>
    <t>Cà rốt baby</t>
  </si>
  <si>
    <t>I100040</t>
  </si>
  <si>
    <t>Ớt hiểm xanh</t>
  </si>
  <si>
    <t>I100168</t>
  </si>
  <si>
    <t>Củ riềng</t>
  </si>
  <si>
    <t>I100072</t>
  </si>
  <si>
    <r>
      <rPr>
        <sz val="12"/>
        <color rgb="FF000000"/>
        <rFont val="Segoe UI"/>
        <family val="2"/>
      </rPr>
      <t xml:space="preserve">Tên Khách hàng: </t>
    </r>
    <r>
      <rPr>
        <sz val="12"/>
        <color rgb="FF000000"/>
        <rFont val="Segoe UI"/>
        <family val="2"/>
      </rPr>
      <t>LONGWANG 1</t>
    </r>
  </si>
  <si>
    <t>MÃ KHÁCH HÀNG</t>
  </si>
  <si>
    <t>TÊN KHÁCH HÀNG</t>
  </si>
  <si>
    <t>SỐ LƯỢNG</t>
  </si>
  <si>
    <t>TG-KS00333</t>
  </si>
  <si>
    <t>I100024</t>
  </si>
  <si>
    <t>Bông cải xanh</t>
  </si>
  <si>
    <t>I100921</t>
  </si>
  <si>
    <t>Nấm linh chi trắng (kg)</t>
  </si>
  <si>
    <t>TG-KS01254</t>
  </si>
  <si>
    <t>G-MASTER NƯỚNG</t>
  </si>
  <si>
    <t>I100039</t>
  </si>
  <si>
    <t>Cà rốt</t>
  </si>
  <si>
    <t>I100067</t>
  </si>
  <si>
    <t>Củ cải trắng (Loại 1)</t>
  </si>
  <si>
    <t>I100089</t>
  </si>
  <si>
    <t>Dưa leo</t>
  </si>
  <si>
    <t>I100033</t>
  </si>
  <si>
    <t>Cà chua bi</t>
  </si>
  <si>
    <t>I100653</t>
  </si>
  <si>
    <t>Cải Mầm(kg)</t>
  </si>
  <si>
    <t>I100064</t>
  </si>
  <si>
    <t>Củ cải đỏ (Radis)</t>
  </si>
  <si>
    <t>I100094</t>
  </si>
  <si>
    <t>Giá tươi</t>
  </si>
  <si>
    <t>I100096</t>
  </si>
  <si>
    <t>Gừng còn vỏ VN</t>
  </si>
  <si>
    <t>I100132</t>
  </si>
  <si>
    <t>Lá cây nhíp (lá mè)</t>
  </si>
  <si>
    <t>I100203</t>
  </si>
  <si>
    <t>Xà lách búp mỹ</t>
  </si>
  <si>
    <t>I100207</t>
  </si>
  <si>
    <t>Xà lách lolo xanh</t>
  </si>
  <si>
    <t>Tên Khách hàng: G-MASTER NƯỚNG</t>
  </si>
  <si>
    <t>I100222</t>
  </si>
  <si>
    <t>Tiêu xanh Tươi</t>
  </si>
  <si>
    <t>I100034</t>
  </si>
  <si>
    <t>Cà chua</t>
  </si>
  <si>
    <t>I100128</t>
  </si>
  <si>
    <t>Khoai Tây DL lớn</t>
  </si>
  <si>
    <t>Từ ngày 1 tháng 01 đến ngày 15 tháng 01 năm 2026</t>
  </si>
  <si>
    <t>01/01/2026</t>
  </si>
  <si>
    <t>TG-AA20661</t>
  </si>
  <si>
    <t>I100194</t>
  </si>
  <si>
    <t>Rau tía tô</t>
  </si>
  <si>
    <t>TG-AA20746</t>
  </si>
  <si>
    <t>02/01/2026</t>
  </si>
  <si>
    <t>TG-AA20863</t>
  </si>
  <si>
    <t>TG-AA20919</t>
  </si>
  <si>
    <t>03/01/2026</t>
  </si>
  <si>
    <t>TG-AA20967</t>
  </si>
  <si>
    <t>I100270</t>
  </si>
  <si>
    <t>Trứng bắc thảo</t>
  </si>
  <si>
    <t>TG-AA21105</t>
  </si>
  <si>
    <t>04/01/2026</t>
  </si>
  <si>
    <t>TG-AA21209</t>
  </si>
  <si>
    <t>TG-AA21272</t>
  </si>
  <si>
    <t>05/01/2026</t>
  </si>
  <si>
    <t>TG-AA21433</t>
  </si>
  <si>
    <t>TG-AA21344</t>
  </si>
  <si>
    <t>06/01/2026</t>
  </si>
  <si>
    <t>TG-AA21471</t>
  </si>
  <si>
    <t>TG-AA21600</t>
  </si>
  <si>
    <t>07/01/2026</t>
  </si>
  <si>
    <t>TG-AA21644</t>
  </si>
  <si>
    <t>TG-AA21776</t>
  </si>
  <si>
    <t>08/01/2026</t>
  </si>
  <si>
    <t>TG-AA21849</t>
  </si>
  <si>
    <t>TG-AA21959</t>
  </si>
  <si>
    <t>09/01/2026</t>
  </si>
  <si>
    <t>TG-AA22118</t>
  </si>
  <si>
    <t>TG-AA22133</t>
  </si>
  <si>
    <t>10/01/2026</t>
  </si>
  <si>
    <t>TG-AA22308</t>
  </si>
  <si>
    <t>TG-AA22327</t>
  </si>
  <si>
    <t>11/01/2026</t>
  </si>
  <si>
    <t>TG-AA22404</t>
  </si>
  <si>
    <t>TG-AA22495</t>
  </si>
  <si>
    <t>12/01/2026</t>
  </si>
  <si>
    <t>TG-AA22677</t>
  </si>
  <si>
    <t>TG-AA22566</t>
  </si>
  <si>
    <t>13/01/2026</t>
  </si>
  <si>
    <t>TG-AA22758</t>
  </si>
  <si>
    <t>TG-AA22860</t>
  </si>
  <si>
    <t>14/01/2026</t>
  </si>
  <si>
    <t>TG-AA22943</t>
  </si>
  <si>
    <t>TG-AA23048</t>
  </si>
  <si>
    <t>15/01/2026</t>
  </si>
  <si>
    <t>TG-AA23140</t>
  </si>
  <si>
    <t>TG-AA23224</t>
  </si>
  <si>
    <t>TG-AA20733</t>
  </si>
  <si>
    <t>I100046</t>
  </si>
  <si>
    <t>Cải mầm (100g)</t>
  </si>
  <si>
    <t>Hộp</t>
  </si>
  <si>
    <t>I101167</t>
  </si>
  <si>
    <t>Giá đậu nành</t>
  </si>
  <si>
    <t>I100681</t>
  </si>
  <si>
    <t>Xà lách Crispy</t>
  </si>
  <si>
    <t>TG-AA20860</t>
  </si>
  <si>
    <t>TG-AA20944</t>
  </si>
  <si>
    <t>TG-AA21184</t>
  </si>
  <si>
    <t>TG-AA21271</t>
  </si>
  <si>
    <t>TG-AA21343</t>
  </si>
  <si>
    <t>TG-AA21453</t>
  </si>
  <si>
    <t>TG-AA21620</t>
  </si>
  <si>
    <t>TG-AA21822</t>
  </si>
  <si>
    <t>TG-AA22094</t>
  </si>
  <si>
    <t>TG-AA22289</t>
  </si>
  <si>
    <t>TG-AA22382</t>
  </si>
  <si>
    <t>TG-AA22548</t>
  </si>
  <si>
    <t>TG-AA22736</t>
  </si>
  <si>
    <t>TG-AA22924</t>
  </si>
  <si>
    <t>TG-AA23041</t>
  </si>
  <si>
    <t>TG-AA23138</t>
  </si>
  <si>
    <t>STT</t>
  </si>
  <si>
    <t>Mã TG</t>
  </si>
  <si>
    <t>Mã hàng</t>
  </si>
  <si>
    <t>Tên mặt hàng</t>
  </si>
  <si>
    <t>Đvt</t>
  </si>
  <si>
    <t>GIÁ CHỐT</t>
  </si>
  <si>
    <t>I100258</t>
  </si>
  <si>
    <t>NL430151</t>
  </si>
  <si>
    <t>Bánh canh NV</t>
  </si>
  <si>
    <t>kg</t>
  </si>
  <si>
    <t>I100252</t>
  </si>
  <si>
    <t>NL300002</t>
  </si>
  <si>
    <t xml:space="preserve">Bánh phở </t>
  </si>
  <si>
    <t>I100002</t>
  </si>
  <si>
    <t>NL300003</t>
  </si>
  <si>
    <t>Bắp cải tím</t>
  </si>
  <si>
    <t>NL300004</t>
  </si>
  <si>
    <t>I100010</t>
  </si>
  <si>
    <t>NL300174</t>
  </si>
  <si>
    <t>Bầu</t>
  </si>
  <si>
    <t>NL430005</t>
  </si>
  <si>
    <t>Bầu NV</t>
  </si>
  <si>
    <t>I100017</t>
  </si>
  <si>
    <t>NL430006</t>
  </si>
  <si>
    <t>Bí bao tử NV</t>
  </si>
  <si>
    <t>NL300007</t>
  </si>
  <si>
    <t>Bí đỏ</t>
  </si>
  <si>
    <t>NL300008</t>
  </si>
  <si>
    <t>Bí ngòi</t>
  </si>
  <si>
    <t>NL300009</t>
  </si>
  <si>
    <t>Bí nụ</t>
  </si>
  <si>
    <t>I100011</t>
  </si>
  <si>
    <t>NL430009</t>
  </si>
  <si>
    <t>Bí xanh NV</t>
  </si>
  <si>
    <t>I100025</t>
  </si>
  <si>
    <t>NL300015</t>
  </si>
  <si>
    <t>Bông cải xanh Baby</t>
  </si>
  <si>
    <t>I100031</t>
  </si>
  <si>
    <t>NL430183</t>
  </si>
  <si>
    <t xml:space="preserve">Bông súng </t>
  </si>
  <si>
    <t>I100255</t>
  </si>
  <si>
    <t>NL300012</t>
  </si>
  <si>
    <t>Bún, bún bò</t>
  </si>
  <si>
    <t>NL300189</t>
  </si>
  <si>
    <t>bánh ướt, bún lớn</t>
  </si>
  <si>
    <t>I100249</t>
  </si>
  <si>
    <t>NL430212</t>
  </si>
  <si>
    <t xml:space="preserve">bánh hỏi </t>
  </si>
  <si>
    <t>I100009</t>
  </si>
  <si>
    <t>NL430200</t>
  </si>
  <si>
    <t>bắp non nv</t>
  </si>
  <si>
    <t>NL300013</t>
  </si>
  <si>
    <t>NL300014</t>
  </si>
  <si>
    <t>I100581</t>
  </si>
  <si>
    <t>NL410007</t>
  </si>
  <si>
    <t>Cá cơm NV</t>
  </si>
  <si>
    <t>I100412</t>
  </si>
  <si>
    <t>NL410008</t>
  </si>
  <si>
    <t>Cá diêu hồng NV</t>
  </si>
  <si>
    <t>I100413</t>
  </si>
  <si>
    <t>NL430145</t>
  </si>
  <si>
    <t>Cá hấp (NV)</t>
  </si>
  <si>
    <t>I100616</t>
  </si>
  <si>
    <t>NL410009</t>
  </si>
  <si>
    <t>Cá hú NV</t>
  </si>
  <si>
    <t>I100416</t>
  </si>
  <si>
    <t>NL410116</t>
  </si>
  <si>
    <t>Cá hường NV</t>
  </si>
  <si>
    <t>I100605</t>
  </si>
  <si>
    <t>NL410117</t>
  </si>
  <si>
    <t>Cá mó NV</t>
  </si>
  <si>
    <t>I100421</t>
  </si>
  <si>
    <t>NL410011</t>
  </si>
  <si>
    <t>Cá ngừ NV</t>
  </si>
  <si>
    <t>I100415</t>
  </si>
  <si>
    <t>NL410013</t>
  </si>
  <si>
    <t>Cá nục NV</t>
  </si>
  <si>
    <t>I100036</t>
  </si>
  <si>
    <t>NL430025</t>
  </si>
  <si>
    <t>Cà pháo NV sống</t>
  </si>
  <si>
    <t>I100037</t>
  </si>
  <si>
    <t>NL430184</t>
  </si>
  <si>
    <t>Cà pháo NV muối</t>
  </si>
  <si>
    <t>I100418</t>
  </si>
  <si>
    <t>NL410015</t>
  </si>
  <si>
    <t>Cá quả NV ( cá lóc)</t>
  </si>
  <si>
    <t>NL300027</t>
  </si>
  <si>
    <t>NL300028</t>
  </si>
  <si>
    <t>I100042</t>
  </si>
  <si>
    <t>NL430027</t>
  </si>
  <si>
    <t>Cà tím NV</t>
  </si>
  <si>
    <t>I100410</t>
  </si>
  <si>
    <t>NL410018</t>
  </si>
  <si>
    <t>Cá tra NV ( Cá basa NV )</t>
  </si>
  <si>
    <t>I101020</t>
  </si>
  <si>
    <t>NL410020</t>
  </si>
  <si>
    <t>Cá trê NV</t>
  </si>
  <si>
    <t>I100052</t>
  </si>
  <si>
    <t>NL300017</t>
  </si>
  <si>
    <t>Cải chíp</t>
  </si>
  <si>
    <t>I100044</t>
  </si>
  <si>
    <t>NL300155</t>
  </si>
  <si>
    <t>Cải chua nguyên cây</t>
  </si>
  <si>
    <t>I100217</t>
  </si>
  <si>
    <t>NL300018</t>
  </si>
  <si>
    <t>Cải cúc</t>
  </si>
  <si>
    <t>I100049</t>
  </si>
  <si>
    <t>NL300019</t>
  </si>
  <si>
    <t>Cải làn</t>
  </si>
  <si>
    <t>NL300020</t>
  </si>
  <si>
    <t>Cải ngồng</t>
  </si>
  <si>
    <t>I100047</t>
  </si>
  <si>
    <t>NL300021</t>
  </si>
  <si>
    <t>Cải ngọt</t>
  </si>
  <si>
    <t>I100051</t>
  </si>
  <si>
    <t>NL300022</t>
  </si>
  <si>
    <t>Cải thảo</t>
  </si>
  <si>
    <t>I100580</t>
  </si>
  <si>
    <t>NL300023</t>
  </si>
  <si>
    <t>Cải xanh</t>
  </si>
  <si>
    <t>I100468</t>
  </si>
  <si>
    <t>NL600002</t>
  </si>
  <si>
    <t>Cam</t>
  </si>
  <si>
    <t>NL600067</t>
  </si>
  <si>
    <t xml:space="preserve">cam vàng </t>
  </si>
  <si>
    <t>I101102</t>
  </si>
  <si>
    <t>NL410022</t>
  </si>
  <si>
    <t>Chả cá basa</t>
  </si>
  <si>
    <t>I100429</t>
  </si>
  <si>
    <t>Chả cá NV</t>
  </si>
  <si>
    <t>I100431</t>
  </si>
  <si>
    <t>NL410024</t>
  </si>
  <si>
    <t>Chả lụa NV</t>
  </si>
  <si>
    <t>NL300029</t>
  </si>
  <si>
    <t>Chanh</t>
  </si>
  <si>
    <t>NL600068</t>
  </si>
  <si>
    <t>chanh vàng</t>
  </si>
  <si>
    <t>NL300030</t>
  </si>
  <si>
    <t>Chanh dây</t>
  </si>
  <si>
    <t>I100319</t>
  </si>
  <si>
    <t>NL200069</t>
  </si>
  <si>
    <t>chao trắng nv</t>
  </si>
  <si>
    <t>lọ</t>
  </si>
  <si>
    <t>I100475</t>
  </si>
  <si>
    <t>NL300032</t>
  </si>
  <si>
    <t>Chuối xanh</t>
  </si>
  <si>
    <t>NL300033</t>
  </si>
  <si>
    <t>Củ cải</t>
  </si>
  <si>
    <t>NL300034</t>
  </si>
  <si>
    <t>Củ cải đỏ</t>
  </si>
  <si>
    <t>I100066</t>
  </si>
  <si>
    <t>NL430030</t>
  </si>
  <si>
    <t>Củ cải muối nv</t>
  </si>
  <si>
    <t>I100073</t>
  </si>
  <si>
    <t>NL600003</t>
  </si>
  <si>
    <t>Củ Đậu (Củ Sắn)</t>
  </si>
  <si>
    <t>I100018</t>
  </si>
  <si>
    <t>NL300203</t>
  </si>
  <si>
    <t>Cải bó xôi</t>
  </si>
  <si>
    <t>I100387</t>
  </si>
  <si>
    <t>NL410217</t>
  </si>
  <si>
    <t xml:space="preserve">Củ từ </t>
  </si>
  <si>
    <t>I100068</t>
  </si>
  <si>
    <t>NL430033</t>
  </si>
  <si>
    <t>Củ dền NV</t>
  </si>
  <si>
    <t>NL300035</t>
  </si>
  <si>
    <t>NL300036</t>
  </si>
  <si>
    <t>I101265</t>
  </si>
  <si>
    <t>NL300229</t>
  </si>
  <si>
    <t>Lá tre</t>
  </si>
  <si>
    <t>I100589</t>
  </si>
  <si>
    <t>NL410012</t>
  </si>
  <si>
    <t>cánh gà</t>
  </si>
  <si>
    <t>I100600</t>
  </si>
  <si>
    <t>NL300047</t>
  </si>
  <si>
    <t>dứa nguyên vỏ</t>
  </si>
  <si>
    <t>trái</t>
  </si>
  <si>
    <t>I100264</t>
  </si>
  <si>
    <t>NL430157</t>
  </si>
  <si>
    <t>Da hoành thánh NV</t>
  </si>
  <si>
    <t>NL300038</t>
  </si>
  <si>
    <t>I100077</t>
  </si>
  <si>
    <t>NL300156</t>
  </si>
  <si>
    <t>Đậu cove Pháp</t>
  </si>
  <si>
    <t>I100079</t>
  </si>
  <si>
    <t>NL430038</t>
  </si>
  <si>
    <t>Đậu đũa NV</t>
  </si>
  <si>
    <t>I100405</t>
  </si>
  <si>
    <t>NL200314</t>
  </si>
  <si>
    <t>Đậu Hà Lan</t>
  </si>
  <si>
    <t>NL300041</t>
  </si>
  <si>
    <t>Đậu hủ non trứng</t>
  </si>
  <si>
    <t>Cái</t>
  </si>
  <si>
    <t>I100489</t>
  </si>
  <si>
    <t>NL300081</t>
  </si>
  <si>
    <t>Lê vàng</t>
  </si>
  <si>
    <t>I100201</t>
  </si>
  <si>
    <t>NL300194</t>
  </si>
  <si>
    <t>Rau cải wasabi (Xà Lách Frise)</t>
  </si>
  <si>
    <t>I100466</t>
  </si>
  <si>
    <t>NL300192</t>
  </si>
  <si>
    <t>Thanh long ruột đỏ</t>
  </si>
  <si>
    <t>I100511</t>
  </si>
  <si>
    <t>NL300150</t>
  </si>
  <si>
    <t>Xoài xanh</t>
  </si>
  <si>
    <t>I100260</t>
  </si>
  <si>
    <t>NL300037</t>
  </si>
  <si>
    <t>Đậu phụ trắng, chiên</t>
  </si>
  <si>
    <t>miếng</t>
  </si>
  <si>
    <t>I100573</t>
  </si>
  <si>
    <t>NL300082</t>
  </si>
  <si>
    <t>Đinh lăng</t>
  </si>
  <si>
    <t>I100001</t>
  </si>
  <si>
    <t>NL430043</t>
  </si>
  <si>
    <t>Dọc mùng NV</t>
  </si>
  <si>
    <t>I100519</t>
  </si>
  <si>
    <t>NL300043</t>
  </si>
  <si>
    <t>Đọt cóc</t>
  </si>
  <si>
    <t>I100536</t>
  </si>
  <si>
    <t>NL300044</t>
  </si>
  <si>
    <t>Đọt mọt ( Lá trăm )</t>
  </si>
  <si>
    <t>I100088</t>
  </si>
  <si>
    <t>NL300049</t>
  </si>
  <si>
    <t>Đu đủ xanh</t>
  </si>
  <si>
    <t>I100087</t>
  </si>
  <si>
    <t>NL430050</t>
  </si>
  <si>
    <t xml:space="preserve">Đu đủ NV </t>
  </si>
  <si>
    <t>I100326</t>
  </si>
  <si>
    <t>NL200126</t>
  </si>
  <si>
    <t>lạc sống</t>
  </si>
  <si>
    <t>NL430045</t>
  </si>
  <si>
    <t>Dưa chua NV</t>
  </si>
  <si>
    <t>NL300048</t>
  </si>
  <si>
    <t>Dưa chuột</t>
  </si>
  <si>
    <t>NL600004</t>
  </si>
  <si>
    <t>I100576</t>
  </si>
  <si>
    <t>NL410034</t>
  </si>
  <si>
    <t>Đùi gà NV</t>
  </si>
  <si>
    <t>I100434</t>
  </si>
  <si>
    <t>NL410036</t>
  </si>
  <si>
    <t>Ếch NV</t>
  </si>
  <si>
    <t>I100435</t>
  </si>
  <si>
    <t>NL410121</t>
  </si>
  <si>
    <t>Gà góc tư</t>
  </si>
  <si>
    <t>I100617</t>
  </si>
  <si>
    <t>NL300052</t>
  </si>
  <si>
    <t>Giềng xay</t>
  </si>
  <si>
    <t>NL300053</t>
  </si>
  <si>
    <t>Gừng ta</t>
  </si>
  <si>
    <t>NL300054</t>
  </si>
  <si>
    <t>Gừng tàu</t>
  </si>
  <si>
    <t>NL300055</t>
  </si>
  <si>
    <t>Hành bóc</t>
  </si>
  <si>
    <t>NL300058</t>
  </si>
  <si>
    <t>NL300061</t>
  </si>
  <si>
    <t>Hành paro</t>
  </si>
  <si>
    <t>NL300059</t>
  </si>
  <si>
    <t>I100103</t>
  </si>
  <si>
    <t>NL300057</t>
  </si>
  <si>
    <t>hành khô</t>
  </si>
  <si>
    <t>I100104</t>
  </si>
  <si>
    <t>NL430057</t>
  </si>
  <si>
    <t>Hành tím lột vỏ TQ</t>
  </si>
  <si>
    <t>I100107</t>
  </si>
  <si>
    <t>Hành tím VN lột vỏ</t>
  </si>
  <si>
    <t>I100004</t>
  </si>
  <si>
    <t>NL300060</t>
  </si>
  <si>
    <t>Hoa chuối đã thái</t>
  </si>
  <si>
    <t>NL300062</t>
  </si>
  <si>
    <t>Húng Bạc Hà</t>
  </si>
  <si>
    <t>I100112</t>
  </si>
  <si>
    <t>NL300063</t>
  </si>
  <si>
    <t>Húng cây (Rau thơm)</t>
  </si>
  <si>
    <t>I100115</t>
  </si>
  <si>
    <t>NL430188</t>
  </si>
  <si>
    <t>kèo nèo</t>
  </si>
  <si>
    <t>I100116</t>
  </si>
  <si>
    <t>NL300068</t>
  </si>
  <si>
    <t>Khế</t>
  </si>
  <si>
    <t>NL300070</t>
  </si>
  <si>
    <t>Khoai lang Nhật</t>
  </si>
  <si>
    <t>I100354</t>
  </si>
  <si>
    <t>NL410057</t>
  </si>
  <si>
    <t xml:space="preserve">Mắm cá linh </t>
  </si>
  <si>
    <t>I100355</t>
  </si>
  <si>
    <t>NL410219</t>
  </si>
  <si>
    <t>Mắm cá sặc</t>
  </si>
  <si>
    <t>I100124</t>
  </si>
  <si>
    <t>NL430065</t>
  </si>
  <si>
    <t>Khoai mỡ NV</t>
  </si>
  <si>
    <t>I100125</t>
  </si>
  <si>
    <t>NL300157</t>
  </si>
  <si>
    <t>Khoai môn</t>
  </si>
  <si>
    <t>I100126</t>
  </si>
  <si>
    <t>NL430066</t>
  </si>
  <si>
    <t>Khoai sọ nv</t>
  </si>
  <si>
    <t>NL300071</t>
  </si>
  <si>
    <t>Khoai tây DL NV</t>
  </si>
  <si>
    <t>I100181</t>
  </si>
  <si>
    <t>NL300072</t>
  </si>
  <si>
    <t>Kinh giới</t>
  </si>
  <si>
    <t>NL300073</t>
  </si>
  <si>
    <t>I100135</t>
  </si>
  <si>
    <t>NL300074</t>
  </si>
  <si>
    <t>Lá chuối</t>
  </si>
  <si>
    <t>NL300184</t>
  </si>
  <si>
    <t>lá dứa</t>
  </si>
  <si>
    <t>I100683</t>
  </si>
  <si>
    <t>NL300206</t>
  </si>
  <si>
    <t>lá cách</t>
  </si>
  <si>
    <t>I100526</t>
  </si>
  <si>
    <t>NL300173</t>
  </si>
  <si>
    <t>Lá giang</t>
  </si>
  <si>
    <t>I100111</t>
  </si>
  <si>
    <t>NL300076</t>
  </si>
  <si>
    <t>Lá hẹ</t>
  </si>
  <si>
    <t>I100196</t>
  </si>
  <si>
    <t>NL300066</t>
  </si>
  <si>
    <t>Lá hương thảo tươi</t>
  </si>
  <si>
    <t>I100139</t>
  </si>
  <si>
    <t>NL300077</t>
  </si>
  <si>
    <t>Lá lốt (có cuống)</t>
  </si>
  <si>
    <t>I100454</t>
  </si>
  <si>
    <t>NL300078</t>
  </si>
  <si>
    <t>Lá móc mật</t>
  </si>
  <si>
    <t>NL300080</t>
  </si>
  <si>
    <t>Lá vừng Hàn Quốc - Lá kê nhíp</t>
  </si>
  <si>
    <t>I100484</t>
  </si>
  <si>
    <t>NL300218</t>
  </si>
  <si>
    <t>hoa cúc ( decor)</t>
  </si>
  <si>
    <t xml:space="preserve">bó </t>
  </si>
  <si>
    <t>I100565</t>
  </si>
  <si>
    <t>NL410042</t>
  </si>
  <si>
    <t>gà nhân viên</t>
  </si>
  <si>
    <t>NL430061</t>
  </si>
  <si>
    <t>húng chó</t>
  </si>
  <si>
    <t>NL410099</t>
  </si>
  <si>
    <t>tim gà</t>
  </si>
  <si>
    <t>NL410051</t>
  </si>
  <si>
    <t xml:space="preserve">lòng già </t>
  </si>
  <si>
    <t>I100604</t>
  </si>
  <si>
    <t>NL410053</t>
  </si>
  <si>
    <t>Lòng mề gà NV</t>
  </si>
  <si>
    <t>I100145</t>
  </si>
  <si>
    <t>NL430082</t>
  </si>
  <si>
    <t>Măng củ NV</t>
  </si>
  <si>
    <t>I100143</t>
  </si>
  <si>
    <t>NL430083</t>
  </si>
  <si>
    <t>Măng lá NV</t>
  </si>
  <si>
    <t>I100359</t>
  </si>
  <si>
    <t>NL430081</t>
  </si>
  <si>
    <t>Mắm tôm</t>
  </si>
  <si>
    <t>I100358</t>
  </si>
  <si>
    <t>NL430080</t>
  </si>
  <si>
    <t>Mắm ruốc</t>
  </si>
  <si>
    <t>I100761</t>
  </si>
  <si>
    <t>NL300175</t>
  </si>
  <si>
    <t>Mẻ chua</t>
  </si>
  <si>
    <t>I100147</t>
  </si>
  <si>
    <t>NL420028</t>
  </si>
  <si>
    <t>Me vàng NV</t>
  </si>
  <si>
    <t>I100150</t>
  </si>
  <si>
    <t>NL300084</t>
  </si>
  <si>
    <t>Mồng tơi nhặt</t>
  </si>
  <si>
    <t>NL300085</t>
  </si>
  <si>
    <t>Mùi ta ( Ngò rí )</t>
  </si>
  <si>
    <t>I100243</t>
  </si>
  <si>
    <t>NL420030</t>
  </si>
  <si>
    <t>Mộc nhĩ NV</t>
  </si>
  <si>
    <t>I100154</t>
  </si>
  <si>
    <t>NL300086</t>
  </si>
  <si>
    <t>Mùi tàu ( Ngò gai )</t>
  </si>
  <si>
    <t>I100118</t>
  </si>
  <si>
    <t>NL430092</t>
  </si>
  <si>
    <t>Mướp đắng NV ( Khổ qua NV )</t>
  </si>
  <si>
    <t>NL300088</t>
  </si>
  <si>
    <t>NL300090</t>
  </si>
  <si>
    <t>Nấm đông cô</t>
  </si>
  <si>
    <t>NL300091</t>
  </si>
  <si>
    <t>NL300092</t>
  </si>
  <si>
    <t>NL300094</t>
  </si>
  <si>
    <t>Nấm hải sản</t>
  </si>
  <si>
    <t>NL300096</t>
  </si>
  <si>
    <t>NL300097</t>
  </si>
  <si>
    <t>Nấm Linh Chi nâu</t>
  </si>
  <si>
    <t>NL300098</t>
  </si>
  <si>
    <t>Nấm Linh Chi trắng</t>
  </si>
  <si>
    <t>I100532</t>
  </si>
  <si>
    <t>NL300100</t>
  </si>
  <si>
    <t>Nấm mỡ</t>
  </si>
  <si>
    <t>I100733</t>
  </si>
  <si>
    <t>NL300158</t>
  </si>
  <si>
    <t>Nấm mỡ đen</t>
  </si>
  <si>
    <t>NL300101</t>
  </si>
  <si>
    <t>Nấm Mối</t>
  </si>
  <si>
    <t>I100245</t>
  </si>
  <si>
    <t>NL430098</t>
  </si>
  <si>
    <t>Nấm Rơm NV</t>
  </si>
  <si>
    <t>I100235</t>
  </si>
  <si>
    <t>NL300102</t>
  </si>
  <si>
    <t>Nấm sò nâu</t>
  </si>
  <si>
    <t>I100234</t>
  </si>
  <si>
    <t>NL300103</t>
  </si>
  <si>
    <t>Nấm sò trắng</t>
  </si>
  <si>
    <t>I100464</t>
  </si>
  <si>
    <t>NL300104</t>
  </si>
  <si>
    <t>Ngải cứu</t>
  </si>
  <si>
    <t>I100153</t>
  </si>
  <si>
    <t>NL300105</t>
  </si>
  <si>
    <t>Nghệ</t>
  </si>
  <si>
    <t>NL300107</t>
  </si>
  <si>
    <t>Ngô ngọt</t>
  </si>
  <si>
    <t>I100157</t>
  </si>
  <si>
    <t>NL300171</t>
  </si>
  <si>
    <t>Ngó sen</t>
  </si>
  <si>
    <t>I100530</t>
  </si>
  <si>
    <t>NL600006</t>
  </si>
  <si>
    <t>Ổi (Tráng miệng)</t>
  </si>
  <si>
    <t>I100164</t>
  </si>
  <si>
    <t>NL300112</t>
  </si>
  <si>
    <t>Ớt đỏ Đà Lạt</t>
  </si>
  <si>
    <t>NL300113</t>
  </si>
  <si>
    <t>Ớt hiểm đỏ, chỉ thiên</t>
  </si>
  <si>
    <t>NL300111</t>
  </si>
  <si>
    <t>I101021</t>
  </si>
  <si>
    <t>NL100065</t>
  </si>
  <si>
    <t>Ruột ốc</t>
  </si>
  <si>
    <t>I100424</t>
  </si>
  <si>
    <t>NL410218</t>
  </si>
  <si>
    <t xml:space="preserve">cá thu nhật </t>
  </si>
  <si>
    <t>I100085</t>
  </si>
  <si>
    <t>NL430119</t>
  </si>
  <si>
    <t>rau lang</t>
  </si>
  <si>
    <t>I100169</t>
  </si>
  <si>
    <t>Ớt hiểm xay</t>
  </si>
  <si>
    <t>I100171</t>
  </si>
  <si>
    <t>NL300116</t>
  </si>
  <si>
    <t>Ớt sừng xanh,đỏ</t>
  </si>
  <si>
    <t>I100165</t>
  </si>
  <si>
    <t>NL300152</t>
  </si>
  <si>
    <t>Ớt vàng Đà Lạt</t>
  </si>
  <si>
    <t>I100166</t>
  </si>
  <si>
    <t>NL300153</t>
  </si>
  <si>
    <t>Ớt xanh Đà Lạt</t>
  </si>
  <si>
    <t>NL300119</t>
  </si>
  <si>
    <t>Quất ( Tắc trái )</t>
  </si>
  <si>
    <t>I100518</t>
  </si>
  <si>
    <t>NL300120</t>
  </si>
  <si>
    <t>Quế vị</t>
  </si>
  <si>
    <t>I100174</t>
  </si>
  <si>
    <t>NL430122</t>
  </si>
  <si>
    <t>Rau ngót NV</t>
  </si>
  <si>
    <t>I100081</t>
  </si>
  <si>
    <t>NL430041</t>
  </si>
  <si>
    <t xml:space="preserve">Đậu rồng NV </t>
  </si>
  <si>
    <t>I100433</t>
  </si>
  <si>
    <t>NL410107</t>
  </si>
  <si>
    <t xml:space="preserve">ức gà </t>
  </si>
  <si>
    <t>I100056</t>
  </si>
  <si>
    <t>NL300172</t>
  </si>
  <si>
    <t>Rau Cần Tàu</t>
  </si>
  <si>
    <t>NL300025</t>
  </si>
  <si>
    <t>Rau cần tây</t>
  </si>
  <si>
    <t>I100175</t>
  </si>
  <si>
    <t>NL300122</t>
  </si>
  <si>
    <t>Rau càng cua</t>
  </si>
  <si>
    <t>NL300141</t>
  </si>
  <si>
    <t>Tiêu xanh</t>
  </si>
  <si>
    <t>I100259</t>
  </si>
  <si>
    <t>BSTAKN009</t>
  </si>
  <si>
    <t>Đậu hũ chiên NV</t>
  </si>
  <si>
    <t>I100043</t>
  </si>
  <si>
    <t>NL430013</t>
  </si>
  <si>
    <t>Cải bẹ xanh có gốc</t>
  </si>
  <si>
    <t>I100233</t>
  </si>
  <si>
    <t>NL100100</t>
  </si>
  <si>
    <t>Trứng gà CP</t>
  </si>
  <si>
    <t>vỉ</t>
  </si>
  <si>
    <t>I100186</t>
  </si>
  <si>
    <t xml:space="preserve">NL430090 </t>
  </si>
  <si>
    <t xml:space="preserve">rau muống lá </t>
  </si>
  <si>
    <t>I100114</t>
  </si>
  <si>
    <t>NL420039</t>
  </si>
  <si>
    <t>Quế NV</t>
  </si>
  <si>
    <t>I100176</t>
  </si>
  <si>
    <t>NL300123</t>
  </si>
  <si>
    <t>rau đắng</t>
  </si>
  <si>
    <t>I100178</t>
  </si>
  <si>
    <t>NL300124</t>
  </si>
  <si>
    <t>Rau Dền đỏ, trắng</t>
  </si>
  <si>
    <t>NL300125</t>
  </si>
  <si>
    <t>Rau má NV</t>
  </si>
  <si>
    <t>NL430120</t>
  </si>
  <si>
    <t>NL300126</t>
  </si>
  <si>
    <t>Rau mùi tây</t>
  </si>
  <si>
    <t>I100183</t>
  </si>
  <si>
    <t>NL300087</t>
  </si>
  <si>
    <t>Rau muống chẻ</t>
  </si>
  <si>
    <t>I100184</t>
  </si>
  <si>
    <t>NL300127</t>
  </si>
  <si>
    <t>Rau muống cọng</t>
  </si>
  <si>
    <t>NL430090</t>
  </si>
  <si>
    <t>I100155</t>
  </si>
  <si>
    <t>NL300128</t>
  </si>
  <si>
    <t>Rau ngổ</t>
  </si>
  <si>
    <t>NL300121</t>
  </si>
  <si>
    <t>NL300132</t>
  </si>
  <si>
    <t>Sả</t>
  </si>
  <si>
    <t>I100199</t>
  </si>
  <si>
    <t>NL300133</t>
  </si>
  <si>
    <t>Sả xay</t>
  </si>
  <si>
    <t>I100375</t>
  </si>
  <si>
    <t>NL300162</t>
  </si>
  <si>
    <t xml:space="preserve">sao nhái </t>
  </si>
  <si>
    <t>I100214</t>
  </si>
  <si>
    <t>NL300138</t>
  </si>
  <si>
    <t>Su su quả</t>
  </si>
  <si>
    <t>NL300137</t>
  </si>
  <si>
    <t>Súp lơ xanh</t>
  </si>
  <si>
    <t>I100022</t>
  </si>
  <si>
    <t>NL430077</t>
  </si>
  <si>
    <t>Súp lơ trắng NV</t>
  </si>
  <si>
    <t>I100218</t>
  </si>
  <si>
    <t>NL300214</t>
  </si>
  <si>
    <t>thân chuối bào</t>
  </si>
  <si>
    <t>I100210</t>
  </si>
  <si>
    <t>NL430022</t>
  </si>
  <si>
    <t>Cải xoong NV</t>
  </si>
  <si>
    <t>I100213</t>
  </si>
  <si>
    <t>NL430131</t>
  </si>
  <si>
    <t>su hào NV</t>
  </si>
  <si>
    <t>I100180</t>
  </si>
  <si>
    <t>NL430042</t>
  </si>
  <si>
    <t>diếp cá NV</t>
  </si>
  <si>
    <t>I101106</t>
  </si>
  <si>
    <t>NL600042</t>
  </si>
  <si>
    <t xml:space="preserve"> táo quả</t>
  </si>
  <si>
    <t>I100310</t>
  </si>
  <si>
    <t>NL410083</t>
  </si>
  <si>
    <t>Tép tươi NV</t>
  </si>
  <si>
    <t>NL300139</t>
  </si>
  <si>
    <t>thì là</t>
  </si>
  <si>
    <t>NL430135</t>
  </si>
  <si>
    <t>Thì là NV</t>
  </si>
  <si>
    <t>NL300140</t>
  </si>
  <si>
    <t>Tía tô</t>
  </si>
  <si>
    <t>I100224</t>
  </si>
  <si>
    <t>NL300144</t>
  </si>
  <si>
    <t>Tỏi bắc lột</t>
  </si>
  <si>
    <t>NL300142</t>
  </si>
  <si>
    <t>Tỏi bóc tàu</t>
  </si>
  <si>
    <t>I100271</t>
  </si>
  <si>
    <t>NL420042</t>
  </si>
  <si>
    <t>Trứng cút NV</t>
  </si>
  <si>
    <t>NL100101</t>
  </si>
  <si>
    <t>quả</t>
  </si>
  <si>
    <t>I100274</t>
  </si>
  <si>
    <t>NL410106</t>
  </si>
  <si>
    <t>Trứng vịt NV</t>
  </si>
  <si>
    <t>I100556</t>
  </si>
  <si>
    <t>NL410109</t>
  </si>
  <si>
    <t>Vịt NV</t>
  </si>
  <si>
    <t>NL300145</t>
  </si>
  <si>
    <t>Xà lách</t>
  </si>
  <si>
    <t>NL300146</t>
  </si>
  <si>
    <t>Xà lách cuộn</t>
  </si>
  <si>
    <t>NL300131</t>
  </si>
  <si>
    <t>NL300147</t>
  </si>
  <si>
    <t>Xà lách Roman</t>
  </si>
  <si>
    <t>NL430158</t>
  </si>
  <si>
    <t>Xà lách son NV</t>
  </si>
  <si>
    <t>I100206</t>
  </si>
  <si>
    <t>NL300148</t>
  </si>
  <si>
    <t>Xà lách tím</t>
  </si>
  <si>
    <t>NL300230</t>
  </si>
  <si>
    <t>Cải Mầm</t>
  </si>
  <si>
    <t>NL300050</t>
  </si>
  <si>
    <t>Giá đỗ</t>
  </si>
  <si>
    <t>Khoai tây củ</t>
  </si>
  <si>
    <t>GSG01</t>
  </si>
  <si>
    <t>MÃ</t>
  </si>
  <si>
    <t>THỰC NHẬN</t>
  </si>
  <si>
    <t>TỔNG</t>
  </si>
  <si>
    <t>LỆCH</t>
  </si>
  <si>
    <t>NOTE</t>
  </si>
  <si>
    <t>SAI SL</t>
  </si>
  <si>
    <t>SAI GIÁ CHỐT</t>
  </si>
  <si>
    <t>Ngày ct</t>
  </si>
  <si>
    <t>Mã ct</t>
  </si>
  <si>
    <t>Số ct</t>
  </si>
  <si>
    <t>Áp giá</t>
  </si>
  <si>
    <t>Mã ncc</t>
  </si>
  <si>
    <t>Tên ncc</t>
  </si>
  <si>
    <t>Diễn giải</t>
  </si>
  <si>
    <t>Số lượng</t>
  </si>
  <si>
    <t>Giá</t>
  </si>
  <si>
    <t>Giá báo</t>
  </si>
  <si>
    <t>Thuế suất</t>
  </si>
  <si>
    <t>Chênh lệch giá</t>
  </si>
  <si>
    <t>Kho hàng</t>
  </si>
  <si>
    <t>Mã nx</t>
  </si>
  <si>
    <t>Vụ việc</t>
  </si>
  <si>
    <t>Bộ phận</t>
  </si>
  <si>
    <t>Hợp đồng</t>
  </si>
  <si>
    <t>Người tạo</t>
  </si>
  <si>
    <t>Người sửa</t>
  </si>
  <si>
    <t>GSG012601007</t>
  </si>
  <si>
    <t>1</t>
  </si>
  <si>
    <t>NCC100186</t>
  </si>
  <si>
    <t>CÔNG TY TNHH NÔNG SẢN THỰC PHẨM TRẦN GIA</t>
  </si>
  <si>
    <t>GSG01 - Nhập hàng mua ngày 01/01/2026</t>
  </si>
  <si>
    <t>GSG.01</t>
  </si>
  <si>
    <t>3311</t>
  </si>
  <si>
    <t>TRANNTB</t>
  </si>
  <si>
    <t>Ngô ngọt ( Bắp trái)</t>
  </si>
  <si>
    <t>Củ cải trắng</t>
  </si>
  <si>
    <t>Hành Paro (Hành Baro)</t>
  </si>
  <si>
    <t>Tỏi bóc</t>
  </si>
  <si>
    <t>NL300232</t>
  </si>
  <si>
    <t>Xà lách thủy tinh</t>
  </si>
  <si>
    <t>2601GSG01003</t>
  </si>
  <si>
    <t>GSG01 - Nhập hàng mua ngày 02/01/2026</t>
  </si>
  <si>
    <t>Lá Dứa (lá nếp)</t>
  </si>
  <si>
    <t>Lá trúc (Decor)</t>
  </si>
  <si>
    <t>2601GSG01009</t>
  </si>
  <si>
    <t>GSG01 - Nhập hàng mua ngày 03/01/2026</t>
  </si>
  <si>
    <t>2601GSG01014</t>
  </si>
  <si>
    <t>Ớt sừng</t>
  </si>
  <si>
    <t>2601GSG01016</t>
  </si>
  <si>
    <t>GSG01 - Nhập hàng mua ngày 04/01/2026</t>
  </si>
  <si>
    <t>2601GSG01020</t>
  </si>
  <si>
    <t>GSG01 - Nhập hàng mua ngày 05/01/2026</t>
  </si>
  <si>
    <t>2601GSG01024</t>
  </si>
  <si>
    <t>GSG01 - Nhập hàng mua ngày 06/01/2026</t>
  </si>
  <si>
    <t>2601GSG01029</t>
  </si>
  <si>
    <t>GSG01 - Nhập hàng mua ngày 07/01/2026</t>
  </si>
  <si>
    <t>2601GSG01033</t>
  </si>
  <si>
    <t>GSG01 - Nhập hàng mua ngày 08/01/2026</t>
  </si>
  <si>
    <t>2601GSG01043</t>
  </si>
  <si>
    <t>2601GSG01045</t>
  </si>
  <si>
    <t>GSG01 - Nhập hàng mua ngày 09/01/2026</t>
  </si>
  <si>
    <t>2601GSG01077</t>
  </si>
  <si>
    <t>GSG01 - Nhập hàng mua ngày 10/01/2026</t>
  </si>
  <si>
    <t>2601GSG01050</t>
  </si>
  <si>
    <t>GSG01 - Nhập hàng mua ngày 11/01/2026</t>
  </si>
  <si>
    <t>2601GSG01056</t>
  </si>
  <si>
    <t>GSG01 - Nhập hàng mua ngày 12/01/2026</t>
  </si>
  <si>
    <t>2601GSG01063</t>
  </si>
  <si>
    <t>2601GSG01064</t>
  </si>
  <si>
    <t>GSG01 - Nhập hàng mua ngày 13/01/2026</t>
  </si>
  <si>
    <t>2601GSG01068</t>
  </si>
  <si>
    <t>GSG01 - Nhập hàng mua ngày 14/01/2026</t>
  </si>
  <si>
    <t>2601GSG01071</t>
  </si>
  <si>
    <t>GSG01 - Nhập hàng mua ngày 15/01/2026</t>
  </si>
  <si>
    <t>2601GSG01074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</si>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</sst>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[$-10409]dd/mm/yyyy"/>
    <numFmt numFmtId="165" formatCode="_(* #,##0.000_);_(* \(#,##0.000\);_(* &quot;-&quot;??_);_(@_)"/>
    <numFmt numFmtId="166" formatCode="0.000"/>
    <numFmt numFmtId="167" formatCode="_(* #,##0_);_(* \(#,##0\);_(* &quot;-&quot;??_);_(@_)"/>
    <numFmt numFmtId="168" formatCode="_-* #,##0.000_-;\-* #,##0.000_-;_-* &quot;-&quot;??_-;_-@_-"/>
    <numFmt numFmtId="169" formatCode="_-* #,##0_-;\-* #,##0_-;_-* &quot;-&quot;??_-;_-@_-"/>
    <numFmt numFmtId="170" formatCode="[$-10409]#,###,###,###.0000;\-#,###,###,###.0000;"/>
    <numFmt numFmtId="171" formatCode="[$-10409]###,###,###,###.00;\-###,###,###,###.00;"/>
    <numFmt numFmtId="172" formatCode="[$-10409]###,###,###,###,###;\-###,###,###,###,###;"/>
  </numFmts>
  <fonts count="1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4"/>
      <color rgb="FF000000"/>
      <name val="Segoe UI Light"/>
      <family val="2"/>
    </font>
    <font>
      <b/>
      <sz val="16"/>
      <color rgb="FF000000"/>
      <name val="Segoe UI"/>
      <family val="2"/>
    </font>
    <font>
      <i/>
      <sz val="11"/>
      <color rgb="FF000000"/>
      <name val="Segoe UI"/>
      <family val="2"/>
    </font>
    <font>
      <sz val="12"/>
      <color rgb="FF000000"/>
      <name val="Segoe UI"/>
      <family val="2"/>
    </font>
    <font>
      <sz val="11"/>
      <color rgb="FF000000"/>
      <name val="Segoe UI Light"/>
      <family val="2"/>
    </font>
    <font>
      <b/>
      <sz val="11"/>
      <color rgb="FF000000"/>
      <name val="Segoe U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2"/>
      <color rgb="FFFF0000"/>
      <name val="Calibri"/>
      <family val="2"/>
    </font>
    <font>
      <b/>
      <sz val="11"/>
      <name val="Calibri"/>
      <family val="2"/>
    </font>
    <font>
      <b/>
      <sz val="9"/>
      <color rgb="FF000000"/>
      <name val="Segoe UI"/>
      <family val="2"/>
    </font>
    <font>
      <b/>
      <sz val="9"/>
      <color rgb="FF000000"/>
      <name val="Arial"/>
      <family val="2"/>
    </font>
    <font>
      <b/>
      <sz val="8"/>
      <color rgb="FF000000"/>
      <name val="Verdana"/>
      <family val="2"/>
    </font>
    <font>
      <sz val="11"/>
      <name val="Calibri"/>
      <family val="2"/>
    </font>
    <font>
      <sz val="8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rgb="FFF0E68C"/>
      </patternFill>
    </fill>
    <fill>
      <patternFill patternType="solid">
        <fgColor rgb="FFFFFF00"/>
        <bgColor indexed="64"/>
      </patternFill>
    </fill>
    <fill>
      <patternFill patternType="solid">
        <fgColor rgb="FFF0E68C"/>
        <bgColor rgb="FFF0E68C"/>
      </patternFill>
    </fill>
    <fill>
      <patternFill patternType="solid">
        <fgColor rgb="FFEDF5FF"/>
        <bgColor rgb="FFEDF5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41">
    <xf numFmtId="0" fontId="1" fillId="0" borderId="0" xfId="0" applyFont="1"/>
    <xf numFmtId="0" fontId="9" fillId="2" borderId="5" xfId="0" applyFont="1" applyFill="1" applyBorder="1" applyAlignment="1">
      <alignment horizontal="center" vertical="center" wrapText="1" readingOrder="1"/>
    </xf>
    <xf numFmtId="0" fontId="7" fillId="2" borderId="5" xfId="0" applyFont="1" applyFill="1" applyBorder="1" applyAlignment="1">
      <alignment horizontal="center" vertical="center" wrapText="1" readingOrder="1"/>
    </xf>
    <xf numFmtId="165" fontId="9" fillId="2" borderId="5" xfId="1" applyNumberFormat="1" applyFont="1" applyFill="1" applyBorder="1" applyAlignment="1">
      <alignment horizontal="center" vertical="center" wrapText="1" readingOrder="1"/>
    </xf>
    <xf numFmtId="164" fontId="10" fillId="0" borderId="5" xfId="0" applyNumberFormat="1" applyFont="1" applyBorder="1" applyAlignment="1">
      <alignment vertical="center" wrapText="1" readingOrder="1"/>
    </xf>
    <xf numFmtId="0" fontId="10" fillId="0" borderId="5" xfId="0" applyFont="1" applyBorder="1" applyAlignment="1">
      <alignment vertical="center" wrapText="1" readingOrder="1"/>
    </xf>
    <xf numFmtId="0" fontId="10" fillId="0" borderId="5" xfId="0" applyFont="1" applyBorder="1" applyAlignment="1">
      <alignment vertical="top" wrapText="1" readingOrder="1"/>
    </xf>
    <xf numFmtId="164" fontId="11" fillId="0" borderId="5" xfId="0" applyNumberFormat="1" applyFont="1" applyBorder="1" applyAlignment="1">
      <alignment vertical="center" wrapText="1" readingOrder="1"/>
    </xf>
    <xf numFmtId="166" fontId="11" fillId="0" borderId="5" xfId="0" applyNumberFormat="1" applyFont="1" applyBorder="1" applyAlignment="1">
      <alignment vertical="center" wrapText="1" readingOrder="1"/>
    </xf>
    <xf numFmtId="167" fontId="11" fillId="0" borderId="5" xfId="1" applyNumberFormat="1" applyFont="1" applyFill="1" applyBorder="1" applyAlignment="1">
      <alignment vertical="center" wrapText="1" readingOrder="1"/>
    </xf>
    <xf numFmtId="167" fontId="12" fillId="0" borderId="0" xfId="1" applyNumberFormat="1" applyFont="1"/>
    <xf numFmtId="164" fontId="11" fillId="3" borderId="5" xfId="0" applyNumberFormat="1" applyFont="1" applyFill="1" applyBorder="1" applyAlignment="1">
      <alignment vertical="center" wrapText="1" readingOrder="1"/>
    </xf>
    <xf numFmtId="168" fontId="1" fillId="0" borderId="0" xfId="1" applyNumberFormat="1" applyFont="1"/>
    <xf numFmtId="169" fontId="13" fillId="3" borderId="0" xfId="1" applyNumberFormat="1" applyFont="1" applyFill="1"/>
    <xf numFmtId="169" fontId="1" fillId="0" borderId="0" xfId="1" applyNumberFormat="1" applyFont="1"/>
    <xf numFmtId="43" fontId="1" fillId="0" borderId="0" xfId="1" applyFont="1"/>
    <xf numFmtId="0" fontId="14" fillId="4" borderId="6" xfId="0" applyFont="1" applyFill="1" applyBorder="1" applyAlignment="1">
      <alignment horizontal="center" vertical="center" wrapText="1" readingOrder="1"/>
    </xf>
    <xf numFmtId="168" fontId="14" fillId="4" borderId="6" xfId="1" applyNumberFormat="1" applyFont="1" applyFill="1" applyBorder="1" applyAlignment="1">
      <alignment horizontal="center" vertical="center" wrapText="1" readingOrder="1"/>
    </xf>
    <xf numFmtId="169" fontId="14" fillId="4" borderId="6" xfId="1" applyNumberFormat="1" applyFont="1" applyFill="1" applyBorder="1" applyAlignment="1">
      <alignment horizontal="center" vertical="center" wrapText="1" readingOrder="1"/>
    </xf>
    <xf numFmtId="169" fontId="15" fillId="4" borderId="4" xfId="1" applyNumberFormat="1" applyFont="1" applyFill="1" applyBorder="1" applyAlignment="1">
      <alignment horizontal="center" vertical="center" wrapText="1" readingOrder="1"/>
    </xf>
    <xf numFmtId="0" fontId="15" fillId="4" borderId="4" xfId="0" applyFont="1" applyFill="1" applyBorder="1" applyAlignment="1">
      <alignment horizontal="center" vertical="center" wrapText="1" readingOrder="1"/>
    </xf>
    <xf numFmtId="0" fontId="1" fillId="0" borderId="5" xfId="0" applyFont="1" applyBorder="1"/>
    <xf numFmtId="168" fontId="1" fillId="0" borderId="5" xfId="1" applyNumberFormat="1" applyFont="1" applyBorder="1"/>
    <xf numFmtId="169" fontId="1" fillId="0" borderId="5" xfId="1" applyNumberFormat="1" applyFont="1" applyBorder="1"/>
    <xf numFmtId="169" fontId="1" fillId="0" borderId="0" xfId="0" applyNumberFormat="1" applyFont="1"/>
    <xf numFmtId="167" fontId="1" fillId="0" borderId="0" xfId="0" applyNumberFormat="1" applyFont="1"/>
    <xf numFmtId="0" fontId="16" fillId="5" borderId="7" xfId="0" applyFont="1" applyFill="1" applyBorder="1" applyAlignment="1">
      <alignment horizontal="center" vertical="center" wrapText="1" readingOrder="1"/>
    </xf>
    <xf numFmtId="0" fontId="17" fillId="0" borderId="0" xfId="0" applyFont="1"/>
    <xf numFmtId="164" fontId="18" fillId="0" borderId="7" xfId="0" applyNumberFormat="1" applyFont="1" applyBorder="1" applyAlignment="1">
      <alignment horizontal="center" vertical="top" wrapText="1" readingOrder="1"/>
    </xf>
    <xf numFmtId="0" fontId="18" fillId="0" borderId="7" xfId="0" applyFont="1" applyBorder="1" applyAlignment="1">
      <alignment vertical="top" wrapText="1" readingOrder="1"/>
    </xf>
    <xf numFmtId="0" fontId="18" fillId="0" borderId="7" xfId="0" applyFont="1" applyBorder="1" applyAlignment="1">
      <alignment horizontal="right" vertical="top" wrapText="1" readingOrder="1"/>
    </xf>
    <xf numFmtId="170" fontId="18" fillId="0" borderId="7" xfId="0" applyNumberFormat="1" applyFont="1" applyBorder="1" applyAlignment="1">
      <alignment horizontal="right" vertical="top" wrapText="1" readingOrder="1"/>
    </xf>
    <xf numFmtId="171" fontId="18" fillId="0" borderId="7" xfId="0" applyNumberFormat="1" applyFont="1" applyBorder="1" applyAlignment="1">
      <alignment horizontal="right" vertical="top" wrapText="1" readingOrder="1"/>
    </xf>
    <xf numFmtId="172" fontId="18" fillId="0" borderId="7" xfId="0" applyNumberFormat="1" applyFont="1" applyBorder="1" applyAlignment="1">
      <alignment horizontal="right" vertical="top" wrapText="1" readingOrder="1"/>
    </xf>
    <xf numFmtId="0" fontId="5" fillId="0" borderId="4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4" xfId="0" applyFont="1" applyBorder="1" applyAlignment="1">
      <alignment vertical="top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right" vertical="top" wrapText="1" readingOrder="1"/>
    </xf>
  </cellXfs>
  <cellStyles count="2">
    <cellStyle name="Comma" xfId="1" builtinId="3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E68C"/>
      <rgbColor rgb="0040E0D0"/>
      <rgbColor rgb="00FF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8915</xdr:colOff>
      <xdr:row>1</xdr:row>
      <xdr:rowOff>9067</xdr:rowOff>
    </xdr:from>
    <xdr:to>
      <xdr:col>2</xdr:col>
      <xdr:colOff>913485</xdr:colOff>
      <xdr:row>1</xdr:row>
      <xdr:rowOff>1076459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898CEC-69C1-4234-BAD9-F2BC9A6848D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8515" y="199567"/>
          <a:ext cx="1818970" cy="1815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8915</xdr:colOff>
      <xdr:row>1</xdr:row>
      <xdr:rowOff>9067</xdr:rowOff>
    </xdr:from>
    <xdr:to>
      <xdr:col>2</xdr:col>
      <xdr:colOff>913485</xdr:colOff>
      <xdr:row>1</xdr:row>
      <xdr:rowOff>1076459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E52E45-E55B-4E43-9E03-37F807FBB14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15" y="123367"/>
          <a:ext cx="4676470" cy="10673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C&#7853;p%20nh&#7853;t%20gi&#7845;y%20b&#225;o%20gi&#225;%20(4).xlsx" TargetMode="External"/><Relationship Id="rId1" Type="http://schemas.openxmlformats.org/officeDocument/2006/relationships/externalLinkPath" Target="/Users/Admin/Downloads/C&#7853;p%20nh&#7853;t%20gi&#7845;y%20b&#225;o%20gi&#225;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 t="str">
            <v>NL100100</v>
          </cell>
          <cell r="B2" t="str">
            <v>Trứng gà</v>
          </cell>
          <cell r="C2" t="str">
            <v>QUẢ</v>
          </cell>
          <cell r="D2">
            <v>3500</v>
          </cell>
        </row>
        <row r="3">
          <cell r="A3" t="str">
            <v>NL100101</v>
          </cell>
          <cell r="B3" t="str">
            <v>Trứng vịt muối</v>
          </cell>
          <cell r="C3" t="str">
            <v>QUẢ</v>
          </cell>
          <cell r="D3">
            <v>5000</v>
          </cell>
        </row>
        <row r="4">
          <cell r="A4" t="str">
            <v>NL100279</v>
          </cell>
          <cell r="B4" t="str">
            <v>Trứng Bắc Thảo</v>
          </cell>
          <cell r="C4" t="str">
            <v>QUẢ</v>
          </cell>
          <cell r="D4">
            <v>9000</v>
          </cell>
        </row>
        <row r="5">
          <cell r="A5" t="str">
            <v>NL300002</v>
          </cell>
          <cell r="B5" t="str">
            <v>Bánh phở</v>
          </cell>
          <cell r="C5" t="str">
            <v>KG</v>
          </cell>
          <cell r="D5">
            <v>16000</v>
          </cell>
        </row>
        <row r="6">
          <cell r="A6" t="str">
            <v>NL300003</v>
          </cell>
          <cell r="B6" t="str">
            <v>Bắp cải tím</v>
          </cell>
          <cell r="C6" t="str">
            <v>KG</v>
          </cell>
          <cell r="D6">
            <v>26000</v>
          </cell>
        </row>
        <row r="7">
          <cell r="A7" t="str">
            <v>NL300004</v>
          </cell>
          <cell r="B7" t="str">
            <v>Bắp cải trắng</v>
          </cell>
          <cell r="C7" t="str">
            <v>KG</v>
          </cell>
          <cell r="D7">
            <v>19000</v>
          </cell>
        </row>
        <row r="8">
          <cell r="A8" t="str">
            <v>NL300007</v>
          </cell>
          <cell r="B8" t="str">
            <v>Bí đỏ</v>
          </cell>
          <cell r="C8" t="str">
            <v>KG</v>
          </cell>
          <cell r="D8">
            <v>30000</v>
          </cell>
        </row>
        <row r="9">
          <cell r="A9" t="str">
            <v>NL300008</v>
          </cell>
          <cell r="B9" t="str">
            <v>Bí ngòi</v>
          </cell>
          <cell r="C9" t="str">
            <v>KG</v>
          </cell>
          <cell r="D9">
            <v>40000</v>
          </cell>
        </row>
        <row r="10">
          <cell r="A10" t="str">
            <v>NL300011</v>
          </cell>
          <cell r="B10" t="str">
            <v>Bông súng</v>
          </cell>
          <cell r="C10" t="str">
            <v>KG</v>
          </cell>
          <cell r="D10">
            <v>17000</v>
          </cell>
        </row>
        <row r="11">
          <cell r="A11" t="str">
            <v>NL300013</v>
          </cell>
          <cell r="B11" t="str">
            <v>Cà chua</v>
          </cell>
          <cell r="C11" t="str">
            <v>KG</v>
          </cell>
          <cell r="D11">
            <v>50000</v>
          </cell>
        </row>
        <row r="12">
          <cell r="A12" t="str">
            <v>NL300014</v>
          </cell>
          <cell r="B12" t="str">
            <v>Cà chua bi</v>
          </cell>
          <cell r="C12" t="str">
            <v>KG</v>
          </cell>
          <cell r="D12">
            <v>55000</v>
          </cell>
        </row>
        <row r="13">
          <cell r="A13" t="str">
            <v>NL300017</v>
          </cell>
          <cell r="B13" t="str">
            <v>Cải chíp (cải thìa)</v>
          </cell>
          <cell r="C13" t="str">
            <v>KG</v>
          </cell>
          <cell r="D13">
            <v>25000</v>
          </cell>
        </row>
        <row r="14">
          <cell r="A14" t="str">
            <v>NL300018</v>
          </cell>
          <cell r="B14" t="str">
            <v>Cải cúc (Tần Ô)</v>
          </cell>
          <cell r="C14" t="str">
            <v>KG</v>
          </cell>
          <cell r="D14">
            <v>38000</v>
          </cell>
        </row>
        <row r="15">
          <cell r="A15" t="str">
            <v>NL300020</v>
          </cell>
          <cell r="B15" t="str">
            <v>Cải ngồng</v>
          </cell>
          <cell r="C15" t="str">
            <v>KG</v>
          </cell>
          <cell r="D15">
            <v>30000</v>
          </cell>
        </row>
        <row r="16">
          <cell r="A16" t="str">
            <v>NL300022</v>
          </cell>
          <cell r="B16" t="str">
            <v>Cải thảo</v>
          </cell>
          <cell r="C16" t="str">
            <v>KG</v>
          </cell>
          <cell r="D16">
            <v>18000</v>
          </cell>
        </row>
        <row r="17">
          <cell r="A17" t="str">
            <v>NL300025</v>
          </cell>
          <cell r="B17" t="str">
            <v>Rau cần tây</v>
          </cell>
          <cell r="C17" t="str">
            <v>KG</v>
          </cell>
          <cell r="D17">
            <v>44000</v>
          </cell>
        </row>
        <row r="18">
          <cell r="A18" t="str">
            <v>NL300027</v>
          </cell>
          <cell r="B18" t="str">
            <v>Cà rốt</v>
          </cell>
          <cell r="C18" t="str">
            <v>KG</v>
          </cell>
          <cell r="D18">
            <v>18000</v>
          </cell>
        </row>
        <row r="19">
          <cell r="A19" t="str">
            <v>NL300028</v>
          </cell>
          <cell r="B19" t="str">
            <v>Cà rốt baby</v>
          </cell>
          <cell r="C19" t="str">
            <v>KG</v>
          </cell>
          <cell r="D19">
            <v>75000</v>
          </cell>
        </row>
        <row r="20">
          <cell r="A20" t="str">
            <v>NL300029</v>
          </cell>
          <cell r="B20" t="str">
            <v>Chanh</v>
          </cell>
          <cell r="C20" t="str">
            <v>KG</v>
          </cell>
          <cell r="D20">
            <v>22000</v>
          </cell>
        </row>
        <row r="21">
          <cell r="A21" t="str">
            <v>NL300030</v>
          </cell>
          <cell r="B21" t="str">
            <v>Chanh dây (chanh leo)</v>
          </cell>
          <cell r="C21" t="str">
            <v>KG</v>
          </cell>
          <cell r="D21">
            <v>34000</v>
          </cell>
        </row>
        <row r="22">
          <cell r="A22" t="str">
            <v>NL300033</v>
          </cell>
          <cell r="B22" t="str">
            <v>Củ cải trắng</v>
          </cell>
          <cell r="C22" t="str">
            <v>KG</v>
          </cell>
          <cell r="D22">
            <v>13000</v>
          </cell>
        </row>
        <row r="23">
          <cell r="A23" t="str">
            <v>NL300034</v>
          </cell>
          <cell r="B23" t="str">
            <v>Củ cải đỏ</v>
          </cell>
          <cell r="C23" t="str">
            <v>KG</v>
          </cell>
          <cell r="D23">
            <v>40000</v>
          </cell>
        </row>
        <row r="24">
          <cell r="A24" t="str">
            <v>NL300035</v>
          </cell>
          <cell r="B24" t="str">
            <v>Riềng củ</v>
          </cell>
          <cell r="C24" t="str">
            <v>KG</v>
          </cell>
          <cell r="D24">
            <v>25000</v>
          </cell>
        </row>
        <row r="25">
          <cell r="A25" t="str">
            <v>NL300036</v>
          </cell>
          <cell r="B25" t="str">
            <v>Củ sen</v>
          </cell>
          <cell r="C25" t="str">
            <v>KG</v>
          </cell>
          <cell r="D25">
            <v>47000</v>
          </cell>
        </row>
        <row r="26">
          <cell r="A26" t="str">
            <v>NL300037</v>
          </cell>
          <cell r="B26" t="str">
            <v>Đậu phụ ( đậu hủ miếng trắng )</v>
          </cell>
          <cell r="C26" t="str">
            <v>MIẾNG</v>
          </cell>
          <cell r="D26">
            <v>4000</v>
          </cell>
        </row>
        <row r="27">
          <cell r="A27" t="str">
            <v>NL300038</v>
          </cell>
          <cell r="B27" t="str">
            <v>Đậu bắp</v>
          </cell>
          <cell r="C27" t="str">
            <v>KG</v>
          </cell>
          <cell r="D27">
            <v>32000</v>
          </cell>
        </row>
        <row r="28">
          <cell r="A28" t="str">
            <v>NL300041</v>
          </cell>
          <cell r="B28" t="str">
            <v>Đậu hủ non trứng</v>
          </cell>
          <cell r="C28" t="str">
            <v>CÁI</v>
          </cell>
          <cell r="D28">
            <v>15000</v>
          </cell>
        </row>
        <row r="29">
          <cell r="A29" t="str">
            <v>NL300043</v>
          </cell>
          <cell r="B29" t="str">
            <v>Đọt cóc</v>
          </cell>
          <cell r="C29" t="str">
            <v>KG</v>
          </cell>
          <cell r="D29">
            <v>32000</v>
          </cell>
        </row>
        <row r="30">
          <cell r="A30" t="str">
            <v>NL300044</v>
          </cell>
          <cell r="B30" t="str">
            <v>Đọt mọt ( Lá trăm )</v>
          </cell>
          <cell r="C30" t="str">
            <v>KG</v>
          </cell>
          <cell r="D30">
            <v>38000</v>
          </cell>
        </row>
        <row r="31">
          <cell r="A31" t="str">
            <v>NL300047</v>
          </cell>
          <cell r="B31" t="str">
            <v>Dứa chưa gọt vỏ</v>
          </cell>
          <cell r="C31" t="str">
            <v>QUẢ</v>
          </cell>
          <cell r="D31">
            <v>18000</v>
          </cell>
        </row>
        <row r="32">
          <cell r="A32" t="str">
            <v>NL300048</v>
          </cell>
          <cell r="B32" t="str">
            <v>Dưa chuột</v>
          </cell>
          <cell r="C32" t="str">
            <v>KG</v>
          </cell>
          <cell r="D32">
            <v>18000</v>
          </cell>
        </row>
        <row r="33">
          <cell r="A33" t="str">
            <v>NL300049</v>
          </cell>
          <cell r="B33" t="str">
            <v>Đu đủ xanh</v>
          </cell>
          <cell r="C33" t="str">
            <v>KG</v>
          </cell>
          <cell r="D33">
            <v>9000</v>
          </cell>
        </row>
        <row r="34">
          <cell r="A34" t="str">
            <v>NL300050</v>
          </cell>
          <cell r="B34" t="str">
            <v>Giá đỗ</v>
          </cell>
          <cell r="C34" t="str">
            <v>KG</v>
          </cell>
          <cell r="D34">
            <v>9000</v>
          </cell>
        </row>
        <row r="35">
          <cell r="A35" t="str">
            <v>NL300053</v>
          </cell>
          <cell r="B35" t="str">
            <v>Gừng ta</v>
          </cell>
          <cell r="C35" t="str">
            <v>KG</v>
          </cell>
          <cell r="D35">
            <v>30000</v>
          </cell>
        </row>
        <row r="36">
          <cell r="A36" t="str">
            <v>NL300054</v>
          </cell>
          <cell r="B36" t="str">
            <v>Gừng tàu</v>
          </cell>
          <cell r="C36" t="str">
            <v>KG</v>
          </cell>
          <cell r="D36">
            <v>38000</v>
          </cell>
        </row>
        <row r="37">
          <cell r="A37" t="str">
            <v>NL300055</v>
          </cell>
          <cell r="B37" t="str">
            <v>Hành bóc</v>
          </cell>
          <cell r="C37" t="str">
            <v>KG</v>
          </cell>
          <cell r="D37">
            <v>80000</v>
          </cell>
        </row>
        <row r="38">
          <cell r="A38" t="str">
            <v>NL300058</v>
          </cell>
          <cell r="B38" t="str">
            <v>Hành lá</v>
          </cell>
          <cell r="C38" t="str">
            <v>KG</v>
          </cell>
          <cell r="D38">
            <v>55000</v>
          </cell>
        </row>
        <row r="39">
          <cell r="A39" t="str">
            <v>NL300059</v>
          </cell>
          <cell r="B39" t="str">
            <v>Hành tây</v>
          </cell>
          <cell r="C39" t="str">
            <v>KG</v>
          </cell>
          <cell r="D39">
            <v>13000</v>
          </cell>
        </row>
        <row r="40">
          <cell r="A40" t="str">
            <v>NL300060</v>
          </cell>
          <cell r="B40" t="str">
            <v>Hoa chuối đã thái</v>
          </cell>
          <cell r="C40" t="str">
            <v>KG</v>
          </cell>
          <cell r="D40">
            <v>33000</v>
          </cell>
        </row>
        <row r="41">
          <cell r="A41" t="str">
            <v>NL300061</v>
          </cell>
          <cell r="B41" t="str">
            <v>Hành Paro (Hành Baro)</v>
          </cell>
          <cell r="C41" t="str">
            <v>KG</v>
          </cell>
          <cell r="D41">
            <v>38000</v>
          </cell>
        </row>
        <row r="42">
          <cell r="A42" t="str">
            <v>NL300062</v>
          </cell>
          <cell r="B42" t="str">
            <v>Húng Bạc Hà</v>
          </cell>
          <cell r="C42" t="str">
            <v>KG</v>
          </cell>
          <cell r="D42">
            <v>65000</v>
          </cell>
        </row>
        <row r="43">
          <cell r="A43" t="str">
            <v>NL300063</v>
          </cell>
          <cell r="B43" t="str">
            <v>Húng cây (Rau thơm)</v>
          </cell>
          <cell r="C43" t="str">
            <v>KG</v>
          </cell>
          <cell r="D43">
            <v>48000</v>
          </cell>
        </row>
        <row r="44">
          <cell r="A44" t="str">
            <v>NL300064</v>
          </cell>
          <cell r="B44" t="str">
            <v>Húng chó (Húng quế)</v>
          </cell>
          <cell r="C44" t="str">
            <v>KG</v>
          </cell>
          <cell r="D44">
            <v>65000</v>
          </cell>
        </row>
        <row r="45">
          <cell r="A45" t="str">
            <v>NL300066</v>
          </cell>
          <cell r="B45" t="str">
            <v>Lá hương thảo tươi</v>
          </cell>
          <cell r="C45" t="str">
            <v>KG</v>
          </cell>
          <cell r="D45">
            <v>220000</v>
          </cell>
        </row>
        <row r="46">
          <cell r="A46" t="str">
            <v>NL300067</v>
          </cell>
          <cell r="B46" t="str">
            <v>Kèo Nèo</v>
          </cell>
          <cell r="C46" t="str">
            <v>KG</v>
          </cell>
          <cell r="D46">
            <v>25000</v>
          </cell>
        </row>
        <row r="47">
          <cell r="A47" t="str">
            <v>NL300068</v>
          </cell>
          <cell r="B47" t="str">
            <v>Khế</v>
          </cell>
          <cell r="C47" t="str">
            <v>KG</v>
          </cell>
          <cell r="D47">
            <v>35000</v>
          </cell>
        </row>
        <row r="48">
          <cell r="A48" t="str">
            <v>NL300070</v>
          </cell>
          <cell r="B48" t="str">
            <v>Khoai lang Nhật</v>
          </cell>
          <cell r="C48" t="str">
            <v>KG</v>
          </cell>
          <cell r="D48">
            <v>23000</v>
          </cell>
        </row>
        <row r="49">
          <cell r="A49" t="str">
            <v>NL300071</v>
          </cell>
          <cell r="B49" t="str">
            <v>Khoai tây củ</v>
          </cell>
          <cell r="C49" t="str">
            <v>KG</v>
          </cell>
          <cell r="D49">
            <v>20000</v>
          </cell>
        </row>
        <row r="50">
          <cell r="A50" t="str">
            <v>NL300072</v>
          </cell>
          <cell r="B50" t="str">
            <v>Kinh giới</v>
          </cell>
          <cell r="C50" t="str">
            <v>KG</v>
          </cell>
          <cell r="D50">
            <v>38000</v>
          </cell>
        </row>
        <row r="51">
          <cell r="A51" t="str">
            <v>NL300073</v>
          </cell>
          <cell r="B51" t="str">
            <v>Lá chanh</v>
          </cell>
          <cell r="C51" t="str">
            <v>KG</v>
          </cell>
          <cell r="D51">
            <v>42000</v>
          </cell>
        </row>
        <row r="52">
          <cell r="A52" t="str">
            <v>NL300074</v>
          </cell>
          <cell r="B52" t="str">
            <v>Lá chuối</v>
          </cell>
          <cell r="C52" t="str">
            <v>KG</v>
          </cell>
          <cell r="D52">
            <v>18000</v>
          </cell>
        </row>
        <row r="53">
          <cell r="A53" t="str">
            <v>NL300076</v>
          </cell>
          <cell r="B53" t="str">
            <v>Lá hẹ</v>
          </cell>
          <cell r="C53" t="str">
            <v>KG</v>
          </cell>
          <cell r="D53">
            <v>38000</v>
          </cell>
        </row>
        <row r="54">
          <cell r="A54" t="str">
            <v>NL300077</v>
          </cell>
          <cell r="B54" t="str">
            <v>Lá lốt (có cuống)</v>
          </cell>
          <cell r="C54" t="str">
            <v>KG</v>
          </cell>
          <cell r="D54">
            <v>30000</v>
          </cell>
        </row>
        <row r="55">
          <cell r="A55" t="str">
            <v>NL300080</v>
          </cell>
          <cell r="B55" t="str">
            <v>Lá vừng Hàn Quốc - Lá kê nhíp</v>
          </cell>
          <cell r="C55" t="str">
            <v>KG</v>
          </cell>
          <cell r="D55">
            <v>95000</v>
          </cell>
        </row>
        <row r="56">
          <cell r="A56" t="str">
            <v>NL300084</v>
          </cell>
          <cell r="B56" t="str">
            <v>Mồng tơi nhặt</v>
          </cell>
          <cell r="C56" t="str">
            <v>KG</v>
          </cell>
          <cell r="D56">
            <v>22000</v>
          </cell>
        </row>
        <row r="57">
          <cell r="A57" t="str">
            <v>NL300085</v>
          </cell>
          <cell r="B57" t="str">
            <v>Mùi ta ( Ngò rí )</v>
          </cell>
          <cell r="C57" t="str">
            <v>KG</v>
          </cell>
          <cell r="D57">
            <v>45000</v>
          </cell>
        </row>
        <row r="58">
          <cell r="A58" t="str">
            <v>NL300086</v>
          </cell>
          <cell r="B58" t="str">
            <v>Mùi tàu ( Ngò gai )</v>
          </cell>
          <cell r="C58" t="str">
            <v>KG</v>
          </cell>
          <cell r="D58">
            <v>33000</v>
          </cell>
        </row>
        <row r="59">
          <cell r="A59" t="str">
            <v>NL300088</v>
          </cell>
          <cell r="B59" t="str">
            <v>Mướp hương</v>
          </cell>
          <cell r="C59" t="str">
            <v>KG</v>
          </cell>
          <cell r="D59">
            <v>27000</v>
          </cell>
        </row>
        <row r="60">
          <cell r="A60" t="str">
            <v>NL300089</v>
          </cell>
          <cell r="B60" t="str">
            <v>Mướp đắng (khổ qua)</v>
          </cell>
          <cell r="C60" t="str">
            <v>KG</v>
          </cell>
          <cell r="D60">
            <v>30000</v>
          </cell>
        </row>
        <row r="61">
          <cell r="A61" t="str">
            <v>NL300090</v>
          </cell>
          <cell r="B61" t="str">
            <v>Nấm đông cô tươi</v>
          </cell>
          <cell r="C61" t="str">
            <v>KG</v>
          </cell>
          <cell r="D61">
            <v>145000</v>
          </cell>
        </row>
        <row r="62">
          <cell r="A62" t="str">
            <v>NL300091</v>
          </cell>
          <cell r="B62" t="str">
            <v>Nấm đùi gà</v>
          </cell>
          <cell r="C62" t="str">
            <v>KG</v>
          </cell>
          <cell r="D62">
            <v>47000</v>
          </cell>
        </row>
        <row r="63">
          <cell r="A63" t="str">
            <v>NL300092</v>
          </cell>
          <cell r="B63" t="str">
            <v>Nấm đùi gà baby</v>
          </cell>
          <cell r="C63" t="str">
            <v>KG</v>
          </cell>
          <cell r="D63">
            <v>90000</v>
          </cell>
        </row>
        <row r="64">
          <cell r="A64" t="str">
            <v>NL300094</v>
          </cell>
          <cell r="B64" t="str">
            <v>Nấm hải sản</v>
          </cell>
          <cell r="C64" t="str">
            <v>KG</v>
          </cell>
          <cell r="D64">
            <v>80000</v>
          </cell>
        </row>
        <row r="65">
          <cell r="A65" t="str">
            <v>NL300096</v>
          </cell>
          <cell r="B65" t="str">
            <v>Nấm kim châm tươi</v>
          </cell>
          <cell r="C65" t="str">
            <v>KG</v>
          </cell>
          <cell r="D65">
            <v>45000</v>
          </cell>
        </row>
        <row r="66">
          <cell r="A66" t="str">
            <v>NL300097</v>
          </cell>
          <cell r="B66" t="str">
            <v>Nấm Linh Chi nâu</v>
          </cell>
          <cell r="C66" t="str">
            <v>KG</v>
          </cell>
          <cell r="D66">
            <v>90000</v>
          </cell>
        </row>
        <row r="67">
          <cell r="A67" t="str">
            <v>NL300098</v>
          </cell>
          <cell r="B67" t="str">
            <v>Nấm Linh Chi trắng</v>
          </cell>
          <cell r="C67" t="str">
            <v>KG</v>
          </cell>
          <cell r="D67">
            <v>95000</v>
          </cell>
        </row>
        <row r="68">
          <cell r="A68" t="str">
            <v>NL300101</v>
          </cell>
          <cell r="B68" t="str">
            <v>Nấm Mối</v>
          </cell>
          <cell r="C68" t="str">
            <v>KG</v>
          </cell>
          <cell r="D68">
            <v>195000</v>
          </cell>
        </row>
        <row r="69">
          <cell r="A69" t="str">
            <v>NL300105</v>
          </cell>
          <cell r="B69" t="str">
            <v>Nghệ</v>
          </cell>
          <cell r="C69" t="str">
            <v>KG</v>
          </cell>
          <cell r="D69">
            <v>36000</v>
          </cell>
        </row>
        <row r="70">
          <cell r="A70" t="str">
            <v>NL300107</v>
          </cell>
          <cell r="B70" t="str">
            <v>Ngô ngọt ( Bắp trái)</v>
          </cell>
          <cell r="C70" t="str">
            <v>CÁI</v>
          </cell>
          <cell r="D70">
            <v>8500</v>
          </cell>
        </row>
        <row r="71">
          <cell r="A71" t="str">
            <v>NL300111</v>
          </cell>
          <cell r="B71" t="str">
            <v>Ớt chỉ thiên</v>
          </cell>
          <cell r="C71" t="str">
            <v>KG</v>
          </cell>
          <cell r="D71">
            <v>185000</v>
          </cell>
        </row>
        <row r="72">
          <cell r="A72" t="str">
            <v>NL300112</v>
          </cell>
          <cell r="B72" t="str">
            <v>Ớt đỏ Đà Lạt</v>
          </cell>
          <cell r="C72" t="str">
            <v>KG</v>
          </cell>
          <cell r="D72">
            <v>63000</v>
          </cell>
        </row>
        <row r="73">
          <cell r="A73" t="str">
            <v>NL300113</v>
          </cell>
          <cell r="B73" t="str">
            <v>Ớt hiểm đỏ</v>
          </cell>
          <cell r="C73" t="str">
            <v>KG</v>
          </cell>
          <cell r="D73">
            <v>145000</v>
          </cell>
        </row>
        <row r="74">
          <cell r="A74" t="str">
            <v>NL300116</v>
          </cell>
          <cell r="B74" t="str">
            <v>Ớt sừng</v>
          </cell>
          <cell r="C74" t="str">
            <v>KG</v>
          </cell>
          <cell r="D74">
            <v>148000</v>
          </cell>
        </row>
        <row r="75">
          <cell r="A75" t="str">
            <v>NL300119</v>
          </cell>
          <cell r="B75" t="str">
            <v>Quất ( Tắc trái )</v>
          </cell>
          <cell r="C75" t="str">
            <v>KG</v>
          </cell>
          <cell r="D75">
            <v>21000</v>
          </cell>
        </row>
        <row r="76">
          <cell r="A76" t="str">
            <v>NL300120</v>
          </cell>
          <cell r="B76" t="str">
            <v>Quế vị</v>
          </cell>
          <cell r="C76" t="str">
            <v>KG</v>
          </cell>
          <cell r="D76">
            <v>36000</v>
          </cell>
        </row>
        <row r="77">
          <cell r="A77" t="str">
            <v>NL300121</v>
          </cell>
          <cell r="B77" t="str">
            <v>Rau răm</v>
          </cell>
          <cell r="C77" t="str">
            <v>KG</v>
          </cell>
          <cell r="D77">
            <v>22000</v>
          </cell>
        </row>
        <row r="78">
          <cell r="A78" t="str">
            <v>NL300122</v>
          </cell>
          <cell r="B78" t="str">
            <v>Rau càng cua</v>
          </cell>
          <cell r="C78" t="str">
            <v>KG</v>
          </cell>
          <cell r="D78">
            <v>35000</v>
          </cell>
        </row>
        <row r="79">
          <cell r="A79" t="str">
            <v>NL300125</v>
          </cell>
          <cell r="B79" t="str">
            <v>Rau má</v>
          </cell>
          <cell r="C79" t="str">
            <v>KG</v>
          </cell>
          <cell r="D79">
            <v>42000</v>
          </cell>
        </row>
        <row r="80">
          <cell r="A80" t="str">
            <v>NL300126</v>
          </cell>
          <cell r="B80" t="str">
            <v>Rau mùi tây</v>
          </cell>
          <cell r="C80" t="str">
            <v>KG</v>
          </cell>
          <cell r="D80">
            <v>70000</v>
          </cell>
        </row>
        <row r="81">
          <cell r="A81" t="str">
            <v>NL300127</v>
          </cell>
          <cell r="B81" t="str">
            <v>Rau muống</v>
          </cell>
          <cell r="C81" t="str">
            <v>KG</v>
          </cell>
          <cell r="D81">
            <v>28000</v>
          </cell>
        </row>
        <row r="82">
          <cell r="A82" t="str">
            <v>NL300128</v>
          </cell>
          <cell r="B82" t="str">
            <v>Rau ngổ</v>
          </cell>
          <cell r="C82" t="str">
            <v>KG</v>
          </cell>
          <cell r="D82">
            <v>20000</v>
          </cell>
        </row>
        <row r="83">
          <cell r="A83" t="str">
            <v>NL300131</v>
          </cell>
          <cell r="B83" t="str">
            <v>Xà lách Rocket</v>
          </cell>
          <cell r="C83" t="str">
            <v>KG</v>
          </cell>
          <cell r="D83">
            <v>220000</v>
          </cell>
        </row>
        <row r="84">
          <cell r="A84" t="str">
            <v>NL300132</v>
          </cell>
          <cell r="B84" t="str">
            <v>Sả cây</v>
          </cell>
          <cell r="C84" t="str">
            <v>KG</v>
          </cell>
          <cell r="D84">
            <v>12000</v>
          </cell>
        </row>
        <row r="85">
          <cell r="A85" t="str">
            <v>NL300137</v>
          </cell>
          <cell r="B85" t="str">
            <v>Súp lơ xanh</v>
          </cell>
          <cell r="C85" t="str">
            <v>KG</v>
          </cell>
          <cell r="D85">
            <v>52000</v>
          </cell>
        </row>
        <row r="86">
          <cell r="A86" t="str">
            <v>NL300138</v>
          </cell>
          <cell r="B86" t="str">
            <v>Su su quả</v>
          </cell>
          <cell r="C86" t="str">
            <v>KG</v>
          </cell>
          <cell r="D86">
            <v>20000</v>
          </cell>
        </row>
        <row r="87">
          <cell r="A87" t="str">
            <v>NL300139</v>
          </cell>
          <cell r="B87" t="str">
            <v>Thì là</v>
          </cell>
          <cell r="C87" t="str">
            <v>KG</v>
          </cell>
          <cell r="D87">
            <v>42000</v>
          </cell>
        </row>
        <row r="88">
          <cell r="A88" t="str">
            <v>NL300140</v>
          </cell>
          <cell r="B88" t="str">
            <v>Tía tô</v>
          </cell>
          <cell r="C88" t="str">
            <v>KG</v>
          </cell>
          <cell r="D88">
            <v>36000</v>
          </cell>
        </row>
        <row r="89">
          <cell r="A89" t="str">
            <v>NL300141</v>
          </cell>
          <cell r="B89" t="str">
            <v>Tiêu xanh</v>
          </cell>
          <cell r="C89" t="str">
            <v>KG</v>
          </cell>
          <cell r="D89">
            <v>92000</v>
          </cell>
        </row>
        <row r="90">
          <cell r="A90" t="str">
            <v>NL300142</v>
          </cell>
          <cell r="B90" t="str">
            <v>Tỏi bóc</v>
          </cell>
          <cell r="C90" t="str">
            <v>KG</v>
          </cell>
          <cell r="D90">
            <v>50000</v>
          </cell>
        </row>
        <row r="91">
          <cell r="A91" t="str">
            <v>NL300144</v>
          </cell>
          <cell r="B91" t="str">
            <v>Tỏi ta</v>
          </cell>
          <cell r="C91" t="str">
            <v>KG</v>
          </cell>
          <cell r="D91">
            <v>90000</v>
          </cell>
        </row>
        <row r="92">
          <cell r="A92" t="str">
            <v>NL300145</v>
          </cell>
          <cell r="B92" t="str">
            <v>Xà lách</v>
          </cell>
          <cell r="C92" t="str">
            <v>KG</v>
          </cell>
          <cell r="D92">
            <v>38000</v>
          </cell>
        </row>
        <row r="93">
          <cell r="A93" t="str">
            <v>NL300146</v>
          </cell>
          <cell r="B93" t="str">
            <v>Xà lách cuộn</v>
          </cell>
          <cell r="C93" t="str">
            <v>KG</v>
          </cell>
          <cell r="D93">
            <v>65000</v>
          </cell>
        </row>
        <row r="94">
          <cell r="A94" t="str">
            <v>NL300147</v>
          </cell>
          <cell r="B94" t="str">
            <v>Xà lách Roman</v>
          </cell>
          <cell r="C94" t="str">
            <v>KG</v>
          </cell>
          <cell r="D94">
            <v>62000</v>
          </cell>
        </row>
        <row r="95">
          <cell r="A95" t="str">
            <v>NL300148</v>
          </cell>
          <cell r="B95" t="str">
            <v>Xà lách tím</v>
          </cell>
          <cell r="C95" t="str">
            <v>KG</v>
          </cell>
          <cell r="D95">
            <v>65000</v>
          </cell>
        </row>
        <row r="96">
          <cell r="A96" t="str">
            <v>NL300150</v>
          </cell>
          <cell r="B96" t="str">
            <v>Xoài xanh</v>
          </cell>
          <cell r="C96" t="str">
            <v>KG</v>
          </cell>
          <cell r="D96">
            <v>24000</v>
          </cell>
        </row>
        <row r="97">
          <cell r="A97" t="str">
            <v>NL300152</v>
          </cell>
          <cell r="B97" t="str">
            <v>Ớt vàng Đà Lạt</v>
          </cell>
          <cell r="C97" t="str">
            <v>KG</v>
          </cell>
          <cell r="D97">
            <v>65000</v>
          </cell>
        </row>
        <row r="98">
          <cell r="A98" t="str">
            <v>NL300153</v>
          </cell>
          <cell r="B98" t="str">
            <v>Ớt xanh Đà Lạt</v>
          </cell>
          <cell r="C98" t="str">
            <v>KG</v>
          </cell>
          <cell r="D98">
            <v>46000</v>
          </cell>
        </row>
        <row r="99">
          <cell r="A99" t="str">
            <v>NL300155</v>
          </cell>
          <cell r="B99" t="str">
            <v>Cải chua nguyên cây</v>
          </cell>
          <cell r="C99" t="str">
            <v>KG</v>
          </cell>
          <cell r="D99">
            <v>22000</v>
          </cell>
        </row>
        <row r="100">
          <cell r="A100" t="str">
            <v>NL300156</v>
          </cell>
          <cell r="B100" t="str">
            <v>Đậu cove Pháp</v>
          </cell>
          <cell r="C100" t="str">
            <v>KG</v>
          </cell>
          <cell r="D100">
            <v>75000</v>
          </cell>
        </row>
        <row r="101">
          <cell r="A101" t="str">
            <v>NL300158</v>
          </cell>
          <cell r="B101" t="str">
            <v>Nấm mỡ đen</v>
          </cell>
          <cell r="C101" t="str">
            <v>kg</v>
          </cell>
          <cell r="D101">
            <v>250000</v>
          </cell>
        </row>
        <row r="102">
          <cell r="A102" t="str">
            <v>NL300162</v>
          </cell>
          <cell r="B102" t="str">
            <v>Lá sao nhái</v>
          </cell>
          <cell r="C102" t="str">
            <v>KG</v>
          </cell>
          <cell r="D102">
            <v>36000</v>
          </cell>
        </row>
        <row r="103">
          <cell r="A103" t="str">
            <v>NL300167</v>
          </cell>
          <cell r="B103" t="str">
            <v>Đỗ cove</v>
          </cell>
          <cell r="C103" t="str">
            <v>KG</v>
          </cell>
          <cell r="D103">
            <v>75000</v>
          </cell>
        </row>
        <row r="104">
          <cell r="A104" t="str">
            <v>NL300173</v>
          </cell>
          <cell r="B104" t="str">
            <v>Lá giang</v>
          </cell>
          <cell r="C104" t="str">
            <v>KG</v>
          </cell>
          <cell r="D104">
            <v>80000</v>
          </cell>
        </row>
        <row r="105">
          <cell r="A105" t="str">
            <v>NL300174</v>
          </cell>
          <cell r="B105" t="str">
            <v>Bầu</v>
          </cell>
          <cell r="C105" t="str">
            <v>KG</v>
          </cell>
          <cell r="D105">
            <v>24000</v>
          </cell>
        </row>
        <row r="106">
          <cell r="A106" t="str">
            <v>NL300184</v>
          </cell>
          <cell r="B106" t="str">
            <v>Lá Dứa (lá nếp)</v>
          </cell>
          <cell r="C106" t="str">
            <v>KG</v>
          </cell>
          <cell r="D106">
            <v>18000</v>
          </cell>
        </row>
        <row r="107">
          <cell r="A107" t="str">
            <v>NL300188</v>
          </cell>
          <cell r="B107" t="str">
            <v>Củ Sắn ( Bếp)</v>
          </cell>
          <cell r="C107" t="str">
            <v>KG</v>
          </cell>
          <cell r="D107">
            <v>12000</v>
          </cell>
        </row>
        <row r="108">
          <cell r="A108" t="str">
            <v>NL300189</v>
          </cell>
          <cell r="B108" t="str">
            <v>Bánh ướt</v>
          </cell>
          <cell r="C108" t="str">
            <v>KG</v>
          </cell>
          <cell r="D108">
            <v>15000</v>
          </cell>
        </row>
        <row r="109">
          <cell r="A109" t="str">
            <v>NL300203</v>
          </cell>
          <cell r="B109" t="str">
            <v>Cải bó xôi</v>
          </cell>
          <cell r="C109" t="str">
            <v>KG</v>
          </cell>
          <cell r="D109">
            <v>45000</v>
          </cell>
        </row>
        <row r="110">
          <cell r="A110" t="str">
            <v>NL300209</v>
          </cell>
          <cell r="B110" t="str">
            <v>Khoai môn</v>
          </cell>
          <cell r="C110" t="str">
            <v>KG</v>
          </cell>
          <cell r="D110">
            <v>30000</v>
          </cell>
        </row>
        <row r="111">
          <cell r="A111" t="str">
            <v>NL300218</v>
          </cell>
          <cell r="B111" t="str">
            <v>Hoa cúc (decor) bó</v>
          </cell>
          <cell r="C111" t="str">
            <v>BÓ</v>
          </cell>
          <cell r="D111">
            <v>40000</v>
          </cell>
        </row>
        <row r="112">
          <cell r="A112" t="str">
            <v>NL300229</v>
          </cell>
          <cell r="B112" t="str">
            <v>Lá trúc (Decor)</v>
          </cell>
          <cell r="C112" t="str">
            <v>KG</v>
          </cell>
          <cell r="D112">
            <v>100000</v>
          </cell>
        </row>
        <row r="113">
          <cell r="A113" t="str">
            <v>NL300230</v>
          </cell>
          <cell r="B113" t="str">
            <v>Cải Mầm</v>
          </cell>
          <cell r="C113" t="str">
            <v>KG</v>
          </cell>
          <cell r="D113">
            <v>80000</v>
          </cell>
        </row>
        <row r="114">
          <cell r="A114" t="str">
            <v>NL300232</v>
          </cell>
          <cell r="B114" t="str">
            <v>Xà lách thủy tinh</v>
          </cell>
          <cell r="C114" t="str">
            <v>KG</v>
          </cell>
          <cell r="D114">
            <v>75000</v>
          </cell>
        </row>
        <row r="115">
          <cell r="A115" t="str">
            <v>NL410008</v>
          </cell>
          <cell r="B115" t="str">
            <v>Cá diêu hồng NV</v>
          </cell>
          <cell r="C115" t="str">
            <v>KG</v>
          </cell>
          <cell r="D115">
            <v>82000</v>
          </cell>
        </row>
        <row r="116">
          <cell r="A116" t="str">
            <v>NL410009</v>
          </cell>
          <cell r="B116" t="str">
            <v>Cá hú NV</v>
          </cell>
          <cell r="C116" t="str">
            <v>KG</v>
          </cell>
          <cell r="D116">
            <v>85000</v>
          </cell>
        </row>
        <row r="117">
          <cell r="A117" t="str">
            <v>NL410011</v>
          </cell>
          <cell r="B117" t="str">
            <v>Cá ngừ NV</v>
          </cell>
          <cell r="C117" t="str">
            <v>KG</v>
          </cell>
          <cell r="D117">
            <v>120000</v>
          </cell>
        </row>
        <row r="118">
          <cell r="A118" t="str">
            <v>NL410015</v>
          </cell>
          <cell r="B118" t="str">
            <v>Cá quả (Cá lóc) NV</v>
          </cell>
          <cell r="C118" t="str">
            <v>KG</v>
          </cell>
          <cell r="D118">
            <v>85000</v>
          </cell>
        </row>
        <row r="119">
          <cell r="A119" t="str">
            <v>NL410018</v>
          </cell>
          <cell r="B119" t="str">
            <v>Cá tra NV ( Cá basa NV )</v>
          </cell>
          <cell r="C119" t="str">
            <v>KG</v>
          </cell>
          <cell r="D119">
            <v>82000</v>
          </cell>
        </row>
        <row r="120">
          <cell r="A120" t="str">
            <v>NL410022</v>
          </cell>
          <cell r="B120" t="str">
            <v>Chả cá NV</v>
          </cell>
          <cell r="C120" t="str">
            <v>KG</v>
          </cell>
          <cell r="D120">
            <v>112000</v>
          </cell>
        </row>
        <row r="121">
          <cell r="A121" t="str">
            <v>NL410083</v>
          </cell>
          <cell r="B121" t="str">
            <v>Tép tươi NV</v>
          </cell>
          <cell r="C121" t="str">
            <v>KG</v>
          </cell>
          <cell r="D121">
            <v>145000</v>
          </cell>
        </row>
        <row r="122">
          <cell r="A122" t="str">
            <v>NL410106</v>
          </cell>
          <cell r="B122" t="str">
            <v>Trứng vịt NV</v>
          </cell>
          <cell r="C122" t="str">
            <v>QUẢ</v>
          </cell>
          <cell r="D122">
            <v>4000</v>
          </cell>
        </row>
        <row r="123">
          <cell r="A123" t="str">
            <v>NL410117</v>
          </cell>
          <cell r="B123" t="str">
            <v>Cá mó NV</v>
          </cell>
          <cell r="C123" t="str">
            <v>KG</v>
          </cell>
          <cell r="D123">
            <v>120000</v>
          </cell>
        </row>
        <row r="124">
          <cell r="A124" t="str">
            <v>NL410121</v>
          </cell>
          <cell r="B124" t="str">
            <v>Đùi gà góc tư NV</v>
          </cell>
          <cell r="C124" t="str">
            <v>KG</v>
          </cell>
          <cell r="D124">
            <v>80000</v>
          </cell>
        </row>
        <row r="125">
          <cell r="A125" t="str">
            <v>NL420037</v>
          </cell>
          <cell r="B125" t="str">
            <v>Phở sợi NV</v>
          </cell>
          <cell r="C125" t="str">
            <v>KG</v>
          </cell>
          <cell r="D125">
            <v>16000</v>
          </cell>
        </row>
        <row r="126">
          <cell r="A126" t="str">
            <v>NL430004</v>
          </cell>
          <cell r="B126" t="str">
            <v>Bắp cải NV</v>
          </cell>
          <cell r="C126" t="str">
            <v>kg</v>
          </cell>
          <cell r="D126">
            <v>19000</v>
          </cell>
        </row>
        <row r="127">
          <cell r="A127" t="str">
            <v>NL430007</v>
          </cell>
          <cell r="B127" t="str">
            <v>Bí đỏ NV</v>
          </cell>
          <cell r="C127" t="str">
            <v>kg</v>
          </cell>
          <cell r="D127">
            <v>30000</v>
          </cell>
        </row>
        <row r="128">
          <cell r="A128" t="str">
            <v>NL430009</v>
          </cell>
          <cell r="B128" t="str">
            <v>Bí xanh NV</v>
          </cell>
          <cell r="C128" t="str">
            <v>KG</v>
          </cell>
          <cell r="D128">
            <v>28000</v>
          </cell>
        </row>
        <row r="129">
          <cell r="A129" t="str">
            <v>NL430011</v>
          </cell>
          <cell r="B129" t="str">
            <v>Bún NV</v>
          </cell>
          <cell r="C129" t="str">
            <v>KG</v>
          </cell>
          <cell r="D129">
            <v>12000</v>
          </cell>
        </row>
        <row r="130">
          <cell r="A130" t="str">
            <v>NL430012</v>
          </cell>
          <cell r="B130" t="str">
            <v>Cà chua NV</v>
          </cell>
          <cell r="C130" t="str">
            <v>KG</v>
          </cell>
          <cell r="D130">
            <v>50000</v>
          </cell>
        </row>
        <row r="131">
          <cell r="A131" t="str">
            <v>NL430019</v>
          </cell>
          <cell r="B131" t="str">
            <v>Cải ngọt NV</v>
          </cell>
          <cell r="C131" t="str">
            <v>KG</v>
          </cell>
          <cell r="D131">
            <v>24000</v>
          </cell>
        </row>
        <row r="132">
          <cell r="A132" t="str">
            <v>NL430020</v>
          </cell>
          <cell r="B132" t="str">
            <v>Cải thảo NV</v>
          </cell>
          <cell r="C132" t="str">
            <v>KG</v>
          </cell>
          <cell r="D132">
            <v>18000</v>
          </cell>
        </row>
        <row r="133">
          <cell r="A133" t="str">
            <v>NL430021</v>
          </cell>
          <cell r="B133" t="str">
            <v>Cải xanh NV</v>
          </cell>
          <cell r="C133" t="str">
            <v>KG</v>
          </cell>
          <cell r="D133">
            <v>28000</v>
          </cell>
        </row>
        <row r="134">
          <cell r="A134" t="str">
            <v>NL430025</v>
          </cell>
          <cell r="B134" t="str">
            <v>Cà pháo NV</v>
          </cell>
          <cell r="C134" t="str">
            <v>KG</v>
          </cell>
          <cell r="D134">
            <v>25000</v>
          </cell>
        </row>
        <row r="135">
          <cell r="A135" t="str">
            <v>NL430027</v>
          </cell>
          <cell r="B135" t="str">
            <v>Cà tím NV</v>
          </cell>
          <cell r="C135" t="str">
            <v>KG</v>
          </cell>
          <cell r="D135">
            <v>33000</v>
          </cell>
        </row>
        <row r="136">
          <cell r="A136" t="str">
            <v>NL430037</v>
          </cell>
          <cell r="B136" t="str">
            <v>Đậu bắp NV</v>
          </cell>
          <cell r="C136" t="str">
            <v>KG</v>
          </cell>
          <cell r="D136">
            <v>32000</v>
          </cell>
        </row>
        <row r="137">
          <cell r="A137" t="str">
            <v>NL430038</v>
          </cell>
          <cell r="B137" t="str">
            <v>Đậu đũa NV</v>
          </cell>
          <cell r="C137" t="str">
            <v>KG</v>
          </cell>
          <cell r="D137">
            <v>25000</v>
          </cell>
        </row>
        <row r="138">
          <cell r="A138" t="str">
            <v>NL430040</v>
          </cell>
          <cell r="B138" t="str">
            <v>Đậu phụ (NV)</v>
          </cell>
          <cell r="C138" t="str">
            <v>miếng</v>
          </cell>
          <cell r="D138">
            <v>4000</v>
          </cell>
        </row>
        <row r="139">
          <cell r="A139" t="str">
            <v>NL430041</v>
          </cell>
          <cell r="B139" t="str">
            <v>Đậu rồng NV</v>
          </cell>
          <cell r="C139" t="str">
            <v>KG</v>
          </cell>
          <cell r="D139">
            <v>63000</v>
          </cell>
        </row>
        <row r="140">
          <cell r="A140" t="str">
            <v>NL430043</v>
          </cell>
          <cell r="B140" t="str">
            <v>Dọc mùng NV</v>
          </cell>
          <cell r="C140" t="str">
            <v>KG</v>
          </cell>
          <cell r="D140">
            <v>17000</v>
          </cell>
        </row>
        <row r="141">
          <cell r="A141" t="str">
            <v>NL430045</v>
          </cell>
          <cell r="B141" t="str">
            <v>Dưa chua NV</v>
          </cell>
          <cell r="C141" t="str">
            <v>KG</v>
          </cell>
          <cell r="D141">
            <v>22000</v>
          </cell>
        </row>
        <row r="142">
          <cell r="A142" t="str">
            <v>NL430047</v>
          </cell>
          <cell r="B142" t="str">
            <v>Dưa hấu NV</v>
          </cell>
          <cell r="C142" t="str">
            <v>KG</v>
          </cell>
          <cell r="D142">
            <v>18000</v>
          </cell>
        </row>
        <row r="143">
          <cell r="A143" t="str">
            <v>NL430051</v>
          </cell>
          <cell r="B143" t="str">
            <v>Giá đỗ NV</v>
          </cell>
          <cell r="C143" t="str">
            <v>KG</v>
          </cell>
          <cell r="D143">
            <v>9000</v>
          </cell>
        </row>
        <row r="144">
          <cell r="A144" t="str">
            <v>NL430061</v>
          </cell>
          <cell r="B144" t="str">
            <v>Húng chó NV</v>
          </cell>
          <cell r="C144" t="str">
            <v>KG</v>
          </cell>
          <cell r="D144">
            <v>65000</v>
          </cell>
        </row>
        <row r="145">
          <cell r="A145" t="str">
            <v>NL430065</v>
          </cell>
          <cell r="B145" t="str">
            <v>Khoai mỡ NV</v>
          </cell>
          <cell r="C145" t="str">
            <v>KG</v>
          </cell>
          <cell r="D145">
            <v>35000</v>
          </cell>
        </row>
        <row r="146">
          <cell r="A146" t="str">
            <v>NL430077</v>
          </cell>
          <cell r="B146" t="str">
            <v>Súp lơ trắng NV</v>
          </cell>
          <cell r="C146" t="str">
            <v>kg</v>
          </cell>
          <cell r="D146">
            <v>50000</v>
          </cell>
        </row>
        <row r="147">
          <cell r="A147" t="str">
            <v>NL430087</v>
          </cell>
          <cell r="B147" t="str">
            <v>Mồng tơi NV</v>
          </cell>
          <cell r="C147" t="str">
            <v>KG</v>
          </cell>
          <cell r="D147">
            <v>22000</v>
          </cell>
        </row>
        <row r="148">
          <cell r="A148" t="str">
            <v>NL430090</v>
          </cell>
          <cell r="B148" t="str">
            <v>Rau muống (NV)</v>
          </cell>
          <cell r="C148" t="str">
            <v>KG</v>
          </cell>
          <cell r="D148">
            <v>15000</v>
          </cell>
        </row>
        <row r="149">
          <cell r="A149" t="str">
            <v>NL430091</v>
          </cell>
          <cell r="B149" t="str">
            <v>Rau muống chẻ NV</v>
          </cell>
          <cell r="C149" t="str">
            <v>KG</v>
          </cell>
          <cell r="D149">
            <v>25000</v>
          </cell>
        </row>
        <row r="150">
          <cell r="A150" t="str">
            <v>NL430092</v>
          </cell>
          <cell r="B150" t="str">
            <v>Mướp đắng NV ( Khổ qua NV )</v>
          </cell>
          <cell r="C150" t="str">
            <v>KG</v>
          </cell>
          <cell r="D150">
            <v>30000</v>
          </cell>
        </row>
        <row r="151">
          <cell r="A151" t="str">
            <v>NL430093</v>
          </cell>
          <cell r="B151" t="str">
            <v>Mướp NV</v>
          </cell>
          <cell r="C151" t="str">
            <v>KG</v>
          </cell>
          <cell r="D151">
            <v>27000</v>
          </cell>
        </row>
        <row r="152">
          <cell r="A152" t="str">
            <v>NL430109</v>
          </cell>
          <cell r="B152" t="str">
            <v>Ớt xanh NV</v>
          </cell>
          <cell r="C152" t="str">
            <v>kg</v>
          </cell>
          <cell r="D152">
            <v>46000</v>
          </cell>
        </row>
        <row r="153">
          <cell r="A153" t="str">
            <v>NL430115</v>
          </cell>
          <cell r="B153" t="str">
            <v>Rau cần NV</v>
          </cell>
          <cell r="C153" t="str">
            <v>KG</v>
          </cell>
          <cell r="D153">
            <v>38000</v>
          </cell>
        </row>
        <row r="154">
          <cell r="A154" t="str">
            <v>NL430118</v>
          </cell>
          <cell r="B154" t="str">
            <v>Rau dền NV</v>
          </cell>
          <cell r="C154" t="str">
            <v>KG</v>
          </cell>
          <cell r="D154">
            <v>38000</v>
          </cell>
        </row>
        <row r="155">
          <cell r="A155" t="str">
            <v>NL430120</v>
          </cell>
          <cell r="B155" t="str">
            <v>Rau má NV</v>
          </cell>
          <cell r="C155" t="str">
            <v>KG</v>
          </cell>
          <cell r="D155">
            <v>42000</v>
          </cell>
        </row>
        <row r="156">
          <cell r="A156" t="str">
            <v>NL430130</v>
          </cell>
          <cell r="B156" t="str">
            <v>Sả xay NV</v>
          </cell>
          <cell r="C156" t="str">
            <v>KG</v>
          </cell>
          <cell r="D156">
            <v>13000</v>
          </cell>
        </row>
        <row r="157">
          <cell r="A157" t="str">
            <v>NL430132</v>
          </cell>
          <cell r="B157" t="str">
            <v>Su su NV</v>
          </cell>
          <cell r="C157" t="str">
            <v>kg</v>
          </cell>
          <cell r="D157">
            <v>20000</v>
          </cell>
        </row>
        <row r="158">
          <cell r="A158" t="str">
            <v>NL430151</v>
          </cell>
          <cell r="B158" t="str">
            <v>Bánh canh NV</v>
          </cell>
          <cell r="C158" t="str">
            <v>kg</v>
          </cell>
          <cell r="D158">
            <v>20000</v>
          </cell>
        </row>
        <row r="159">
          <cell r="A159" t="str">
            <v>NL430158</v>
          </cell>
          <cell r="B159" t="str">
            <v>Xà lách son NV</v>
          </cell>
          <cell r="C159" t="str">
            <v>kg</v>
          </cell>
          <cell r="D159">
            <v>65000</v>
          </cell>
        </row>
        <row r="160">
          <cell r="A160" t="str">
            <v>NL430197</v>
          </cell>
          <cell r="B160" t="str">
            <v>Bún bò NV</v>
          </cell>
          <cell r="C160" t="str">
            <v>KG</v>
          </cell>
          <cell r="D160">
            <v>12000</v>
          </cell>
        </row>
        <row r="161">
          <cell r="A161" t="str">
            <v>NL430230</v>
          </cell>
          <cell r="B161" t="str">
            <v>Hoa chuối NV</v>
          </cell>
          <cell r="C161" t="str">
            <v>CÁI</v>
          </cell>
          <cell r="D161">
            <v>33000</v>
          </cell>
        </row>
        <row r="162">
          <cell r="A162" t="str">
            <v>NL430231</v>
          </cell>
          <cell r="B162" t="str">
            <v>Mắm Ruốc NV</v>
          </cell>
          <cell r="C162" t="str">
            <v>HỘP</v>
          </cell>
          <cell r="D162">
            <v>62000</v>
          </cell>
        </row>
        <row r="163">
          <cell r="A163" t="str">
            <v>NL600002</v>
          </cell>
          <cell r="B163" t="str">
            <v>Cam sành</v>
          </cell>
          <cell r="C163" t="str">
            <v>KG</v>
          </cell>
          <cell r="D163">
            <v>15000</v>
          </cell>
        </row>
        <row r="164">
          <cell r="A164" t="str">
            <v>NL600004</v>
          </cell>
          <cell r="B164" t="str">
            <v>Dưa hấu</v>
          </cell>
          <cell r="C164" t="str">
            <v>KG</v>
          </cell>
          <cell r="D164">
            <v>18000</v>
          </cell>
        </row>
        <row r="165">
          <cell r="A165" t="str">
            <v>NL600020</v>
          </cell>
          <cell r="B165" t="str">
            <v>Dứa quả (Đồ Bar)</v>
          </cell>
          <cell r="C165" t="str">
            <v>QUẢ</v>
          </cell>
          <cell r="D165">
            <v>18000</v>
          </cell>
        </row>
        <row r="166">
          <cell r="A166" t="str">
            <v>NL600067</v>
          </cell>
          <cell r="B166" t="str">
            <v>Cam vàng</v>
          </cell>
          <cell r="C166" t="str">
            <v>KG</v>
          </cell>
          <cell r="D166">
            <v>75000</v>
          </cell>
        </row>
        <row r="167">
          <cell r="A167" t="str">
            <v>NL600068</v>
          </cell>
          <cell r="B167" t="str">
            <v>Chanh vàng</v>
          </cell>
          <cell r="C167" t="str">
            <v>KG</v>
          </cell>
          <cell r="D167">
            <v>95000</v>
          </cell>
        </row>
        <row r="168">
          <cell r="A168" t="str">
            <v/>
          </cell>
          <cell r="B168" t="str">
            <v/>
          </cell>
          <cell r="C168" t="str">
            <v/>
          </cell>
          <cell r="D168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7264D-7755-4B35-BA3A-91CDF44EAED5}">
  <dimension ref="A1:K612"/>
  <sheetViews>
    <sheetView showGridLines="0" workbookViewId="0">
      <selection activeCell="A6" sqref="A6:K6"/>
    </sheetView>
  </sheetViews>
  <sheetFormatPr defaultRowHeight="15" x14ac:dyDescent="0.25"/>
  <cols>
    <col min="1" max="1" width="11.28515625" bestFit="1" customWidth="1"/>
    <col min="2" max="2" width="45.28515625" customWidth="1"/>
    <col min="3" max="4" width="22.7109375" customWidth="1"/>
    <col min="5" max="5" width="12.28515625" bestFit="1" customWidth="1"/>
    <col min="6" max="6" width="17.7109375" customWidth="1"/>
    <col min="7" max="7" width="8" customWidth="1"/>
    <col min="8" max="8" width="13.7109375" bestFit="1" customWidth="1"/>
    <col min="9" max="9" width="11.140625" bestFit="1" customWidth="1"/>
    <col min="10" max="10" width="14.28515625" bestFit="1" customWidth="1"/>
    <col min="11" max="11" width="39" customWidth="1"/>
  </cols>
  <sheetData>
    <row r="1" spans="1:11" ht="9.6" customHeight="1" x14ac:dyDescent="0.25"/>
    <row r="2" spans="1:11" ht="102.95" customHeight="1" x14ac:dyDescent="0.25">
      <c r="A2" s="37"/>
      <c r="B2" s="35"/>
      <c r="C2" s="36"/>
      <c r="D2" s="38" t="s">
        <v>0</v>
      </c>
      <c r="E2" s="35"/>
      <c r="F2" s="35"/>
      <c r="G2" s="35"/>
      <c r="H2" s="35"/>
      <c r="I2" s="35"/>
      <c r="J2" s="35"/>
      <c r="K2" s="36"/>
    </row>
    <row r="3" spans="1:11" ht="1.1499999999999999" customHeight="1" x14ac:dyDescent="0.25"/>
    <row r="4" spans="1:11" ht="24.75" customHeight="1" x14ac:dyDescent="0.25">
      <c r="A4" s="39" t="s">
        <v>1</v>
      </c>
      <c r="B4" s="35"/>
      <c r="C4" s="35"/>
      <c r="D4" s="35"/>
      <c r="E4" s="35"/>
      <c r="F4" s="35"/>
      <c r="G4" s="35"/>
      <c r="H4" s="35"/>
      <c r="I4" s="35"/>
      <c r="J4" s="35"/>
      <c r="K4" s="36"/>
    </row>
    <row r="5" spans="1:11" ht="2.1" customHeight="1" x14ac:dyDescent="0.25"/>
    <row r="6" spans="1:11" ht="22.5" customHeight="1" x14ac:dyDescent="0.25">
      <c r="A6" s="40" t="s">
        <v>154</v>
      </c>
      <c r="B6" s="35"/>
      <c r="C6" s="35"/>
      <c r="D6" s="35"/>
      <c r="E6" s="35"/>
      <c r="F6" s="35"/>
      <c r="G6" s="35"/>
      <c r="H6" s="35"/>
      <c r="I6" s="35"/>
      <c r="J6" s="35"/>
      <c r="K6" s="36"/>
    </row>
    <row r="7" spans="1:11" ht="3" customHeight="1" x14ac:dyDescent="0.25"/>
    <row r="8" spans="1:11" ht="24.95" customHeight="1" x14ac:dyDescent="0.25">
      <c r="A8" s="34" t="s">
        <v>114</v>
      </c>
      <c r="B8" s="35"/>
      <c r="C8" s="35"/>
      <c r="D8" s="35"/>
      <c r="E8" s="35"/>
      <c r="F8" s="35"/>
      <c r="G8" s="35"/>
      <c r="H8" s="35"/>
      <c r="I8" s="35"/>
      <c r="J8" s="35"/>
      <c r="K8" s="36"/>
    </row>
    <row r="9" spans="1:11" ht="4.1500000000000004" customHeight="1" x14ac:dyDescent="0.25"/>
    <row r="10" spans="1:11" ht="23.25" customHeight="1" x14ac:dyDescent="0.25">
      <c r="A10" s="34" t="s">
        <v>2</v>
      </c>
      <c r="B10" s="35"/>
      <c r="C10" s="35"/>
      <c r="D10" s="35"/>
      <c r="E10" s="35"/>
      <c r="F10" s="35"/>
      <c r="G10" s="35"/>
      <c r="H10" s="35"/>
      <c r="I10" s="35"/>
      <c r="J10" s="35"/>
      <c r="K10" s="36"/>
    </row>
    <row r="11" spans="1:11" ht="3.95" customHeight="1" x14ac:dyDescent="0.25"/>
    <row r="12" spans="1:11" ht="23.85" customHeight="1" x14ac:dyDescent="0.25">
      <c r="A12" s="34" t="s">
        <v>3</v>
      </c>
      <c r="B12" s="35"/>
      <c r="C12" s="35"/>
      <c r="D12" s="35"/>
      <c r="E12" s="35"/>
      <c r="F12" s="35"/>
      <c r="G12" s="35"/>
      <c r="H12" s="35"/>
      <c r="I12" s="35"/>
      <c r="J12" s="35"/>
      <c r="K12" s="36"/>
    </row>
    <row r="13" spans="1:11" ht="25.5" customHeight="1" x14ac:dyDescent="0.25">
      <c r="J13" s="10">
        <f>SUBTOTAL(9,J15:J612)</f>
        <v>78283295</v>
      </c>
    </row>
    <row r="14" spans="1:11" ht="16.5" x14ac:dyDescent="0.25">
      <c r="A14" s="1" t="s">
        <v>5</v>
      </c>
      <c r="B14" s="1" t="s">
        <v>115</v>
      </c>
      <c r="C14" s="1" t="s">
        <v>116</v>
      </c>
      <c r="D14" s="1" t="s">
        <v>4</v>
      </c>
      <c r="E14" s="2" t="s">
        <v>6</v>
      </c>
      <c r="F14" s="2" t="s">
        <v>7</v>
      </c>
      <c r="G14" s="1" t="s">
        <v>8</v>
      </c>
      <c r="H14" s="3" t="s">
        <v>117</v>
      </c>
      <c r="I14" s="1" t="s">
        <v>9</v>
      </c>
      <c r="J14" s="1" t="s">
        <v>10</v>
      </c>
      <c r="K14" s="1" t="s">
        <v>11</v>
      </c>
    </row>
    <row r="15" spans="1:11" x14ac:dyDescent="0.25">
      <c r="A15" s="4" t="s">
        <v>155</v>
      </c>
      <c r="B15" s="5" t="s">
        <v>118</v>
      </c>
      <c r="C15" s="4" t="s">
        <v>67</v>
      </c>
      <c r="D15" s="5" t="s">
        <v>156</v>
      </c>
      <c r="E15" s="7" t="s">
        <v>103</v>
      </c>
      <c r="F15" s="7" t="s">
        <v>102</v>
      </c>
      <c r="G15" s="7" t="s">
        <v>14</v>
      </c>
      <c r="H15" s="8">
        <v>5</v>
      </c>
      <c r="I15" s="9">
        <v>15000</v>
      </c>
      <c r="J15" s="9">
        <f>H15*I15</f>
        <v>75000</v>
      </c>
      <c r="K15" s="6" t="s">
        <v>15</v>
      </c>
    </row>
    <row r="16" spans="1:11" ht="15.75" customHeight="1" x14ac:dyDescent="0.25">
      <c r="A16" s="4" t="s">
        <v>155</v>
      </c>
      <c r="B16" s="5" t="s">
        <v>118</v>
      </c>
      <c r="C16" s="4" t="s">
        <v>67</v>
      </c>
      <c r="D16" s="5" t="s">
        <v>156</v>
      </c>
      <c r="E16" s="7" t="s">
        <v>16</v>
      </c>
      <c r="F16" s="7" t="s">
        <v>17</v>
      </c>
      <c r="G16" s="7" t="s">
        <v>18</v>
      </c>
      <c r="H16" s="8">
        <v>20</v>
      </c>
      <c r="I16" s="9">
        <v>8500</v>
      </c>
      <c r="J16" s="9">
        <f t="shared" ref="J16:J79" si="0">H16*I16</f>
        <v>170000</v>
      </c>
      <c r="K16" s="6" t="s">
        <v>15</v>
      </c>
    </row>
    <row r="17" spans="1:11" ht="15" customHeight="1" x14ac:dyDescent="0.25">
      <c r="A17" s="4" t="s">
        <v>155</v>
      </c>
      <c r="B17" s="5" t="s">
        <v>118</v>
      </c>
      <c r="C17" s="4" t="s">
        <v>67</v>
      </c>
      <c r="D17" s="5" t="s">
        <v>156</v>
      </c>
      <c r="E17" s="7" t="s">
        <v>101</v>
      </c>
      <c r="F17" s="7" t="s">
        <v>100</v>
      </c>
      <c r="G17" s="7" t="s">
        <v>14</v>
      </c>
      <c r="H17" s="8">
        <v>18</v>
      </c>
      <c r="I17" s="9">
        <v>40000</v>
      </c>
      <c r="J17" s="9">
        <f t="shared" si="0"/>
        <v>720000</v>
      </c>
      <c r="K17" s="6" t="s">
        <v>15</v>
      </c>
    </row>
    <row r="18" spans="1:11" ht="15" customHeight="1" x14ac:dyDescent="0.25">
      <c r="A18" s="4" t="s">
        <v>155</v>
      </c>
      <c r="B18" s="5" t="s">
        <v>118</v>
      </c>
      <c r="C18" s="4" t="s">
        <v>67</v>
      </c>
      <c r="D18" s="5" t="s">
        <v>156</v>
      </c>
      <c r="E18" s="7" t="s">
        <v>119</v>
      </c>
      <c r="F18" s="7" t="s">
        <v>120</v>
      </c>
      <c r="G18" s="7" t="s">
        <v>14</v>
      </c>
      <c r="H18" s="8">
        <v>3.3</v>
      </c>
      <c r="I18" s="9">
        <v>52000</v>
      </c>
      <c r="J18" s="9">
        <f t="shared" si="0"/>
        <v>171600</v>
      </c>
      <c r="K18" s="6" t="s">
        <v>15</v>
      </c>
    </row>
    <row r="19" spans="1:11" ht="42.75" x14ac:dyDescent="0.25">
      <c r="A19" s="4" t="s">
        <v>155</v>
      </c>
      <c r="B19" s="5" t="s">
        <v>118</v>
      </c>
      <c r="C19" s="4" t="s">
        <v>67</v>
      </c>
      <c r="D19" s="5" t="s">
        <v>156</v>
      </c>
      <c r="E19" s="7" t="s">
        <v>99</v>
      </c>
      <c r="F19" s="7" t="s">
        <v>98</v>
      </c>
      <c r="G19" s="7" t="s">
        <v>14</v>
      </c>
      <c r="H19" s="8">
        <v>4</v>
      </c>
      <c r="I19" s="9">
        <v>30000</v>
      </c>
      <c r="J19" s="9">
        <f t="shared" si="0"/>
        <v>120000</v>
      </c>
      <c r="K19" s="6" t="s">
        <v>15</v>
      </c>
    </row>
    <row r="20" spans="1:11" ht="18" customHeight="1" x14ac:dyDescent="0.25">
      <c r="A20" s="4" t="s">
        <v>155</v>
      </c>
      <c r="B20" s="5" t="s">
        <v>118</v>
      </c>
      <c r="C20" s="4" t="s">
        <v>67</v>
      </c>
      <c r="D20" s="5" t="s">
        <v>156</v>
      </c>
      <c r="E20" s="7" t="s">
        <v>97</v>
      </c>
      <c r="F20" s="7" t="s">
        <v>96</v>
      </c>
      <c r="G20" s="7" t="s">
        <v>14</v>
      </c>
      <c r="H20" s="8">
        <v>0.9</v>
      </c>
      <c r="I20" s="9">
        <v>75000</v>
      </c>
      <c r="J20" s="9">
        <f t="shared" si="0"/>
        <v>67500</v>
      </c>
      <c r="K20" s="6" t="s">
        <v>15</v>
      </c>
    </row>
    <row r="21" spans="1:11" ht="18" customHeight="1" x14ac:dyDescent="0.25">
      <c r="A21" s="4" t="s">
        <v>155</v>
      </c>
      <c r="B21" s="5" t="s">
        <v>118</v>
      </c>
      <c r="C21" s="4" t="s">
        <v>67</v>
      </c>
      <c r="D21" s="5" t="s">
        <v>156</v>
      </c>
      <c r="E21" s="7" t="s">
        <v>95</v>
      </c>
      <c r="F21" s="7" t="s">
        <v>94</v>
      </c>
      <c r="G21" s="7" t="s">
        <v>14</v>
      </c>
      <c r="H21" s="8">
        <v>2</v>
      </c>
      <c r="I21" s="9">
        <v>44000</v>
      </c>
      <c r="J21" s="9">
        <f t="shared" si="0"/>
        <v>88000</v>
      </c>
      <c r="K21" s="6" t="s">
        <v>15</v>
      </c>
    </row>
    <row r="22" spans="1:11" ht="18" customHeight="1" x14ac:dyDescent="0.25">
      <c r="A22" s="4" t="s">
        <v>155</v>
      </c>
      <c r="B22" s="5" t="s">
        <v>118</v>
      </c>
      <c r="C22" s="4" t="s">
        <v>67</v>
      </c>
      <c r="D22" s="5" t="s">
        <v>156</v>
      </c>
      <c r="E22" s="7" t="s">
        <v>49</v>
      </c>
      <c r="F22" s="7" t="s">
        <v>50</v>
      </c>
      <c r="G22" s="7" t="s">
        <v>14</v>
      </c>
      <c r="H22" s="8">
        <v>1</v>
      </c>
      <c r="I22" s="9">
        <v>34000</v>
      </c>
      <c r="J22" s="9">
        <f t="shared" si="0"/>
        <v>34000</v>
      </c>
      <c r="K22" s="6" t="s">
        <v>15</v>
      </c>
    </row>
    <row r="23" spans="1:11" x14ac:dyDescent="0.25">
      <c r="A23" s="4" t="s">
        <v>155</v>
      </c>
      <c r="B23" s="5" t="s">
        <v>118</v>
      </c>
      <c r="C23" s="4" t="s">
        <v>67</v>
      </c>
      <c r="D23" s="5" t="s">
        <v>156</v>
      </c>
      <c r="E23" s="7" t="s">
        <v>93</v>
      </c>
      <c r="F23" s="7" t="s">
        <v>92</v>
      </c>
      <c r="G23" s="7" t="s">
        <v>14</v>
      </c>
      <c r="H23" s="8">
        <v>0.3</v>
      </c>
      <c r="I23" s="9">
        <v>95000</v>
      </c>
      <c r="J23" s="9">
        <f t="shared" si="0"/>
        <v>28500</v>
      </c>
      <c r="K23" s="6" t="s">
        <v>15</v>
      </c>
    </row>
    <row r="24" spans="1:11" x14ac:dyDescent="0.25">
      <c r="A24" s="4" t="s">
        <v>155</v>
      </c>
      <c r="B24" s="5" t="s">
        <v>118</v>
      </c>
      <c r="C24" s="4" t="s">
        <v>67</v>
      </c>
      <c r="D24" s="5" t="s">
        <v>156</v>
      </c>
      <c r="E24" s="7" t="s">
        <v>35</v>
      </c>
      <c r="F24" s="7" t="s">
        <v>36</v>
      </c>
      <c r="G24" s="7" t="s">
        <v>14</v>
      </c>
      <c r="H24" s="8">
        <v>2</v>
      </c>
      <c r="I24" s="9">
        <v>38000</v>
      </c>
      <c r="J24" s="9">
        <f t="shared" si="0"/>
        <v>76000</v>
      </c>
      <c r="K24" s="6" t="s">
        <v>15</v>
      </c>
    </row>
    <row r="25" spans="1:11" x14ac:dyDescent="0.25">
      <c r="A25" s="4" t="s">
        <v>155</v>
      </c>
      <c r="B25" s="5" t="s">
        <v>118</v>
      </c>
      <c r="C25" s="4" t="s">
        <v>67</v>
      </c>
      <c r="D25" s="5" t="s">
        <v>156</v>
      </c>
      <c r="E25" s="7" t="s">
        <v>113</v>
      </c>
      <c r="F25" s="7" t="s">
        <v>112</v>
      </c>
      <c r="G25" s="7" t="s">
        <v>14</v>
      </c>
      <c r="H25" s="8">
        <v>0.1</v>
      </c>
      <c r="I25" s="9">
        <v>25000</v>
      </c>
      <c r="J25" s="9">
        <f t="shared" si="0"/>
        <v>2500</v>
      </c>
      <c r="K25" s="6" t="s">
        <v>15</v>
      </c>
    </row>
    <row r="26" spans="1:11" x14ac:dyDescent="0.25">
      <c r="A26" s="4" t="s">
        <v>155</v>
      </c>
      <c r="B26" s="5" t="s">
        <v>118</v>
      </c>
      <c r="C26" s="4" t="s">
        <v>67</v>
      </c>
      <c r="D26" s="5" t="s">
        <v>156</v>
      </c>
      <c r="E26" s="7" t="s">
        <v>91</v>
      </c>
      <c r="F26" s="7" t="s">
        <v>90</v>
      </c>
      <c r="G26" s="7" t="s">
        <v>14</v>
      </c>
      <c r="H26" s="8">
        <v>3</v>
      </c>
      <c r="I26" s="9">
        <v>47000</v>
      </c>
      <c r="J26" s="9">
        <f t="shared" si="0"/>
        <v>141000</v>
      </c>
      <c r="K26" s="6" t="s">
        <v>15</v>
      </c>
    </row>
    <row r="27" spans="1:11" x14ac:dyDescent="0.25">
      <c r="A27" s="4" t="s">
        <v>155</v>
      </c>
      <c r="B27" s="5" t="s">
        <v>118</v>
      </c>
      <c r="C27" s="4" t="s">
        <v>67</v>
      </c>
      <c r="D27" s="5" t="s">
        <v>156</v>
      </c>
      <c r="E27" s="7" t="s">
        <v>19</v>
      </c>
      <c r="F27" s="7" t="s">
        <v>20</v>
      </c>
      <c r="G27" s="7" t="s">
        <v>14</v>
      </c>
      <c r="H27" s="8">
        <v>4</v>
      </c>
      <c r="I27" s="9">
        <v>32000</v>
      </c>
      <c r="J27" s="9">
        <f t="shared" si="0"/>
        <v>128000</v>
      </c>
      <c r="K27" s="6" t="s">
        <v>15</v>
      </c>
    </row>
    <row r="28" spans="1:11" x14ac:dyDescent="0.25">
      <c r="A28" s="4" t="s">
        <v>155</v>
      </c>
      <c r="B28" s="5" t="s">
        <v>118</v>
      </c>
      <c r="C28" s="4" t="s">
        <v>67</v>
      </c>
      <c r="D28" s="5" t="s">
        <v>156</v>
      </c>
      <c r="E28" s="7" t="s">
        <v>21</v>
      </c>
      <c r="F28" s="7" t="s">
        <v>22</v>
      </c>
      <c r="G28" s="7" t="s">
        <v>14</v>
      </c>
      <c r="H28" s="8">
        <v>4</v>
      </c>
      <c r="I28" s="9">
        <v>55000</v>
      </c>
      <c r="J28" s="9">
        <f t="shared" si="0"/>
        <v>220000</v>
      </c>
      <c r="K28" s="6" t="s">
        <v>15</v>
      </c>
    </row>
    <row r="29" spans="1:11" x14ac:dyDescent="0.25">
      <c r="A29" s="4" t="s">
        <v>155</v>
      </c>
      <c r="B29" s="5" t="s">
        <v>118</v>
      </c>
      <c r="C29" s="4" t="s">
        <v>67</v>
      </c>
      <c r="D29" s="5" t="s">
        <v>156</v>
      </c>
      <c r="E29" s="7" t="s">
        <v>23</v>
      </c>
      <c r="F29" s="7" t="s">
        <v>24</v>
      </c>
      <c r="G29" s="7" t="s">
        <v>14</v>
      </c>
      <c r="H29" s="8">
        <v>0.6</v>
      </c>
      <c r="I29" s="9">
        <v>13000</v>
      </c>
      <c r="J29" s="9">
        <f t="shared" si="0"/>
        <v>7800</v>
      </c>
      <c r="K29" s="6" t="s">
        <v>15</v>
      </c>
    </row>
    <row r="30" spans="1:11" x14ac:dyDescent="0.25">
      <c r="A30" s="4" t="s">
        <v>155</v>
      </c>
      <c r="B30" s="5" t="s">
        <v>118</v>
      </c>
      <c r="C30" s="4" t="s">
        <v>67</v>
      </c>
      <c r="D30" s="5" t="s">
        <v>156</v>
      </c>
      <c r="E30" s="7" t="s">
        <v>31</v>
      </c>
      <c r="F30" s="7" t="s">
        <v>32</v>
      </c>
      <c r="G30" s="7" t="s">
        <v>14</v>
      </c>
      <c r="H30" s="8">
        <v>0.3</v>
      </c>
      <c r="I30" s="9">
        <v>80000</v>
      </c>
      <c r="J30" s="9">
        <f t="shared" si="0"/>
        <v>24000</v>
      </c>
      <c r="K30" s="6" t="s">
        <v>15</v>
      </c>
    </row>
    <row r="31" spans="1:11" x14ac:dyDescent="0.25">
      <c r="A31" s="4" t="s">
        <v>155</v>
      </c>
      <c r="B31" s="5" t="s">
        <v>118</v>
      </c>
      <c r="C31" s="4" t="s">
        <v>67</v>
      </c>
      <c r="D31" s="5" t="s">
        <v>156</v>
      </c>
      <c r="E31" s="7" t="s">
        <v>25</v>
      </c>
      <c r="F31" s="7" t="s">
        <v>26</v>
      </c>
      <c r="G31" s="7" t="s">
        <v>14</v>
      </c>
      <c r="H31" s="8">
        <v>0.2</v>
      </c>
      <c r="I31" s="9">
        <v>65000</v>
      </c>
      <c r="J31" s="9">
        <f t="shared" si="0"/>
        <v>13000</v>
      </c>
      <c r="K31" s="6" t="s">
        <v>15</v>
      </c>
    </row>
    <row r="32" spans="1:11" x14ac:dyDescent="0.25">
      <c r="A32" s="4" t="s">
        <v>155</v>
      </c>
      <c r="B32" s="5" t="s">
        <v>118</v>
      </c>
      <c r="C32" s="4" t="s">
        <v>67</v>
      </c>
      <c r="D32" s="5" t="s">
        <v>156</v>
      </c>
      <c r="E32" s="7" t="s">
        <v>84</v>
      </c>
      <c r="F32" s="7" t="s">
        <v>83</v>
      </c>
      <c r="G32" s="7" t="s">
        <v>14</v>
      </c>
      <c r="H32" s="8">
        <v>0.9</v>
      </c>
      <c r="I32" s="9">
        <v>23000</v>
      </c>
      <c r="J32" s="9">
        <f t="shared" si="0"/>
        <v>20700</v>
      </c>
      <c r="K32" s="6" t="s">
        <v>15</v>
      </c>
    </row>
    <row r="33" spans="1:11" x14ac:dyDescent="0.25">
      <c r="A33" s="4" t="s">
        <v>155</v>
      </c>
      <c r="B33" s="5" t="s">
        <v>118</v>
      </c>
      <c r="C33" s="4" t="s">
        <v>67</v>
      </c>
      <c r="D33" s="5" t="s">
        <v>156</v>
      </c>
      <c r="E33" s="7" t="s">
        <v>37</v>
      </c>
      <c r="F33" s="7" t="s">
        <v>38</v>
      </c>
      <c r="G33" s="7" t="s">
        <v>14</v>
      </c>
      <c r="H33" s="8">
        <v>6</v>
      </c>
      <c r="I33" s="9">
        <v>27000</v>
      </c>
      <c r="J33" s="9">
        <f t="shared" si="0"/>
        <v>162000</v>
      </c>
      <c r="K33" s="6" t="s">
        <v>15</v>
      </c>
    </row>
    <row r="34" spans="1:11" ht="28.5" x14ac:dyDescent="0.25">
      <c r="A34" s="4" t="s">
        <v>155</v>
      </c>
      <c r="B34" s="5" t="s">
        <v>118</v>
      </c>
      <c r="C34" s="4" t="s">
        <v>67</v>
      </c>
      <c r="D34" s="5" t="s">
        <v>156</v>
      </c>
      <c r="E34" s="7" t="s">
        <v>39</v>
      </c>
      <c r="F34" s="7" t="s">
        <v>40</v>
      </c>
      <c r="G34" s="7" t="s">
        <v>14</v>
      </c>
      <c r="H34" s="8">
        <v>6</v>
      </c>
      <c r="I34" s="9">
        <v>145000</v>
      </c>
      <c r="J34" s="9">
        <f t="shared" si="0"/>
        <v>870000</v>
      </c>
      <c r="K34" s="6" t="s">
        <v>15</v>
      </c>
    </row>
    <row r="35" spans="1:11" x14ac:dyDescent="0.25">
      <c r="A35" s="4" t="s">
        <v>155</v>
      </c>
      <c r="B35" s="5" t="s">
        <v>118</v>
      </c>
      <c r="C35" s="4" t="s">
        <v>67</v>
      </c>
      <c r="D35" s="5" t="s">
        <v>156</v>
      </c>
      <c r="E35" s="7" t="s">
        <v>53</v>
      </c>
      <c r="F35" s="7" t="s">
        <v>54</v>
      </c>
      <c r="G35" s="7" t="s">
        <v>14</v>
      </c>
      <c r="H35" s="8">
        <v>2</v>
      </c>
      <c r="I35" s="9">
        <v>47000</v>
      </c>
      <c r="J35" s="9">
        <f t="shared" si="0"/>
        <v>94000</v>
      </c>
      <c r="K35" s="6" t="s">
        <v>15</v>
      </c>
    </row>
    <row r="36" spans="1:11" x14ac:dyDescent="0.25">
      <c r="A36" s="4" t="s">
        <v>155</v>
      </c>
      <c r="B36" s="5" t="s">
        <v>118</v>
      </c>
      <c r="C36" s="4" t="s">
        <v>67</v>
      </c>
      <c r="D36" s="5" t="s">
        <v>156</v>
      </c>
      <c r="E36" s="7" t="s">
        <v>80</v>
      </c>
      <c r="F36" s="7" t="s">
        <v>79</v>
      </c>
      <c r="G36" s="7" t="s">
        <v>14</v>
      </c>
      <c r="H36" s="8">
        <v>2</v>
      </c>
      <c r="I36" s="9">
        <v>90000</v>
      </c>
      <c r="J36" s="9">
        <f t="shared" si="0"/>
        <v>180000</v>
      </c>
      <c r="K36" s="6" t="s">
        <v>15</v>
      </c>
    </row>
    <row r="37" spans="1:11" x14ac:dyDescent="0.25">
      <c r="A37" s="4" t="s">
        <v>155</v>
      </c>
      <c r="B37" s="5" t="s">
        <v>118</v>
      </c>
      <c r="C37" s="4" t="s">
        <v>67</v>
      </c>
      <c r="D37" s="5" t="s">
        <v>156</v>
      </c>
      <c r="E37" s="7" t="s">
        <v>61</v>
      </c>
      <c r="F37" s="7" t="s">
        <v>62</v>
      </c>
      <c r="G37" s="7" t="s">
        <v>14</v>
      </c>
      <c r="H37" s="8">
        <v>1</v>
      </c>
      <c r="I37" s="9">
        <v>80000</v>
      </c>
      <c r="J37" s="9">
        <f t="shared" si="0"/>
        <v>80000</v>
      </c>
      <c r="K37" s="6" t="s">
        <v>15</v>
      </c>
    </row>
    <row r="38" spans="1:11" ht="28.5" x14ac:dyDescent="0.25">
      <c r="A38" s="4" t="s">
        <v>155</v>
      </c>
      <c r="B38" s="5" t="s">
        <v>118</v>
      </c>
      <c r="C38" s="4" t="s">
        <v>67</v>
      </c>
      <c r="D38" s="5" t="s">
        <v>156</v>
      </c>
      <c r="E38" s="7" t="s">
        <v>29</v>
      </c>
      <c r="F38" s="7" t="s">
        <v>30</v>
      </c>
      <c r="G38" s="7" t="s">
        <v>14</v>
      </c>
      <c r="H38" s="8">
        <v>8</v>
      </c>
      <c r="I38" s="9">
        <v>45000</v>
      </c>
      <c r="J38" s="9">
        <f t="shared" si="0"/>
        <v>360000</v>
      </c>
      <c r="K38" s="6" t="s">
        <v>15</v>
      </c>
    </row>
    <row r="39" spans="1:11" ht="28.5" x14ac:dyDescent="0.25">
      <c r="A39" s="4" t="s">
        <v>155</v>
      </c>
      <c r="B39" s="5" t="s">
        <v>118</v>
      </c>
      <c r="C39" s="4" t="s">
        <v>67</v>
      </c>
      <c r="D39" s="5" t="s">
        <v>156</v>
      </c>
      <c r="E39" s="7" t="s">
        <v>78</v>
      </c>
      <c r="F39" s="7" t="s">
        <v>77</v>
      </c>
      <c r="G39" s="7" t="s">
        <v>14</v>
      </c>
      <c r="H39" s="8">
        <v>1</v>
      </c>
      <c r="I39" s="9">
        <v>90000</v>
      </c>
      <c r="J39" s="9">
        <f t="shared" si="0"/>
        <v>90000</v>
      </c>
      <c r="K39" s="6" t="s">
        <v>15</v>
      </c>
    </row>
    <row r="40" spans="1:11" ht="28.5" x14ac:dyDescent="0.25">
      <c r="A40" s="4" t="s">
        <v>155</v>
      </c>
      <c r="B40" s="5" t="s">
        <v>118</v>
      </c>
      <c r="C40" s="4" t="s">
        <v>67</v>
      </c>
      <c r="D40" s="5" t="s">
        <v>156</v>
      </c>
      <c r="E40" s="7" t="s">
        <v>121</v>
      </c>
      <c r="F40" s="7" t="s">
        <v>122</v>
      </c>
      <c r="G40" s="7" t="s">
        <v>14</v>
      </c>
      <c r="H40" s="8">
        <v>0.4</v>
      </c>
      <c r="I40" s="9">
        <v>95000</v>
      </c>
      <c r="J40" s="9">
        <f t="shared" si="0"/>
        <v>38000</v>
      </c>
      <c r="K40" s="6" t="s">
        <v>15</v>
      </c>
    </row>
    <row r="41" spans="1:11" x14ac:dyDescent="0.25">
      <c r="A41" s="4" t="s">
        <v>155</v>
      </c>
      <c r="B41" s="5" t="s">
        <v>118</v>
      </c>
      <c r="C41" s="4" t="s">
        <v>67</v>
      </c>
      <c r="D41" s="5" t="s">
        <v>156</v>
      </c>
      <c r="E41" s="7" t="s">
        <v>63</v>
      </c>
      <c r="F41" s="7" t="s">
        <v>64</v>
      </c>
      <c r="G41" s="7" t="s">
        <v>14</v>
      </c>
      <c r="H41" s="8">
        <v>3</v>
      </c>
      <c r="I41" s="9">
        <v>45000</v>
      </c>
      <c r="J41" s="9">
        <f t="shared" si="0"/>
        <v>135000</v>
      </c>
      <c r="K41" s="6" t="s">
        <v>15</v>
      </c>
    </row>
    <row r="42" spans="1:11" x14ac:dyDescent="0.25">
      <c r="A42" s="4" t="s">
        <v>155</v>
      </c>
      <c r="B42" s="5" t="s">
        <v>118</v>
      </c>
      <c r="C42" s="4" t="s">
        <v>67</v>
      </c>
      <c r="D42" s="5" t="s">
        <v>156</v>
      </c>
      <c r="E42" s="7" t="s">
        <v>55</v>
      </c>
      <c r="F42" s="7" t="s">
        <v>56</v>
      </c>
      <c r="G42" s="7" t="s">
        <v>14</v>
      </c>
      <c r="H42" s="8">
        <v>0.2</v>
      </c>
      <c r="I42" s="9">
        <v>70000</v>
      </c>
      <c r="J42" s="9">
        <f t="shared" si="0"/>
        <v>14000</v>
      </c>
      <c r="K42" s="6" t="s">
        <v>15</v>
      </c>
    </row>
    <row r="43" spans="1:11" x14ac:dyDescent="0.25">
      <c r="A43" s="4" t="s">
        <v>155</v>
      </c>
      <c r="B43" s="5" t="s">
        <v>118</v>
      </c>
      <c r="C43" s="4" t="s">
        <v>67</v>
      </c>
      <c r="D43" s="5" t="s">
        <v>156</v>
      </c>
      <c r="E43" s="7" t="s">
        <v>41</v>
      </c>
      <c r="F43" s="7" t="s">
        <v>42</v>
      </c>
      <c r="G43" s="7" t="s">
        <v>14</v>
      </c>
      <c r="H43" s="8">
        <v>2.5</v>
      </c>
      <c r="I43" s="9">
        <v>145000</v>
      </c>
      <c r="J43" s="9">
        <f t="shared" si="0"/>
        <v>362500</v>
      </c>
      <c r="K43" s="6" t="s">
        <v>15</v>
      </c>
    </row>
    <row r="44" spans="1:11" x14ac:dyDescent="0.25">
      <c r="A44" s="4" t="s">
        <v>155</v>
      </c>
      <c r="B44" s="5" t="s">
        <v>118</v>
      </c>
      <c r="C44" s="4" t="s">
        <v>67</v>
      </c>
      <c r="D44" s="5" t="s">
        <v>156</v>
      </c>
      <c r="E44" s="7" t="s">
        <v>57</v>
      </c>
      <c r="F44" s="7" t="s">
        <v>58</v>
      </c>
      <c r="G44" s="7" t="s">
        <v>14</v>
      </c>
      <c r="H44" s="8">
        <v>0.5</v>
      </c>
      <c r="I44" s="9">
        <v>148000</v>
      </c>
      <c r="J44" s="9">
        <f t="shared" si="0"/>
        <v>74000</v>
      </c>
      <c r="K44" s="6" t="s">
        <v>15</v>
      </c>
    </row>
    <row r="45" spans="1:11" x14ac:dyDescent="0.25">
      <c r="A45" s="4" t="s">
        <v>155</v>
      </c>
      <c r="B45" s="5" t="s">
        <v>118</v>
      </c>
      <c r="C45" s="4" t="s">
        <v>67</v>
      </c>
      <c r="D45" s="5" t="s">
        <v>156</v>
      </c>
      <c r="E45" s="7" t="s">
        <v>43</v>
      </c>
      <c r="F45" s="7" t="s">
        <v>44</v>
      </c>
      <c r="G45" s="7" t="s">
        <v>14</v>
      </c>
      <c r="H45" s="8">
        <v>0.1</v>
      </c>
      <c r="I45" s="9">
        <v>22000</v>
      </c>
      <c r="J45" s="9">
        <f t="shared" si="0"/>
        <v>2200</v>
      </c>
      <c r="K45" s="6" t="s">
        <v>15</v>
      </c>
    </row>
    <row r="46" spans="1:11" x14ac:dyDescent="0.25">
      <c r="A46" s="4" t="s">
        <v>155</v>
      </c>
      <c r="B46" s="5" t="s">
        <v>118</v>
      </c>
      <c r="C46" s="4" t="s">
        <v>67</v>
      </c>
      <c r="D46" s="5" t="s">
        <v>156</v>
      </c>
      <c r="E46" s="7" t="s">
        <v>157</v>
      </c>
      <c r="F46" s="7" t="s">
        <v>158</v>
      </c>
      <c r="G46" s="7" t="s">
        <v>14</v>
      </c>
      <c r="H46" s="8">
        <v>0.5</v>
      </c>
      <c r="I46" s="9">
        <v>36000</v>
      </c>
      <c r="J46" s="9">
        <f t="shared" si="0"/>
        <v>18000</v>
      </c>
      <c r="K46" s="6" t="s">
        <v>15</v>
      </c>
    </row>
    <row r="47" spans="1:11" x14ac:dyDescent="0.25">
      <c r="A47" s="4" t="s">
        <v>155</v>
      </c>
      <c r="B47" s="5" t="s">
        <v>118</v>
      </c>
      <c r="C47" s="4" t="s">
        <v>67</v>
      </c>
      <c r="D47" s="5" t="s">
        <v>156</v>
      </c>
      <c r="E47" s="7" t="s">
        <v>45</v>
      </c>
      <c r="F47" s="7" t="s">
        <v>46</v>
      </c>
      <c r="G47" s="7" t="s">
        <v>14</v>
      </c>
      <c r="H47" s="8">
        <v>1</v>
      </c>
      <c r="I47" s="9">
        <v>12000</v>
      </c>
      <c r="J47" s="9">
        <f t="shared" si="0"/>
        <v>12000</v>
      </c>
      <c r="K47" s="6" t="s">
        <v>15</v>
      </c>
    </row>
    <row r="48" spans="1:11" x14ac:dyDescent="0.25">
      <c r="A48" s="4" t="s">
        <v>155</v>
      </c>
      <c r="B48" s="5" t="s">
        <v>118</v>
      </c>
      <c r="C48" s="4" t="s">
        <v>67</v>
      </c>
      <c r="D48" s="5" t="s">
        <v>156</v>
      </c>
      <c r="E48" s="7" t="s">
        <v>47</v>
      </c>
      <c r="F48" s="7" t="s">
        <v>48</v>
      </c>
      <c r="G48" s="7" t="s">
        <v>14</v>
      </c>
      <c r="H48" s="8">
        <v>3</v>
      </c>
      <c r="I48" s="9">
        <v>21000</v>
      </c>
      <c r="J48" s="9">
        <f t="shared" si="0"/>
        <v>63000</v>
      </c>
      <c r="K48" s="6" t="s">
        <v>15</v>
      </c>
    </row>
    <row r="49" spans="1:11" x14ac:dyDescent="0.25">
      <c r="A49" s="4" t="s">
        <v>155</v>
      </c>
      <c r="B49" s="5" t="s">
        <v>118</v>
      </c>
      <c r="C49" s="4" t="s">
        <v>67</v>
      </c>
      <c r="D49" s="5" t="s">
        <v>156</v>
      </c>
      <c r="E49" s="7" t="s">
        <v>74</v>
      </c>
      <c r="F49" s="7" t="s">
        <v>73</v>
      </c>
      <c r="G49" s="7" t="s">
        <v>14</v>
      </c>
      <c r="H49" s="8">
        <v>0.1</v>
      </c>
      <c r="I49" s="9">
        <v>42000</v>
      </c>
      <c r="J49" s="9">
        <f t="shared" si="0"/>
        <v>4200</v>
      </c>
      <c r="K49" s="6" t="s">
        <v>15</v>
      </c>
    </row>
    <row r="50" spans="1:11" x14ac:dyDescent="0.25">
      <c r="A50" s="4" t="s">
        <v>155</v>
      </c>
      <c r="B50" s="5" t="s">
        <v>118</v>
      </c>
      <c r="C50" s="4" t="s">
        <v>67</v>
      </c>
      <c r="D50" s="5" t="s">
        <v>156</v>
      </c>
      <c r="E50" s="7" t="s">
        <v>27</v>
      </c>
      <c r="F50" s="7" t="s">
        <v>28</v>
      </c>
      <c r="G50" s="7" t="s">
        <v>14</v>
      </c>
      <c r="H50" s="8">
        <v>3</v>
      </c>
      <c r="I50" s="9">
        <v>50000</v>
      </c>
      <c r="J50" s="9">
        <f t="shared" si="0"/>
        <v>150000</v>
      </c>
      <c r="K50" s="6" t="s">
        <v>15</v>
      </c>
    </row>
    <row r="51" spans="1:11" x14ac:dyDescent="0.25">
      <c r="A51" s="4" t="s">
        <v>155</v>
      </c>
      <c r="B51" s="5" t="s">
        <v>118</v>
      </c>
      <c r="C51" s="4" t="s">
        <v>67</v>
      </c>
      <c r="D51" s="5" t="s">
        <v>156</v>
      </c>
      <c r="E51" s="7" t="s">
        <v>72</v>
      </c>
      <c r="F51" s="7" t="s">
        <v>71</v>
      </c>
      <c r="G51" s="7" t="s">
        <v>70</v>
      </c>
      <c r="H51" s="8">
        <v>50</v>
      </c>
      <c r="I51" s="9">
        <v>5000</v>
      </c>
      <c r="J51" s="9">
        <f t="shared" si="0"/>
        <v>250000</v>
      </c>
      <c r="K51" s="6" t="s">
        <v>15</v>
      </c>
    </row>
    <row r="52" spans="1:11" x14ac:dyDescent="0.25">
      <c r="A52" s="4" t="s">
        <v>155</v>
      </c>
      <c r="B52" s="5" t="s">
        <v>118</v>
      </c>
      <c r="C52" s="4" t="s">
        <v>67</v>
      </c>
      <c r="D52" s="5" t="s">
        <v>156</v>
      </c>
      <c r="E52" s="7" t="s">
        <v>66</v>
      </c>
      <c r="F52" s="7" t="s">
        <v>65</v>
      </c>
      <c r="G52" s="7" t="s">
        <v>14</v>
      </c>
      <c r="H52" s="8">
        <v>6</v>
      </c>
      <c r="I52" s="9">
        <v>62000</v>
      </c>
      <c r="J52" s="9">
        <f t="shared" si="0"/>
        <v>372000</v>
      </c>
      <c r="K52" s="6" t="s">
        <v>15</v>
      </c>
    </row>
    <row r="53" spans="1:11" x14ac:dyDescent="0.25">
      <c r="A53" s="4" t="s">
        <v>155</v>
      </c>
      <c r="B53" s="5" t="s">
        <v>118</v>
      </c>
      <c r="C53" s="4" t="s">
        <v>67</v>
      </c>
      <c r="D53" s="5" t="s">
        <v>159</v>
      </c>
      <c r="E53" s="7" t="s">
        <v>12</v>
      </c>
      <c r="F53" s="7" t="s">
        <v>13</v>
      </c>
      <c r="G53" s="7" t="s">
        <v>14</v>
      </c>
      <c r="H53" s="8">
        <v>10.3</v>
      </c>
      <c r="I53" s="9">
        <v>19000</v>
      </c>
      <c r="J53" s="9">
        <f t="shared" si="0"/>
        <v>195700</v>
      </c>
      <c r="K53" s="6" t="s">
        <v>15</v>
      </c>
    </row>
    <row r="54" spans="1:11" x14ac:dyDescent="0.25">
      <c r="A54" s="4" t="s">
        <v>155</v>
      </c>
      <c r="B54" s="5" t="s">
        <v>118</v>
      </c>
      <c r="C54" s="4" t="s">
        <v>67</v>
      </c>
      <c r="D54" s="5" t="s">
        <v>159</v>
      </c>
      <c r="E54" s="7" t="s">
        <v>59</v>
      </c>
      <c r="F54" s="7" t="s">
        <v>60</v>
      </c>
      <c r="G54" s="7" t="s">
        <v>14</v>
      </c>
      <c r="H54" s="8">
        <v>5</v>
      </c>
      <c r="I54" s="9">
        <v>30000</v>
      </c>
      <c r="J54" s="9">
        <f t="shared" si="0"/>
        <v>150000</v>
      </c>
      <c r="K54" s="6" t="s">
        <v>15</v>
      </c>
    </row>
    <row r="55" spans="1:11" ht="42.75" x14ac:dyDescent="0.25">
      <c r="A55" s="4" t="s">
        <v>155</v>
      </c>
      <c r="B55" s="5" t="s">
        <v>118</v>
      </c>
      <c r="C55" s="4" t="s">
        <v>67</v>
      </c>
      <c r="D55" s="5" t="s">
        <v>159</v>
      </c>
      <c r="E55" s="7" t="s">
        <v>99</v>
      </c>
      <c r="F55" s="7" t="s">
        <v>98</v>
      </c>
      <c r="G55" s="7" t="s">
        <v>14</v>
      </c>
      <c r="H55" s="8">
        <v>1</v>
      </c>
      <c r="I55" s="9">
        <v>30000</v>
      </c>
      <c r="J55" s="9">
        <f t="shared" si="0"/>
        <v>30000</v>
      </c>
      <c r="K55" s="6" t="s">
        <v>15</v>
      </c>
    </row>
    <row r="56" spans="1:11" x14ac:dyDescent="0.25">
      <c r="A56" s="4" t="s">
        <v>155</v>
      </c>
      <c r="B56" s="5" t="s">
        <v>118</v>
      </c>
      <c r="C56" s="4" t="s">
        <v>67</v>
      </c>
      <c r="D56" s="5" t="s">
        <v>159</v>
      </c>
      <c r="E56" s="7" t="s">
        <v>35</v>
      </c>
      <c r="F56" s="7" t="s">
        <v>36</v>
      </c>
      <c r="G56" s="7" t="s">
        <v>14</v>
      </c>
      <c r="H56" s="8">
        <v>2</v>
      </c>
      <c r="I56" s="9">
        <v>38000</v>
      </c>
      <c r="J56" s="9">
        <f t="shared" si="0"/>
        <v>76000</v>
      </c>
      <c r="K56" s="6" t="s">
        <v>15</v>
      </c>
    </row>
    <row r="57" spans="1:11" x14ac:dyDescent="0.25">
      <c r="A57" s="4" t="s">
        <v>155</v>
      </c>
      <c r="B57" s="5" t="s">
        <v>118</v>
      </c>
      <c r="C57" s="4" t="s">
        <v>67</v>
      </c>
      <c r="D57" s="5" t="s">
        <v>159</v>
      </c>
      <c r="E57" s="7" t="s">
        <v>31</v>
      </c>
      <c r="F57" s="7" t="s">
        <v>32</v>
      </c>
      <c r="G57" s="7" t="s">
        <v>14</v>
      </c>
      <c r="H57" s="8">
        <v>0.27</v>
      </c>
      <c r="I57" s="9">
        <v>80000</v>
      </c>
      <c r="J57" s="9">
        <f t="shared" si="0"/>
        <v>21600</v>
      </c>
      <c r="K57" s="6" t="s">
        <v>15</v>
      </c>
    </row>
    <row r="58" spans="1:11" x14ac:dyDescent="0.25">
      <c r="A58" s="4" t="s">
        <v>155</v>
      </c>
      <c r="B58" s="5" t="s">
        <v>118</v>
      </c>
      <c r="C58" s="4" t="s">
        <v>67</v>
      </c>
      <c r="D58" s="5" t="s">
        <v>159</v>
      </c>
      <c r="E58" s="7" t="s">
        <v>84</v>
      </c>
      <c r="F58" s="7" t="s">
        <v>83</v>
      </c>
      <c r="G58" s="7" t="s">
        <v>14</v>
      </c>
      <c r="H58" s="8">
        <v>1</v>
      </c>
      <c r="I58" s="9">
        <v>23000</v>
      </c>
      <c r="J58" s="9">
        <f t="shared" si="0"/>
        <v>23000</v>
      </c>
      <c r="K58" s="6" t="s">
        <v>15</v>
      </c>
    </row>
    <row r="59" spans="1:11" x14ac:dyDescent="0.25">
      <c r="A59" s="4" t="s">
        <v>155</v>
      </c>
      <c r="B59" s="5" t="s">
        <v>118</v>
      </c>
      <c r="C59" s="4" t="s">
        <v>67</v>
      </c>
      <c r="D59" s="5" t="s">
        <v>159</v>
      </c>
      <c r="E59" s="7" t="s">
        <v>61</v>
      </c>
      <c r="F59" s="7" t="s">
        <v>62</v>
      </c>
      <c r="G59" s="7" t="s">
        <v>14</v>
      </c>
      <c r="H59" s="8">
        <v>1</v>
      </c>
      <c r="I59" s="9">
        <v>80000</v>
      </c>
      <c r="J59" s="9">
        <f t="shared" si="0"/>
        <v>80000</v>
      </c>
      <c r="K59" s="6" t="s">
        <v>15</v>
      </c>
    </row>
    <row r="60" spans="1:11" x14ac:dyDescent="0.25">
      <c r="A60" s="4" t="s">
        <v>155</v>
      </c>
      <c r="B60" s="5" t="s">
        <v>118</v>
      </c>
      <c r="C60" s="4" t="s">
        <v>67</v>
      </c>
      <c r="D60" s="5" t="s">
        <v>159</v>
      </c>
      <c r="E60" s="7" t="s">
        <v>47</v>
      </c>
      <c r="F60" s="7" t="s">
        <v>48</v>
      </c>
      <c r="G60" s="7" t="s">
        <v>14</v>
      </c>
      <c r="H60" s="8">
        <v>0.5</v>
      </c>
      <c r="I60" s="9">
        <v>21000</v>
      </c>
      <c r="J60" s="9">
        <f t="shared" si="0"/>
        <v>10500</v>
      </c>
      <c r="K60" s="6" t="s">
        <v>15</v>
      </c>
    </row>
    <row r="61" spans="1:11" x14ac:dyDescent="0.25">
      <c r="A61" s="4" t="s">
        <v>155</v>
      </c>
      <c r="B61" s="5" t="s">
        <v>118</v>
      </c>
      <c r="C61" s="4" t="s">
        <v>67</v>
      </c>
      <c r="D61" s="5" t="s">
        <v>159</v>
      </c>
      <c r="E61" s="7" t="s">
        <v>69</v>
      </c>
      <c r="F61" s="7" t="s">
        <v>68</v>
      </c>
      <c r="G61" s="7" t="s">
        <v>14</v>
      </c>
      <c r="H61" s="8">
        <v>0.2</v>
      </c>
      <c r="I61" s="9">
        <v>220000</v>
      </c>
      <c r="J61" s="9">
        <f t="shared" si="0"/>
        <v>44000</v>
      </c>
      <c r="K61" s="6" t="s">
        <v>15</v>
      </c>
    </row>
    <row r="62" spans="1:11" x14ac:dyDescent="0.25">
      <c r="A62" s="4" t="s">
        <v>160</v>
      </c>
      <c r="B62" s="5" t="s">
        <v>118</v>
      </c>
      <c r="C62" s="4" t="s">
        <v>67</v>
      </c>
      <c r="D62" s="5" t="s">
        <v>161</v>
      </c>
      <c r="E62" s="7" t="s">
        <v>103</v>
      </c>
      <c r="F62" s="7" t="s">
        <v>102</v>
      </c>
      <c r="G62" s="7" t="s">
        <v>14</v>
      </c>
      <c r="H62" s="8">
        <v>3.5</v>
      </c>
      <c r="I62" s="9">
        <v>15000</v>
      </c>
      <c r="J62" s="9">
        <f t="shared" si="0"/>
        <v>52500</v>
      </c>
      <c r="K62" s="6" t="s">
        <v>15</v>
      </c>
    </row>
    <row r="63" spans="1:11" ht="28.5" x14ac:dyDescent="0.25">
      <c r="A63" s="4" t="s">
        <v>160</v>
      </c>
      <c r="B63" s="5" t="s">
        <v>118</v>
      </c>
      <c r="C63" s="4" t="s">
        <v>67</v>
      </c>
      <c r="D63" s="5" t="s">
        <v>161</v>
      </c>
      <c r="E63" s="7" t="s">
        <v>16</v>
      </c>
      <c r="F63" s="7" t="s">
        <v>17</v>
      </c>
      <c r="G63" s="7" t="s">
        <v>18</v>
      </c>
      <c r="H63" s="8">
        <v>30</v>
      </c>
      <c r="I63" s="9">
        <v>8500</v>
      </c>
      <c r="J63" s="9">
        <f t="shared" si="0"/>
        <v>255000</v>
      </c>
      <c r="K63" s="6" t="s">
        <v>15</v>
      </c>
    </row>
    <row r="64" spans="1:11" x14ac:dyDescent="0.25">
      <c r="A64" s="4" t="s">
        <v>160</v>
      </c>
      <c r="B64" s="5" t="s">
        <v>118</v>
      </c>
      <c r="C64" s="4" t="s">
        <v>67</v>
      </c>
      <c r="D64" s="5" t="s">
        <v>161</v>
      </c>
      <c r="E64" s="7" t="s">
        <v>59</v>
      </c>
      <c r="F64" s="7" t="s">
        <v>60</v>
      </c>
      <c r="G64" s="7" t="s">
        <v>14</v>
      </c>
      <c r="H64" s="8">
        <v>5.2</v>
      </c>
      <c r="I64" s="9">
        <v>30000</v>
      </c>
      <c r="J64" s="9">
        <f t="shared" si="0"/>
        <v>156000</v>
      </c>
      <c r="K64" s="6" t="s">
        <v>15</v>
      </c>
    </row>
    <row r="65" spans="1:11" x14ac:dyDescent="0.25">
      <c r="A65" s="4" t="s">
        <v>160</v>
      </c>
      <c r="B65" s="5" t="s">
        <v>118</v>
      </c>
      <c r="C65" s="4" t="s">
        <v>67</v>
      </c>
      <c r="D65" s="5" t="s">
        <v>161</v>
      </c>
      <c r="E65" s="7" t="s">
        <v>101</v>
      </c>
      <c r="F65" s="7" t="s">
        <v>100</v>
      </c>
      <c r="G65" s="7" t="s">
        <v>14</v>
      </c>
      <c r="H65" s="8">
        <v>15.5</v>
      </c>
      <c r="I65" s="9">
        <v>40000</v>
      </c>
      <c r="J65" s="9">
        <f t="shared" si="0"/>
        <v>620000</v>
      </c>
      <c r="K65" s="6" t="s">
        <v>15</v>
      </c>
    </row>
    <row r="66" spans="1:11" x14ac:dyDescent="0.25">
      <c r="A66" s="4" t="s">
        <v>160</v>
      </c>
      <c r="B66" s="5" t="s">
        <v>118</v>
      </c>
      <c r="C66" s="4" t="s">
        <v>67</v>
      </c>
      <c r="D66" s="5" t="s">
        <v>161</v>
      </c>
      <c r="E66" s="7" t="s">
        <v>119</v>
      </c>
      <c r="F66" s="7" t="s">
        <v>120</v>
      </c>
      <c r="G66" s="7" t="s">
        <v>14</v>
      </c>
      <c r="H66" s="8">
        <v>7</v>
      </c>
      <c r="I66" s="9">
        <v>52000</v>
      </c>
      <c r="J66" s="9">
        <f t="shared" si="0"/>
        <v>364000</v>
      </c>
      <c r="K66" s="6" t="s">
        <v>15</v>
      </c>
    </row>
    <row r="67" spans="1:11" x14ac:dyDescent="0.25">
      <c r="A67" s="4" t="s">
        <v>160</v>
      </c>
      <c r="B67" s="5" t="s">
        <v>118</v>
      </c>
      <c r="C67" s="4" t="s">
        <v>67</v>
      </c>
      <c r="D67" s="5" t="s">
        <v>161</v>
      </c>
      <c r="E67" s="7" t="s">
        <v>109</v>
      </c>
      <c r="F67" s="7" t="s">
        <v>108</v>
      </c>
      <c r="G67" s="7" t="s">
        <v>14</v>
      </c>
      <c r="H67" s="8">
        <v>0.5</v>
      </c>
      <c r="I67" s="9">
        <v>75000</v>
      </c>
      <c r="J67" s="9">
        <f t="shared" si="0"/>
        <v>37500</v>
      </c>
      <c r="K67" s="6" t="s">
        <v>15</v>
      </c>
    </row>
    <row r="68" spans="1:11" ht="42.75" x14ac:dyDescent="0.25">
      <c r="A68" s="4" t="s">
        <v>160</v>
      </c>
      <c r="B68" s="5" t="s">
        <v>118</v>
      </c>
      <c r="C68" s="4" t="s">
        <v>67</v>
      </c>
      <c r="D68" s="5" t="s">
        <v>161</v>
      </c>
      <c r="E68" s="7" t="s">
        <v>99</v>
      </c>
      <c r="F68" s="7" t="s">
        <v>98</v>
      </c>
      <c r="G68" s="7" t="s">
        <v>14</v>
      </c>
      <c r="H68" s="8">
        <v>3.5</v>
      </c>
      <c r="I68" s="9">
        <v>30000</v>
      </c>
      <c r="J68" s="9">
        <f t="shared" si="0"/>
        <v>105000</v>
      </c>
      <c r="K68" s="6" t="s">
        <v>15</v>
      </c>
    </row>
    <row r="69" spans="1:11" x14ac:dyDescent="0.25">
      <c r="A69" s="4" t="s">
        <v>160</v>
      </c>
      <c r="B69" s="5" t="s">
        <v>118</v>
      </c>
      <c r="C69" s="4" t="s">
        <v>67</v>
      </c>
      <c r="D69" s="5" t="s">
        <v>161</v>
      </c>
      <c r="E69" s="7" t="s">
        <v>97</v>
      </c>
      <c r="F69" s="7" t="s">
        <v>96</v>
      </c>
      <c r="G69" s="7" t="s">
        <v>14</v>
      </c>
      <c r="H69" s="8">
        <v>0.78</v>
      </c>
      <c r="I69" s="9">
        <v>75000</v>
      </c>
      <c r="J69" s="9">
        <f t="shared" si="0"/>
        <v>58500</v>
      </c>
      <c r="K69" s="6" t="s">
        <v>15</v>
      </c>
    </row>
    <row r="70" spans="1:11" x14ac:dyDescent="0.25">
      <c r="A70" s="4" t="s">
        <v>160</v>
      </c>
      <c r="B70" s="5" t="s">
        <v>118</v>
      </c>
      <c r="C70" s="4" t="s">
        <v>67</v>
      </c>
      <c r="D70" s="5" t="s">
        <v>161</v>
      </c>
      <c r="E70" s="7" t="s">
        <v>95</v>
      </c>
      <c r="F70" s="7" t="s">
        <v>94</v>
      </c>
      <c r="G70" s="7" t="s">
        <v>14</v>
      </c>
      <c r="H70" s="8">
        <v>1.76</v>
      </c>
      <c r="I70" s="9">
        <v>44000</v>
      </c>
      <c r="J70" s="9">
        <f t="shared" si="0"/>
        <v>77440</v>
      </c>
      <c r="K70" s="6" t="s">
        <v>15</v>
      </c>
    </row>
    <row r="71" spans="1:11" x14ac:dyDescent="0.25">
      <c r="A71" s="4" t="s">
        <v>160</v>
      </c>
      <c r="B71" s="5" t="s">
        <v>118</v>
      </c>
      <c r="C71" s="4" t="s">
        <v>67</v>
      </c>
      <c r="D71" s="5" t="s">
        <v>161</v>
      </c>
      <c r="E71" s="7" t="s">
        <v>33</v>
      </c>
      <c r="F71" s="7" t="s">
        <v>34</v>
      </c>
      <c r="G71" s="7" t="s">
        <v>14</v>
      </c>
      <c r="H71" s="8">
        <v>3</v>
      </c>
      <c r="I71" s="9">
        <v>22000</v>
      </c>
      <c r="J71" s="9">
        <f t="shared" si="0"/>
        <v>66000</v>
      </c>
      <c r="K71" s="6" t="s">
        <v>15</v>
      </c>
    </row>
    <row r="72" spans="1:11" x14ac:dyDescent="0.25">
      <c r="A72" s="4" t="s">
        <v>160</v>
      </c>
      <c r="B72" s="5" t="s">
        <v>118</v>
      </c>
      <c r="C72" s="4" t="s">
        <v>67</v>
      </c>
      <c r="D72" s="5" t="s">
        <v>161</v>
      </c>
      <c r="E72" s="7" t="s">
        <v>35</v>
      </c>
      <c r="F72" s="7" t="s">
        <v>36</v>
      </c>
      <c r="G72" s="7" t="s">
        <v>14</v>
      </c>
      <c r="H72" s="8">
        <v>2.2999999999999998</v>
      </c>
      <c r="I72" s="9">
        <v>38000</v>
      </c>
      <c r="J72" s="9">
        <f t="shared" si="0"/>
        <v>87400</v>
      </c>
      <c r="K72" s="6" t="s">
        <v>15</v>
      </c>
    </row>
    <row r="73" spans="1:11" x14ac:dyDescent="0.25">
      <c r="A73" s="4" t="s">
        <v>160</v>
      </c>
      <c r="B73" s="5" t="s">
        <v>118</v>
      </c>
      <c r="C73" s="4" t="s">
        <v>67</v>
      </c>
      <c r="D73" s="5" t="s">
        <v>161</v>
      </c>
      <c r="E73" s="7" t="s">
        <v>113</v>
      </c>
      <c r="F73" s="7" t="s">
        <v>112</v>
      </c>
      <c r="G73" s="7" t="s">
        <v>14</v>
      </c>
      <c r="H73" s="8">
        <v>0.1</v>
      </c>
      <c r="I73" s="9">
        <v>25000</v>
      </c>
      <c r="J73" s="9">
        <f t="shared" si="0"/>
        <v>2500</v>
      </c>
      <c r="K73" s="6" t="s">
        <v>15</v>
      </c>
    </row>
    <row r="74" spans="1:11" x14ac:dyDescent="0.25">
      <c r="A74" s="4" t="s">
        <v>160</v>
      </c>
      <c r="B74" s="5" t="s">
        <v>118</v>
      </c>
      <c r="C74" s="4" t="s">
        <v>67</v>
      </c>
      <c r="D74" s="5" t="s">
        <v>161</v>
      </c>
      <c r="E74" s="7" t="s">
        <v>91</v>
      </c>
      <c r="F74" s="7" t="s">
        <v>90</v>
      </c>
      <c r="G74" s="7" t="s">
        <v>14</v>
      </c>
      <c r="H74" s="8">
        <v>3.8</v>
      </c>
      <c r="I74" s="9">
        <v>47000</v>
      </c>
      <c r="J74" s="9">
        <f t="shared" si="0"/>
        <v>178600</v>
      </c>
      <c r="K74" s="6" t="s">
        <v>15</v>
      </c>
    </row>
    <row r="75" spans="1:11" x14ac:dyDescent="0.25">
      <c r="A75" s="4" t="s">
        <v>160</v>
      </c>
      <c r="B75" s="5" t="s">
        <v>118</v>
      </c>
      <c r="C75" s="4" t="s">
        <v>67</v>
      </c>
      <c r="D75" s="5" t="s">
        <v>161</v>
      </c>
      <c r="E75" s="7" t="s">
        <v>19</v>
      </c>
      <c r="F75" s="7" t="s">
        <v>20</v>
      </c>
      <c r="G75" s="7" t="s">
        <v>14</v>
      </c>
      <c r="H75" s="8">
        <v>3.5</v>
      </c>
      <c r="I75" s="9">
        <v>32000</v>
      </c>
      <c r="J75" s="9">
        <f t="shared" si="0"/>
        <v>112000</v>
      </c>
      <c r="K75" s="6" t="s">
        <v>15</v>
      </c>
    </row>
    <row r="76" spans="1:11" ht="28.5" x14ac:dyDescent="0.25">
      <c r="A76" s="4" t="s">
        <v>160</v>
      </c>
      <c r="B76" s="5" t="s">
        <v>118</v>
      </c>
      <c r="C76" s="4" t="s">
        <v>67</v>
      </c>
      <c r="D76" s="5" t="s">
        <v>161</v>
      </c>
      <c r="E76" s="7" t="s">
        <v>89</v>
      </c>
      <c r="F76" s="7" t="s">
        <v>88</v>
      </c>
      <c r="G76" s="7" t="s">
        <v>87</v>
      </c>
      <c r="H76" s="8">
        <v>6</v>
      </c>
      <c r="I76" s="9">
        <v>15000</v>
      </c>
      <c r="J76" s="9">
        <f t="shared" si="0"/>
        <v>90000</v>
      </c>
      <c r="K76" s="6" t="s">
        <v>15</v>
      </c>
    </row>
    <row r="77" spans="1:11" x14ac:dyDescent="0.25">
      <c r="A77" s="4" t="s">
        <v>160</v>
      </c>
      <c r="B77" s="5" t="s">
        <v>118</v>
      </c>
      <c r="C77" s="4" t="s">
        <v>67</v>
      </c>
      <c r="D77" s="5" t="s">
        <v>161</v>
      </c>
      <c r="E77" s="7" t="s">
        <v>51</v>
      </c>
      <c r="F77" s="7" t="s">
        <v>52</v>
      </c>
      <c r="G77" s="7" t="s">
        <v>14</v>
      </c>
      <c r="H77" s="8">
        <v>52</v>
      </c>
      <c r="I77" s="9">
        <v>18000</v>
      </c>
      <c r="J77" s="9">
        <f t="shared" si="0"/>
        <v>936000</v>
      </c>
      <c r="K77" s="6" t="s">
        <v>15</v>
      </c>
    </row>
    <row r="78" spans="1:11" x14ac:dyDescent="0.25">
      <c r="A78" s="4" t="s">
        <v>160</v>
      </c>
      <c r="B78" s="5" t="s">
        <v>118</v>
      </c>
      <c r="C78" s="4" t="s">
        <v>67</v>
      </c>
      <c r="D78" s="5" t="s">
        <v>161</v>
      </c>
      <c r="E78" s="7" t="s">
        <v>21</v>
      </c>
      <c r="F78" s="7" t="s">
        <v>22</v>
      </c>
      <c r="G78" s="7" t="s">
        <v>14</v>
      </c>
      <c r="H78" s="8">
        <v>3.6</v>
      </c>
      <c r="I78" s="9">
        <v>55000</v>
      </c>
      <c r="J78" s="9">
        <f t="shared" si="0"/>
        <v>198000</v>
      </c>
      <c r="K78" s="6" t="s">
        <v>15</v>
      </c>
    </row>
    <row r="79" spans="1:11" x14ac:dyDescent="0.25">
      <c r="A79" s="4" t="s">
        <v>160</v>
      </c>
      <c r="B79" s="5" t="s">
        <v>118</v>
      </c>
      <c r="C79" s="4" t="s">
        <v>67</v>
      </c>
      <c r="D79" s="5" t="s">
        <v>161</v>
      </c>
      <c r="E79" s="7" t="s">
        <v>23</v>
      </c>
      <c r="F79" s="7" t="s">
        <v>24</v>
      </c>
      <c r="G79" s="7" t="s">
        <v>14</v>
      </c>
      <c r="H79" s="8">
        <v>0.7</v>
      </c>
      <c r="I79" s="9">
        <v>13000</v>
      </c>
      <c r="J79" s="9">
        <f t="shared" si="0"/>
        <v>9100</v>
      </c>
      <c r="K79" s="6" t="s">
        <v>15</v>
      </c>
    </row>
    <row r="80" spans="1:11" x14ac:dyDescent="0.25">
      <c r="A80" s="4" t="s">
        <v>160</v>
      </c>
      <c r="B80" s="5" t="s">
        <v>118</v>
      </c>
      <c r="C80" s="4" t="s">
        <v>67</v>
      </c>
      <c r="D80" s="5" t="s">
        <v>161</v>
      </c>
      <c r="E80" s="7" t="s">
        <v>31</v>
      </c>
      <c r="F80" s="7" t="s">
        <v>32</v>
      </c>
      <c r="G80" s="7" t="s">
        <v>14</v>
      </c>
      <c r="H80" s="8">
        <v>0.3</v>
      </c>
      <c r="I80" s="9">
        <v>80000</v>
      </c>
      <c r="J80" s="9">
        <f t="shared" ref="J80:J143" si="1">H80*I80</f>
        <v>24000</v>
      </c>
      <c r="K80" s="6" t="s">
        <v>15</v>
      </c>
    </row>
    <row r="81" spans="1:11" x14ac:dyDescent="0.25">
      <c r="A81" s="4" t="s">
        <v>160</v>
      </c>
      <c r="B81" s="5" t="s">
        <v>118</v>
      </c>
      <c r="C81" s="4" t="s">
        <v>67</v>
      </c>
      <c r="D81" s="5" t="s">
        <v>161</v>
      </c>
      <c r="E81" s="7" t="s">
        <v>84</v>
      </c>
      <c r="F81" s="7" t="s">
        <v>83</v>
      </c>
      <c r="G81" s="7" t="s">
        <v>14</v>
      </c>
      <c r="H81" s="8">
        <v>1</v>
      </c>
      <c r="I81" s="9">
        <v>23000</v>
      </c>
      <c r="J81" s="9">
        <f t="shared" si="1"/>
        <v>23000</v>
      </c>
      <c r="K81" s="6" t="s">
        <v>15</v>
      </c>
    </row>
    <row r="82" spans="1:11" x14ac:dyDescent="0.25">
      <c r="A82" s="4" t="s">
        <v>160</v>
      </c>
      <c r="B82" s="5" t="s">
        <v>118</v>
      </c>
      <c r="C82" s="4" t="s">
        <v>67</v>
      </c>
      <c r="D82" s="5" t="s">
        <v>161</v>
      </c>
      <c r="E82" s="7" t="s">
        <v>37</v>
      </c>
      <c r="F82" s="7" t="s">
        <v>38</v>
      </c>
      <c r="G82" s="7" t="s">
        <v>14</v>
      </c>
      <c r="H82" s="8">
        <v>6</v>
      </c>
      <c r="I82" s="9">
        <v>27000</v>
      </c>
      <c r="J82" s="9">
        <f t="shared" si="1"/>
        <v>162000</v>
      </c>
      <c r="K82" s="6" t="s">
        <v>15</v>
      </c>
    </row>
    <row r="83" spans="1:11" ht="28.5" x14ac:dyDescent="0.25">
      <c r="A83" s="4" t="s">
        <v>160</v>
      </c>
      <c r="B83" s="5" t="s">
        <v>118</v>
      </c>
      <c r="C83" s="4" t="s">
        <v>67</v>
      </c>
      <c r="D83" s="5" t="s">
        <v>161</v>
      </c>
      <c r="E83" s="7" t="s">
        <v>39</v>
      </c>
      <c r="F83" s="7" t="s">
        <v>40</v>
      </c>
      <c r="G83" s="7" t="s">
        <v>14</v>
      </c>
      <c r="H83" s="8">
        <v>4.5</v>
      </c>
      <c r="I83" s="9">
        <v>145000</v>
      </c>
      <c r="J83" s="9">
        <f t="shared" si="1"/>
        <v>652500</v>
      </c>
      <c r="K83" s="6" t="s">
        <v>15</v>
      </c>
    </row>
    <row r="84" spans="1:11" x14ac:dyDescent="0.25">
      <c r="A84" s="4" t="s">
        <v>160</v>
      </c>
      <c r="B84" s="5" t="s">
        <v>118</v>
      </c>
      <c r="C84" s="4" t="s">
        <v>67</v>
      </c>
      <c r="D84" s="5" t="s">
        <v>161</v>
      </c>
      <c r="E84" s="7" t="s">
        <v>53</v>
      </c>
      <c r="F84" s="7" t="s">
        <v>54</v>
      </c>
      <c r="G84" s="7" t="s">
        <v>14</v>
      </c>
      <c r="H84" s="8">
        <v>3</v>
      </c>
      <c r="I84" s="9">
        <v>47000</v>
      </c>
      <c r="J84" s="9">
        <f t="shared" si="1"/>
        <v>141000</v>
      </c>
      <c r="K84" s="6" t="s">
        <v>15</v>
      </c>
    </row>
    <row r="85" spans="1:11" x14ac:dyDescent="0.25">
      <c r="A85" s="4" t="s">
        <v>160</v>
      </c>
      <c r="B85" s="5" t="s">
        <v>118</v>
      </c>
      <c r="C85" s="4" t="s">
        <v>67</v>
      </c>
      <c r="D85" s="5" t="s">
        <v>161</v>
      </c>
      <c r="E85" s="7" t="s">
        <v>80</v>
      </c>
      <c r="F85" s="7" t="s">
        <v>79</v>
      </c>
      <c r="G85" s="7" t="s">
        <v>14</v>
      </c>
      <c r="H85" s="8">
        <v>2.5</v>
      </c>
      <c r="I85" s="9">
        <v>90000</v>
      </c>
      <c r="J85" s="9">
        <f t="shared" si="1"/>
        <v>225000</v>
      </c>
      <c r="K85" s="6" t="s">
        <v>15</v>
      </c>
    </row>
    <row r="86" spans="1:11" x14ac:dyDescent="0.25">
      <c r="A86" s="4" t="s">
        <v>160</v>
      </c>
      <c r="B86" s="5" t="s">
        <v>118</v>
      </c>
      <c r="C86" s="4" t="s">
        <v>67</v>
      </c>
      <c r="D86" s="5" t="s">
        <v>161</v>
      </c>
      <c r="E86" s="7" t="s">
        <v>61</v>
      </c>
      <c r="F86" s="7" t="s">
        <v>62</v>
      </c>
      <c r="G86" s="7" t="s">
        <v>14</v>
      </c>
      <c r="H86" s="8">
        <v>1.2</v>
      </c>
      <c r="I86" s="9">
        <v>80000</v>
      </c>
      <c r="J86" s="9">
        <f t="shared" si="1"/>
        <v>96000</v>
      </c>
      <c r="K86" s="6" t="s">
        <v>15</v>
      </c>
    </row>
    <row r="87" spans="1:11" ht="28.5" x14ac:dyDescent="0.25">
      <c r="A87" s="4" t="s">
        <v>160</v>
      </c>
      <c r="B87" s="5" t="s">
        <v>118</v>
      </c>
      <c r="C87" s="4" t="s">
        <v>67</v>
      </c>
      <c r="D87" s="5" t="s">
        <v>161</v>
      </c>
      <c r="E87" s="7" t="s">
        <v>29</v>
      </c>
      <c r="F87" s="7" t="s">
        <v>30</v>
      </c>
      <c r="G87" s="7" t="s">
        <v>14</v>
      </c>
      <c r="H87" s="8">
        <v>8</v>
      </c>
      <c r="I87" s="9">
        <v>45000</v>
      </c>
      <c r="J87" s="9">
        <f t="shared" si="1"/>
        <v>360000</v>
      </c>
      <c r="K87" s="6" t="s">
        <v>15</v>
      </c>
    </row>
    <row r="88" spans="1:11" ht="28.5" x14ac:dyDescent="0.25">
      <c r="A88" s="4" t="s">
        <v>160</v>
      </c>
      <c r="B88" s="5" t="s">
        <v>118</v>
      </c>
      <c r="C88" s="4" t="s">
        <v>67</v>
      </c>
      <c r="D88" s="5" t="s">
        <v>161</v>
      </c>
      <c r="E88" s="7" t="s">
        <v>78</v>
      </c>
      <c r="F88" s="7" t="s">
        <v>77</v>
      </c>
      <c r="G88" s="7" t="s">
        <v>14</v>
      </c>
      <c r="H88" s="8">
        <v>1.5</v>
      </c>
      <c r="I88" s="9">
        <v>90000</v>
      </c>
      <c r="J88" s="9">
        <f t="shared" si="1"/>
        <v>135000</v>
      </c>
      <c r="K88" s="6" t="s">
        <v>15</v>
      </c>
    </row>
    <row r="89" spans="1:11" x14ac:dyDescent="0.25">
      <c r="A89" s="4" t="s">
        <v>160</v>
      </c>
      <c r="B89" s="5" t="s">
        <v>118</v>
      </c>
      <c r="C89" s="4" t="s">
        <v>67</v>
      </c>
      <c r="D89" s="5" t="s">
        <v>161</v>
      </c>
      <c r="E89" s="7" t="s">
        <v>63</v>
      </c>
      <c r="F89" s="7" t="s">
        <v>64</v>
      </c>
      <c r="G89" s="7" t="s">
        <v>14</v>
      </c>
      <c r="H89" s="8">
        <v>3.7</v>
      </c>
      <c r="I89" s="9">
        <v>45000</v>
      </c>
      <c r="J89" s="9">
        <f t="shared" si="1"/>
        <v>166500</v>
      </c>
      <c r="K89" s="6" t="s">
        <v>15</v>
      </c>
    </row>
    <row r="90" spans="1:11" x14ac:dyDescent="0.25">
      <c r="A90" s="4" t="s">
        <v>160</v>
      </c>
      <c r="B90" s="5" t="s">
        <v>118</v>
      </c>
      <c r="C90" s="4" t="s">
        <v>67</v>
      </c>
      <c r="D90" s="5" t="s">
        <v>161</v>
      </c>
      <c r="E90" s="7" t="s">
        <v>55</v>
      </c>
      <c r="F90" s="7" t="s">
        <v>56</v>
      </c>
      <c r="G90" s="7" t="s">
        <v>14</v>
      </c>
      <c r="H90" s="8">
        <v>0.1</v>
      </c>
      <c r="I90" s="9">
        <v>70000</v>
      </c>
      <c r="J90" s="9">
        <f t="shared" si="1"/>
        <v>7000</v>
      </c>
      <c r="K90" s="6" t="s">
        <v>15</v>
      </c>
    </row>
    <row r="91" spans="1:11" x14ac:dyDescent="0.25">
      <c r="A91" s="4" t="s">
        <v>160</v>
      </c>
      <c r="B91" s="5" t="s">
        <v>118</v>
      </c>
      <c r="C91" s="4" t="s">
        <v>67</v>
      </c>
      <c r="D91" s="5" t="s">
        <v>161</v>
      </c>
      <c r="E91" s="7" t="s">
        <v>41</v>
      </c>
      <c r="F91" s="7" t="s">
        <v>42</v>
      </c>
      <c r="G91" s="7" t="s">
        <v>14</v>
      </c>
      <c r="H91" s="8">
        <v>1.4</v>
      </c>
      <c r="I91" s="9">
        <v>145000</v>
      </c>
      <c r="J91" s="9">
        <f t="shared" si="1"/>
        <v>203000</v>
      </c>
      <c r="K91" s="6" t="s">
        <v>15</v>
      </c>
    </row>
    <row r="92" spans="1:11" x14ac:dyDescent="0.25">
      <c r="A92" s="4" t="s">
        <v>160</v>
      </c>
      <c r="B92" s="5" t="s">
        <v>118</v>
      </c>
      <c r="C92" s="4" t="s">
        <v>67</v>
      </c>
      <c r="D92" s="5" t="s">
        <v>161</v>
      </c>
      <c r="E92" s="7" t="s">
        <v>57</v>
      </c>
      <c r="F92" s="7" t="s">
        <v>58</v>
      </c>
      <c r="G92" s="7" t="s">
        <v>14</v>
      </c>
      <c r="H92" s="8">
        <v>0.3</v>
      </c>
      <c r="I92" s="9">
        <v>148000</v>
      </c>
      <c r="J92" s="9">
        <f t="shared" si="1"/>
        <v>44400</v>
      </c>
      <c r="K92" s="6" t="s">
        <v>15</v>
      </c>
    </row>
    <row r="93" spans="1:11" x14ac:dyDescent="0.25">
      <c r="A93" s="4" t="s">
        <v>160</v>
      </c>
      <c r="B93" s="5" t="s">
        <v>118</v>
      </c>
      <c r="C93" s="4" t="s">
        <v>67</v>
      </c>
      <c r="D93" s="5" t="s">
        <v>161</v>
      </c>
      <c r="E93" s="7" t="s">
        <v>76</v>
      </c>
      <c r="F93" s="7" t="s">
        <v>75</v>
      </c>
      <c r="G93" s="7" t="s">
        <v>14</v>
      </c>
      <c r="H93" s="8">
        <v>1</v>
      </c>
      <c r="I93" s="9">
        <v>42000</v>
      </c>
      <c r="J93" s="9">
        <f t="shared" si="1"/>
        <v>42000</v>
      </c>
      <c r="K93" s="6" t="s">
        <v>15</v>
      </c>
    </row>
    <row r="94" spans="1:11" x14ac:dyDescent="0.25">
      <c r="A94" s="4" t="s">
        <v>160</v>
      </c>
      <c r="B94" s="5" t="s">
        <v>118</v>
      </c>
      <c r="C94" s="4" t="s">
        <v>67</v>
      </c>
      <c r="D94" s="5" t="s">
        <v>161</v>
      </c>
      <c r="E94" s="7" t="s">
        <v>157</v>
      </c>
      <c r="F94" s="7" t="s">
        <v>158</v>
      </c>
      <c r="G94" s="7" t="s">
        <v>14</v>
      </c>
      <c r="H94" s="8">
        <v>1</v>
      </c>
      <c r="I94" s="9">
        <v>36000</v>
      </c>
      <c r="J94" s="9">
        <f t="shared" si="1"/>
        <v>36000</v>
      </c>
      <c r="K94" s="6" t="s">
        <v>15</v>
      </c>
    </row>
    <row r="95" spans="1:11" x14ac:dyDescent="0.25">
      <c r="A95" s="4" t="s">
        <v>160</v>
      </c>
      <c r="B95" s="5" t="s">
        <v>118</v>
      </c>
      <c r="C95" s="4" t="s">
        <v>67</v>
      </c>
      <c r="D95" s="5" t="s">
        <v>161</v>
      </c>
      <c r="E95" s="7" t="s">
        <v>47</v>
      </c>
      <c r="F95" s="7" t="s">
        <v>48</v>
      </c>
      <c r="G95" s="7" t="s">
        <v>14</v>
      </c>
      <c r="H95" s="8">
        <v>1.86</v>
      </c>
      <c r="I95" s="9">
        <v>21000</v>
      </c>
      <c r="J95" s="9">
        <f t="shared" si="1"/>
        <v>39060</v>
      </c>
      <c r="K95" s="6" t="s">
        <v>15</v>
      </c>
    </row>
    <row r="96" spans="1:11" x14ac:dyDescent="0.25">
      <c r="A96" s="4" t="s">
        <v>160</v>
      </c>
      <c r="B96" s="5" t="s">
        <v>118</v>
      </c>
      <c r="C96" s="4" t="s">
        <v>67</v>
      </c>
      <c r="D96" s="5" t="s">
        <v>161</v>
      </c>
      <c r="E96" s="7" t="s">
        <v>148</v>
      </c>
      <c r="F96" s="7" t="s">
        <v>149</v>
      </c>
      <c r="G96" s="7" t="s">
        <v>14</v>
      </c>
      <c r="H96" s="8">
        <v>0.3</v>
      </c>
      <c r="I96" s="9">
        <v>92000</v>
      </c>
      <c r="J96" s="9">
        <f t="shared" si="1"/>
        <v>27600</v>
      </c>
      <c r="K96" s="6" t="s">
        <v>15</v>
      </c>
    </row>
    <row r="97" spans="1:11" x14ac:dyDescent="0.25">
      <c r="A97" s="4" t="s">
        <v>160</v>
      </c>
      <c r="B97" s="5" t="s">
        <v>118</v>
      </c>
      <c r="C97" s="4" t="s">
        <v>67</v>
      </c>
      <c r="D97" s="5" t="s">
        <v>161</v>
      </c>
      <c r="E97" s="7" t="s">
        <v>27</v>
      </c>
      <c r="F97" s="7" t="s">
        <v>28</v>
      </c>
      <c r="G97" s="7" t="s">
        <v>14</v>
      </c>
      <c r="H97" s="8">
        <v>4.0999999999999996</v>
      </c>
      <c r="I97" s="9">
        <v>50000</v>
      </c>
      <c r="J97" s="9">
        <f t="shared" si="1"/>
        <v>204999.99999999997</v>
      </c>
      <c r="K97" s="6" t="s">
        <v>15</v>
      </c>
    </row>
    <row r="98" spans="1:11" x14ac:dyDescent="0.25">
      <c r="A98" s="4" t="s">
        <v>160</v>
      </c>
      <c r="B98" s="5" t="s">
        <v>118</v>
      </c>
      <c r="C98" s="4" t="s">
        <v>67</v>
      </c>
      <c r="D98" s="5" t="s">
        <v>161</v>
      </c>
      <c r="E98" s="7" t="s">
        <v>72</v>
      </c>
      <c r="F98" s="7" t="s">
        <v>71</v>
      </c>
      <c r="G98" s="7" t="s">
        <v>70</v>
      </c>
      <c r="H98" s="8">
        <v>80</v>
      </c>
      <c r="I98" s="9">
        <v>5000</v>
      </c>
      <c r="J98" s="9">
        <f t="shared" si="1"/>
        <v>400000</v>
      </c>
      <c r="K98" s="6" t="s">
        <v>15</v>
      </c>
    </row>
    <row r="99" spans="1:11" x14ac:dyDescent="0.25">
      <c r="A99" s="4" t="s">
        <v>160</v>
      </c>
      <c r="B99" s="5" t="s">
        <v>118</v>
      </c>
      <c r="C99" s="4" t="s">
        <v>67</v>
      </c>
      <c r="D99" s="5" t="s">
        <v>161</v>
      </c>
      <c r="E99" s="7" t="s">
        <v>66</v>
      </c>
      <c r="F99" s="7" t="s">
        <v>65</v>
      </c>
      <c r="G99" s="7" t="s">
        <v>14</v>
      </c>
      <c r="H99" s="8">
        <v>5.2</v>
      </c>
      <c r="I99" s="9">
        <v>62000</v>
      </c>
      <c r="J99" s="9">
        <f t="shared" si="1"/>
        <v>322400</v>
      </c>
      <c r="K99" s="6" t="s">
        <v>15</v>
      </c>
    </row>
    <row r="100" spans="1:11" x14ac:dyDescent="0.25">
      <c r="A100" s="4" t="s">
        <v>160</v>
      </c>
      <c r="B100" s="5" t="s">
        <v>118</v>
      </c>
      <c r="C100" s="4" t="s">
        <v>67</v>
      </c>
      <c r="D100" s="5" t="s">
        <v>162</v>
      </c>
      <c r="E100" s="7" t="s">
        <v>19</v>
      </c>
      <c r="F100" s="7" t="s">
        <v>20</v>
      </c>
      <c r="G100" s="7" t="s">
        <v>14</v>
      </c>
      <c r="H100" s="8">
        <v>2</v>
      </c>
      <c r="I100" s="9">
        <v>32000</v>
      </c>
      <c r="J100" s="9">
        <f t="shared" si="1"/>
        <v>64000</v>
      </c>
      <c r="K100" s="6" t="s">
        <v>15</v>
      </c>
    </row>
    <row r="101" spans="1:11" ht="28.5" x14ac:dyDescent="0.25">
      <c r="A101" s="4" t="s">
        <v>160</v>
      </c>
      <c r="B101" s="5" t="s">
        <v>118</v>
      </c>
      <c r="C101" s="4" t="s">
        <v>67</v>
      </c>
      <c r="D101" s="5" t="s">
        <v>162</v>
      </c>
      <c r="E101" s="7" t="s">
        <v>78</v>
      </c>
      <c r="F101" s="7" t="s">
        <v>77</v>
      </c>
      <c r="G101" s="7" t="s">
        <v>14</v>
      </c>
      <c r="H101" s="8">
        <v>0.7</v>
      </c>
      <c r="I101" s="9">
        <v>90000</v>
      </c>
      <c r="J101" s="9">
        <f t="shared" si="1"/>
        <v>62999.999999999993</v>
      </c>
      <c r="K101" s="6" t="s">
        <v>15</v>
      </c>
    </row>
    <row r="102" spans="1:11" x14ac:dyDescent="0.25">
      <c r="A102" s="4" t="s">
        <v>160</v>
      </c>
      <c r="B102" s="5" t="s">
        <v>118</v>
      </c>
      <c r="C102" s="4" t="s">
        <v>67</v>
      </c>
      <c r="D102" s="5" t="s">
        <v>162</v>
      </c>
      <c r="E102" s="7" t="s">
        <v>72</v>
      </c>
      <c r="F102" s="7" t="s">
        <v>71</v>
      </c>
      <c r="G102" s="7" t="s">
        <v>70</v>
      </c>
      <c r="H102" s="8">
        <v>70</v>
      </c>
      <c r="I102" s="9">
        <v>5000</v>
      </c>
      <c r="J102" s="9">
        <f t="shared" si="1"/>
        <v>350000</v>
      </c>
      <c r="K102" s="6" t="s">
        <v>15</v>
      </c>
    </row>
    <row r="103" spans="1:11" x14ac:dyDescent="0.25">
      <c r="A103" s="4" t="s">
        <v>163</v>
      </c>
      <c r="B103" s="5" t="s">
        <v>118</v>
      </c>
      <c r="C103" s="4" t="s">
        <v>67</v>
      </c>
      <c r="D103" s="5" t="s">
        <v>164</v>
      </c>
      <c r="E103" s="7" t="s">
        <v>103</v>
      </c>
      <c r="F103" s="7" t="s">
        <v>102</v>
      </c>
      <c r="G103" s="7" t="s">
        <v>14</v>
      </c>
      <c r="H103" s="8">
        <v>3</v>
      </c>
      <c r="I103" s="9">
        <v>15000</v>
      </c>
      <c r="J103" s="9">
        <f t="shared" si="1"/>
        <v>45000</v>
      </c>
      <c r="K103" s="6" t="s">
        <v>15</v>
      </c>
    </row>
    <row r="104" spans="1:11" x14ac:dyDescent="0.25">
      <c r="A104" s="4" t="s">
        <v>163</v>
      </c>
      <c r="B104" s="5" t="s">
        <v>118</v>
      </c>
      <c r="C104" s="4" t="s">
        <v>67</v>
      </c>
      <c r="D104" s="5" t="s">
        <v>164</v>
      </c>
      <c r="E104" s="7" t="s">
        <v>12</v>
      </c>
      <c r="F104" s="7" t="s">
        <v>13</v>
      </c>
      <c r="G104" s="7" t="s">
        <v>14</v>
      </c>
      <c r="H104" s="8">
        <v>3.7</v>
      </c>
      <c r="I104" s="9">
        <v>19000</v>
      </c>
      <c r="J104" s="9">
        <f t="shared" si="1"/>
        <v>70300</v>
      </c>
      <c r="K104" s="6" t="s">
        <v>15</v>
      </c>
    </row>
    <row r="105" spans="1:11" ht="28.5" x14ac:dyDescent="0.25">
      <c r="A105" s="4" t="s">
        <v>163</v>
      </c>
      <c r="B105" s="5" t="s">
        <v>118</v>
      </c>
      <c r="C105" s="4" t="s">
        <v>67</v>
      </c>
      <c r="D105" s="5" t="s">
        <v>164</v>
      </c>
      <c r="E105" s="7" t="s">
        <v>16</v>
      </c>
      <c r="F105" s="7" t="s">
        <v>17</v>
      </c>
      <c r="G105" s="7" t="s">
        <v>18</v>
      </c>
      <c r="H105" s="8">
        <v>15</v>
      </c>
      <c r="I105" s="9">
        <v>8500</v>
      </c>
      <c r="J105" s="9">
        <f t="shared" si="1"/>
        <v>127500</v>
      </c>
      <c r="K105" s="6" t="s">
        <v>15</v>
      </c>
    </row>
    <row r="106" spans="1:11" x14ac:dyDescent="0.25">
      <c r="A106" s="4" t="s">
        <v>163</v>
      </c>
      <c r="B106" s="5" t="s">
        <v>118</v>
      </c>
      <c r="C106" s="4" t="s">
        <v>67</v>
      </c>
      <c r="D106" s="5" t="s">
        <v>164</v>
      </c>
      <c r="E106" s="7" t="s">
        <v>59</v>
      </c>
      <c r="F106" s="7" t="s">
        <v>60</v>
      </c>
      <c r="G106" s="7" t="s">
        <v>14</v>
      </c>
      <c r="H106" s="8">
        <v>8</v>
      </c>
      <c r="I106" s="9">
        <v>30000</v>
      </c>
      <c r="J106" s="9">
        <f t="shared" si="1"/>
        <v>240000</v>
      </c>
      <c r="K106" s="6" t="s">
        <v>15</v>
      </c>
    </row>
    <row r="107" spans="1:11" x14ac:dyDescent="0.25">
      <c r="A107" s="4" t="s">
        <v>163</v>
      </c>
      <c r="B107" s="5" t="s">
        <v>118</v>
      </c>
      <c r="C107" s="4" t="s">
        <v>67</v>
      </c>
      <c r="D107" s="5" t="s">
        <v>164</v>
      </c>
      <c r="E107" s="7" t="s">
        <v>101</v>
      </c>
      <c r="F107" s="7" t="s">
        <v>100</v>
      </c>
      <c r="G107" s="7" t="s">
        <v>14</v>
      </c>
      <c r="H107" s="8">
        <v>17</v>
      </c>
      <c r="I107" s="9">
        <v>40000</v>
      </c>
      <c r="J107" s="9">
        <f t="shared" si="1"/>
        <v>680000</v>
      </c>
      <c r="K107" s="6" t="s">
        <v>15</v>
      </c>
    </row>
    <row r="108" spans="1:11" x14ac:dyDescent="0.25">
      <c r="A108" s="4" t="s">
        <v>163</v>
      </c>
      <c r="B108" s="5" t="s">
        <v>118</v>
      </c>
      <c r="C108" s="4" t="s">
        <v>67</v>
      </c>
      <c r="D108" s="5" t="s">
        <v>164</v>
      </c>
      <c r="E108" s="7" t="s">
        <v>119</v>
      </c>
      <c r="F108" s="7" t="s">
        <v>120</v>
      </c>
      <c r="G108" s="7" t="s">
        <v>14</v>
      </c>
      <c r="H108" s="8">
        <v>6.4</v>
      </c>
      <c r="I108" s="9">
        <v>52000</v>
      </c>
      <c r="J108" s="9">
        <f t="shared" si="1"/>
        <v>332800</v>
      </c>
      <c r="K108" s="6" t="s">
        <v>15</v>
      </c>
    </row>
    <row r="109" spans="1:11" x14ac:dyDescent="0.25">
      <c r="A109" s="4" t="s">
        <v>163</v>
      </c>
      <c r="B109" s="5" t="s">
        <v>118</v>
      </c>
      <c r="C109" s="4" t="s">
        <v>67</v>
      </c>
      <c r="D109" s="5" t="s">
        <v>164</v>
      </c>
      <c r="E109" s="7" t="s">
        <v>109</v>
      </c>
      <c r="F109" s="7" t="s">
        <v>108</v>
      </c>
      <c r="G109" s="7" t="s">
        <v>14</v>
      </c>
      <c r="H109" s="8">
        <v>0.5</v>
      </c>
      <c r="I109" s="9">
        <v>75000</v>
      </c>
      <c r="J109" s="9">
        <f t="shared" si="1"/>
        <v>37500</v>
      </c>
      <c r="K109" s="6" t="s">
        <v>15</v>
      </c>
    </row>
    <row r="110" spans="1:11" ht="42.75" x14ac:dyDescent="0.25">
      <c r="A110" s="4" t="s">
        <v>163</v>
      </c>
      <c r="B110" s="5" t="s">
        <v>118</v>
      </c>
      <c r="C110" s="4" t="s">
        <v>67</v>
      </c>
      <c r="D110" s="5" t="s">
        <v>164</v>
      </c>
      <c r="E110" s="7" t="s">
        <v>99</v>
      </c>
      <c r="F110" s="7" t="s">
        <v>98</v>
      </c>
      <c r="G110" s="7" t="s">
        <v>14</v>
      </c>
      <c r="H110" s="8">
        <v>3</v>
      </c>
      <c r="I110" s="9">
        <v>30000</v>
      </c>
      <c r="J110" s="9">
        <f t="shared" si="1"/>
        <v>90000</v>
      </c>
      <c r="K110" s="6" t="s">
        <v>15</v>
      </c>
    </row>
    <row r="111" spans="1:11" x14ac:dyDescent="0.25">
      <c r="A111" s="4" t="s">
        <v>163</v>
      </c>
      <c r="B111" s="5" t="s">
        <v>118</v>
      </c>
      <c r="C111" s="4" t="s">
        <v>67</v>
      </c>
      <c r="D111" s="5" t="s">
        <v>164</v>
      </c>
      <c r="E111" s="7" t="s">
        <v>95</v>
      </c>
      <c r="F111" s="7" t="s">
        <v>94</v>
      </c>
      <c r="G111" s="7" t="s">
        <v>14</v>
      </c>
      <c r="H111" s="8">
        <v>2</v>
      </c>
      <c r="I111" s="9">
        <v>44000</v>
      </c>
      <c r="J111" s="9">
        <f t="shared" si="1"/>
        <v>88000</v>
      </c>
      <c r="K111" s="6" t="s">
        <v>15</v>
      </c>
    </row>
    <row r="112" spans="1:11" x14ac:dyDescent="0.25">
      <c r="A112" s="4" t="s">
        <v>163</v>
      </c>
      <c r="B112" s="5" t="s">
        <v>118</v>
      </c>
      <c r="C112" s="4" t="s">
        <v>67</v>
      </c>
      <c r="D112" s="5" t="s">
        <v>164</v>
      </c>
      <c r="E112" s="7" t="s">
        <v>35</v>
      </c>
      <c r="F112" s="7" t="s">
        <v>36</v>
      </c>
      <c r="G112" s="7" t="s">
        <v>14</v>
      </c>
      <c r="H112" s="8">
        <v>2</v>
      </c>
      <c r="I112" s="9">
        <v>38000</v>
      </c>
      <c r="J112" s="9">
        <f t="shared" si="1"/>
        <v>76000</v>
      </c>
      <c r="K112" s="6" t="s">
        <v>15</v>
      </c>
    </row>
    <row r="113" spans="1:11" x14ac:dyDescent="0.25">
      <c r="A113" s="4" t="s">
        <v>163</v>
      </c>
      <c r="B113" s="5" t="s">
        <v>118</v>
      </c>
      <c r="C113" s="4" t="s">
        <v>67</v>
      </c>
      <c r="D113" s="5" t="s">
        <v>164</v>
      </c>
      <c r="E113" s="7" t="s">
        <v>113</v>
      </c>
      <c r="F113" s="7" t="s">
        <v>112</v>
      </c>
      <c r="G113" s="7" t="s">
        <v>14</v>
      </c>
      <c r="H113" s="8">
        <v>0.1</v>
      </c>
      <c r="I113" s="9">
        <v>25000</v>
      </c>
      <c r="J113" s="9">
        <f t="shared" si="1"/>
        <v>2500</v>
      </c>
      <c r="K113" s="6" t="s">
        <v>15</v>
      </c>
    </row>
    <row r="114" spans="1:11" x14ac:dyDescent="0.25">
      <c r="A114" s="4" t="s">
        <v>163</v>
      </c>
      <c r="B114" s="5" t="s">
        <v>118</v>
      </c>
      <c r="C114" s="4" t="s">
        <v>67</v>
      </c>
      <c r="D114" s="5" t="s">
        <v>164</v>
      </c>
      <c r="E114" s="7" t="s">
        <v>19</v>
      </c>
      <c r="F114" s="7" t="s">
        <v>20</v>
      </c>
      <c r="G114" s="7" t="s">
        <v>14</v>
      </c>
      <c r="H114" s="8">
        <v>4</v>
      </c>
      <c r="I114" s="9">
        <v>32000</v>
      </c>
      <c r="J114" s="9">
        <f t="shared" si="1"/>
        <v>128000</v>
      </c>
      <c r="K114" s="6" t="s">
        <v>15</v>
      </c>
    </row>
    <row r="115" spans="1:11" ht="28.5" x14ac:dyDescent="0.25">
      <c r="A115" s="4" t="s">
        <v>163</v>
      </c>
      <c r="B115" s="5" t="s">
        <v>118</v>
      </c>
      <c r="C115" s="4" t="s">
        <v>67</v>
      </c>
      <c r="D115" s="5" t="s">
        <v>164</v>
      </c>
      <c r="E115" s="7" t="s">
        <v>89</v>
      </c>
      <c r="F115" s="7" t="s">
        <v>88</v>
      </c>
      <c r="G115" s="7" t="s">
        <v>87</v>
      </c>
      <c r="H115" s="8">
        <v>6</v>
      </c>
      <c r="I115" s="9">
        <v>15000</v>
      </c>
      <c r="J115" s="9">
        <f t="shared" si="1"/>
        <v>90000</v>
      </c>
      <c r="K115" s="6" t="s">
        <v>15</v>
      </c>
    </row>
    <row r="116" spans="1:11" x14ac:dyDescent="0.25">
      <c r="A116" s="4" t="s">
        <v>163</v>
      </c>
      <c r="B116" s="5" t="s">
        <v>118</v>
      </c>
      <c r="C116" s="4" t="s">
        <v>67</v>
      </c>
      <c r="D116" s="5" t="s">
        <v>164</v>
      </c>
      <c r="E116" s="7" t="s">
        <v>51</v>
      </c>
      <c r="F116" s="7" t="s">
        <v>52</v>
      </c>
      <c r="G116" s="7" t="s">
        <v>14</v>
      </c>
      <c r="H116" s="8">
        <v>50</v>
      </c>
      <c r="I116" s="9">
        <v>18000</v>
      </c>
      <c r="J116" s="9">
        <f t="shared" si="1"/>
        <v>900000</v>
      </c>
      <c r="K116" s="6" t="s">
        <v>15</v>
      </c>
    </row>
    <row r="117" spans="1:11" x14ac:dyDescent="0.25">
      <c r="A117" s="4" t="s">
        <v>163</v>
      </c>
      <c r="B117" s="5" t="s">
        <v>118</v>
      </c>
      <c r="C117" s="4" t="s">
        <v>67</v>
      </c>
      <c r="D117" s="5" t="s">
        <v>164</v>
      </c>
      <c r="E117" s="7" t="s">
        <v>21</v>
      </c>
      <c r="F117" s="7" t="s">
        <v>22</v>
      </c>
      <c r="G117" s="7" t="s">
        <v>14</v>
      </c>
      <c r="H117" s="8">
        <v>4</v>
      </c>
      <c r="I117" s="9">
        <v>55000</v>
      </c>
      <c r="J117" s="9">
        <f t="shared" si="1"/>
        <v>220000</v>
      </c>
      <c r="K117" s="6" t="s">
        <v>15</v>
      </c>
    </row>
    <row r="118" spans="1:11" x14ac:dyDescent="0.25">
      <c r="A118" s="4" t="s">
        <v>163</v>
      </c>
      <c r="B118" s="5" t="s">
        <v>118</v>
      </c>
      <c r="C118" s="4" t="s">
        <v>67</v>
      </c>
      <c r="D118" s="5" t="s">
        <v>164</v>
      </c>
      <c r="E118" s="7" t="s">
        <v>86</v>
      </c>
      <c r="F118" s="7" t="s">
        <v>85</v>
      </c>
      <c r="G118" s="7" t="s">
        <v>14</v>
      </c>
      <c r="H118" s="8">
        <v>0.1</v>
      </c>
      <c r="I118" s="9">
        <v>38000</v>
      </c>
      <c r="J118" s="9">
        <f t="shared" si="1"/>
        <v>3800</v>
      </c>
      <c r="K118" s="6" t="s">
        <v>15</v>
      </c>
    </row>
    <row r="119" spans="1:11" x14ac:dyDescent="0.25">
      <c r="A119" s="4" t="s">
        <v>163</v>
      </c>
      <c r="B119" s="5" t="s">
        <v>118</v>
      </c>
      <c r="C119" s="4" t="s">
        <v>67</v>
      </c>
      <c r="D119" s="5" t="s">
        <v>164</v>
      </c>
      <c r="E119" s="7" t="s">
        <v>31</v>
      </c>
      <c r="F119" s="7" t="s">
        <v>32</v>
      </c>
      <c r="G119" s="7" t="s">
        <v>14</v>
      </c>
      <c r="H119" s="8">
        <v>0.2</v>
      </c>
      <c r="I119" s="9">
        <v>80000</v>
      </c>
      <c r="J119" s="9">
        <f t="shared" si="1"/>
        <v>16000</v>
      </c>
      <c r="K119" s="6" t="s">
        <v>15</v>
      </c>
    </row>
    <row r="120" spans="1:11" x14ac:dyDescent="0.25">
      <c r="A120" s="4" t="s">
        <v>163</v>
      </c>
      <c r="B120" s="5" t="s">
        <v>118</v>
      </c>
      <c r="C120" s="4" t="s">
        <v>67</v>
      </c>
      <c r="D120" s="5" t="s">
        <v>164</v>
      </c>
      <c r="E120" s="7" t="s">
        <v>107</v>
      </c>
      <c r="F120" s="7" t="s">
        <v>106</v>
      </c>
      <c r="G120" s="7" t="s">
        <v>14</v>
      </c>
      <c r="H120" s="8">
        <v>0.1</v>
      </c>
      <c r="I120" s="9">
        <v>42000</v>
      </c>
      <c r="J120" s="9">
        <f t="shared" si="1"/>
        <v>4200</v>
      </c>
      <c r="K120" s="6" t="s">
        <v>15</v>
      </c>
    </row>
    <row r="121" spans="1:11" x14ac:dyDescent="0.25">
      <c r="A121" s="4" t="s">
        <v>163</v>
      </c>
      <c r="B121" s="5" t="s">
        <v>118</v>
      </c>
      <c r="C121" s="4" t="s">
        <v>67</v>
      </c>
      <c r="D121" s="5" t="s">
        <v>164</v>
      </c>
      <c r="E121" s="7" t="s">
        <v>82</v>
      </c>
      <c r="F121" s="7" t="s">
        <v>81</v>
      </c>
      <c r="G121" s="7" t="s">
        <v>14</v>
      </c>
      <c r="H121" s="8">
        <v>1</v>
      </c>
      <c r="I121" s="9">
        <v>18000</v>
      </c>
      <c r="J121" s="9">
        <f t="shared" si="1"/>
        <v>18000</v>
      </c>
      <c r="K121" s="6" t="s">
        <v>15</v>
      </c>
    </row>
    <row r="122" spans="1:11" x14ac:dyDescent="0.25">
      <c r="A122" s="4" t="s">
        <v>163</v>
      </c>
      <c r="B122" s="5" t="s">
        <v>118</v>
      </c>
      <c r="C122" s="4" t="s">
        <v>67</v>
      </c>
      <c r="D122" s="5" t="s">
        <v>164</v>
      </c>
      <c r="E122" s="7" t="s">
        <v>37</v>
      </c>
      <c r="F122" s="7" t="s">
        <v>38</v>
      </c>
      <c r="G122" s="7" t="s">
        <v>14</v>
      </c>
      <c r="H122" s="8">
        <v>5</v>
      </c>
      <c r="I122" s="9">
        <v>27000</v>
      </c>
      <c r="J122" s="9">
        <f t="shared" si="1"/>
        <v>135000</v>
      </c>
      <c r="K122" s="6" t="s">
        <v>15</v>
      </c>
    </row>
    <row r="123" spans="1:11" ht="28.5" x14ac:dyDescent="0.25">
      <c r="A123" s="4" t="s">
        <v>163</v>
      </c>
      <c r="B123" s="5" t="s">
        <v>118</v>
      </c>
      <c r="C123" s="4" t="s">
        <v>67</v>
      </c>
      <c r="D123" s="5" t="s">
        <v>164</v>
      </c>
      <c r="E123" s="7" t="s">
        <v>39</v>
      </c>
      <c r="F123" s="7" t="s">
        <v>40</v>
      </c>
      <c r="G123" s="7" t="s">
        <v>14</v>
      </c>
      <c r="H123" s="8">
        <v>4.5</v>
      </c>
      <c r="I123" s="9">
        <v>145000</v>
      </c>
      <c r="J123" s="9">
        <f t="shared" si="1"/>
        <v>652500</v>
      </c>
      <c r="K123" s="6" t="s">
        <v>15</v>
      </c>
    </row>
    <row r="124" spans="1:11" x14ac:dyDescent="0.25">
      <c r="A124" s="4" t="s">
        <v>163</v>
      </c>
      <c r="B124" s="5" t="s">
        <v>118</v>
      </c>
      <c r="C124" s="4" t="s">
        <v>67</v>
      </c>
      <c r="D124" s="5" t="s">
        <v>164</v>
      </c>
      <c r="E124" s="7" t="s">
        <v>53</v>
      </c>
      <c r="F124" s="7" t="s">
        <v>54</v>
      </c>
      <c r="G124" s="7" t="s">
        <v>14</v>
      </c>
      <c r="H124" s="8">
        <v>2</v>
      </c>
      <c r="I124" s="9">
        <v>47000</v>
      </c>
      <c r="J124" s="9">
        <f t="shared" si="1"/>
        <v>94000</v>
      </c>
      <c r="K124" s="6" t="s">
        <v>15</v>
      </c>
    </row>
    <row r="125" spans="1:11" x14ac:dyDescent="0.25">
      <c r="A125" s="4" t="s">
        <v>163</v>
      </c>
      <c r="B125" s="5" t="s">
        <v>118</v>
      </c>
      <c r="C125" s="4" t="s">
        <v>67</v>
      </c>
      <c r="D125" s="5" t="s">
        <v>164</v>
      </c>
      <c r="E125" s="7" t="s">
        <v>80</v>
      </c>
      <c r="F125" s="7" t="s">
        <v>79</v>
      </c>
      <c r="G125" s="7" t="s">
        <v>14</v>
      </c>
      <c r="H125" s="8">
        <v>2</v>
      </c>
      <c r="I125" s="9">
        <v>90000</v>
      </c>
      <c r="J125" s="9">
        <f t="shared" si="1"/>
        <v>180000</v>
      </c>
      <c r="K125" s="6" t="s">
        <v>15</v>
      </c>
    </row>
    <row r="126" spans="1:11" x14ac:dyDescent="0.25">
      <c r="A126" s="4" t="s">
        <v>163</v>
      </c>
      <c r="B126" s="5" t="s">
        <v>118</v>
      </c>
      <c r="C126" s="4" t="s">
        <v>67</v>
      </c>
      <c r="D126" s="5" t="s">
        <v>164</v>
      </c>
      <c r="E126" s="7" t="s">
        <v>61</v>
      </c>
      <c r="F126" s="7" t="s">
        <v>62</v>
      </c>
      <c r="G126" s="7" t="s">
        <v>14</v>
      </c>
      <c r="H126" s="8">
        <v>0.9</v>
      </c>
      <c r="I126" s="9">
        <v>80000</v>
      </c>
      <c r="J126" s="9">
        <f t="shared" si="1"/>
        <v>72000</v>
      </c>
      <c r="K126" s="6" t="s">
        <v>15</v>
      </c>
    </row>
    <row r="127" spans="1:11" ht="28.5" x14ac:dyDescent="0.25">
      <c r="A127" s="4" t="s">
        <v>163</v>
      </c>
      <c r="B127" s="5" t="s">
        <v>118</v>
      </c>
      <c r="C127" s="4" t="s">
        <v>67</v>
      </c>
      <c r="D127" s="5" t="s">
        <v>164</v>
      </c>
      <c r="E127" s="7" t="s">
        <v>29</v>
      </c>
      <c r="F127" s="7" t="s">
        <v>30</v>
      </c>
      <c r="G127" s="7" t="s">
        <v>14</v>
      </c>
      <c r="H127" s="8">
        <v>8</v>
      </c>
      <c r="I127" s="9">
        <v>45000</v>
      </c>
      <c r="J127" s="9">
        <f t="shared" si="1"/>
        <v>360000</v>
      </c>
      <c r="K127" s="6" t="s">
        <v>15</v>
      </c>
    </row>
    <row r="128" spans="1:11" ht="28.5" x14ac:dyDescent="0.25">
      <c r="A128" s="4" t="s">
        <v>163</v>
      </c>
      <c r="B128" s="5" t="s">
        <v>118</v>
      </c>
      <c r="C128" s="4" t="s">
        <v>67</v>
      </c>
      <c r="D128" s="5" t="s">
        <v>164</v>
      </c>
      <c r="E128" s="7" t="s">
        <v>78</v>
      </c>
      <c r="F128" s="7" t="s">
        <v>77</v>
      </c>
      <c r="G128" s="7" t="s">
        <v>14</v>
      </c>
      <c r="H128" s="8">
        <v>1</v>
      </c>
      <c r="I128" s="9">
        <v>90000</v>
      </c>
      <c r="J128" s="9">
        <f t="shared" si="1"/>
        <v>90000</v>
      </c>
      <c r="K128" s="6" t="s">
        <v>15</v>
      </c>
    </row>
    <row r="129" spans="1:11" x14ac:dyDescent="0.25">
      <c r="A129" s="4" t="s">
        <v>163</v>
      </c>
      <c r="B129" s="5" t="s">
        <v>118</v>
      </c>
      <c r="C129" s="4" t="s">
        <v>67</v>
      </c>
      <c r="D129" s="5" t="s">
        <v>164</v>
      </c>
      <c r="E129" s="7" t="s">
        <v>105</v>
      </c>
      <c r="F129" s="7" t="s">
        <v>104</v>
      </c>
      <c r="G129" s="7" t="s">
        <v>14</v>
      </c>
      <c r="H129" s="8">
        <v>0.5</v>
      </c>
      <c r="I129" s="9">
        <v>195000</v>
      </c>
      <c r="J129" s="9">
        <f t="shared" si="1"/>
        <v>97500</v>
      </c>
      <c r="K129" s="6" t="s">
        <v>15</v>
      </c>
    </row>
    <row r="130" spans="1:11" x14ac:dyDescent="0.25">
      <c r="A130" s="4" t="s">
        <v>163</v>
      </c>
      <c r="B130" s="5" t="s">
        <v>118</v>
      </c>
      <c r="C130" s="4" t="s">
        <v>67</v>
      </c>
      <c r="D130" s="5" t="s">
        <v>164</v>
      </c>
      <c r="E130" s="7" t="s">
        <v>63</v>
      </c>
      <c r="F130" s="7" t="s">
        <v>64</v>
      </c>
      <c r="G130" s="7" t="s">
        <v>14</v>
      </c>
      <c r="H130" s="8">
        <v>3.4</v>
      </c>
      <c r="I130" s="9">
        <v>45000</v>
      </c>
      <c r="J130" s="9">
        <f t="shared" si="1"/>
        <v>153000</v>
      </c>
      <c r="K130" s="6" t="s">
        <v>15</v>
      </c>
    </row>
    <row r="131" spans="1:11" x14ac:dyDescent="0.25">
      <c r="A131" s="4" t="s">
        <v>163</v>
      </c>
      <c r="B131" s="5" t="s">
        <v>118</v>
      </c>
      <c r="C131" s="4" t="s">
        <v>67</v>
      </c>
      <c r="D131" s="5" t="s">
        <v>164</v>
      </c>
      <c r="E131" s="7" t="s">
        <v>55</v>
      </c>
      <c r="F131" s="7" t="s">
        <v>56</v>
      </c>
      <c r="G131" s="7" t="s">
        <v>14</v>
      </c>
      <c r="H131" s="8">
        <v>0.1</v>
      </c>
      <c r="I131" s="9">
        <v>70000</v>
      </c>
      <c r="J131" s="9">
        <f t="shared" si="1"/>
        <v>7000</v>
      </c>
      <c r="K131" s="6" t="s">
        <v>15</v>
      </c>
    </row>
    <row r="132" spans="1:11" x14ac:dyDescent="0.25">
      <c r="A132" s="4" t="s">
        <v>163</v>
      </c>
      <c r="B132" s="5" t="s">
        <v>118</v>
      </c>
      <c r="C132" s="4" t="s">
        <v>67</v>
      </c>
      <c r="D132" s="5" t="s">
        <v>164</v>
      </c>
      <c r="E132" s="7" t="s">
        <v>41</v>
      </c>
      <c r="F132" s="7" t="s">
        <v>42</v>
      </c>
      <c r="G132" s="7" t="s">
        <v>14</v>
      </c>
      <c r="H132" s="8">
        <v>1</v>
      </c>
      <c r="I132" s="9">
        <v>145000</v>
      </c>
      <c r="J132" s="9">
        <f t="shared" si="1"/>
        <v>145000</v>
      </c>
      <c r="K132" s="6" t="s">
        <v>15</v>
      </c>
    </row>
    <row r="133" spans="1:11" x14ac:dyDescent="0.25">
      <c r="A133" s="4" t="s">
        <v>163</v>
      </c>
      <c r="B133" s="5" t="s">
        <v>118</v>
      </c>
      <c r="C133" s="4" t="s">
        <v>67</v>
      </c>
      <c r="D133" s="5" t="s">
        <v>164</v>
      </c>
      <c r="E133" s="7" t="s">
        <v>57</v>
      </c>
      <c r="F133" s="7" t="s">
        <v>58</v>
      </c>
      <c r="G133" s="7" t="s">
        <v>14</v>
      </c>
      <c r="H133" s="8">
        <v>0.3</v>
      </c>
      <c r="I133" s="9">
        <v>148000</v>
      </c>
      <c r="J133" s="9">
        <f t="shared" si="1"/>
        <v>44400</v>
      </c>
      <c r="K133" s="6" t="s">
        <v>15</v>
      </c>
    </row>
    <row r="134" spans="1:11" x14ac:dyDescent="0.25">
      <c r="A134" s="4" t="s">
        <v>163</v>
      </c>
      <c r="B134" s="5" t="s">
        <v>118</v>
      </c>
      <c r="C134" s="4" t="s">
        <v>67</v>
      </c>
      <c r="D134" s="5" t="s">
        <v>164</v>
      </c>
      <c r="E134" s="7" t="s">
        <v>76</v>
      </c>
      <c r="F134" s="7" t="s">
        <v>75</v>
      </c>
      <c r="G134" s="7" t="s">
        <v>14</v>
      </c>
      <c r="H134" s="8">
        <v>0.5</v>
      </c>
      <c r="I134" s="9">
        <v>42000</v>
      </c>
      <c r="J134" s="9">
        <f t="shared" si="1"/>
        <v>21000</v>
      </c>
      <c r="K134" s="6" t="s">
        <v>15</v>
      </c>
    </row>
    <row r="135" spans="1:11" x14ac:dyDescent="0.25">
      <c r="A135" s="4" t="s">
        <v>163</v>
      </c>
      <c r="B135" s="5" t="s">
        <v>118</v>
      </c>
      <c r="C135" s="4" t="s">
        <v>67</v>
      </c>
      <c r="D135" s="5" t="s">
        <v>164</v>
      </c>
      <c r="E135" s="7" t="s">
        <v>43</v>
      </c>
      <c r="F135" s="7" t="s">
        <v>44</v>
      </c>
      <c r="G135" s="7" t="s">
        <v>14</v>
      </c>
      <c r="H135" s="8">
        <v>0.1</v>
      </c>
      <c r="I135" s="9">
        <v>22000</v>
      </c>
      <c r="J135" s="9">
        <f t="shared" si="1"/>
        <v>2200</v>
      </c>
      <c r="K135" s="6" t="s">
        <v>15</v>
      </c>
    </row>
    <row r="136" spans="1:11" x14ac:dyDescent="0.25">
      <c r="A136" s="4" t="s">
        <v>163</v>
      </c>
      <c r="B136" s="5" t="s">
        <v>118</v>
      </c>
      <c r="C136" s="4" t="s">
        <v>67</v>
      </c>
      <c r="D136" s="5" t="s">
        <v>164</v>
      </c>
      <c r="E136" s="7" t="s">
        <v>47</v>
      </c>
      <c r="F136" s="7" t="s">
        <v>48</v>
      </c>
      <c r="G136" s="7" t="s">
        <v>14</v>
      </c>
      <c r="H136" s="8">
        <v>1.5</v>
      </c>
      <c r="I136" s="9">
        <v>21000</v>
      </c>
      <c r="J136" s="9">
        <f t="shared" si="1"/>
        <v>31500</v>
      </c>
      <c r="K136" s="6" t="s">
        <v>15</v>
      </c>
    </row>
    <row r="137" spans="1:11" x14ac:dyDescent="0.25">
      <c r="A137" s="4" t="s">
        <v>163</v>
      </c>
      <c r="B137" s="5" t="s">
        <v>118</v>
      </c>
      <c r="C137" s="4" t="s">
        <v>67</v>
      </c>
      <c r="D137" s="5" t="s">
        <v>164</v>
      </c>
      <c r="E137" s="7" t="s">
        <v>74</v>
      </c>
      <c r="F137" s="7" t="s">
        <v>73</v>
      </c>
      <c r="G137" s="7" t="s">
        <v>14</v>
      </c>
      <c r="H137" s="8">
        <v>0.1</v>
      </c>
      <c r="I137" s="9">
        <v>42000</v>
      </c>
      <c r="J137" s="9">
        <f t="shared" si="1"/>
        <v>4200</v>
      </c>
      <c r="K137" s="6" t="s">
        <v>15</v>
      </c>
    </row>
    <row r="138" spans="1:11" x14ac:dyDescent="0.25">
      <c r="A138" s="4" t="s">
        <v>163</v>
      </c>
      <c r="B138" s="5" t="s">
        <v>118</v>
      </c>
      <c r="C138" s="4" t="s">
        <v>67</v>
      </c>
      <c r="D138" s="5" t="s">
        <v>164</v>
      </c>
      <c r="E138" s="7" t="s">
        <v>27</v>
      </c>
      <c r="F138" s="7" t="s">
        <v>28</v>
      </c>
      <c r="G138" s="7" t="s">
        <v>14</v>
      </c>
      <c r="H138" s="8">
        <v>4</v>
      </c>
      <c r="I138" s="9">
        <v>50000</v>
      </c>
      <c r="J138" s="9">
        <f t="shared" si="1"/>
        <v>200000</v>
      </c>
      <c r="K138" s="6" t="s">
        <v>15</v>
      </c>
    </row>
    <row r="139" spans="1:11" x14ac:dyDescent="0.25">
      <c r="A139" s="4" t="s">
        <v>163</v>
      </c>
      <c r="B139" s="5" t="s">
        <v>118</v>
      </c>
      <c r="C139" s="4" t="s">
        <v>67</v>
      </c>
      <c r="D139" s="5" t="s">
        <v>164</v>
      </c>
      <c r="E139" s="7" t="s">
        <v>165</v>
      </c>
      <c r="F139" s="7" t="s">
        <v>166</v>
      </c>
      <c r="G139" s="7" t="s">
        <v>70</v>
      </c>
      <c r="H139" s="8">
        <v>30</v>
      </c>
      <c r="I139" s="9">
        <v>9000</v>
      </c>
      <c r="J139" s="9">
        <f t="shared" si="1"/>
        <v>270000</v>
      </c>
      <c r="K139" s="6" t="s">
        <v>15</v>
      </c>
    </row>
    <row r="140" spans="1:11" x14ac:dyDescent="0.25">
      <c r="A140" s="4" t="s">
        <v>163</v>
      </c>
      <c r="B140" s="5" t="s">
        <v>118</v>
      </c>
      <c r="C140" s="4" t="s">
        <v>67</v>
      </c>
      <c r="D140" s="5" t="s">
        <v>164</v>
      </c>
      <c r="E140" s="7" t="s">
        <v>72</v>
      </c>
      <c r="F140" s="7" t="s">
        <v>71</v>
      </c>
      <c r="G140" s="7" t="s">
        <v>70</v>
      </c>
      <c r="H140" s="8">
        <v>70</v>
      </c>
      <c r="I140" s="9">
        <v>5000</v>
      </c>
      <c r="J140" s="9">
        <f t="shared" si="1"/>
        <v>350000</v>
      </c>
      <c r="K140" s="6" t="s">
        <v>15</v>
      </c>
    </row>
    <row r="141" spans="1:11" x14ac:dyDescent="0.25">
      <c r="A141" s="4" t="s">
        <v>163</v>
      </c>
      <c r="B141" s="5" t="s">
        <v>118</v>
      </c>
      <c r="C141" s="4" t="s">
        <v>67</v>
      </c>
      <c r="D141" s="5" t="s">
        <v>164</v>
      </c>
      <c r="E141" s="7" t="s">
        <v>69</v>
      </c>
      <c r="F141" s="7" t="s">
        <v>68</v>
      </c>
      <c r="G141" s="7" t="s">
        <v>14</v>
      </c>
      <c r="H141" s="8">
        <v>0.2</v>
      </c>
      <c r="I141" s="9">
        <v>220000</v>
      </c>
      <c r="J141" s="9">
        <f t="shared" si="1"/>
        <v>44000</v>
      </c>
      <c r="K141" s="6" t="s">
        <v>15</v>
      </c>
    </row>
    <row r="142" spans="1:11" x14ac:dyDescent="0.25">
      <c r="A142" s="4" t="s">
        <v>163</v>
      </c>
      <c r="B142" s="5" t="s">
        <v>118</v>
      </c>
      <c r="C142" s="4" t="s">
        <v>67</v>
      </c>
      <c r="D142" s="5" t="s">
        <v>164</v>
      </c>
      <c r="E142" s="7" t="s">
        <v>66</v>
      </c>
      <c r="F142" s="7" t="s">
        <v>65</v>
      </c>
      <c r="G142" s="7" t="s">
        <v>14</v>
      </c>
      <c r="H142" s="8">
        <v>6</v>
      </c>
      <c r="I142" s="9">
        <v>62000</v>
      </c>
      <c r="J142" s="9">
        <f t="shared" si="1"/>
        <v>372000</v>
      </c>
      <c r="K142" s="6" t="s">
        <v>15</v>
      </c>
    </row>
    <row r="143" spans="1:11" x14ac:dyDescent="0.25">
      <c r="A143" s="4" t="s">
        <v>163</v>
      </c>
      <c r="B143" s="5" t="s">
        <v>118</v>
      </c>
      <c r="C143" s="4" t="s">
        <v>67</v>
      </c>
      <c r="D143" s="5" t="s">
        <v>167</v>
      </c>
      <c r="E143" s="7" t="s">
        <v>12</v>
      </c>
      <c r="F143" s="7" t="s">
        <v>13</v>
      </c>
      <c r="G143" s="7" t="s">
        <v>14</v>
      </c>
      <c r="H143" s="8">
        <v>4.2</v>
      </c>
      <c r="I143" s="9">
        <v>19000</v>
      </c>
      <c r="J143" s="9">
        <f t="shared" si="1"/>
        <v>79800</v>
      </c>
      <c r="K143" s="6" t="s">
        <v>15</v>
      </c>
    </row>
    <row r="144" spans="1:11" x14ac:dyDescent="0.25">
      <c r="A144" s="4" t="s">
        <v>163</v>
      </c>
      <c r="B144" s="5" t="s">
        <v>118</v>
      </c>
      <c r="C144" s="4" t="s">
        <v>67</v>
      </c>
      <c r="D144" s="5" t="s">
        <v>167</v>
      </c>
      <c r="E144" s="7" t="s">
        <v>19</v>
      </c>
      <c r="F144" s="7" t="s">
        <v>20</v>
      </c>
      <c r="G144" s="7" t="s">
        <v>14</v>
      </c>
      <c r="H144" s="8">
        <v>4</v>
      </c>
      <c r="I144" s="9">
        <v>32000</v>
      </c>
      <c r="J144" s="9">
        <f t="shared" ref="J144:J207" si="2">H144*I144</f>
        <v>128000</v>
      </c>
      <c r="K144" s="6" t="s">
        <v>15</v>
      </c>
    </row>
    <row r="145" spans="1:11" x14ac:dyDescent="0.25">
      <c r="A145" s="4" t="s">
        <v>163</v>
      </c>
      <c r="B145" s="5" t="s">
        <v>118</v>
      </c>
      <c r="C145" s="4" t="s">
        <v>67</v>
      </c>
      <c r="D145" s="5" t="s">
        <v>167</v>
      </c>
      <c r="E145" s="7" t="s">
        <v>37</v>
      </c>
      <c r="F145" s="7" t="s">
        <v>38</v>
      </c>
      <c r="G145" s="7" t="s">
        <v>14</v>
      </c>
      <c r="H145" s="8">
        <v>3.3</v>
      </c>
      <c r="I145" s="9">
        <v>27000</v>
      </c>
      <c r="J145" s="9">
        <f t="shared" si="2"/>
        <v>89100</v>
      </c>
      <c r="K145" s="6" t="s">
        <v>15</v>
      </c>
    </row>
    <row r="146" spans="1:11" x14ac:dyDescent="0.25">
      <c r="A146" s="4" t="s">
        <v>163</v>
      </c>
      <c r="B146" s="5" t="s">
        <v>118</v>
      </c>
      <c r="C146" s="4" t="s">
        <v>67</v>
      </c>
      <c r="D146" s="5" t="s">
        <v>167</v>
      </c>
      <c r="E146" s="7" t="s">
        <v>105</v>
      </c>
      <c r="F146" s="7" t="s">
        <v>104</v>
      </c>
      <c r="G146" s="7" t="s">
        <v>14</v>
      </c>
      <c r="H146" s="8">
        <v>0.5</v>
      </c>
      <c r="I146" s="9">
        <v>195000</v>
      </c>
      <c r="J146" s="9">
        <f t="shared" si="2"/>
        <v>97500</v>
      </c>
      <c r="K146" s="6" t="s">
        <v>15</v>
      </c>
    </row>
    <row r="147" spans="1:11" x14ac:dyDescent="0.25">
      <c r="A147" s="4" t="s">
        <v>163</v>
      </c>
      <c r="B147" s="5" t="s">
        <v>118</v>
      </c>
      <c r="C147" s="4" t="s">
        <v>67</v>
      </c>
      <c r="D147" s="5" t="s">
        <v>167</v>
      </c>
      <c r="E147" s="7" t="s">
        <v>47</v>
      </c>
      <c r="F147" s="7" t="s">
        <v>48</v>
      </c>
      <c r="G147" s="7" t="s">
        <v>14</v>
      </c>
      <c r="H147" s="8">
        <v>1.5</v>
      </c>
      <c r="I147" s="9">
        <v>21000</v>
      </c>
      <c r="J147" s="9">
        <f t="shared" si="2"/>
        <v>31500</v>
      </c>
      <c r="K147" s="6" t="s">
        <v>15</v>
      </c>
    </row>
    <row r="148" spans="1:11" x14ac:dyDescent="0.25">
      <c r="A148" s="4" t="s">
        <v>168</v>
      </c>
      <c r="B148" s="5" t="s">
        <v>118</v>
      </c>
      <c r="C148" s="4" t="s">
        <v>67</v>
      </c>
      <c r="D148" s="5" t="s">
        <v>169</v>
      </c>
      <c r="E148" s="7" t="s">
        <v>103</v>
      </c>
      <c r="F148" s="7" t="s">
        <v>102</v>
      </c>
      <c r="G148" s="7" t="s">
        <v>14</v>
      </c>
      <c r="H148" s="8">
        <v>3</v>
      </c>
      <c r="I148" s="9">
        <v>15000</v>
      </c>
      <c r="J148" s="9">
        <f t="shared" si="2"/>
        <v>45000</v>
      </c>
      <c r="K148" s="6" t="s">
        <v>15</v>
      </c>
    </row>
    <row r="149" spans="1:11" x14ac:dyDescent="0.25">
      <c r="A149" s="4" t="s">
        <v>168</v>
      </c>
      <c r="B149" s="5" t="s">
        <v>118</v>
      </c>
      <c r="C149" s="4" t="s">
        <v>67</v>
      </c>
      <c r="D149" s="5" t="s">
        <v>169</v>
      </c>
      <c r="E149" s="7" t="s">
        <v>12</v>
      </c>
      <c r="F149" s="7" t="s">
        <v>13</v>
      </c>
      <c r="G149" s="7" t="s">
        <v>14</v>
      </c>
      <c r="H149" s="8">
        <v>4.7</v>
      </c>
      <c r="I149" s="9">
        <v>19000</v>
      </c>
      <c r="J149" s="9">
        <f t="shared" si="2"/>
        <v>89300</v>
      </c>
      <c r="K149" s="6" t="s">
        <v>15</v>
      </c>
    </row>
    <row r="150" spans="1:11" ht="28.5" x14ac:dyDescent="0.25">
      <c r="A150" s="4" t="s">
        <v>168</v>
      </c>
      <c r="B150" s="5" t="s">
        <v>118</v>
      </c>
      <c r="C150" s="4" t="s">
        <v>67</v>
      </c>
      <c r="D150" s="5" t="s">
        <v>169</v>
      </c>
      <c r="E150" s="7" t="s">
        <v>16</v>
      </c>
      <c r="F150" s="7" t="s">
        <v>17</v>
      </c>
      <c r="G150" s="7" t="s">
        <v>18</v>
      </c>
      <c r="H150" s="8">
        <v>20</v>
      </c>
      <c r="I150" s="9">
        <v>8500</v>
      </c>
      <c r="J150" s="9">
        <f t="shared" si="2"/>
        <v>170000</v>
      </c>
      <c r="K150" s="6" t="s">
        <v>15</v>
      </c>
    </row>
    <row r="151" spans="1:11" x14ac:dyDescent="0.25">
      <c r="A151" s="4" t="s">
        <v>168</v>
      </c>
      <c r="B151" s="5" t="s">
        <v>118</v>
      </c>
      <c r="C151" s="4" t="s">
        <v>67</v>
      </c>
      <c r="D151" s="5" t="s">
        <v>169</v>
      </c>
      <c r="E151" s="7" t="s">
        <v>59</v>
      </c>
      <c r="F151" s="7" t="s">
        <v>60</v>
      </c>
      <c r="G151" s="7" t="s">
        <v>14</v>
      </c>
      <c r="H151" s="8">
        <v>8.3000000000000007</v>
      </c>
      <c r="I151" s="9">
        <v>30000</v>
      </c>
      <c r="J151" s="9">
        <f t="shared" si="2"/>
        <v>249000.00000000003</v>
      </c>
      <c r="K151" s="6" t="s">
        <v>15</v>
      </c>
    </row>
    <row r="152" spans="1:11" x14ac:dyDescent="0.25">
      <c r="A152" s="4" t="s">
        <v>168</v>
      </c>
      <c r="B152" s="5" t="s">
        <v>118</v>
      </c>
      <c r="C152" s="4" t="s">
        <v>67</v>
      </c>
      <c r="D152" s="5" t="s">
        <v>169</v>
      </c>
      <c r="E152" s="7" t="s">
        <v>101</v>
      </c>
      <c r="F152" s="7" t="s">
        <v>100</v>
      </c>
      <c r="G152" s="7" t="s">
        <v>14</v>
      </c>
      <c r="H152" s="8">
        <v>18.100000000000001</v>
      </c>
      <c r="I152" s="9">
        <v>40000</v>
      </c>
      <c r="J152" s="9">
        <f t="shared" si="2"/>
        <v>724000</v>
      </c>
      <c r="K152" s="6" t="s">
        <v>15</v>
      </c>
    </row>
    <row r="153" spans="1:11" x14ac:dyDescent="0.25">
      <c r="A153" s="4" t="s">
        <v>168</v>
      </c>
      <c r="B153" s="5" t="s">
        <v>118</v>
      </c>
      <c r="C153" s="4" t="s">
        <v>67</v>
      </c>
      <c r="D153" s="5" t="s">
        <v>169</v>
      </c>
      <c r="E153" s="7" t="s">
        <v>119</v>
      </c>
      <c r="F153" s="7" t="s">
        <v>120</v>
      </c>
      <c r="G153" s="7" t="s">
        <v>14</v>
      </c>
      <c r="H153" s="8">
        <v>2.7</v>
      </c>
      <c r="I153" s="9">
        <v>52000</v>
      </c>
      <c r="J153" s="9">
        <f t="shared" si="2"/>
        <v>140400</v>
      </c>
      <c r="K153" s="6" t="s">
        <v>15</v>
      </c>
    </row>
    <row r="154" spans="1:11" x14ac:dyDescent="0.25">
      <c r="A154" s="4" t="s">
        <v>168</v>
      </c>
      <c r="B154" s="5" t="s">
        <v>118</v>
      </c>
      <c r="C154" s="4" t="s">
        <v>67</v>
      </c>
      <c r="D154" s="5" t="s">
        <v>169</v>
      </c>
      <c r="E154" s="7" t="s">
        <v>109</v>
      </c>
      <c r="F154" s="7" t="s">
        <v>108</v>
      </c>
      <c r="G154" s="7" t="s">
        <v>14</v>
      </c>
      <c r="H154" s="8">
        <v>0.5</v>
      </c>
      <c r="I154" s="9">
        <v>75000</v>
      </c>
      <c r="J154" s="9">
        <f t="shared" si="2"/>
        <v>37500</v>
      </c>
      <c r="K154" s="6" t="s">
        <v>15</v>
      </c>
    </row>
    <row r="155" spans="1:11" ht="42.75" x14ac:dyDescent="0.25">
      <c r="A155" s="4" t="s">
        <v>168</v>
      </c>
      <c r="B155" s="5" t="s">
        <v>118</v>
      </c>
      <c r="C155" s="4" t="s">
        <v>67</v>
      </c>
      <c r="D155" s="5" t="s">
        <v>169</v>
      </c>
      <c r="E155" s="7" t="s">
        <v>99</v>
      </c>
      <c r="F155" s="7" t="s">
        <v>98</v>
      </c>
      <c r="G155" s="7" t="s">
        <v>14</v>
      </c>
      <c r="H155" s="8">
        <v>4</v>
      </c>
      <c r="I155" s="9">
        <v>30000</v>
      </c>
      <c r="J155" s="9">
        <f t="shared" si="2"/>
        <v>120000</v>
      </c>
      <c r="K155" s="6" t="s">
        <v>15</v>
      </c>
    </row>
    <row r="156" spans="1:11" x14ac:dyDescent="0.25">
      <c r="A156" s="4" t="s">
        <v>168</v>
      </c>
      <c r="B156" s="5" t="s">
        <v>118</v>
      </c>
      <c r="C156" s="4" t="s">
        <v>67</v>
      </c>
      <c r="D156" s="5" t="s">
        <v>169</v>
      </c>
      <c r="E156" s="7" t="s">
        <v>97</v>
      </c>
      <c r="F156" s="7" t="s">
        <v>96</v>
      </c>
      <c r="G156" s="7" t="s">
        <v>14</v>
      </c>
      <c r="H156" s="8">
        <v>0.9</v>
      </c>
      <c r="I156" s="9">
        <v>75000</v>
      </c>
      <c r="J156" s="9">
        <f t="shared" si="2"/>
        <v>67500</v>
      </c>
      <c r="K156" s="6" t="s">
        <v>15</v>
      </c>
    </row>
    <row r="157" spans="1:11" x14ac:dyDescent="0.25">
      <c r="A157" s="4" t="s">
        <v>168</v>
      </c>
      <c r="B157" s="5" t="s">
        <v>118</v>
      </c>
      <c r="C157" s="4" t="s">
        <v>67</v>
      </c>
      <c r="D157" s="5" t="s">
        <v>169</v>
      </c>
      <c r="E157" s="7" t="s">
        <v>95</v>
      </c>
      <c r="F157" s="7" t="s">
        <v>94</v>
      </c>
      <c r="G157" s="7" t="s">
        <v>14</v>
      </c>
      <c r="H157" s="8">
        <v>2</v>
      </c>
      <c r="I157" s="9">
        <v>44000</v>
      </c>
      <c r="J157" s="9">
        <f t="shared" si="2"/>
        <v>88000</v>
      </c>
      <c r="K157" s="6" t="s">
        <v>15</v>
      </c>
    </row>
    <row r="158" spans="1:11" x14ac:dyDescent="0.25">
      <c r="A158" s="4" t="s">
        <v>168</v>
      </c>
      <c r="B158" s="5" t="s">
        <v>118</v>
      </c>
      <c r="C158" s="4" t="s">
        <v>67</v>
      </c>
      <c r="D158" s="5" t="s">
        <v>169</v>
      </c>
      <c r="E158" s="7" t="s">
        <v>49</v>
      </c>
      <c r="F158" s="7" t="s">
        <v>50</v>
      </c>
      <c r="G158" s="7" t="s">
        <v>14</v>
      </c>
      <c r="H158" s="8">
        <v>1</v>
      </c>
      <c r="I158" s="9">
        <v>34000</v>
      </c>
      <c r="J158" s="9">
        <f t="shared" si="2"/>
        <v>34000</v>
      </c>
      <c r="K158" s="6" t="s">
        <v>15</v>
      </c>
    </row>
    <row r="159" spans="1:11" x14ac:dyDescent="0.25">
      <c r="A159" s="4" t="s">
        <v>168</v>
      </c>
      <c r="B159" s="5" t="s">
        <v>118</v>
      </c>
      <c r="C159" s="4" t="s">
        <v>67</v>
      </c>
      <c r="D159" s="5" t="s">
        <v>169</v>
      </c>
      <c r="E159" s="7" t="s">
        <v>93</v>
      </c>
      <c r="F159" s="7" t="s">
        <v>92</v>
      </c>
      <c r="G159" s="7" t="s">
        <v>14</v>
      </c>
      <c r="H159" s="8">
        <v>0.3</v>
      </c>
      <c r="I159" s="9">
        <v>95000</v>
      </c>
      <c r="J159" s="9">
        <f t="shared" si="2"/>
        <v>28500</v>
      </c>
      <c r="K159" s="6" t="s">
        <v>15</v>
      </c>
    </row>
    <row r="160" spans="1:11" x14ac:dyDescent="0.25">
      <c r="A160" s="4" t="s">
        <v>168</v>
      </c>
      <c r="B160" s="5" t="s">
        <v>118</v>
      </c>
      <c r="C160" s="4" t="s">
        <v>67</v>
      </c>
      <c r="D160" s="5" t="s">
        <v>169</v>
      </c>
      <c r="E160" s="7" t="s">
        <v>35</v>
      </c>
      <c r="F160" s="7" t="s">
        <v>36</v>
      </c>
      <c r="G160" s="7" t="s">
        <v>14</v>
      </c>
      <c r="H160" s="8">
        <v>2</v>
      </c>
      <c r="I160" s="9">
        <v>38000</v>
      </c>
      <c r="J160" s="9">
        <f t="shared" si="2"/>
        <v>76000</v>
      </c>
      <c r="K160" s="6" t="s">
        <v>15</v>
      </c>
    </row>
    <row r="161" spans="1:11" x14ac:dyDescent="0.25">
      <c r="A161" s="4" t="s">
        <v>168</v>
      </c>
      <c r="B161" s="5" t="s">
        <v>118</v>
      </c>
      <c r="C161" s="4" t="s">
        <v>67</v>
      </c>
      <c r="D161" s="5" t="s">
        <v>169</v>
      </c>
      <c r="E161" s="7" t="s">
        <v>113</v>
      </c>
      <c r="F161" s="7" t="s">
        <v>112</v>
      </c>
      <c r="G161" s="7" t="s">
        <v>14</v>
      </c>
      <c r="H161" s="8">
        <v>0.1</v>
      </c>
      <c r="I161" s="9">
        <v>25000</v>
      </c>
      <c r="J161" s="9">
        <f t="shared" si="2"/>
        <v>2500</v>
      </c>
      <c r="K161" s="6" t="s">
        <v>15</v>
      </c>
    </row>
    <row r="162" spans="1:11" x14ac:dyDescent="0.25">
      <c r="A162" s="4" t="s">
        <v>168</v>
      </c>
      <c r="B162" s="5" t="s">
        <v>118</v>
      </c>
      <c r="C162" s="4" t="s">
        <v>67</v>
      </c>
      <c r="D162" s="5" t="s">
        <v>169</v>
      </c>
      <c r="E162" s="7" t="s">
        <v>19</v>
      </c>
      <c r="F162" s="7" t="s">
        <v>20</v>
      </c>
      <c r="G162" s="7" t="s">
        <v>14</v>
      </c>
      <c r="H162" s="8">
        <v>4</v>
      </c>
      <c r="I162" s="9">
        <v>32000</v>
      </c>
      <c r="J162" s="9">
        <f t="shared" si="2"/>
        <v>128000</v>
      </c>
      <c r="K162" s="6" t="s">
        <v>15</v>
      </c>
    </row>
    <row r="163" spans="1:11" ht="28.5" x14ac:dyDescent="0.25">
      <c r="A163" s="4" t="s">
        <v>168</v>
      </c>
      <c r="B163" s="5" t="s">
        <v>118</v>
      </c>
      <c r="C163" s="4" t="s">
        <v>67</v>
      </c>
      <c r="D163" s="5" t="s">
        <v>169</v>
      </c>
      <c r="E163" s="7" t="s">
        <v>89</v>
      </c>
      <c r="F163" s="7" t="s">
        <v>88</v>
      </c>
      <c r="G163" s="7" t="s">
        <v>87</v>
      </c>
      <c r="H163" s="8">
        <v>9</v>
      </c>
      <c r="I163" s="9">
        <v>15000</v>
      </c>
      <c r="J163" s="9">
        <f t="shared" si="2"/>
        <v>135000</v>
      </c>
      <c r="K163" s="6" t="s">
        <v>15</v>
      </c>
    </row>
    <row r="164" spans="1:11" x14ac:dyDescent="0.25">
      <c r="A164" s="4" t="s">
        <v>168</v>
      </c>
      <c r="B164" s="5" t="s">
        <v>118</v>
      </c>
      <c r="C164" s="4" t="s">
        <v>67</v>
      </c>
      <c r="D164" s="5" t="s">
        <v>169</v>
      </c>
      <c r="E164" s="7" t="s">
        <v>51</v>
      </c>
      <c r="F164" s="7" t="s">
        <v>52</v>
      </c>
      <c r="G164" s="7" t="s">
        <v>14</v>
      </c>
      <c r="H164" s="8">
        <v>50.5</v>
      </c>
      <c r="I164" s="9">
        <v>18000</v>
      </c>
      <c r="J164" s="9">
        <f t="shared" si="2"/>
        <v>909000</v>
      </c>
      <c r="K164" s="6" t="s">
        <v>15</v>
      </c>
    </row>
    <row r="165" spans="1:11" x14ac:dyDescent="0.25">
      <c r="A165" s="4" t="s">
        <v>168</v>
      </c>
      <c r="B165" s="5" t="s">
        <v>118</v>
      </c>
      <c r="C165" s="4" t="s">
        <v>67</v>
      </c>
      <c r="D165" s="5" t="s">
        <v>169</v>
      </c>
      <c r="E165" s="7" t="s">
        <v>21</v>
      </c>
      <c r="F165" s="7" t="s">
        <v>22</v>
      </c>
      <c r="G165" s="7" t="s">
        <v>14</v>
      </c>
      <c r="H165" s="8">
        <v>4</v>
      </c>
      <c r="I165" s="9">
        <v>55000</v>
      </c>
      <c r="J165" s="9">
        <f t="shared" si="2"/>
        <v>220000</v>
      </c>
      <c r="K165" s="6" t="s">
        <v>15</v>
      </c>
    </row>
    <row r="166" spans="1:11" x14ac:dyDescent="0.25">
      <c r="A166" s="4" t="s">
        <v>168</v>
      </c>
      <c r="B166" s="5" t="s">
        <v>118</v>
      </c>
      <c r="C166" s="4" t="s">
        <v>67</v>
      </c>
      <c r="D166" s="5" t="s">
        <v>169</v>
      </c>
      <c r="E166" s="7" t="s">
        <v>25</v>
      </c>
      <c r="F166" s="7" t="s">
        <v>26</v>
      </c>
      <c r="G166" s="7" t="s">
        <v>14</v>
      </c>
      <c r="H166" s="8">
        <v>0.1</v>
      </c>
      <c r="I166" s="9">
        <v>65000</v>
      </c>
      <c r="J166" s="9">
        <f t="shared" si="2"/>
        <v>6500</v>
      </c>
      <c r="K166" s="6" t="s">
        <v>15</v>
      </c>
    </row>
    <row r="167" spans="1:11" x14ac:dyDescent="0.25">
      <c r="A167" s="4" t="s">
        <v>168</v>
      </c>
      <c r="B167" s="5" t="s">
        <v>118</v>
      </c>
      <c r="C167" s="4" t="s">
        <v>67</v>
      </c>
      <c r="D167" s="5" t="s">
        <v>169</v>
      </c>
      <c r="E167" s="7" t="s">
        <v>84</v>
      </c>
      <c r="F167" s="7" t="s">
        <v>83</v>
      </c>
      <c r="G167" s="7" t="s">
        <v>14</v>
      </c>
      <c r="H167" s="8">
        <v>0.5</v>
      </c>
      <c r="I167" s="9">
        <v>23000</v>
      </c>
      <c r="J167" s="9">
        <f t="shared" si="2"/>
        <v>11500</v>
      </c>
      <c r="K167" s="6" t="s">
        <v>15</v>
      </c>
    </row>
    <row r="168" spans="1:11" x14ac:dyDescent="0.25">
      <c r="A168" s="4" t="s">
        <v>168</v>
      </c>
      <c r="B168" s="5" t="s">
        <v>118</v>
      </c>
      <c r="C168" s="4" t="s">
        <v>67</v>
      </c>
      <c r="D168" s="5" t="s">
        <v>169</v>
      </c>
      <c r="E168" s="7" t="s">
        <v>82</v>
      </c>
      <c r="F168" s="7" t="s">
        <v>81</v>
      </c>
      <c r="G168" s="7" t="s">
        <v>14</v>
      </c>
      <c r="H168" s="8">
        <v>1</v>
      </c>
      <c r="I168" s="9">
        <v>18000</v>
      </c>
      <c r="J168" s="9">
        <f t="shared" si="2"/>
        <v>18000</v>
      </c>
      <c r="K168" s="6" t="s">
        <v>15</v>
      </c>
    </row>
    <row r="169" spans="1:11" x14ac:dyDescent="0.25">
      <c r="A169" s="4" t="s">
        <v>168</v>
      </c>
      <c r="B169" s="5" t="s">
        <v>118</v>
      </c>
      <c r="C169" s="4" t="s">
        <v>67</v>
      </c>
      <c r="D169" s="5" t="s">
        <v>169</v>
      </c>
      <c r="E169" s="7" t="s">
        <v>37</v>
      </c>
      <c r="F169" s="7" t="s">
        <v>38</v>
      </c>
      <c r="G169" s="7" t="s">
        <v>14</v>
      </c>
      <c r="H169" s="8">
        <v>5.6</v>
      </c>
      <c r="I169" s="9">
        <v>27000</v>
      </c>
      <c r="J169" s="9">
        <f t="shared" si="2"/>
        <v>151200</v>
      </c>
      <c r="K169" s="6" t="s">
        <v>15</v>
      </c>
    </row>
    <row r="170" spans="1:11" ht="28.5" x14ac:dyDescent="0.25">
      <c r="A170" s="4" t="s">
        <v>168</v>
      </c>
      <c r="B170" s="5" t="s">
        <v>118</v>
      </c>
      <c r="C170" s="4" t="s">
        <v>67</v>
      </c>
      <c r="D170" s="5" t="s">
        <v>169</v>
      </c>
      <c r="E170" s="7" t="s">
        <v>39</v>
      </c>
      <c r="F170" s="7" t="s">
        <v>40</v>
      </c>
      <c r="G170" s="7" t="s">
        <v>14</v>
      </c>
      <c r="H170" s="8">
        <v>5</v>
      </c>
      <c r="I170" s="9">
        <v>145000</v>
      </c>
      <c r="J170" s="9">
        <f t="shared" si="2"/>
        <v>725000</v>
      </c>
      <c r="K170" s="6" t="s">
        <v>15</v>
      </c>
    </row>
    <row r="171" spans="1:11" x14ac:dyDescent="0.25">
      <c r="A171" s="4" t="s">
        <v>168</v>
      </c>
      <c r="B171" s="5" t="s">
        <v>118</v>
      </c>
      <c r="C171" s="4" t="s">
        <v>67</v>
      </c>
      <c r="D171" s="5" t="s">
        <v>169</v>
      </c>
      <c r="E171" s="7" t="s">
        <v>53</v>
      </c>
      <c r="F171" s="7" t="s">
        <v>54</v>
      </c>
      <c r="G171" s="7" t="s">
        <v>14</v>
      </c>
      <c r="H171" s="8">
        <v>3</v>
      </c>
      <c r="I171" s="9">
        <v>47000</v>
      </c>
      <c r="J171" s="9">
        <f t="shared" si="2"/>
        <v>141000</v>
      </c>
      <c r="K171" s="6" t="s">
        <v>15</v>
      </c>
    </row>
    <row r="172" spans="1:11" x14ac:dyDescent="0.25">
      <c r="A172" s="4" t="s">
        <v>168</v>
      </c>
      <c r="B172" s="5" t="s">
        <v>118</v>
      </c>
      <c r="C172" s="4" t="s">
        <v>67</v>
      </c>
      <c r="D172" s="5" t="s">
        <v>169</v>
      </c>
      <c r="E172" s="7" t="s">
        <v>80</v>
      </c>
      <c r="F172" s="7" t="s">
        <v>79</v>
      </c>
      <c r="G172" s="7" t="s">
        <v>14</v>
      </c>
      <c r="H172" s="8">
        <v>2</v>
      </c>
      <c r="I172" s="9">
        <v>90000</v>
      </c>
      <c r="J172" s="9">
        <f t="shared" si="2"/>
        <v>180000</v>
      </c>
      <c r="K172" s="6" t="s">
        <v>15</v>
      </c>
    </row>
    <row r="173" spans="1:11" x14ac:dyDescent="0.25">
      <c r="A173" s="4" t="s">
        <v>168</v>
      </c>
      <c r="B173" s="5" t="s">
        <v>118</v>
      </c>
      <c r="C173" s="4" t="s">
        <v>67</v>
      </c>
      <c r="D173" s="5" t="s">
        <v>169</v>
      </c>
      <c r="E173" s="7" t="s">
        <v>61</v>
      </c>
      <c r="F173" s="7" t="s">
        <v>62</v>
      </c>
      <c r="G173" s="7" t="s">
        <v>14</v>
      </c>
      <c r="H173" s="8">
        <v>1</v>
      </c>
      <c r="I173" s="9">
        <v>80000</v>
      </c>
      <c r="J173" s="9">
        <f t="shared" si="2"/>
        <v>80000</v>
      </c>
      <c r="K173" s="6" t="s">
        <v>15</v>
      </c>
    </row>
    <row r="174" spans="1:11" ht="28.5" x14ac:dyDescent="0.25">
      <c r="A174" s="4" t="s">
        <v>168</v>
      </c>
      <c r="B174" s="5" t="s">
        <v>118</v>
      </c>
      <c r="C174" s="4" t="s">
        <v>67</v>
      </c>
      <c r="D174" s="5" t="s">
        <v>169</v>
      </c>
      <c r="E174" s="7" t="s">
        <v>29</v>
      </c>
      <c r="F174" s="7" t="s">
        <v>30</v>
      </c>
      <c r="G174" s="7" t="s">
        <v>14</v>
      </c>
      <c r="H174" s="8">
        <v>7</v>
      </c>
      <c r="I174" s="9">
        <v>45000</v>
      </c>
      <c r="J174" s="9">
        <f t="shared" si="2"/>
        <v>315000</v>
      </c>
      <c r="K174" s="6" t="s">
        <v>15</v>
      </c>
    </row>
    <row r="175" spans="1:11" ht="28.5" x14ac:dyDescent="0.25">
      <c r="A175" s="4" t="s">
        <v>168</v>
      </c>
      <c r="B175" s="5" t="s">
        <v>118</v>
      </c>
      <c r="C175" s="4" t="s">
        <v>67</v>
      </c>
      <c r="D175" s="5" t="s">
        <v>169</v>
      </c>
      <c r="E175" s="7" t="s">
        <v>78</v>
      </c>
      <c r="F175" s="7" t="s">
        <v>77</v>
      </c>
      <c r="G175" s="7" t="s">
        <v>14</v>
      </c>
      <c r="H175" s="8">
        <v>1</v>
      </c>
      <c r="I175" s="9">
        <v>90000</v>
      </c>
      <c r="J175" s="9">
        <f t="shared" si="2"/>
        <v>90000</v>
      </c>
      <c r="K175" s="6" t="s">
        <v>15</v>
      </c>
    </row>
    <row r="176" spans="1:11" x14ac:dyDescent="0.25">
      <c r="A176" s="4" t="s">
        <v>168</v>
      </c>
      <c r="B176" s="5" t="s">
        <v>118</v>
      </c>
      <c r="C176" s="4" t="s">
        <v>67</v>
      </c>
      <c r="D176" s="5" t="s">
        <v>169</v>
      </c>
      <c r="E176" s="7" t="s">
        <v>63</v>
      </c>
      <c r="F176" s="7" t="s">
        <v>64</v>
      </c>
      <c r="G176" s="7" t="s">
        <v>14</v>
      </c>
      <c r="H176" s="8">
        <v>3.5</v>
      </c>
      <c r="I176" s="9">
        <v>45000</v>
      </c>
      <c r="J176" s="9">
        <f t="shared" si="2"/>
        <v>157500</v>
      </c>
      <c r="K176" s="6" t="s">
        <v>15</v>
      </c>
    </row>
    <row r="177" spans="1:11" x14ac:dyDescent="0.25">
      <c r="A177" s="4" t="s">
        <v>168</v>
      </c>
      <c r="B177" s="5" t="s">
        <v>118</v>
      </c>
      <c r="C177" s="4" t="s">
        <v>67</v>
      </c>
      <c r="D177" s="5" t="s">
        <v>169</v>
      </c>
      <c r="E177" s="7" t="s">
        <v>41</v>
      </c>
      <c r="F177" s="7" t="s">
        <v>42</v>
      </c>
      <c r="G177" s="7" t="s">
        <v>14</v>
      </c>
      <c r="H177" s="8">
        <v>2</v>
      </c>
      <c r="I177" s="9">
        <v>145000</v>
      </c>
      <c r="J177" s="9">
        <f t="shared" si="2"/>
        <v>290000</v>
      </c>
      <c r="K177" s="6" t="s">
        <v>15</v>
      </c>
    </row>
    <row r="178" spans="1:11" x14ac:dyDescent="0.25">
      <c r="A178" s="4" t="s">
        <v>168</v>
      </c>
      <c r="B178" s="5" t="s">
        <v>118</v>
      </c>
      <c r="C178" s="4" t="s">
        <v>67</v>
      </c>
      <c r="D178" s="5" t="s">
        <v>169</v>
      </c>
      <c r="E178" s="7" t="s">
        <v>57</v>
      </c>
      <c r="F178" s="7" t="s">
        <v>58</v>
      </c>
      <c r="G178" s="7" t="s">
        <v>14</v>
      </c>
      <c r="H178" s="8">
        <v>0.3</v>
      </c>
      <c r="I178" s="9">
        <v>148000</v>
      </c>
      <c r="J178" s="9">
        <f t="shared" si="2"/>
        <v>44400</v>
      </c>
      <c r="K178" s="6" t="s">
        <v>15</v>
      </c>
    </row>
    <row r="179" spans="1:11" x14ac:dyDescent="0.25">
      <c r="A179" s="4" t="s">
        <v>168</v>
      </c>
      <c r="B179" s="5" t="s">
        <v>118</v>
      </c>
      <c r="C179" s="4" t="s">
        <v>67</v>
      </c>
      <c r="D179" s="5" t="s">
        <v>169</v>
      </c>
      <c r="E179" s="7" t="s">
        <v>157</v>
      </c>
      <c r="F179" s="7" t="s">
        <v>158</v>
      </c>
      <c r="G179" s="7" t="s">
        <v>14</v>
      </c>
      <c r="H179" s="8">
        <v>0.5</v>
      </c>
      <c r="I179" s="9">
        <v>36000</v>
      </c>
      <c r="J179" s="9">
        <f t="shared" si="2"/>
        <v>18000</v>
      </c>
      <c r="K179" s="6" t="s">
        <v>15</v>
      </c>
    </row>
    <row r="180" spans="1:11" x14ac:dyDescent="0.25">
      <c r="A180" s="4" t="s">
        <v>168</v>
      </c>
      <c r="B180" s="5" t="s">
        <v>118</v>
      </c>
      <c r="C180" s="4" t="s">
        <v>67</v>
      </c>
      <c r="D180" s="5" t="s">
        <v>169</v>
      </c>
      <c r="E180" s="7" t="s">
        <v>45</v>
      </c>
      <c r="F180" s="7" t="s">
        <v>46</v>
      </c>
      <c r="G180" s="7" t="s">
        <v>14</v>
      </c>
      <c r="H180" s="8">
        <v>1</v>
      </c>
      <c r="I180" s="9">
        <v>12000</v>
      </c>
      <c r="J180" s="9">
        <f t="shared" si="2"/>
        <v>12000</v>
      </c>
      <c r="K180" s="6" t="s">
        <v>15</v>
      </c>
    </row>
    <row r="181" spans="1:11" x14ac:dyDescent="0.25">
      <c r="A181" s="4" t="s">
        <v>168</v>
      </c>
      <c r="B181" s="5" t="s">
        <v>118</v>
      </c>
      <c r="C181" s="4" t="s">
        <v>67</v>
      </c>
      <c r="D181" s="5" t="s">
        <v>169</v>
      </c>
      <c r="E181" s="7" t="s">
        <v>47</v>
      </c>
      <c r="F181" s="7" t="s">
        <v>48</v>
      </c>
      <c r="G181" s="7" t="s">
        <v>14</v>
      </c>
      <c r="H181" s="8">
        <v>2</v>
      </c>
      <c r="I181" s="9">
        <v>21000</v>
      </c>
      <c r="J181" s="9">
        <f t="shared" si="2"/>
        <v>42000</v>
      </c>
      <c r="K181" s="6" t="s">
        <v>15</v>
      </c>
    </row>
    <row r="182" spans="1:11" x14ac:dyDescent="0.25">
      <c r="A182" s="4" t="s">
        <v>168</v>
      </c>
      <c r="B182" s="5" t="s">
        <v>118</v>
      </c>
      <c r="C182" s="4" t="s">
        <v>67</v>
      </c>
      <c r="D182" s="5" t="s">
        <v>169</v>
      </c>
      <c r="E182" s="7" t="s">
        <v>27</v>
      </c>
      <c r="F182" s="7" t="s">
        <v>28</v>
      </c>
      <c r="G182" s="7" t="s">
        <v>14</v>
      </c>
      <c r="H182" s="8">
        <v>4</v>
      </c>
      <c r="I182" s="9">
        <v>50000</v>
      </c>
      <c r="J182" s="9">
        <f t="shared" si="2"/>
        <v>200000</v>
      </c>
      <c r="K182" s="6" t="s">
        <v>15</v>
      </c>
    </row>
    <row r="183" spans="1:11" x14ac:dyDescent="0.25">
      <c r="A183" s="4" t="s">
        <v>168</v>
      </c>
      <c r="B183" s="5" t="s">
        <v>118</v>
      </c>
      <c r="C183" s="4" t="s">
        <v>67</v>
      </c>
      <c r="D183" s="5" t="s">
        <v>169</v>
      </c>
      <c r="E183" s="7" t="s">
        <v>72</v>
      </c>
      <c r="F183" s="7" t="s">
        <v>71</v>
      </c>
      <c r="G183" s="7" t="s">
        <v>70</v>
      </c>
      <c r="H183" s="8">
        <v>50</v>
      </c>
      <c r="I183" s="9">
        <v>5000</v>
      </c>
      <c r="J183" s="9">
        <f t="shared" si="2"/>
        <v>250000</v>
      </c>
      <c r="K183" s="6" t="s">
        <v>15</v>
      </c>
    </row>
    <row r="184" spans="1:11" x14ac:dyDescent="0.25">
      <c r="A184" s="4" t="s">
        <v>168</v>
      </c>
      <c r="B184" s="5" t="s">
        <v>118</v>
      </c>
      <c r="C184" s="4" t="s">
        <v>67</v>
      </c>
      <c r="D184" s="5" t="s">
        <v>169</v>
      </c>
      <c r="E184" s="7" t="s">
        <v>69</v>
      </c>
      <c r="F184" s="7" t="s">
        <v>68</v>
      </c>
      <c r="G184" s="7" t="s">
        <v>14</v>
      </c>
      <c r="H184" s="8">
        <v>0.1</v>
      </c>
      <c r="I184" s="9">
        <v>220000</v>
      </c>
      <c r="J184" s="9">
        <f t="shared" si="2"/>
        <v>22000</v>
      </c>
      <c r="K184" s="6" t="s">
        <v>15</v>
      </c>
    </row>
    <row r="185" spans="1:11" x14ac:dyDescent="0.25">
      <c r="A185" s="4" t="s">
        <v>168</v>
      </c>
      <c r="B185" s="5" t="s">
        <v>118</v>
      </c>
      <c r="C185" s="4" t="s">
        <v>67</v>
      </c>
      <c r="D185" s="5" t="s">
        <v>169</v>
      </c>
      <c r="E185" s="7" t="s">
        <v>66</v>
      </c>
      <c r="F185" s="7" t="s">
        <v>65</v>
      </c>
      <c r="G185" s="7" t="s">
        <v>14</v>
      </c>
      <c r="H185" s="8">
        <v>6</v>
      </c>
      <c r="I185" s="9">
        <v>62000</v>
      </c>
      <c r="J185" s="9">
        <f t="shared" si="2"/>
        <v>372000</v>
      </c>
      <c r="K185" s="6" t="s">
        <v>15</v>
      </c>
    </row>
    <row r="186" spans="1:11" x14ac:dyDescent="0.25">
      <c r="A186" s="4" t="s">
        <v>168</v>
      </c>
      <c r="B186" s="5" t="s">
        <v>118</v>
      </c>
      <c r="C186" s="4" t="s">
        <v>67</v>
      </c>
      <c r="D186" s="5" t="s">
        <v>170</v>
      </c>
      <c r="E186" s="7" t="s">
        <v>91</v>
      </c>
      <c r="F186" s="7" t="s">
        <v>90</v>
      </c>
      <c r="G186" s="7" t="s">
        <v>14</v>
      </c>
      <c r="H186" s="8">
        <v>2.1</v>
      </c>
      <c r="I186" s="9">
        <v>47000</v>
      </c>
      <c r="J186" s="9">
        <f t="shared" si="2"/>
        <v>98700</v>
      </c>
      <c r="K186" s="6" t="s">
        <v>15</v>
      </c>
    </row>
    <row r="187" spans="1:11" x14ac:dyDescent="0.25">
      <c r="A187" s="4" t="s">
        <v>168</v>
      </c>
      <c r="B187" s="5" t="s">
        <v>118</v>
      </c>
      <c r="C187" s="4" t="s">
        <v>67</v>
      </c>
      <c r="D187" s="5" t="s">
        <v>170</v>
      </c>
      <c r="E187" s="7" t="s">
        <v>82</v>
      </c>
      <c r="F187" s="7" t="s">
        <v>81</v>
      </c>
      <c r="G187" s="7" t="s">
        <v>14</v>
      </c>
      <c r="H187" s="8">
        <v>0.9</v>
      </c>
      <c r="I187" s="9">
        <v>18000</v>
      </c>
      <c r="J187" s="9">
        <f t="shared" si="2"/>
        <v>16200</v>
      </c>
      <c r="K187" s="6" t="s">
        <v>15</v>
      </c>
    </row>
    <row r="188" spans="1:11" x14ac:dyDescent="0.25">
      <c r="A188" s="4" t="s">
        <v>168</v>
      </c>
      <c r="B188" s="5" t="s">
        <v>118</v>
      </c>
      <c r="C188" s="4" t="s">
        <v>67</v>
      </c>
      <c r="D188" s="5" t="s">
        <v>170</v>
      </c>
      <c r="E188" s="7" t="s">
        <v>37</v>
      </c>
      <c r="F188" s="7" t="s">
        <v>38</v>
      </c>
      <c r="G188" s="7" t="s">
        <v>14</v>
      </c>
      <c r="H188" s="8">
        <v>3.3</v>
      </c>
      <c r="I188" s="9">
        <v>27000</v>
      </c>
      <c r="J188" s="9">
        <f t="shared" si="2"/>
        <v>89100</v>
      </c>
      <c r="K188" s="6" t="s">
        <v>15</v>
      </c>
    </row>
    <row r="189" spans="1:11" x14ac:dyDescent="0.25">
      <c r="A189" s="4" t="s">
        <v>171</v>
      </c>
      <c r="B189" s="5" t="s">
        <v>118</v>
      </c>
      <c r="C189" s="4" t="s">
        <v>67</v>
      </c>
      <c r="D189" s="5" t="s">
        <v>172</v>
      </c>
      <c r="E189" s="7" t="s">
        <v>103</v>
      </c>
      <c r="F189" s="7" t="s">
        <v>102</v>
      </c>
      <c r="G189" s="7" t="s">
        <v>14</v>
      </c>
      <c r="H189" s="8">
        <v>2.5</v>
      </c>
      <c r="I189" s="9">
        <v>15000</v>
      </c>
      <c r="J189" s="9">
        <f t="shared" si="2"/>
        <v>37500</v>
      </c>
      <c r="K189" s="6" t="s">
        <v>15</v>
      </c>
    </row>
    <row r="190" spans="1:11" x14ac:dyDescent="0.25">
      <c r="A190" s="4" t="s">
        <v>171</v>
      </c>
      <c r="B190" s="5" t="s">
        <v>118</v>
      </c>
      <c r="C190" s="4" t="s">
        <v>67</v>
      </c>
      <c r="D190" s="5" t="s">
        <v>172</v>
      </c>
      <c r="E190" s="7" t="s">
        <v>91</v>
      </c>
      <c r="F190" s="7" t="s">
        <v>90</v>
      </c>
      <c r="G190" s="7" t="s">
        <v>14</v>
      </c>
      <c r="H190" s="8">
        <v>1.6</v>
      </c>
      <c r="I190" s="9">
        <v>47000</v>
      </c>
      <c r="J190" s="9">
        <f t="shared" si="2"/>
        <v>75200</v>
      </c>
      <c r="K190" s="6" t="s">
        <v>15</v>
      </c>
    </row>
    <row r="191" spans="1:11" x14ac:dyDescent="0.25">
      <c r="A191" s="4" t="s">
        <v>171</v>
      </c>
      <c r="B191" s="5" t="s">
        <v>118</v>
      </c>
      <c r="C191" s="4" t="s">
        <v>67</v>
      </c>
      <c r="D191" s="5" t="s">
        <v>172</v>
      </c>
      <c r="E191" s="7" t="s">
        <v>31</v>
      </c>
      <c r="F191" s="7" t="s">
        <v>32</v>
      </c>
      <c r="G191" s="7" t="s">
        <v>14</v>
      </c>
      <c r="H191" s="8">
        <v>0.3</v>
      </c>
      <c r="I191" s="9">
        <v>80000</v>
      </c>
      <c r="J191" s="9">
        <f t="shared" si="2"/>
        <v>24000</v>
      </c>
      <c r="K191" s="6" t="s">
        <v>15</v>
      </c>
    </row>
    <row r="192" spans="1:11" x14ac:dyDescent="0.25">
      <c r="A192" s="4" t="s">
        <v>171</v>
      </c>
      <c r="B192" s="5" t="s">
        <v>118</v>
      </c>
      <c r="C192" s="4" t="s">
        <v>67</v>
      </c>
      <c r="D192" s="5" t="s">
        <v>173</v>
      </c>
      <c r="E192" s="7" t="s">
        <v>103</v>
      </c>
      <c r="F192" s="7" t="s">
        <v>102</v>
      </c>
      <c r="G192" s="7" t="s">
        <v>14</v>
      </c>
      <c r="H192" s="8">
        <v>2.5</v>
      </c>
      <c r="I192" s="9">
        <v>15000</v>
      </c>
      <c r="J192" s="9">
        <f t="shared" si="2"/>
        <v>37500</v>
      </c>
      <c r="K192" s="6" t="s">
        <v>15</v>
      </c>
    </row>
    <row r="193" spans="1:11" ht="28.5" x14ac:dyDescent="0.25">
      <c r="A193" s="4" t="s">
        <v>171</v>
      </c>
      <c r="B193" s="5" t="s">
        <v>118</v>
      </c>
      <c r="C193" s="4" t="s">
        <v>67</v>
      </c>
      <c r="D193" s="5" t="s">
        <v>173</v>
      </c>
      <c r="E193" s="7" t="s">
        <v>16</v>
      </c>
      <c r="F193" s="7" t="s">
        <v>17</v>
      </c>
      <c r="G193" s="7" t="s">
        <v>18</v>
      </c>
      <c r="H193" s="8">
        <v>12</v>
      </c>
      <c r="I193" s="9">
        <v>8500</v>
      </c>
      <c r="J193" s="9">
        <f t="shared" si="2"/>
        <v>102000</v>
      </c>
      <c r="K193" s="6" t="s">
        <v>15</v>
      </c>
    </row>
    <row r="194" spans="1:11" x14ac:dyDescent="0.25">
      <c r="A194" s="4" t="s">
        <v>171</v>
      </c>
      <c r="B194" s="5" t="s">
        <v>118</v>
      </c>
      <c r="C194" s="4" t="s">
        <v>67</v>
      </c>
      <c r="D194" s="5" t="s">
        <v>173</v>
      </c>
      <c r="E194" s="7" t="s">
        <v>59</v>
      </c>
      <c r="F194" s="7" t="s">
        <v>60</v>
      </c>
      <c r="G194" s="7" t="s">
        <v>14</v>
      </c>
      <c r="H194" s="8">
        <v>6.2</v>
      </c>
      <c r="I194" s="9">
        <v>30000</v>
      </c>
      <c r="J194" s="9">
        <f t="shared" si="2"/>
        <v>186000</v>
      </c>
      <c r="K194" s="6" t="s">
        <v>15</v>
      </c>
    </row>
    <row r="195" spans="1:11" x14ac:dyDescent="0.25">
      <c r="A195" s="4" t="s">
        <v>171</v>
      </c>
      <c r="B195" s="5" t="s">
        <v>118</v>
      </c>
      <c r="C195" s="4" t="s">
        <v>67</v>
      </c>
      <c r="D195" s="5" t="s">
        <v>173</v>
      </c>
      <c r="E195" s="7" t="s">
        <v>101</v>
      </c>
      <c r="F195" s="7" t="s">
        <v>100</v>
      </c>
      <c r="G195" s="7" t="s">
        <v>14</v>
      </c>
      <c r="H195" s="8">
        <v>15</v>
      </c>
      <c r="I195" s="9">
        <v>40000</v>
      </c>
      <c r="J195" s="9">
        <f t="shared" si="2"/>
        <v>600000</v>
      </c>
      <c r="K195" s="6" t="s">
        <v>15</v>
      </c>
    </row>
    <row r="196" spans="1:11" ht="42.75" x14ac:dyDescent="0.25">
      <c r="A196" s="4" t="s">
        <v>171</v>
      </c>
      <c r="B196" s="5" t="s">
        <v>118</v>
      </c>
      <c r="C196" s="4" t="s">
        <v>67</v>
      </c>
      <c r="D196" s="5" t="s">
        <v>173</v>
      </c>
      <c r="E196" s="7" t="s">
        <v>99</v>
      </c>
      <c r="F196" s="7" t="s">
        <v>98</v>
      </c>
      <c r="G196" s="7" t="s">
        <v>14</v>
      </c>
      <c r="H196" s="8">
        <v>3</v>
      </c>
      <c r="I196" s="9">
        <v>30000</v>
      </c>
      <c r="J196" s="9">
        <f t="shared" si="2"/>
        <v>90000</v>
      </c>
      <c r="K196" s="6" t="s">
        <v>15</v>
      </c>
    </row>
    <row r="197" spans="1:11" x14ac:dyDescent="0.25">
      <c r="A197" s="4" t="s">
        <v>171</v>
      </c>
      <c r="B197" s="5" t="s">
        <v>118</v>
      </c>
      <c r="C197" s="4" t="s">
        <v>67</v>
      </c>
      <c r="D197" s="5" t="s">
        <v>173</v>
      </c>
      <c r="E197" s="7" t="s">
        <v>95</v>
      </c>
      <c r="F197" s="7" t="s">
        <v>94</v>
      </c>
      <c r="G197" s="7" t="s">
        <v>14</v>
      </c>
      <c r="H197" s="8">
        <v>1.7</v>
      </c>
      <c r="I197" s="9">
        <v>44000</v>
      </c>
      <c r="J197" s="9">
        <f t="shared" si="2"/>
        <v>74800</v>
      </c>
      <c r="K197" s="6" t="s">
        <v>15</v>
      </c>
    </row>
    <row r="198" spans="1:11" x14ac:dyDescent="0.25">
      <c r="A198" s="4" t="s">
        <v>171</v>
      </c>
      <c r="B198" s="5" t="s">
        <v>118</v>
      </c>
      <c r="C198" s="4" t="s">
        <v>67</v>
      </c>
      <c r="D198" s="5" t="s">
        <v>173</v>
      </c>
      <c r="E198" s="7" t="s">
        <v>33</v>
      </c>
      <c r="F198" s="7" t="s">
        <v>34</v>
      </c>
      <c r="G198" s="7" t="s">
        <v>14</v>
      </c>
      <c r="H198" s="8">
        <v>2</v>
      </c>
      <c r="I198" s="9">
        <v>22000</v>
      </c>
      <c r="J198" s="9">
        <f t="shared" si="2"/>
        <v>44000</v>
      </c>
      <c r="K198" s="6" t="s">
        <v>15</v>
      </c>
    </row>
    <row r="199" spans="1:11" x14ac:dyDescent="0.25">
      <c r="A199" s="4" t="s">
        <v>171</v>
      </c>
      <c r="B199" s="5" t="s">
        <v>118</v>
      </c>
      <c r="C199" s="4" t="s">
        <v>67</v>
      </c>
      <c r="D199" s="5" t="s">
        <v>173</v>
      </c>
      <c r="E199" s="7" t="s">
        <v>35</v>
      </c>
      <c r="F199" s="7" t="s">
        <v>36</v>
      </c>
      <c r="G199" s="7" t="s">
        <v>14</v>
      </c>
      <c r="H199" s="8">
        <v>0.8</v>
      </c>
      <c r="I199" s="9">
        <v>38000</v>
      </c>
      <c r="J199" s="9">
        <f t="shared" si="2"/>
        <v>30400</v>
      </c>
      <c r="K199" s="6" t="s">
        <v>15</v>
      </c>
    </row>
    <row r="200" spans="1:11" x14ac:dyDescent="0.25">
      <c r="A200" s="4" t="s">
        <v>171</v>
      </c>
      <c r="B200" s="5" t="s">
        <v>118</v>
      </c>
      <c r="C200" s="4" t="s">
        <v>67</v>
      </c>
      <c r="D200" s="5" t="s">
        <v>173</v>
      </c>
      <c r="E200" s="7" t="s">
        <v>113</v>
      </c>
      <c r="F200" s="7" t="s">
        <v>112</v>
      </c>
      <c r="G200" s="7" t="s">
        <v>14</v>
      </c>
      <c r="H200" s="8">
        <v>0.1</v>
      </c>
      <c r="I200" s="9">
        <v>25000</v>
      </c>
      <c r="J200" s="9">
        <f t="shared" si="2"/>
        <v>2500</v>
      </c>
      <c r="K200" s="6" t="s">
        <v>15</v>
      </c>
    </row>
    <row r="201" spans="1:11" x14ac:dyDescent="0.25">
      <c r="A201" s="4" t="s">
        <v>171</v>
      </c>
      <c r="B201" s="5" t="s">
        <v>118</v>
      </c>
      <c r="C201" s="4" t="s">
        <v>67</v>
      </c>
      <c r="D201" s="5" t="s">
        <v>173</v>
      </c>
      <c r="E201" s="7" t="s">
        <v>19</v>
      </c>
      <c r="F201" s="7" t="s">
        <v>20</v>
      </c>
      <c r="G201" s="7" t="s">
        <v>14</v>
      </c>
      <c r="H201" s="8">
        <v>3</v>
      </c>
      <c r="I201" s="9">
        <v>32000</v>
      </c>
      <c r="J201" s="9">
        <f t="shared" si="2"/>
        <v>96000</v>
      </c>
      <c r="K201" s="6" t="s">
        <v>15</v>
      </c>
    </row>
    <row r="202" spans="1:11" x14ac:dyDescent="0.25">
      <c r="A202" s="4" t="s">
        <v>171</v>
      </c>
      <c r="B202" s="5" t="s">
        <v>118</v>
      </c>
      <c r="C202" s="4" t="s">
        <v>67</v>
      </c>
      <c r="D202" s="5" t="s">
        <v>173</v>
      </c>
      <c r="E202" s="7" t="s">
        <v>51</v>
      </c>
      <c r="F202" s="7" t="s">
        <v>52</v>
      </c>
      <c r="G202" s="7" t="s">
        <v>14</v>
      </c>
      <c r="H202" s="8">
        <v>45.9</v>
      </c>
      <c r="I202" s="9">
        <v>18000</v>
      </c>
      <c r="J202" s="9">
        <f t="shared" si="2"/>
        <v>826200</v>
      </c>
      <c r="K202" s="6" t="s">
        <v>15</v>
      </c>
    </row>
    <row r="203" spans="1:11" x14ac:dyDescent="0.25">
      <c r="A203" s="4" t="s">
        <v>171</v>
      </c>
      <c r="B203" s="5" t="s">
        <v>118</v>
      </c>
      <c r="C203" s="4" t="s">
        <v>67</v>
      </c>
      <c r="D203" s="5" t="s">
        <v>173</v>
      </c>
      <c r="E203" s="7" t="s">
        <v>86</v>
      </c>
      <c r="F203" s="7" t="s">
        <v>85</v>
      </c>
      <c r="G203" s="7" t="s">
        <v>14</v>
      </c>
      <c r="H203" s="8">
        <v>0.6</v>
      </c>
      <c r="I203" s="9">
        <v>38000</v>
      </c>
      <c r="J203" s="9">
        <f t="shared" si="2"/>
        <v>22800</v>
      </c>
      <c r="K203" s="6" t="s">
        <v>15</v>
      </c>
    </row>
    <row r="204" spans="1:11" x14ac:dyDescent="0.25">
      <c r="A204" s="4" t="s">
        <v>171</v>
      </c>
      <c r="B204" s="5" t="s">
        <v>118</v>
      </c>
      <c r="C204" s="4" t="s">
        <v>67</v>
      </c>
      <c r="D204" s="5" t="s">
        <v>173</v>
      </c>
      <c r="E204" s="7" t="s">
        <v>31</v>
      </c>
      <c r="F204" s="7" t="s">
        <v>32</v>
      </c>
      <c r="G204" s="7" t="s">
        <v>14</v>
      </c>
      <c r="H204" s="8">
        <v>0.1</v>
      </c>
      <c r="I204" s="9">
        <v>80000</v>
      </c>
      <c r="J204" s="9">
        <f t="shared" si="2"/>
        <v>8000</v>
      </c>
      <c r="K204" s="6" t="s">
        <v>15</v>
      </c>
    </row>
    <row r="205" spans="1:11" x14ac:dyDescent="0.25">
      <c r="A205" s="4" t="s">
        <v>171</v>
      </c>
      <c r="B205" s="5" t="s">
        <v>118</v>
      </c>
      <c r="C205" s="4" t="s">
        <v>67</v>
      </c>
      <c r="D205" s="5" t="s">
        <v>173</v>
      </c>
      <c r="E205" s="7" t="s">
        <v>25</v>
      </c>
      <c r="F205" s="7" t="s">
        <v>26</v>
      </c>
      <c r="G205" s="7" t="s">
        <v>14</v>
      </c>
      <c r="H205" s="8">
        <v>0.2</v>
      </c>
      <c r="I205" s="9">
        <v>65000</v>
      </c>
      <c r="J205" s="9">
        <f t="shared" si="2"/>
        <v>13000</v>
      </c>
      <c r="K205" s="6" t="s">
        <v>15</v>
      </c>
    </row>
    <row r="206" spans="1:11" x14ac:dyDescent="0.25">
      <c r="A206" s="4" t="s">
        <v>171</v>
      </c>
      <c r="B206" s="5" t="s">
        <v>118</v>
      </c>
      <c r="C206" s="4" t="s">
        <v>67</v>
      </c>
      <c r="D206" s="5" t="s">
        <v>173</v>
      </c>
      <c r="E206" s="7" t="s">
        <v>82</v>
      </c>
      <c r="F206" s="7" t="s">
        <v>81</v>
      </c>
      <c r="G206" s="7" t="s">
        <v>14</v>
      </c>
      <c r="H206" s="8">
        <v>0.6</v>
      </c>
      <c r="I206" s="9">
        <v>18000</v>
      </c>
      <c r="J206" s="9">
        <f t="shared" si="2"/>
        <v>10800</v>
      </c>
      <c r="K206" s="6" t="s">
        <v>15</v>
      </c>
    </row>
    <row r="207" spans="1:11" x14ac:dyDescent="0.25">
      <c r="A207" s="4" t="s">
        <v>171</v>
      </c>
      <c r="B207" s="5" t="s">
        <v>118</v>
      </c>
      <c r="C207" s="4" t="s">
        <v>67</v>
      </c>
      <c r="D207" s="5" t="s">
        <v>173</v>
      </c>
      <c r="E207" s="7" t="s">
        <v>37</v>
      </c>
      <c r="F207" s="7" t="s">
        <v>38</v>
      </c>
      <c r="G207" s="7" t="s">
        <v>14</v>
      </c>
      <c r="H207" s="8">
        <v>6</v>
      </c>
      <c r="I207" s="9">
        <v>27000</v>
      </c>
      <c r="J207" s="9">
        <f t="shared" si="2"/>
        <v>162000</v>
      </c>
      <c r="K207" s="6" t="s">
        <v>15</v>
      </c>
    </row>
    <row r="208" spans="1:11" x14ac:dyDescent="0.25">
      <c r="A208" s="4" t="s">
        <v>171</v>
      </c>
      <c r="B208" s="5" t="s">
        <v>118</v>
      </c>
      <c r="C208" s="4" t="s">
        <v>67</v>
      </c>
      <c r="D208" s="5" t="s">
        <v>173</v>
      </c>
      <c r="E208" s="7" t="s">
        <v>53</v>
      </c>
      <c r="F208" s="7" t="s">
        <v>54</v>
      </c>
      <c r="G208" s="7" t="s">
        <v>14</v>
      </c>
      <c r="H208" s="8">
        <v>3</v>
      </c>
      <c r="I208" s="9">
        <v>47000</v>
      </c>
      <c r="J208" s="9">
        <f t="shared" ref="J208:J271" si="3">H208*I208</f>
        <v>141000</v>
      </c>
      <c r="K208" s="6" t="s">
        <v>15</v>
      </c>
    </row>
    <row r="209" spans="1:11" x14ac:dyDescent="0.25">
      <c r="A209" s="4" t="s">
        <v>171</v>
      </c>
      <c r="B209" s="5" t="s">
        <v>118</v>
      </c>
      <c r="C209" s="4" t="s">
        <v>67</v>
      </c>
      <c r="D209" s="5" t="s">
        <v>173</v>
      </c>
      <c r="E209" s="7" t="s">
        <v>80</v>
      </c>
      <c r="F209" s="7" t="s">
        <v>79</v>
      </c>
      <c r="G209" s="7" t="s">
        <v>14</v>
      </c>
      <c r="H209" s="8">
        <v>0.9</v>
      </c>
      <c r="I209" s="9">
        <v>90000</v>
      </c>
      <c r="J209" s="9">
        <f t="shared" si="3"/>
        <v>81000</v>
      </c>
      <c r="K209" s="6" t="s">
        <v>15</v>
      </c>
    </row>
    <row r="210" spans="1:11" x14ac:dyDescent="0.25">
      <c r="A210" s="4" t="s">
        <v>171</v>
      </c>
      <c r="B210" s="5" t="s">
        <v>118</v>
      </c>
      <c r="C210" s="4" t="s">
        <v>67</v>
      </c>
      <c r="D210" s="5" t="s">
        <v>173</v>
      </c>
      <c r="E210" s="7" t="s">
        <v>61</v>
      </c>
      <c r="F210" s="7" t="s">
        <v>62</v>
      </c>
      <c r="G210" s="7" t="s">
        <v>14</v>
      </c>
      <c r="H210" s="8">
        <v>1.2</v>
      </c>
      <c r="I210" s="9">
        <v>80000</v>
      </c>
      <c r="J210" s="9">
        <f t="shared" si="3"/>
        <v>96000</v>
      </c>
      <c r="K210" s="6" t="s">
        <v>15</v>
      </c>
    </row>
    <row r="211" spans="1:11" ht="28.5" x14ac:dyDescent="0.25">
      <c r="A211" s="4" t="s">
        <v>171</v>
      </c>
      <c r="B211" s="5" t="s">
        <v>118</v>
      </c>
      <c r="C211" s="4" t="s">
        <v>67</v>
      </c>
      <c r="D211" s="5" t="s">
        <v>173</v>
      </c>
      <c r="E211" s="7" t="s">
        <v>29</v>
      </c>
      <c r="F211" s="7" t="s">
        <v>30</v>
      </c>
      <c r="G211" s="7" t="s">
        <v>14</v>
      </c>
      <c r="H211" s="8">
        <v>3</v>
      </c>
      <c r="I211" s="9">
        <v>45000</v>
      </c>
      <c r="J211" s="9">
        <f t="shared" si="3"/>
        <v>135000</v>
      </c>
      <c r="K211" s="6" t="s">
        <v>15</v>
      </c>
    </row>
    <row r="212" spans="1:11" ht="28.5" x14ac:dyDescent="0.25">
      <c r="A212" s="4" t="s">
        <v>171</v>
      </c>
      <c r="B212" s="5" t="s">
        <v>118</v>
      </c>
      <c r="C212" s="4" t="s">
        <v>67</v>
      </c>
      <c r="D212" s="5" t="s">
        <v>173</v>
      </c>
      <c r="E212" s="7" t="s">
        <v>78</v>
      </c>
      <c r="F212" s="7" t="s">
        <v>77</v>
      </c>
      <c r="G212" s="7" t="s">
        <v>14</v>
      </c>
      <c r="H212" s="8">
        <v>0.8</v>
      </c>
      <c r="I212" s="9">
        <v>90000</v>
      </c>
      <c r="J212" s="9">
        <f t="shared" si="3"/>
        <v>72000</v>
      </c>
      <c r="K212" s="6" t="s">
        <v>15</v>
      </c>
    </row>
    <row r="213" spans="1:11" x14ac:dyDescent="0.25">
      <c r="A213" s="4" t="s">
        <v>171</v>
      </c>
      <c r="B213" s="5" t="s">
        <v>118</v>
      </c>
      <c r="C213" s="4" t="s">
        <v>67</v>
      </c>
      <c r="D213" s="5" t="s">
        <v>173</v>
      </c>
      <c r="E213" s="7" t="s">
        <v>105</v>
      </c>
      <c r="F213" s="7" t="s">
        <v>104</v>
      </c>
      <c r="G213" s="7" t="s">
        <v>14</v>
      </c>
      <c r="H213" s="8">
        <v>0.3</v>
      </c>
      <c r="I213" s="9">
        <v>195000</v>
      </c>
      <c r="J213" s="9">
        <f t="shared" si="3"/>
        <v>58500</v>
      </c>
      <c r="K213" s="6" t="s">
        <v>15</v>
      </c>
    </row>
    <row r="214" spans="1:11" x14ac:dyDescent="0.25">
      <c r="A214" s="4" t="s">
        <v>171</v>
      </c>
      <c r="B214" s="5" t="s">
        <v>118</v>
      </c>
      <c r="C214" s="4" t="s">
        <v>67</v>
      </c>
      <c r="D214" s="5" t="s">
        <v>173</v>
      </c>
      <c r="E214" s="7" t="s">
        <v>55</v>
      </c>
      <c r="F214" s="7" t="s">
        <v>56</v>
      </c>
      <c r="G214" s="7" t="s">
        <v>14</v>
      </c>
      <c r="H214" s="8">
        <v>0.1</v>
      </c>
      <c r="I214" s="9">
        <v>70000</v>
      </c>
      <c r="J214" s="9">
        <f t="shared" si="3"/>
        <v>7000</v>
      </c>
      <c r="K214" s="6" t="s">
        <v>15</v>
      </c>
    </row>
    <row r="215" spans="1:11" x14ac:dyDescent="0.25">
      <c r="A215" s="4" t="s">
        <v>171</v>
      </c>
      <c r="B215" s="5" t="s">
        <v>118</v>
      </c>
      <c r="C215" s="4" t="s">
        <v>67</v>
      </c>
      <c r="D215" s="5" t="s">
        <v>173</v>
      </c>
      <c r="E215" s="7" t="s">
        <v>57</v>
      </c>
      <c r="F215" s="7" t="s">
        <v>58</v>
      </c>
      <c r="G215" s="7" t="s">
        <v>14</v>
      </c>
      <c r="H215" s="8">
        <v>0.5</v>
      </c>
      <c r="I215" s="9">
        <v>148000</v>
      </c>
      <c r="J215" s="9">
        <f t="shared" si="3"/>
        <v>74000</v>
      </c>
      <c r="K215" s="6" t="s">
        <v>15</v>
      </c>
    </row>
    <row r="216" spans="1:11" x14ac:dyDescent="0.25">
      <c r="A216" s="4" t="s">
        <v>171</v>
      </c>
      <c r="B216" s="5" t="s">
        <v>118</v>
      </c>
      <c r="C216" s="4" t="s">
        <v>67</v>
      </c>
      <c r="D216" s="5" t="s">
        <v>173</v>
      </c>
      <c r="E216" s="7" t="s">
        <v>76</v>
      </c>
      <c r="F216" s="7" t="s">
        <v>75</v>
      </c>
      <c r="G216" s="7" t="s">
        <v>14</v>
      </c>
      <c r="H216" s="8">
        <v>1</v>
      </c>
      <c r="I216" s="9">
        <v>42000</v>
      </c>
      <c r="J216" s="9">
        <f t="shared" si="3"/>
        <v>42000</v>
      </c>
      <c r="K216" s="6" t="s">
        <v>15</v>
      </c>
    </row>
    <row r="217" spans="1:11" x14ac:dyDescent="0.25">
      <c r="A217" s="4" t="s">
        <v>171</v>
      </c>
      <c r="B217" s="5" t="s">
        <v>118</v>
      </c>
      <c r="C217" s="4" t="s">
        <v>67</v>
      </c>
      <c r="D217" s="5" t="s">
        <v>173</v>
      </c>
      <c r="E217" s="7" t="s">
        <v>43</v>
      </c>
      <c r="F217" s="7" t="s">
        <v>44</v>
      </c>
      <c r="G217" s="7" t="s">
        <v>14</v>
      </c>
      <c r="H217" s="8">
        <v>0.1</v>
      </c>
      <c r="I217" s="9">
        <v>22000</v>
      </c>
      <c r="J217" s="9">
        <f t="shared" si="3"/>
        <v>2200</v>
      </c>
      <c r="K217" s="6" t="s">
        <v>15</v>
      </c>
    </row>
    <row r="218" spans="1:11" x14ac:dyDescent="0.25">
      <c r="A218" s="4" t="s">
        <v>171</v>
      </c>
      <c r="B218" s="5" t="s">
        <v>118</v>
      </c>
      <c r="C218" s="4" t="s">
        <v>67</v>
      </c>
      <c r="D218" s="5" t="s">
        <v>173</v>
      </c>
      <c r="E218" s="7" t="s">
        <v>157</v>
      </c>
      <c r="F218" s="7" t="s">
        <v>158</v>
      </c>
      <c r="G218" s="7" t="s">
        <v>14</v>
      </c>
      <c r="H218" s="8">
        <v>0.3</v>
      </c>
      <c r="I218" s="9">
        <v>36000</v>
      </c>
      <c r="J218" s="9">
        <f t="shared" si="3"/>
        <v>10800</v>
      </c>
      <c r="K218" s="6" t="s">
        <v>15</v>
      </c>
    </row>
    <row r="219" spans="1:11" x14ac:dyDescent="0.25">
      <c r="A219" s="4" t="s">
        <v>171</v>
      </c>
      <c r="B219" s="5" t="s">
        <v>118</v>
      </c>
      <c r="C219" s="4" t="s">
        <v>67</v>
      </c>
      <c r="D219" s="5" t="s">
        <v>173</v>
      </c>
      <c r="E219" s="7" t="s">
        <v>45</v>
      </c>
      <c r="F219" s="7" t="s">
        <v>46</v>
      </c>
      <c r="G219" s="7" t="s">
        <v>14</v>
      </c>
      <c r="H219" s="8">
        <v>0.8</v>
      </c>
      <c r="I219" s="9">
        <v>12000</v>
      </c>
      <c r="J219" s="9">
        <f t="shared" si="3"/>
        <v>9600</v>
      </c>
      <c r="K219" s="6" t="s">
        <v>15</v>
      </c>
    </row>
    <row r="220" spans="1:11" x14ac:dyDescent="0.25">
      <c r="A220" s="4" t="s">
        <v>171</v>
      </c>
      <c r="B220" s="5" t="s">
        <v>118</v>
      </c>
      <c r="C220" s="4" t="s">
        <v>67</v>
      </c>
      <c r="D220" s="5" t="s">
        <v>173</v>
      </c>
      <c r="E220" s="7" t="s">
        <v>47</v>
      </c>
      <c r="F220" s="7" t="s">
        <v>48</v>
      </c>
      <c r="G220" s="7" t="s">
        <v>14</v>
      </c>
      <c r="H220" s="8">
        <v>1</v>
      </c>
      <c r="I220" s="9">
        <v>21000</v>
      </c>
      <c r="J220" s="9">
        <f t="shared" si="3"/>
        <v>21000</v>
      </c>
      <c r="K220" s="6" t="s">
        <v>15</v>
      </c>
    </row>
    <row r="221" spans="1:11" x14ac:dyDescent="0.25">
      <c r="A221" s="4" t="s">
        <v>171</v>
      </c>
      <c r="B221" s="5" t="s">
        <v>118</v>
      </c>
      <c r="C221" s="4" t="s">
        <v>67</v>
      </c>
      <c r="D221" s="5" t="s">
        <v>173</v>
      </c>
      <c r="E221" s="7" t="s">
        <v>27</v>
      </c>
      <c r="F221" s="7" t="s">
        <v>28</v>
      </c>
      <c r="G221" s="7" t="s">
        <v>14</v>
      </c>
      <c r="H221" s="8">
        <v>1.5</v>
      </c>
      <c r="I221" s="9">
        <v>50000</v>
      </c>
      <c r="J221" s="9">
        <f t="shared" si="3"/>
        <v>75000</v>
      </c>
      <c r="K221" s="6" t="s">
        <v>15</v>
      </c>
    </row>
    <row r="222" spans="1:11" x14ac:dyDescent="0.25">
      <c r="A222" s="4" t="s">
        <v>171</v>
      </c>
      <c r="B222" s="5" t="s">
        <v>118</v>
      </c>
      <c r="C222" s="4" t="s">
        <v>67</v>
      </c>
      <c r="D222" s="5" t="s">
        <v>173</v>
      </c>
      <c r="E222" s="7" t="s">
        <v>165</v>
      </c>
      <c r="F222" s="7" t="s">
        <v>166</v>
      </c>
      <c r="G222" s="7" t="s">
        <v>70</v>
      </c>
      <c r="H222" s="8">
        <v>30</v>
      </c>
      <c r="I222" s="9">
        <v>9000</v>
      </c>
      <c r="J222" s="9">
        <f t="shared" si="3"/>
        <v>270000</v>
      </c>
      <c r="K222" s="6" t="s">
        <v>15</v>
      </c>
    </row>
    <row r="223" spans="1:11" x14ac:dyDescent="0.25">
      <c r="A223" s="4" t="s">
        <v>171</v>
      </c>
      <c r="B223" s="5" t="s">
        <v>118</v>
      </c>
      <c r="C223" s="4" t="s">
        <v>67</v>
      </c>
      <c r="D223" s="5" t="s">
        <v>173</v>
      </c>
      <c r="E223" s="7" t="s">
        <v>72</v>
      </c>
      <c r="F223" s="7" t="s">
        <v>71</v>
      </c>
      <c r="G223" s="7" t="s">
        <v>70</v>
      </c>
      <c r="H223" s="8">
        <v>80</v>
      </c>
      <c r="I223" s="9">
        <v>5000</v>
      </c>
      <c r="J223" s="9">
        <f t="shared" si="3"/>
        <v>400000</v>
      </c>
      <c r="K223" s="6" t="s">
        <v>15</v>
      </c>
    </row>
    <row r="224" spans="1:11" x14ac:dyDescent="0.25">
      <c r="A224" s="4" t="s">
        <v>171</v>
      </c>
      <c r="B224" s="5" t="s">
        <v>118</v>
      </c>
      <c r="C224" s="4" t="s">
        <v>67</v>
      </c>
      <c r="D224" s="5" t="s">
        <v>173</v>
      </c>
      <c r="E224" s="7" t="s">
        <v>66</v>
      </c>
      <c r="F224" s="7" t="s">
        <v>65</v>
      </c>
      <c r="G224" s="7" t="s">
        <v>14</v>
      </c>
      <c r="H224" s="8">
        <v>3.5</v>
      </c>
      <c r="I224" s="9">
        <v>62000</v>
      </c>
      <c r="J224" s="9">
        <f t="shared" si="3"/>
        <v>217000</v>
      </c>
      <c r="K224" s="6" t="s">
        <v>15</v>
      </c>
    </row>
    <row r="225" spans="1:11" x14ac:dyDescent="0.25">
      <c r="A225" s="4" t="s">
        <v>174</v>
      </c>
      <c r="B225" s="5" t="s">
        <v>118</v>
      </c>
      <c r="C225" s="4" t="s">
        <v>67</v>
      </c>
      <c r="D225" s="5" t="s">
        <v>175</v>
      </c>
      <c r="E225" s="7" t="s">
        <v>103</v>
      </c>
      <c r="F225" s="7" t="s">
        <v>102</v>
      </c>
      <c r="G225" s="7" t="s">
        <v>14</v>
      </c>
      <c r="H225" s="8">
        <v>3</v>
      </c>
      <c r="I225" s="9">
        <v>15000</v>
      </c>
      <c r="J225" s="9">
        <f t="shared" si="3"/>
        <v>45000</v>
      </c>
      <c r="K225" s="6" t="s">
        <v>15</v>
      </c>
    </row>
    <row r="226" spans="1:11" x14ac:dyDescent="0.25">
      <c r="A226" s="4" t="s">
        <v>174</v>
      </c>
      <c r="B226" s="5" t="s">
        <v>118</v>
      </c>
      <c r="C226" s="4" t="s">
        <v>67</v>
      </c>
      <c r="D226" s="5" t="s">
        <v>175</v>
      </c>
      <c r="E226" s="7" t="s">
        <v>12</v>
      </c>
      <c r="F226" s="7" t="s">
        <v>13</v>
      </c>
      <c r="G226" s="7" t="s">
        <v>14</v>
      </c>
      <c r="H226" s="8">
        <v>5.0999999999999996</v>
      </c>
      <c r="I226" s="9">
        <v>19000</v>
      </c>
      <c r="J226" s="9">
        <f t="shared" si="3"/>
        <v>96900</v>
      </c>
      <c r="K226" s="6" t="s">
        <v>15</v>
      </c>
    </row>
    <row r="227" spans="1:11" ht="28.5" x14ac:dyDescent="0.25">
      <c r="A227" s="4" t="s">
        <v>174</v>
      </c>
      <c r="B227" s="5" t="s">
        <v>118</v>
      </c>
      <c r="C227" s="4" t="s">
        <v>67</v>
      </c>
      <c r="D227" s="5" t="s">
        <v>175</v>
      </c>
      <c r="E227" s="7" t="s">
        <v>16</v>
      </c>
      <c r="F227" s="7" t="s">
        <v>17</v>
      </c>
      <c r="G227" s="7" t="s">
        <v>18</v>
      </c>
      <c r="H227" s="8">
        <v>10</v>
      </c>
      <c r="I227" s="9">
        <v>8500</v>
      </c>
      <c r="J227" s="9">
        <f t="shared" si="3"/>
        <v>85000</v>
      </c>
      <c r="K227" s="6" t="s">
        <v>15</v>
      </c>
    </row>
    <row r="228" spans="1:11" x14ac:dyDescent="0.25">
      <c r="A228" s="4" t="s">
        <v>174</v>
      </c>
      <c r="B228" s="5" t="s">
        <v>118</v>
      </c>
      <c r="C228" s="4" t="s">
        <v>67</v>
      </c>
      <c r="D228" s="5" t="s">
        <v>175</v>
      </c>
      <c r="E228" s="7" t="s">
        <v>101</v>
      </c>
      <c r="F228" s="7" t="s">
        <v>100</v>
      </c>
      <c r="G228" s="7" t="s">
        <v>14</v>
      </c>
      <c r="H228" s="8">
        <v>7.1</v>
      </c>
      <c r="I228" s="9">
        <v>40000</v>
      </c>
      <c r="J228" s="9">
        <f t="shared" si="3"/>
        <v>284000</v>
      </c>
      <c r="K228" s="6" t="s">
        <v>15</v>
      </c>
    </row>
    <row r="229" spans="1:11" x14ac:dyDescent="0.25">
      <c r="A229" s="4" t="s">
        <v>174</v>
      </c>
      <c r="B229" s="5" t="s">
        <v>118</v>
      </c>
      <c r="C229" s="4" t="s">
        <v>67</v>
      </c>
      <c r="D229" s="5" t="s">
        <v>175</v>
      </c>
      <c r="E229" s="7" t="s">
        <v>95</v>
      </c>
      <c r="F229" s="7" t="s">
        <v>94</v>
      </c>
      <c r="G229" s="7" t="s">
        <v>14</v>
      </c>
      <c r="H229" s="8">
        <v>2.1</v>
      </c>
      <c r="I229" s="9">
        <v>44000</v>
      </c>
      <c r="J229" s="9">
        <f t="shared" si="3"/>
        <v>92400</v>
      </c>
      <c r="K229" s="6" t="s">
        <v>15</v>
      </c>
    </row>
    <row r="230" spans="1:11" x14ac:dyDescent="0.25">
      <c r="A230" s="4" t="s">
        <v>174</v>
      </c>
      <c r="B230" s="5" t="s">
        <v>118</v>
      </c>
      <c r="C230" s="4" t="s">
        <v>67</v>
      </c>
      <c r="D230" s="5" t="s">
        <v>175</v>
      </c>
      <c r="E230" s="7" t="s">
        <v>35</v>
      </c>
      <c r="F230" s="7" t="s">
        <v>36</v>
      </c>
      <c r="G230" s="7" t="s">
        <v>14</v>
      </c>
      <c r="H230" s="8">
        <v>1.2</v>
      </c>
      <c r="I230" s="9">
        <v>38000</v>
      </c>
      <c r="J230" s="9">
        <f t="shared" si="3"/>
        <v>45600</v>
      </c>
      <c r="K230" s="6" t="s">
        <v>15</v>
      </c>
    </row>
    <row r="231" spans="1:11" x14ac:dyDescent="0.25">
      <c r="A231" s="4" t="s">
        <v>174</v>
      </c>
      <c r="B231" s="5" t="s">
        <v>118</v>
      </c>
      <c r="C231" s="4" t="s">
        <v>67</v>
      </c>
      <c r="D231" s="5" t="s">
        <v>175</v>
      </c>
      <c r="E231" s="7" t="s">
        <v>113</v>
      </c>
      <c r="F231" s="7" t="s">
        <v>112</v>
      </c>
      <c r="G231" s="7" t="s">
        <v>14</v>
      </c>
      <c r="H231" s="8">
        <v>0.1</v>
      </c>
      <c r="I231" s="9">
        <v>25000</v>
      </c>
      <c r="J231" s="9">
        <f t="shared" si="3"/>
        <v>2500</v>
      </c>
      <c r="K231" s="6" t="s">
        <v>15</v>
      </c>
    </row>
    <row r="232" spans="1:11" x14ac:dyDescent="0.25">
      <c r="A232" s="4" t="s">
        <v>174</v>
      </c>
      <c r="B232" s="5" t="s">
        <v>118</v>
      </c>
      <c r="C232" s="4" t="s">
        <v>67</v>
      </c>
      <c r="D232" s="5" t="s">
        <v>175</v>
      </c>
      <c r="E232" s="7" t="s">
        <v>91</v>
      </c>
      <c r="F232" s="7" t="s">
        <v>90</v>
      </c>
      <c r="G232" s="7" t="s">
        <v>14</v>
      </c>
      <c r="H232" s="8">
        <v>2.7</v>
      </c>
      <c r="I232" s="9">
        <v>47000</v>
      </c>
      <c r="J232" s="9">
        <f t="shared" si="3"/>
        <v>126900.00000000001</v>
      </c>
      <c r="K232" s="6" t="s">
        <v>15</v>
      </c>
    </row>
    <row r="233" spans="1:11" x14ac:dyDescent="0.25">
      <c r="A233" s="4" t="s">
        <v>174</v>
      </c>
      <c r="B233" s="5" t="s">
        <v>118</v>
      </c>
      <c r="C233" s="4" t="s">
        <v>67</v>
      </c>
      <c r="D233" s="5" t="s">
        <v>175</v>
      </c>
      <c r="E233" s="7" t="s">
        <v>19</v>
      </c>
      <c r="F233" s="7" t="s">
        <v>20</v>
      </c>
      <c r="G233" s="7" t="s">
        <v>14</v>
      </c>
      <c r="H233" s="8">
        <v>2.5</v>
      </c>
      <c r="I233" s="9">
        <v>32000</v>
      </c>
      <c r="J233" s="9">
        <f t="shared" si="3"/>
        <v>80000</v>
      </c>
      <c r="K233" s="6" t="s">
        <v>15</v>
      </c>
    </row>
    <row r="234" spans="1:11" x14ac:dyDescent="0.25">
      <c r="A234" s="4" t="s">
        <v>174</v>
      </c>
      <c r="B234" s="5" t="s">
        <v>118</v>
      </c>
      <c r="C234" s="4" t="s">
        <v>67</v>
      </c>
      <c r="D234" s="5" t="s">
        <v>175</v>
      </c>
      <c r="E234" s="7" t="s">
        <v>86</v>
      </c>
      <c r="F234" s="7" t="s">
        <v>85</v>
      </c>
      <c r="G234" s="7" t="s">
        <v>14</v>
      </c>
      <c r="H234" s="8">
        <v>0.1</v>
      </c>
      <c r="I234" s="9">
        <v>38000</v>
      </c>
      <c r="J234" s="9">
        <f t="shared" si="3"/>
        <v>3800</v>
      </c>
      <c r="K234" s="6" t="s">
        <v>15</v>
      </c>
    </row>
    <row r="235" spans="1:11" x14ac:dyDescent="0.25">
      <c r="A235" s="4" t="s">
        <v>174</v>
      </c>
      <c r="B235" s="5" t="s">
        <v>118</v>
      </c>
      <c r="C235" s="4" t="s">
        <v>67</v>
      </c>
      <c r="D235" s="5" t="s">
        <v>175</v>
      </c>
      <c r="E235" s="7" t="s">
        <v>23</v>
      </c>
      <c r="F235" s="7" t="s">
        <v>24</v>
      </c>
      <c r="G235" s="7" t="s">
        <v>14</v>
      </c>
      <c r="H235" s="8">
        <v>0.45</v>
      </c>
      <c r="I235" s="9">
        <v>13000</v>
      </c>
      <c r="J235" s="9">
        <f t="shared" si="3"/>
        <v>5850</v>
      </c>
      <c r="K235" s="6" t="s">
        <v>15</v>
      </c>
    </row>
    <row r="236" spans="1:11" ht="28.5" x14ac:dyDescent="0.25">
      <c r="A236" s="4" t="s">
        <v>174</v>
      </c>
      <c r="B236" s="5" t="s">
        <v>118</v>
      </c>
      <c r="C236" s="4" t="s">
        <v>67</v>
      </c>
      <c r="D236" s="5" t="s">
        <v>175</v>
      </c>
      <c r="E236" s="7" t="s">
        <v>39</v>
      </c>
      <c r="F236" s="7" t="s">
        <v>40</v>
      </c>
      <c r="G236" s="7" t="s">
        <v>14</v>
      </c>
      <c r="H236" s="8">
        <v>2.1</v>
      </c>
      <c r="I236" s="9">
        <v>145000</v>
      </c>
      <c r="J236" s="9">
        <f t="shared" si="3"/>
        <v>304500</v>
      </c>
      <c r="K236" s="6" t="s">
        <v>15</v>
      </c>
    </row>
    <row r="237" spans="1:11" x14ac:dyDescent="0.25">
      <c r="A237" s="4" t="s">
        <v>174</v>
      </c>
      <c r="B237" s="5" t="s">
        <v>118</v>
      </c>
      <c r="C237" s="4" t="s">
        <v>67</v>
      </c>
      <c r="D237" s="5" t="s">
        <v>175</v>
      </c>
      <c r="E237" s="7" t="s">
        <v>80</v>
      </c>
      <c r="F237" s="7" t="s">
        <v>79</v>
      </c>
      <c r="G237" s="7" t="s">
        <v>14</v>
      </c>
      <c r="H237" s="8">
        <v>1.4</v>
      </c>
      <c r="I237" s="9">
        <v>90000</v>
      </c>
      <c r="J237" s="9">
        <f t="shared" si="3"/>
        <v>125999.99999999999</v>
      </c>
      <c r="K237" s="6" t="s">
        <v>15</v>
      </c>
    </row>
    <row r="238" spans="1:11" x14ac:dyDescent="0.25">
      <c r="A238" s="4" t="s">
        <v>174</v>
      </c>
      <c r="B238" s="5" t="s">
        <v>118</v>
      </c>
      <c r="C238" s="4" t="s">
        <v>67</v>
      </c>
      <c r="D238" s="5" t="s">
        <v>175</v>
      </c>
      <c r="E238" s="7" t="s">
        <v>61</v>
      </c>
      <c r="F238" s="7" t="s">
        <v>62</v>
      </c>
      <c r="G238" s="7" t="s">
        <v>14</v>
      </c>
      <c r="H238" s="8">
        <v>1</v>
      </c>
      <c r="I238" s="9">
        <v>80000</v>
      </c>
      <c r="J238" s="9">
        <f t="shared" si="3"/>
        <v>80000</v>
      </c>
      <c r="K238" s="6" t="s">
        <v>15</v>
      </c>
    </row>
    <row r="239" spans="1:11" ht="28.5" x14ac:dyDescent="0.25">
      <c r="A239" s="4" t="s">
        <v>174</v>
      </c>
      <c r="B239" s="5" t="s">
        <v>118</v>
      </c>
      <c r="C239" s="4" t="s">
        <v>67</v>
      </c>
      <c r="D239" s="5" t="s">
        <v>175</v>
      </c>
      <c r="E239" s="7" t="s">
        <v>29</v>
      </c>
      <c r="F239" s="7" t="s">
        <v>30</v>
      </c>
      <c r="G239" s="7" t="s">
        <v>14</v>
      </c>
      <c r="H239" s="8">
        <v>4.5999999999999996</v>
      </c>
      <c r="I239" s="9">
        <v>45000</v>
      </c>
      <c r="J239" s="9">
        <f t="shared" si="3"/>
        <v>206999.99999999997</v>
      </c>
      <c r="K239" s="6" t="s">
        <v>15</v>
      </c>
    </row>
    <row r="240" spans="1:11" ht="28.5" x14ac:dyDescent="0.25">
      <c r="A240" s="4" t="s">
        <v>174</v>
      </c>
      <c r="B240" s="5" t="s">
        <v>118</v>
      </c>
      <c r="C240" s="4" t="s">
        <v>67</v>
      </c>
      <c r="D240" s="5" t="s">
        <v>175</v>
      </c>
      <c r="E240" s="7" t="s">
        <v>78</v>
      </c>
      <c r="F240" s="7" t="s">
        <v>77</v>
      </c>
      <c r="G240" s="7" t="s">
        <v>14</v>
      </c>
      <c r="H240" s="8">
        <v>0.5</v>
      </c>
      <c r="I240" s="9">
        <v>90000</v>
      </c>
      <c r="J240" s="9">
        <f t="shared" si="3"/>
        <v>45000</v>
      </c>
      <c r="K240" s="6" t="s">
        <v>15</v>
      </c>
    </row>
    <row r="241" spans="1:11" x14ac:dyDescent="0.25">
      <c r="A241" s="4" t="s">
        <v>174</v>
      </c>
      <c r="B241" s="5" t="s">
        <v>118</v>
      </c>
      <c r="C241" s="4" t="s">
        <v>67</v>
      </c>
      <c r="D241" s="5" t="s">
        <v>175</v>
      </c>
      <c r="E241" s="7" t="s">
        <v>105</v>
      </c>
      <c r="F241" s="7" t="s">
        <v>104</v>
      </c>
      <c r="G241" s="7" t="s">
        <v>14</v>
      </c>
      <c r="H241" s="8">
        <v>0.47</v>
      </c>
      <c r="I241" s="9">
        <v>195000</v>
      </c>
      <c r="J241" s="9">
        <f t="shared" si="3"/>
        <v>91650</v>
      </c>
      <c r="K241" s="6" t="s">
        <v>15</v>
      </c>
    </row>
    <row r="242" spans="1:11" x14ac:dyDescent="0.25">
      <c r="A242" s="4" t="s">
        <v>174</v>
      </c>
      <c r="B242" s="5" t="s">
        <v>118</v>
      </c>
      <c r="C242" s="4" t="s">
        <v>67</v>
      </c>
      <c r="D242" s="5" t="s">
        <v>175</v>
      </c>
      <c r="E242" s="7" t="s">
        <v>41</v>
      </c>
      <c r="F242" s="7" t="s">
        <v>42</v>
      </c>
      <c r="G242" s="7" t="s">
        <v>14</v>
      </c>
      <c r="H242" s="8">
        <v>0.5</v>
      </c>
      <c r="I242" s="9">
        <v>145000</v>
      </c>
      <c r="J242" s="9">
        <f t="shared" si="3"/>
        <v>72500</v>
      </c>
      <c r="K242" s="6" t="s">
        <v>15</v>
      </c>
    </row>
    <row r="243" spans="1:11" x14ac:dyDescent="0.25">
      <c r="A243" s="4" t="s">
        <v>174</v>
      </c>
      <c r="B243" s="5" t="s">
        <v>118</v>
      </c>
      <c r="C243" s="4" t="s">
        <v>67</v>
      </c>
      <c r="D243" s="5" t="s">
        <v>175</v>
      </c>
      <c r="E243" s="7" t="s">
        <v>111</v>
      </c>
      <c r="F243" s="7" t="s">
        <v>110</v>
      </c>
      <c r="G243" s="7" t="s">
        <v>14</v>
      </c>
      <c r="H243" s="8">
        <v>0.2</v>
      </c>
      <c r="I243" s="9">
        <v>185000</v>
      </c>
      <c r="J243" s="9">
        <f t="shared" si="3"/>
        <v>37000</v>
      </c>
      <c r="K243" s="6" t="s">
        <v>15</v>
      </c>
    </row>
    <row r="244" spans="1:11" x14ac:dyDescent="0.25">
      <c r="A244" s="4" t="s">
        <v>174</v>
      </c>
      <c r="B244" s="5" t="s">
        <v>118</v>
      </c>
      <c r="C244" s="4" t="s">
        <v>67</v>
      </c>
      <c r="D244" s="5" t="s">
        <v>175</v>
      </c>
      <c r="E244" s="7" t="s">
        <v>57</v>
      </c>
      <c r="F244" s="7" t="s">
        <v>58</v>
      </c>
      <c r="G244" s="7" t="s">
        <v>14</v>
      </c>
      <c r="H244" s="8">
        <v>0.3</v>
      </c>
      <c r="I244" s="9">
        <v>148000</v>
      </c>
      <c r="J244" s="9">
        <f t="shared" si="3"/>
        <v>44400</v>
      </c>
      <c r="K244" s="6" t="s">
        <v>15</v>
      </c>
    </row>
    <row r="245" spans="1:11" x14ac:dyDescent="0.25">
      <c r="A245" s="4" t="s">
        <v>174</v>
      </c>
      <c r="B245" s="5" t="s">
        <v>118</v>
      </c>
      <c r="C245" s="4" t="s">
        <v>67</v>
      </c>
      <c r="D245" s="5" t="s">
        <v>175</v>
      </c>
      <c r="E245" s="7" t="s">
        <v>47</v>
      </c>
      <c r="F245" s="7" t="s">
        <v>48</v>
      </c>
      <c r="G245" s="7" t="s">
        <v>14</v>
      </c>
      <c r="H245" s="8">
        <v>1</v>
      </c>
      <c r="I245" s="9">
        <v>21000</v>
      </c>
      <c r="J245" s="9">
        <f t="shared" si="3"/>
        <v>21000</v>
      </c>
      <c r="K245" s="6" t="s">
        <v>15</v>
      </c>
    </row>
    <row r="246" spans="1:11" x14ac:dyDescent="0.25">
      <c r="A246" s="4" t="s">
        <v>174</v>
      </c>
      <c r="B246" s="5" t="s">
        <v>118</v>
      </c>
      <c r="C246" s="4" t="s">
        <v>67</v>
      </c>
      <c r="D246" s="5" t="s">
        <v>175</v>
      </c>
      <c r="E246" s="7" t="s">
        <v>27</v>
      </c>
      <c r="F246" s="7" t="s">
        <v>28</v>
      </c>
      <c r="G246" s="7" t="s">
        <v>14</v>
      </c>
      <c r="H246" s="8">
        <v>2.2000000000000002</v>
      </c>
      <c r="I246" s="9">
        <v>50000</v>
      </c>
      <c r="J246" s="9">
        <f t="shared" si="3"/>
        <v>110000.00000000001</v>
      </c>
      <c r="K246" s="6" t="s">
        <v>15</v>
      </c>
    </row>
    <row r="247" spans="1:11" x14ac:dyDescent="0.25">
      <c r="A247" s="4" t="s">
        <v>174</v>
      </c>
      <c r="B247" s="5" t="s">
        <v>118</v>
      </c>
      <c r="C247" s="4" t="s">
        <v>67</v>
      </c>
      <c r="D247" s="5" t="s">
        <v>175</v>
      </c>
      <c r="E247" s="7" t="s">
        <v>66</v>
      </c>
      <c r="F247" s="7" t="s">
        <v>65</v>
      </c>
      <c r="G247" s="7" t="s">
        <v>14</v>
      </c>
      <c r="H247" s="8">
        <v>5</v>
      </c>
      <c r="I247" s="9">
        <v>62000</v>
      </c>
      <c r="J247" s="9">
        <f t="shared" si="3"/>
        <v>310000</v>
      </c>
      <c r="K247" s="6" t="s">
        <v>15</v>
      </c>
    </row>
    <row r="248" spans="1:11" x14ac:dyDescent="0.25">
      <c r="A248" s="4" t="s">
        <v>174</v>
      </c>
      <c r="B248" s="5" t="s">
        <v>118</v>
      </c>
      <c r="C248" s="4" t="s">
        <v>67</v>
      </c>
      <c r="D248" s="5" t="s">
        <v>176</v>
      </c>
      <c r="E248" s="7" t="s">
        <v>37</v>
      </c>
      <c r="F248" s="7" t="s">
        <v>38</v>
      </c>
      <c r="G248" s="7" t="s">
        <v>14</v>
      </c>
      <c r="H248" s="8">
        <v>4</v>
      </c>
      <c r="I248" s="9">
        <v>27000</v>
      </c>
      <c r="J248" s="9">
        <f t="shared" si="3"/>
        <v>108000</v>
      </c>
      <c r="K248" s="6" t="s">
        <v>15</v>
      </c>
    </row>
    <row r="249" spans="1:11" x14ac:dyDescent="0.25">
      <c r="A249" s="4" t="s">
        <v>177</v>
      </c>
      <c r="B249" s="5" t="s">
        <v>118</v>
      </c>
      <c r="C249" s="4" t="s">
        <v>67</v>
      </c>
      <c r="D249" s="5" t="s">
        <v>178</v>
      </c>
      <c r="E249" s="7" t="s">
        <v>103</v>
      </c>
      <c r="F249" s="7" t="s">
        <v>102</v>
      </c>
      <c r="G249" s="7" t="s">
        <v>14</v>
      </c>
      <c r="H249" s="8">
        <v>3</v>
      </c>
      <c r="I249" s="9">
        <v>15000</v>
      </c>
      <c r="J249" s="9">
        <f t="shared" si="3"/>
        <v>45000</v>
      </c>
      <c r="K249" s="6" t="s">
        <v>15</v>
      </c>
    </row>
    <row r="250" spans="1:11" x14ac:dyDescent="0.25">
      <c r="A250" s="4" t="s">
        <v>177</v>
      </c>
      <c r="B250" s="5" t="s">
        <v>118</v>
      </c>
      <c r="C250" s="4" t="s">
        <v>67</v>
      </c>
      <c r="D250" s="5" t="s">
        <v>178</v>
      </c>
      <c r="E250" s="7" t="s">
        <v>12</v>
      </c>
      <c r="F250" s="7" t="s">
        <v>13</v>
      </c>
      <c r="G250" s="7" t="s">
        <v>14</v>
      </c>
      <c r="H250" s="8">
        <v>3</v>
      </c>
      <c r="I250" s="9">
        <v>19000</v>
      </c>
      <c r="J250" s="9">
        <f t="shared" si="3"/>
        <v>57000</v>
      </c>
      <c r="K250" s="6" t="s">
        <v>15</v>
      </c>
    </row>
    <row r="251" spans="1:11" x14ac:dyDescent="0.25">
      <c r="A251" s="4" t="s">
        <v>177</v>
      </c>
      <c r="B251" s="5" t="s">
        <v>118</v>
      </c>
      <c r="C251" s="4" t="s">
        <v>67</v>
      </c>
      <c r="D251" s="5" t="s">
        <v>178</v>
      </c>
      <c r="E251" s="7" t="s">
        <v>59</v>
      </c>
      <c r="F251" s="7" t="s">
        <v>60</v>
      </c>
      <c r="G251" s="7" t="s">
        <v>14</v>
      </c>
      <c r="H251" s="8">
        <v>5.5</v>
      </c>
      <c r="I251" s="9">
        <v>30000</v>
      </c>
      <c r="J251" s="9">
        <f t="shared" si="3"/>
        <v>165000</v>
      </c>
      <c r="K251" s="6" t="s">
        <v>15</v>
      </c>
    </row>
    <row r="252" spans="1:11" x14ac:dyDescent="0.25">
      <c r="A252" s="4" t="s">
        <v>177</v>
      </c>
      <c r="B252" s="5" t="s">
        <v>118</v>
      </c>
      <c r="C252" s="4" t="s">
        <v>67</v>
      </c>
      <c r="D252" s="5" t="s">
        <v>178</v>
      </c>
      <c r="E252" s="7" t="s">
        <v>101</v>
      </c>
      <c r="F252" s="7" t="s">
        <v>100</v>
      </c>
      <c r="G252" s="7" t="s">
        <v>14</v>
      </c>
      <c r="H252" s="8">
        <v>6.2</v>
      </c>
      <c r="I252" s="9">
        <v>40000</v>
      </c>
      <c r="J252" s="9">
        <f t="shared" si="3"/>
        <v>248000</v>
      </c>
      <c r="K252" s="6" t="s">
        <v>15</v>
      </c>
    </row>
    <row r="253" spans="1:11" x14ac:dyDescent="0.25">
      <c r="A253" s="4" t="s">
        <v>177</v>
      </c>
      <c r="B253" s="5" t="s">
        <v>118</v>
      </c>
      <c r="C253" s="4" t="s">
        <v>67</v>
      </c>
      <c r="D253" s="5" t="s">
        <v>178</v>
      </c>
      <c r="E253" s="7" t="s">
        <v>119</v>
      </c>
      <c r="F253" s="7" t="s">
        <v>120</v>
      </c>
      <c r="G253" s="7" t="s">
        <v>14</v>
      </c>
      <c r="H253" s="8">
        <v>2.7</v>
      </c>
      <c r="I253" s="9">
        <v>52000</v>
      </c>
      <c r="J253" s="9">
        <f t="shared" si="3"/>
        <v>140400</v>
      </c>
      <c r="K253" s="6" t="s">
        <v>15</v>
      </c>
    </row>
    <row r="254" spans="1:11" ht="42.75" x14ac:dyDescent="0.25">
      <c r="A254" s="4" t="s">
        <v>177</v>
      </c>
      <c r="B254" s="5" t="s">
        <v>118</v>
      </c>
      <c r="C254" s="4" t="s">
        <v>67</v>
      </c>
      <c r="D254" s="5" t="s">
        <v>178</v>
      </c>
      <c r="E254" s="7" t="s">
        <v>99</v>
      </c>
      <c r="F254" s="7" t="s">
        <v>98</v>
      </c>
      <c r="G254" s="7" t="s">
        <v>14</v>
      </c>
      <c r="H254" s="8">
        <v>1</v>
      </c>
      <c r="I254" s="9">
        <v>30000</v>
      </c>
      <c r="J254" s="9">
        <f t="shared" si="3"/>
        <v>30000</v>
      </c>
      <c r="K254" s="6" t="s">
        <v>15</v>
      </c>
    </row>
    <row r="255" spans="1:11" x14ac:dyDescent="0.25">
      <c r="A255" s="4" t="s">
        <v>177</v>
      </c>
      <c r="B255" s="5" t="s">
        <v>118</v>
      </c>
      <c r="C255" s="4" t="s">
        <v>67</v>
      </c>
      <c r="D255" s="5" t="s">
        <v>178</v>
      </c>
      <c r="E255" s="7" t="s">
        <v>97</v>
      </c>
      <c r="F255" s="7" t="s">
        <v>96</v>
      </c>
      <c r="G255" s="7" t="s">
        <v>14</v>
      </c>
      <c r="H255" s="8">
        <v>1.46</v>
      </c>
      <c r="I255" s="9">
        <v>75000</v>
      </c>
      <c r="J255" s="9">
        <f t="shared" si="3"/>
        <v>109500</v>
      </c>
      <c r="K255" s="6" t="s">
        <v>15</v>
      </c>
    </row>
    <row r="256" spans="1:11" x14ac:dyDescent="0.25">
      <c r="A256" s="4" t="s">
        <v>177</v>
      </c>
      <c r="B256" s="5" t="s">
        <v>118</v>
      </c>
      <c r="C256" s="4" t="s">
        <v>67</v>
      </c>
      <c r="D256" s="5" t="s">
        <v>178</v>
      </c>
      <c r="E256" s="7" t="s">
        <v>95</v>
      </c>
      <c r="F256" s="7" t="s">
        <v>94</v>
      </c>
      <c r="G256" s="7" t="s">
        <v>14</v>
      </c>
      <c r="H256" s="8">
        <v>2.1</v>
      </c>
      <c r="I256" s="9">
        <v>44000</v>
      </c>
      <c r="J256" s="9">
        <f t="shared" si="3"/>
        <v>92400</v>
      </c>
      <c r="K256" s="6" t="s">
        <v>15</v>
      </c>
    </row>
    <row r="257" spans="1:11" x14ac:dyDescent="0.25">
      <c r="A257" s="4" t="s">
        <v>177</v>
      </c>
      <c r="B257" s="5" t="s">
        <v>118</v>
      </c>
      <c r="C257" s="4" t="s">
        <v>67</v>
      </c>
      <c r="D257" s="5" t="s">
        <v>178</v>
      </c>
      <c r="E257" s="7" t="s">
        <v>49</v>
      </c>
      <c r="F257" s="7" t="s">
        <v>50</v>
      </c>
      <c r="G257" s="7" t="s">
        <v>14</v>
      </c>
      <c r="H257" s="8">
        <v>1.4</v>
      </c>
      <c r="I257" s="9">
        <v>34000</v>
      </c>
      <c r="J257" s="9">
        <f t="shared" si="3"/>
        <v>47600</v>
      </c>
      <c r="K257" s="6" t="s">
        <v>15</v>
      </c>
    </row>
    <row r="258" spans="1:11" x14ac:dyDescent="0.25">
      <c r="A258" s="4" t="s">
        <v>177</v>
      </c>
      <c r="B258" s="5" t="s">
        <v>118</v>
      </c>
      <c r="C258" s="4" t="s">
        <v>67</v>
      </c>
      <c r="D258" s="5" t="s">
        <v>178</v>
      </c>
      <c r="E258" s="7" t="s">
        <v>33</v>
      </c>
      <c r="F258" s="7" t="s">
        <v>34</v>
      </c>
      <c r="G258" s="7" t="s">
        <v>14</v>
      </c>
      <c r="H258" s="8">
        <v>3.4</v>
      </c>
      <c r="I258" s="9">
        <v>22000</v>
      </c>
      <c r="J258" s="9">
        <f t="shared" si="3"/>
        <v>74800</v>
      </c>
      <c r="K258" s="6" t="s">
        <v>15</v>
      </c>
    </row>
    <row r="259" spans="1:11" x14ac:dyDescent="0.25">
      <c r="A259" s="4" t="s">
        <v>177</v>
      </c>
      <c r="B259" s="5" t="s">
        <v>118</v>
      </c>
      <c r="C259" s="4" t="s">
        <v>67</v>
      </c>
      <c r="D259" s="5" t="s">
        <v>178</v>
      </c>
      <c r="E259" s="7" t="s">
        <v>93</v>
      </c>
      <c r="F259" s="7" t="s">
        <v>92</v>
      </c>
      <c r="G259" s="7" t="s">
        <v>14</v>
      </c>
      <c r="H259" s="8">
        <v>0.2</v>
      </c>
      <c r="I259" s="9">
        <v>95000</v>
      </c>
      <c r="J259" s="9">
        <f t="shared" si="3"/>
        <v>19000</v>
      </c>
      <c r="K259" s="6" t="s">
        <v>15</v>
      </c>
    </row>
    <row r="260" spans="1:11" x14ac:dyDescent="0.25">
      <c r="A260" s="4" t="s">
        <v>177</v>
      </c>
      <c r="B260" s="5" t="s">
        <v>118</v>
      </c>
      <c r="C260" s="4" t="s">
        <v>67</v>
      </c>
      <c r="D260" s="5" t="s">
        <v>178</v>
      </c>
      <c r="E260" s="7" t="s">
        <v>35</v>
      </c>
      <c r="F260" s="7" t="s">
        <v>36</v>
      </c>
      <c r="G260" s="7" t="s">
        <v>14</v>
      </c>
      <c r="H260" s="8">
        <v>1.3</v>
      </c>
      <c r="I260" s="9">
        <v>38000</v>
      </c>
      <c r="J260" s="9">
        <f t="shared" si="3"/>
        <v>49400</v>
      </c>
      <c r="K260" s="6" t="s">
        <v>15</v>
      </c>
    </row>
    <row r="261" spans="1:11" x14ac:dyDescent="0.25">
      <c r="A261" s="4" t="s">
        <v>177</v>
      </c>
      <c r="B261" s="5" t="s">
        <v>118</v>
      </c>
      <c r="C261" s="4" t="s">
        <v>67</v>
      </c>
      <c r="D261" s="5" t="s">
        <v>178</v>
      </c>
      <c r="E261" s="7" t="s">
        <v>91</v>
      </c>
      <c r="F261" s="7" t="s">
        <v>90</v>
      </c>
      <c r="G261" s="7" t="s">
        <v>14</v>
      </c>
      <c r="H261" s="8">
        <v>1</v>
      </c>
      <c r="I261" s="9">
        <v>47000</v>
      </c>
      <c r="J261" s="9">
        <f t="shared" si="3"/>
        <v>47000</v>
      </c>
      <c r="K261" s="6" t="s">
        <v>15</v>
      </c>
    </row>
    <row r="262" spans="1:11" x14ac:dyDescent="0.25">
      <c r="A262" s="4" t="s">
        <v>177</v>
      </c>
      <c r="B262" s="5" t="s">
        <v>118</v>
      </c>
      <c r="C262" s="4" t="s">
        <v>67</v>
      </c>
      <c r="D262" s="5" t="s">
        <v>178</v>
      </c>
      <c r="E262" s="7" t="s">
        <v>19</v>
      </c>
      <c r="F262" s="7" t="s">
        <v>20</v>
      </c>
      <c r="G262" s="7" t="s">
        <v>14</v>
      </c>
      <c r="H262" s="8">
        <v>1.5</v>
      </c>
      <c r="I262" s="9">
        <v>32000</v>
      </c>
      <c r="J262" s="9">
        <f t="shared" si="3"/>
        <v>48000</v>
      </c>
      <c r="K262" s="6" t="s">
        <v>15</v>
      </c>
    </row>
    <row r="263" spans="1:11" x14ac:dyDescent="0.25">
      <c r="A263" s="4" t="s">
        <v>177</v>
      </c>
      <c r="B263" s="5" t="s">
        <v>118</v>
      </c>
      <c r="C263" s="4" t="s">
        <v>67</v>
      </c>
      <c r="D263" s="5" t="s">
        <v>178</v>
      </c>
      <c r="E263" s="7" t="s">
        <v>51</v>
      </c>
      <c r="F263" s="7" t="s">
        <v>52</v>
      </c>
      <c r="G263" s="7" t="s">
        <v>14</v>
      </c>
      <c r="H263" s="8">
        <v>30</v>
      </c>
      <c r="I263" s="9">
        <v>18000</v>
      </c>
      <c r="J263" s="9">
        <f t="shared" si="3"/>
        <v>540000</v>
      </c>
      <c r="K263" s="6" t="s">
        <v>15</v>
      </c>
    </row>
    <row r="264" spans="1:11" x14ac:dyDescent="0.25">
      <c r="A264" s="4" t="s">
        <v>177</v>
      </c>
      <c r="B264" s="5" t="s">
        <v>118</v>
      </c>
      <c r="C264" s="4" t="s">
        <v>67</v>
      </c>
      <c r="D264" s="5" t="s">
        <v>178</v>
      </c>
      <c r="E264" s="7" t="s">
        <v>21</v>
      </c>
      <c r="F264" s="7" t="s">
        <v>22</v>
      </c>
      <c r="G264" s="7" t="s">
        <v>14</v>
      </c>
      <c r="H264" s="8">
        <v>1.1000000000000001</v>
      </c>
      <c r="I264" s="9">
        <v>55000</v>
      </c>
      <c r="J264" s="9">
        <f t="shared" si="3"/>
        <v>60500.000000000007</v>
      </c>
      <c r="K264" s="6" t="s">
        <v>15</v>
      </c>
    </row>
    <row r="265" spans="1:11" x14ac:dyDescent="0.25">
      <c r="A265" s="4" t="s">
        <v>177</v>
      </c>
      <c r="B265" s="5" t="s">
        <v>118</v>
      </c>
      <c r="C265" s="4" t="s">
        <v>67</v>
      </c>
      <c r="D265" s="5" t="s">
        <v>178</v>
      </c>
      <c r="E265" s="7" t="s">
        <v>25</v>
      </c>
      <c r="F265" s="7" t="s">
        <v>26</v>
      </c>
      <c r="G265" s="7" t="s">
        <v>14</v>
      </c>
      <c r="H265" s="8">
        <v>0.1</v>
      </c>
      <c r="I265" s="9">
        <v>65000</v>
      </c>
      <c r="J265" s="9">
        <f t="shared" si="3"/>
        <v>6500</v>
      </c>
      <c r="K265" s="6" t="s">
        <v>15</v>
      </c>
    </row>
    <row r="266" spans="1:11" x14ac:dyDescent="0.25">
      <c r="A266" s="4" t="s">
        <v>177</v>
      </c>
      <c r="B266" s="5" t="s">
        <v>118</v>
      </c>
      <c r="C266" s="4" t="s">
        <v>67</v>
      </c>
      <c r="D266" s="5" t="s">
        <v>178</v>
      </c>
      <c r="E266" s="7" t="s">
        <v>82</v>
      </c>
      <c r="F266" s="7" t="s">
        <v>81</v>
      </c>
      <c r="G266" s="7" t="s">
        <v>14</v>
      </c>
      <c r="H266" s="8">
        <v>1</v>
      </c>
      <c r="I266" s="9">
        <v>18000</v>
      </c>
      <c r="J266" s="9">
        <f t="shared" si="3"/>
        <v>18000</v>
      </c>
      <c r="K266" s="6" t="s">
        <v>15</v>
      </c>
    </row>
    <row r="267" spans="1:11" x14ac:dyDescent="0.25">
      <c r="A267" s="4" t="s">
        <v>177</v>
      </c>
      <c r="B267" s="5" t="s">
        <v>118</v>
      </c>
      <c r="C267" s="4" t="s">
        <v>67</v>
      </c>
      <c r="D267" s="5" t="s">
        <v>178</v>
      </c>
      <c r="E267" s="7" t="s">
        <v>37</v>
      </c>
      <c r="F267" s="7" t="s">
        <v>38</v>
      </c>
      <c r="G267" s="7" t="s">
        <v>14</v>
      </c>
      <c r="H267" s="8">
        <v>3</v>
      </c>
      <c r="I267" s="9">
        <v>27000</v>
      </c>
      <c r="J267" s="9">
        <f t="shared" si="3"/>
        <v>81000</v>
      </c>
      <c r="K267" s="6" t="s">
        <v>15</v>
      </c>
    </row>
    <row r="268" spans="1:11" x14ac:dyDescent="0.25">
      <c r="A268" s="4" t="s">
        <v>177</v>
      </c>
      <c r="B268" s="5" t="s">
        <v>118</v>
      </c>
      <c r="C268" s="4" t="s">
        <v>67</v>
      </c>
      <c r="D268" s="5" t="s">
        <v>178</v>
      </c>
      <c r="E268" s="7" t="s">
        <v>80</v>
      </c>
      <c r="F268" s="7" t="s">
        <v>79</v>
      </c>
      <c r="G268" s="7" t="s">
        <v>14</v>
      </c>
      <c r="H268" s="8">
        <v>1.2</v>
      </c>
      <c r="I268" s="9">
        <v>90000</v>
      </c>
      <c r="J268" s="9">
        <f t="shared" si="3"/>
        <v>108000</v>
      </c>
      <c r="K268" s="6" t="s">
        <v>15</v>
      </c>
    </row>
    <row r="269" spans="1:11" ht="28.5" x14ac:dyDescent="0.25">
      <c r="A269" s="4" t="s">
        <v>177</v>
      </c>
      <c r="B269" s="5" t="s">
        <v>118</v>
      </c>
      <c r="C269" s="4" t="s">
        <v>67</v>
      </c>
      <c r="D269" s="5" t="s">
        <v>178</v>
      </c>
      <c r="E269" s="7" t="s">
        <v>29</v>
      </c>
      <c r="F269" s="7" t="s">
        <v>30</v>
      </c>
      <c r="G269" s="7" t="s">
        <v>14</v>
      </c>
      <c r="H269" s="8">
        <v>2.5</v>
      </c>
      <c r="I269" s="9">
        <v>45000</v>
      </c>
      <c r="J269" s="9">
        <f t="shared" si="3"/>
        <v>112500</v>
      </c>
      <c r="K269" s="6" t="s">
        <v>15</v>
      </c>
    </row>
    <row r="270" spans="1:11" ht="28.5" x14ac:dyDescent="0.25">
      <c r="A270" s="4" t="s">
        <v>177</v>
      </c>
      <c r="B270" s="5" t="s">
        <v>118</v>
      </c>
      <c r="C270" s="4" t="s">
        <v>67</v>
      </c>
      <c r="D270" s="5" t="s">
        <v>178</v>
      </c>
      <c r="E270" s="7" t="s">
        <v>78</v>
      </c>
      <c r="F270" s="7" t="s">
        <v>77</v>
      </c>
      <c r="G270" s="7" t="s">
        <v>14</v>
      </c>
      <c r="H270" s="8">
        <v>0.4</v>
      </c>
      <c r="I270" s="9">
        <v>90000</v>
      </c>
      <c r="J270" s="9">
        <f t="shared" si="3"/>
        <v>36000</v>
      </c>
      <c r="K270" s="6" t="s">
        <v>15</v>
      </c>
    </row>
    <row r="271" spans="1:11" x14ac:dyDescent="0.25">
      <c r="A271" s="4" t="s">
        <v>177</v>
      </c>
      <c r="B271" s="5" t="s">
        <v>118</v>
      </c>
      <c r="C271" s="4" t="s">
        <v>67</v>
      </c>
      <c r="D271" s="5" t="s">
        <v>178</v>
      </c>
      <c r="E271" s="7" t="s">
        <v>105</v>
      </c>
      <c r="F271" s="7" t="s">
        <v>104</v>
      </c>
      <c r="G271" s="7" t="s">
        <v>14</v>
      </c>
      <c r="H271" s="8">
        <v>0.5</v>
      </c>
      <c r="I271" s="9">
        <v>195000</v>
      </c>
      <c r="J271" s="9">
        <f t="shared" si="3"/>
        <v>97500</v>
      </c>
      <c r="K271" s="6" t="s">
        <v>15</v>
      </c>
    </row>
    <row r="272" spans="1:11" x14ac:dyDescent="0.25">
      <c r="A272" s="4" t="s">
        <v>177</v>
      </c>
      <c r="B272" s="5" t="s">
        <v>118</v>
      </c>
      <c r="C272" s="4" t="s">
        <v>67</v>
      </c>
      <c r="D272" s="5" t="s">
        <v>178</v>
      </c>
      <c r="E272" s="7" t="s">
        <v>41</v>
      </c>
      <c r="F272" s="7" t="s">
        <v>42</v>
      </c>
      <c r="G272" s="7" t="s">
        <v>14</v>
      </c>
      <c r="H272" s="8">
        <v>0.5</v>
      </c>
      <c r="I272" s="9">
        <v>145000</v>
      </c>
      <c r="J272" s="9">
        <f t="shared" ref="J272:J335" si="4">H272*I272</f>
        <v>72500</v>
      </c>
      <c r="K272" s="6" t="s">
        <v>15</v>
      </c>
    </row>
    <row r="273" spans="1:11" x14ac:dyDescent="0.25">
      <c r="A273" s="4" t="s">
        <v>177</v>
      </c>
      <c r="B273" s="5" t="s">
        <v>118</v>
      </c>
      <c r="C273" s="4" t="s">
        <v>67</v>
      </c>
      <c r="D273" s="5" t="s">
        <v>178</v>
      </c>
      <c r="E273" s="7" t="s">
        <v>57</v>
      </c>
      <c r="F273" s="7" t="s">
        <v>58</v>
      </c>
      <c r="G273" s="7" t="s">
        <v>14</v>
      </c>
      <c r="H273" s="8">
        <v>0.4</v>
      </c>
      <c r="I273" s="9">
        <v>148000</v>
      </c>
      <c r="J273" s="9">
        <f t="shared" si="4"/>
        <v>59200</v>
      </c>
      <c r="K273" s="6" t="s">
        <v>15</v>
      </c>
    </row>
    <row r="274" spans="1:11" x14ac:dyDescent="0.25">
      <c r="A274" s="4" t="s">
        <v>177</v>
      </c>
      <c r="B274" s="5" t="s">
        <v>118</v>
      </c>
      <c r="C274" s="4" t="s">
        <v>67</v>
      </c>
      <c r="D274" s="5" t="s">
        <v>178</v>
      </c>
      <c r="E274" s="7" t="s">
        <v>47</v>
      </c>
      <c r="F274" s="7" t="s">
        <v>48</v>
      </c>
      <c r="G274" s="7" t="s">
        <v>14</v>
      </c>
      <c r="H274" s="8">
        <v>1.5</v>
      </c>
      <c r="I274" s="9">
        <v>21000</v>
      </c>
      <c r="J274" s="9">
        <f t="shared" si="4"/>
        <v>31500</v>
      </c>
      <c r="K274" s="6" t="s">
        <v>15</v>
      </c>
    </row>
    <row r="275" spans="1:11" x14ac:dyDescent="0.25">
      <c r="A275" s="4" t="s">
        <v>177</v>
      </c>
      <c r="B275" s="5" t="s">
        <v>118</v>
      </c>
      <c r="C275" s="4" t="s">
        <v>67</v>
      </c>
      <c r="D275" s="5" t="s">
        <v>178</v>
      </c>
      <c r="E275" s="7" t="s">
        <v>27</v>
      </c>
      <c r="F275" s="7" t="s">
        <v>28</v>
      </c>
      <c r="G275" s="7" t="s">
        <v>14</v>
      </c>
      <c r="H275" s="8">
        <v>1.8</v>
      </c>
      <c r="I275" s="9">
        <v>50000</v>
      </c>
      <c r="J275" s="9">
        <f t="shared" si="4"/>
        <v>90000</v>
      </c>
      <c r="K275" s="6" t="s">
        <v>15</v>
      </c>
    </row>
    <row r="276" spans="1:11" x14ac:dyDescent="0.25">
      <c r="A276" s="4" t="s">
        <v>177</v>
      </c>
      <c r="B276" s="5" t="s">
        <v>118</v>
      </c>
      <c r="C276" s="4" t="s">
        <v>67</v>
      </c>
      <c r="D276" s="5" t="s">
        <v>178</v>
      </c>
      <c r="E276" s="7" t="s">
        <v>165</v>
      </c>
      <c r="F276" s="7" t="s">
        <v>166</v>
      </c>
      <c r="G276" s="7" t="s">
        <v>70</v>
      </c>
      <c r="H276" s="8">
        <v>20</v>
      </c>
      <c r="I276" s="9">
        <v>9000</v>
      </c>
      <c r="J276" s="9">
        <f t="shared" si="4"/>
        <v>180000</v>
      </c>
      <c r="K276" s="6" t="s">
        <v>15</v>
      </c>
    </row>
    <row r="277" spans="1:11" x14ac:dyDescent="0.25">
      <c r="A277" s="4" t="s">
        <v>177</v>
      </c>
      <c r="B277" s="5" t="s">
        <v>118</v>
      </c>
      <c r="C277" s="4" t="s">
        <v>67</v>
      </c>
      <c r="D277" s="5" t="s">
        <v>178</v>
      </c>
      <c r="E277" s="7" t="s">
        <v>72</v>
      </c>
      <c r="F277" s="7" t="s">
        <v>71</v>
      </c>
      <c r="G277" s="7" t="s">
        <v>70</v>
      </c>
      <c r="H277" s="8">
        <v>20</v>
      </c>
      <c r="I277" s="9">
        <v>5000</v>
      </c>
      <c r="J277" s="9">
        <f t="shared" si="4"/>
        <v>100000</v>
      </c>
      <c r="K277" s="6" t="s">
        <v>15</v>
      </c>
    </row>
    <row r="278" spans="1:11" x14ac:dyDescent="0.25">
      <c r="A278" s="4" t="s">
        <v>177</v>
      </c>
      <c r="B278" s="5" t="s">
        <v>118</v>
      </c>
      <c r="C278" s="4" t="s">
        <v>67</v>
      </c>
      <c r="D278" s="5" t="s">
        <v>178</v>
      </c>
      <c r="E278" s="7" t="s">
        <v>69</v>
      </c>
      <c r="F278" s="7" t="s">
        <v>68</v>
      </c>
      <c r="G278" s="7" t="s">
        <v>14</v>
      </c>
      <c r="H278" s="8">
        <v>0.1</v>
      </c>
      <c r="I278" s="9">
        <v>220000</v>
      </c>
      <c r="J278" s="9">
        <f t="shared" si="4"/>
        <v>22000</v>
      </c>
      <c r="K278" s="6" t="s">
        <v>15</v>
      </c>
    </row>
    <row r="279" spans="1:11" x14ac:dyDescent="0.25">
      <c r="A279" s="4" t="s">
        <v>177</v>
      </c>
      <c r="B279" s="5" t="s">
        <v>118</v>
      </c>
      <c r="C279" s="4" t="s">
        <v>67</v>
      </c>
      <c r="D279" s="5" t="s">
        <v>178</v>
      </c>
      <c r="E279" s="7" t="s">
        <v>66</v>
      </c>
      <c r="F279" s="7" t="s">
        <v>65</v>
      </c>
      <c r="G279" s="7" t="s">
        <v>14</v>
      </c>
      <c r="H279" s="8">
        <v>5</v>
      </c>
      <c r="I279" s="9">
        <v>62000</v>
      </c>
      <c r="J279" s="9">
        <f t="shared" si="4"/>
        <v>310000</v>
      </c>
      <c r="K279" s="6" t="s">
        <v>15</v>
      </c>
    </row>
    <row r="280" spans="1:11" x14ac:dyDescent="0.25">
      <c r="A280" s="4" t="s">
        <v>177</v>
      </c>
      <c r="B280" s="5" t="s">
        <v>118</v>
      </c>
      <c r="C280" s="4" t="s">
        <v>67</v>
      </c>
      <c r="D280" s="5" t="s">
        <v>179</v>
      </c>
      <c r="E280" s="7" t="s">
        <v>93</v>
      </c>
      <c r="F280" s="7" t="s">
        <v>92</v>
      </c>
      <c r="G280" s="7" t="s">
        <v>14</v>
      </c>
      <c r="H280" s="8">
        <v>0.35299999999999998</v>
      </c>
      <c r="I280" s="9">
        <v>95000</v>
      </c>
      <c r="J280" s="9">
        <f t="shared" si="4"/>
        <v>33535</v>
      </c>
      <c r="K280" s="6" t="s">
        <v>15</v>
      </c>
    </row>
    <row r="281" spans="1:11" x14ac:dyDescent="0.25">
      <c r="A281" s="4" t="s">
        <v>180</v>
      </c>
      <c r="B281" s="5" t="s">
        <v>118</v>
      </c>
      <c r="C281" s="4" t="s">
        <v>67</v>
      </c>
      <c r="D281" s="5" t="s">
        <v>181</v>
      </c>
      <c r="E281" s="7" t="s">
        <v>103</v>
      </c>
      <c r="F281" s="7" t="s">
        <v>102</v>
      </c>
      <c r="G281" s="7" t="s">
        <v>14</v>
      </c>
      <c r="H281" s="8">
        <v>2</v>
      </c>
      <c r="I281" s="9">
        <v>15000</v>
      </c>
      <c r="J281" s="9">
        <f t="shared" si="4"/>
        <v>30000</v>
      </c>
      <c r="K281" s="6" t="s">
        <v>15</v>
      </c>
    </row>
    <row r="282" spans="1:11" x14ac:dyDescent="0.25">
      <c r="A282" s="4" t="s">
        <v>180</v>
      </c>
      <c r="B282" s="5" t="s">
        <v>118</v>
      </c>
      <c r="C282" s="4" t="s">
        <v>67</v>
      </c>
      <c r="D282" s="5" t="s">
        <v>181</v>
      </c>
      <c r="E282" s="7" t="s">
        <v>12</v>
      </c>
      <c r="F282" s="7" t="s">
        <v>13</v>
      </c>
      <c r="G282" s="7" t="s">
        <v>14</v>
      </c>
      <c r="H282" s="8">
        <v>4.7</v>
      </c>
      <c r="I282" s="9">
        <v>19000</v>
      </c>
      <c r="J282" s="9">
        <f t="shared" si="4"/>
        <v>89300</v>
      </c>
      <c r="K282" s="6" t="s">
        <v>15</v>
      </c>
    </row>
    <row r="283" spans="1:11" x14ac:dyDescent="0.25">
      <c r="A283" s="4" t="s">
        <v>180</v>
      </c>
      <c r="B283" s="5" t="s">
        <v>118</v>
      </c>
      <c r="C283" s="4" t="s">
        <v>67</v>
      </c>
      <c r="D283" s="5" t="s">
        <v>181</v>
      </c>
      <c r="E283" s="7" t="s">
        <v>59</v>
      </c>
      <c r="F283" s="7" t="s">
        <v>60</v>
      </c>
      <c r="G283" s="7" t="s">
        <v>14</v>
      </c>
      <c r="H283" s="8">
        <v>5</v>
      </c>
      <c r="I283" s="9">
        <v>30000</v>
      </c>
      <c r="J283" s="9">
        <f t="shared" si="4"/>
        <v>150000</v>
      </c>
      <c r="K283" s="6" t="s">
        <v>15</v>
      </c>
    </row>
    <row r="284" spans="1:11" x14ac:dyDescent="0.25">
      <c r="A284" s="4" t="s">
        <v>180</v>
      </c>
      <c r="B284" s="5" t="s">
        <v>118</v>
      </c>
      <c r="C284" s="4" t="s">
        <v>67</v>
      </c>
      <c r="D284" s="5" t="s">
        <v>181</v>
      </c>
      <c r="E284" s="7" t="s">
        <v>101</v>
      </c>
      <c r="F284" s="7" t="s">
        <v>100</v>
      </c>
      <c r="G284" s="7" t="s">
        <v>14</v>
      </c>
      <c r="H284" s="8">
        <v>12</v>
      </c>
      <c r="I284" s="9">
        <v>40000</v>
      </c>
      <c r="J284" s="9">
        <f t="shared" si="4"/>
        <v>480000</v>
      </c>
      <c r="K284" s="6" t="s">
        <v>15</v>
      </c>
    </row>
    <row r="285" spans="1:11" x14ac:dyDescent="0.25">
      <c r="A285" s="4" t="s">
        <v>180</v>
      </c>
      <c r="B285" s="5" t="s">
        <v>118</v>
      </c>
      <c r="C285" s="4" t="s">
        <v>67</v>
      </c>
      <c r="D285" s="5" t="s">
        <v>181</v>
      </c>
      <c r="E285" s="7" t="s">
        <v>119</v>
      </c>
      <c r="F285" s="7" t="s">
        <v>120</v>
      </c>
      <c r="G285" s="7" t="s">
        <v>14</v>
      </c>
      <c r="H285" s="8">
        <v>6.3</v>
      </c>
      <c r="I285" s="9">
        <v>52000</v>
      </c>
      <c r="J285" s="9">
        <f t="shared" si="4"/>
        <v>327600</v>
      </c>
      <c r="K285" s="6" t="s">
        <v>15</v>
      </c>
    </row>
    <row r="286" spans="1:11" x14ac:dyDescent="0.25">
      <c r="A286" s="4" t="s">
        <v>180</v>
      </c>
      <c r="B286" s="5" t="s">
        <v>118</v>
      </c>
      <c r="C286" s="4" t="s">
        <v>67</v>
      </c>
      <c r="D286" s="5" t="s">
        <v>181</v>
      </c>
      <c r="E286" s="7" t="s">
        <v>109</v>
      </c>
      <c r="F286" s="7" t="s">
        <v>108</v>
      </c>
      <c r="G286" s="7" t="s">
        <v>14</v>
      </c>
      <c r="H286" s="8">
        <v>0.5</v>
      </c>
      <c r="I286" s="9">
        <v>75000</v>
      </c>
      <c r="J286" s="9">
        <f t="shared" si="4"/>
        <v>37500</v>
      </c>
      <c r="K286" s="6" t="s">
        <v>15</v>
      </c>
    </row>
    <row r="287" spans="1:11" ht="42.75" x14ac:dyDescent="0.25">
      <c r="A287" s="4" t="s">
        <v>180</v>
      </c>
      <c r="B287" s="5" t="s">
        <v>118</v>
      </c>
      <c r="C287" s="4" t="s">
        <v>67</v>
      </c>
      <c r="D287" s="5" t="s">
        <v>181</v>
      </c>
      <c r="E287" s="7" t="s">
        <v>99</v>
      </c>
      <c r="F287" s="7" t="s">
        <v>98</v>
      </c>
      <c r="G287" s="7" t="s">
        <v>14</v>
      </c>
      <c r="H287" s="8">
        <v>3</v>
      </c>
      <c r="I287" s="9">
        <v>30000</v>
      </c>
      <c r="J287" s="9">
        <f t="shared" si="4"/>
        <v>90000</v>
      </c>
      <c r="K287" s="6" t="s">
        <v>15</v>
      </c>
    </row>
    <row r="288" spans="1:11" x14ac:dyDescent="0.25">
      <c r="A288" s="4" t="s">
        <v>180</v>
      </c>
      <c r="B288" s="5" t="s">
        <v>118</v>
      </c>
      <c r="C288" s="4" t="s">
        <v>67</v>
      </c>
      <c r="D288" s="5" t="s">
        <v>181</v>
      </c>
      <c r="E288" s="7" t="s">
        <v>95</v>
      </c>
      <c r="F288" s="7" t="s">
        <v>94</v>
      </c>
      <c r="G288" s="7" t="s">
        <v>14</v>
      </c>
      <c r="H288" s="8">
        <v>2.6</v>
      </c>
      <c r="I288" s="9">
        <v>44000</v>
      </c>
      <c r="J288" s="9">
        <f t="shared" si="4"/>
        <v>114400</v>
      </c>
      <c r="K288" s="6" t="s">
        <v>15</v>
      </c>
    </row>
    <row r="289" spans="1:11" x14ac:dyDescent="0.25">
      <c r="A289" s="4" t="s">
        <v>180</v>
      </c>
      <c r="B289" s="5" t="s">
        <v>118</v>
      </c>
      <c r="C289" s="4" t="s">
        <v>67</v>
      </c>
      <c r="D289" s="5" t="s">
        <v>181</v>
      </c>
      <c r="E289" s="7" t="s">
        <v>35</v>
      </c>
      <c r="F289" s="7" t="s">
        <v>36</v>
      </c>
      <c r="G289" s="7" t="s">
        <v>14</v>
      </c>
      <c r="H289" s="8">
        <v>1</v>
      </c>
      <c r="I289" s="9">
        <v>38000</v>
      </c>
      <c r="J289" s="9">
        <f t="shared" si="4"/>
        <v>38000</v>
      </c>
      <c r="K289" s="6" t="s">
        <v>15</v>
      </c>
    </row>
    <row r="290" spans="1:11" x14ac:dyDescent="0.25">
      <c r="A290" s="4" t="s">
        <v>180</v>
      </c>
      <c r="B290" s="5" t="s">
        <v>118</v>
      </c>
      <c r="C290" s="4" t="s">
        <v>67</v>
      </c>
      <c r="D290" s="5" t="s">
        <v>181</v>
      </c>
      <c r="E290" s="7" t="s">
        <v>113</v>
      </c>
      <c r="F290" s="7" t="s">
        <v>112</v>
      </c>
      <c r="G290" s="7" t="s">
        <v>14</v>
      </c>
      <c r="H290" s="8">
        <v>0.1</v>
      </c>
      <c r="I290" s="9">
        <v>25000</v>
      </c>
      <c r="J290" s="9">
        <f t="shared" si="4"/>
        <v>2500</v>
      </c>
      <c r="K290" s="6" t="s">
        <v>15</v>
      </c>
    </row>
    <row r="291" spans="1:11" x14ac:dyDescent="0.25">
      <c r="A291" s="4" t="s">
        <v>180</v>
      </c>
      <c r="B291" s="5" t="s">
        <v>118</v>
      </c>
      <c r="C291" s="4" t="s">
        <v>67</v>
      </c>
      <c r="D291" s="5" t="s">
        <v>181</v>
      </c>
      <c r="E291" s="7" t="s">
        <v>91</v>
      </c>
      <c r="F291" s="7" t="s">
        <v>90</v>
      </c>
      <c r="G291" s="7" t="s">
        <v>14</v>
      </c>
      <c r="H291" s="8">
        <v>3</v>
      </c>
      <c r="I291" s="9">
        <v>47000</v>
      </c>
      <c r="J291" s="9">
        <f t="shared" si="4"/>
        <v>141000</v>
      </c>
      <c r="K291" s="6" t="s">
        <v>15</v>
      </c>
    </row>
    <row r="292" spans="1:11" x14ac:dyDescent="0.25">
      <c r="A292" s="4" t="s">
        <v>180</v>
      </c>
      <c r="B292" s="5" t="s">
        <v>118</v>
      </c>
      <c r="C292" s="4" t="s">
        <v>67</v>
      </c>
      <c r="D292" s="5" t="s">
        <v>181</v>
      </c>
      <c r="E292" s="7" t="s">
        <v>19</v>
      </c>
      <c r="F292" s="7" t="s">
        <v>20</v>
      </c>
      <c r="G292" s="7" t="s">
        <v>14</v>
      </c>
      <c r="H292" s="8">
        <v>3</v>
      </c>
      <c r="I292" s="9">
        <v>32000</v>
      </c>
      <c r="J292" s="9">
        <f t="shared" si="4"/>
        <v>96000</v>
      </c>
      <c r="K292" s="6" t="s">
        <v>15</v>
      </c>
    </row>
    <row r="293" spans="1:11" ht="28.5" x14ac:dyDescent="0.25">
      <c r="A293" s="4" t="s">
        <v>180</v>
      </c>
      <c r="B293" s="5" t="s">
        <v>118</v>
      </c>
      <c r="C293" s="4" t="s">
        <v>67</v>
      </c>
      <c r="D293" s="5" t="s">
        <v>181</v>
      </c>
      <c r="E293" s="7" t="s">
        <v>89</v>
      </c>
      <c r="F293" s="7" t="s">
        <v>88</v>
      </c>
      <c r="G293" s="7" t="s">
        <v>87</v>
      </c>
      <c r="H293" s="8">
        <v>6</v>
      </c>
      <c r="I293" s="9">
        <v>15000</v>
      </c>
      <c r="J293" s="9">
        <f t="shared" si="4"/>
        <v>90000</v>
      </c>
      <c r="K293" s="6" t="s">
        <v>15</v>
      </c>
    </row>
    <row r="294" spans="1:11" x14ac:dyDescent="0.25">
      <c r="A294" s="4" t="s">
        <v>180</v>
      </c>
      <c r="B294" s="5" t="s">
        <v>118</v>
      </c>
      <c r="C294" s="4" t="s">
        <v>67</v>
      </c>
      <c r="D294" s="5" t="s">
        <v>181</v>
      </c>
      <c r="E294" s="7" t="s">
        <v>51</v>
      </c>
      <c r="F294" s="7" t="s">
        <v>52</v>
      </c>
      <c r="G294" s="7" t="s">
        <v>14</v>
      </c>
      <c r="H294" s="8">
        <v>30</v>
      </c>
      <c r="I294" s="9">
        <v>18000</v>
      </c>
      <c r="J294" s="9">
        <f t="shared" si="4"/>
        <v>540000</v>
      </c>
      <c r="K294" s="6" t="s">
        <v>15</v>
      </c>
    </row>
    <row r="295" spans="1:11" x14ac:dyDescent="0.25">
      <c r="A295" s="4" t="s">
        <v>180</v>
      </c>
      <c r="B295" s="5" t="s">
        <v>118</v>
      </c>
      <c r="C295" s="4" t="s">
        <v>67</v>
      </c>
      <c r="D295" s="5" t="s">
        <v>181</v>
      </c>
      <c r="E295" s="7" t="s">
        <v>21</v>
      </c>
      <c r="F295" s="7" t="s">
        <v>22</v>
      </c>
      <c r="G295" s="7" t="s">
        <v>14</v>
      </c>
      <c r="H295" s="8">
        <v>3</v>
      </c>
      <c r="I295" s="9">
        <v>55000</v>
      </c>
      <c r="J295" s="9">
        <f t="shared" si="4"/>
        <v>165000</v>
      </c>
      <c r="K295" s="6" t="s">
        <v>15</v>
      </c>
    </row>
    <row r="296" spans="1:11" x14ac:dyDescent="0.25">
      <c r="A296" s="4" t="s">
        <v>180</v>
      </c>
      <c r="B296" s="5" t="s">
        <v>118</v>
      </c>
      <c r="C296" s="4" t="s">
        <v>67</v>
      </c>
      <c r="D296" s="5" t="s">
        <v>181</v>
      </c>
      <c r="E296" s="7" t="s">
        <v>23</v>
      </c>
      <c r="F296" s="7" t="s">
        <v>24</v>
      </c>
      <c r="G296" s="7" t="s">
        <v>14</v>
      </c>
      <c r="H296" s="8">
        <v>0.3</v>
      </c>
      <c r="I296" s="9">
        <v>13000</v>
      </c>
      <c r="J296" s="9">
        <f t="shared" si="4"/>
        <v>3900</v>
      </c>
      <c r="K296" s="6" t="s">
        <v>15</v>
      </c>
    </row>
    <row r="297" spans="1:11" x14ac:dyDescent="0.25">
      <c r="A297" s="4" t="s">
        <v>180</v>
      </c>
      <c r="B297" s="5" t="s">
        <v>118</v>
      </c>
      <c r="C297" s="4" t="s">
        <v>67</v>
      </c>
      <c r="D297" s="5" t="s">
        <v>181</v>
      </c>
      <c r="E297" s="7" t="s">
        <v>31</v>
      </c>
      <c r="F297" s="7" t="s">
        <v>32</v>
      </c>
      <c r="G297" s="7" t="s">
        <v>14</v>
      </c>
      <c r="H297" s="8">
        <v>0.1</v>
      </c>
      <c r="I297" s="9">
        <v>80000</v>
      </c>
      <c r="J297" s="9">
        <f t="shared" si="4"/>
        <v>8000</v>
      </c>
      <c r="K297" s="6" t="s">
        <v>15</v>
      </c>
    </row>
    <row r="298" spans="1:11" x14ac:dyDescent="0.25">
      <c r="A298" s="4" t="s">
        <v>180</v>
      </c>
      <c r="B298" s="5" t="s">
        <v>118</v>
      </c>
      <c r="C298" s="4" t="s">
        <v>67</v>
      </c>
      <c r="D298" s="5" t="s">
        <v>181</v>
      </c>
      <c r="E298" s="7" t="s">
        <v>25</v>
      </c>
      <c r="F298" s="7" t="s">
        <v>26</v>
      </c>
      <c r="G298" s="7" t="s">
        <v>14</v>
      </c>
      <c r="H298" s="8">
        <v>0.1</v>
      </c>
      <c r="I298" s="9">
        <v>65000</v>
      </c>
      <c r="J298" s="9">
        <f t="shared" si="4"/>
        <v>6500</v>
      </c>
      <c r="K298" s="6" t="s">
        <v>15</v>
      </c>
    </row>
    <row r="299" spans="1:11" x14ac:dyDescent="0.25">
      <c r="A299" s="4" t="s">
        <v>180</v>
      </c>
      <c r="B299" s="5" t="s">
        <v>118</v>
      </c>
      <c r="C299" s="4" t="s">
        <v>67</v>
      </c>
      <c r="D299" s="5" t="s">
        <v>181</v>
      </c>
      <c r="E299" s="7" t="s">
        <v>107</v>
      </c>
      <c r="F299" s="7" t="s">
        <v>106</v>
      </c>
      <c r="G299" s="7" t="s">
        <v>14</v>
      </c>
      <c r="H299" s="8">
        <v>0.1</v>
      </c>
      <c r="I299" s="9">
        <v>42000</v>
      </c>
      <c r="J299" s="9">
        <f t="shared" si="4"/>
        <v>4200</v>
      </c>
      <c r="K299" s="6" t="s">
        <v>15</v>
      </c>
    </row>
    <row r="300" spans="1:11" x14ac:dyDescent="0.25">
      <c r="A300" s="4" t="s">
        <v>180</v>
      </c>
      <c r="B300" s="5" t="s">
        <v>118</v>
      </c>
      <c r="C300" s="4" t="s">
        <v>67</v>
      </c>
      <c r="D300" s="5" t="s">
        <v>181</v>
      </c>
      <c r="E300" s="7" t="s">
        <v>37</v>
      </c>
      <c r="F300" s="7" t="s">
        <v>38</v>
      </c>
      <c r="G300" s="7" t="s">
        <v>14</v>
      </c>
      <c r="H300" s="8">
        <v>5</v>
      </c>
      <c r="I300" s="9">
        <v>27000</v>
      </c>
      <c r="J300" s="9">
        <f t="shared" si="4"/>
        <v>135000</v>
      </c>
      <c r="K300" s="6" t="s">
        <v>15</v>
      </c>
    </row>
    <row r="301" spans="1:11" ht="28.5" x14ac:dyDescent="0.25">
      <c r="A301" s="4" t="s">
        <v>180</v>
      </c>
      <c r="B301" s="5" t="s">
        <v>118</v>
      </c>
      <c r="C301" s="4" t="s">
        <v>67</v>
      </c>
      <c r="D301" s="5" t="s">
        <v>181</v>
      </c>
      <c r="E301" s="7" t="s">
        <v>39</v>
      </c>
      <c r="F301" s="7" t="s">
        <v>40</v>
      </c>
      <c r="G301" s="7" t="s">
        <v>14</v>
      </c>
      <c r="H301" s="8">
        <v>3</v>
      </c>
      <c r="I301" s="9">
        <v>145000</v>
      </c>
      <c r="J301" s="9">
        <f t="shared" si="4"/>
        <v>435000</v>
      </c>
      <c r="K301" s="6" t="s">
        <v>15</v>
      </c>
    </row>
    <row r="302" spans="1:11" x14ac:dyDescent="0.25">
      <c r="A302" s="4" t="s">
        <v>180</v>
      </c>
      <c r="B302" s="5" t="s">
        <v>118</v>
      </c>
      <c r="C302" s="4" t="s">
        <v>67</v>
      </c>
      <c r="D302" s="5" t="s">
        <v>181</v>
      </c>
      <c r="E302" s="7" t="s">
        <v>53</v>
      </c>
      <c r="F302" s="7" t="s">
        <v>54</v>
      </c>
      <c r="G302" s="7" t="s">
        <v>14</v>
      </c>
      <c r="H302" s="8">
        <v>3</v>
      </c>
      <c r="I302" s="9">
        <v>47000</v>
      </c>
      <c r="J302" s="9">
        <f t="shared" si="4"/>
        <v>141000</v>
      </c>
      <c r="K302" s="6" t="s">
        <v>15</v>
      </c>
    </row>
    <row r="303" spans="1:11" x14ac:dyDescent="0.25">
      <c r="A303" s="4" t="s">
        <v>180</v>
      </c>
      <c r="B303" s="5" t="s">
        <v>118</v>
      </c>
      <c r="C303" s="4" t="s">
        <v>67</v>
      </c>
      <c r="D303" s="5" t="s">
        <v>181</v>
      </c>
      <c r="E303" s="7" t="s">
        <v>80</v>
      </c>
      <c r="F303" s="7" t="s">
        <v>79</v>
      </c>
      <c r="G303" s="7" t="s">
        <v>14</v>
      </c>
      <c r="H303" s="8">
        <v>1</v>
      </c>
      <c r="I303" s="9">
        <v>90000</v>
      </c>
      <c r="J303" s="9">
        <f t="shared" si="4"/>
        <v>90000</v>
      </c>
      <c r="K303" s="6" t="s">
        <v>15</v>
      </c>
    </row>
    <row r="304" spans="1:11" x14ac:dyDescent="0.25">
      <c r="A304" s="4" t="s">
        <v>180</v>
      </c>
      <c r="B304" s="5" t="s">
        <v>118</v>
      </c>
      <c r="C304" s="4" t="s">
        <v>67</v>
      </c>
      <c r="D304" s="5" t="s">
        <v>181</v>
      </c>
      <c r="E304" s="7" t="s">
        <v>61</v>
      </c>
      <c r="F304" s="7" t="s">
        <v>62</v>
      </c>
      <c r="G304" s="7" t="s">
        <v>14</v>
      </c>
      <c r="H304" s="8">
        <v>1.3</v>
      </c>
      <c r="I304" s="9">
        <v>80000</v>
      </c>
      <c r="J304" s="9">
        <f t="shared" si="4"/>
        <v>104000</v>
      </c>
      <c r="K304" s="6" t="s">
        <v>15</v>
      </c>
    </row>
    <row r="305" spans="1:11" ht="28.5" x14ac:dyDescent="0.25">
      <c r="A305" s="4" t="s">
        <v>180</v>
      </c>
      <c r="B305" s="5" t="s">
        <v>118</v>
      </c>
      <c r="C305" s="4" t="s">
        <v>67</v>
      </c>
      <c r="D305" s="5" t="s">
        <v>181</v>
      </c>
      <c r="E305" s="7" t="s">
        <v>29</v>
      </c>
      <c r="F305" s="7" t="s">
        <v>30</v>
      </c>
      <c r="G305" s="7" t="s">
        <v>14</v>
      </c>
      <c r="H305" s="8">
        <v>6</v>
      </c>
      <c r="I305" s="9">
        <v>45000</v>
      </c>
      <c r="J305" s="9">
        <f t="shared" si="4"/>
        <v>270000</v>
      </c>
      <c r="K305" s="6" t="s">
        <v>15</v>
      </c>
    </row>
    <row r="306" spans="1:11" ht="28.5" x14ac:dyDescent="0.25">
      <c r="A306" s="4" t="s">
        <v>180</v>
      </c>
      <c r="B306" s="5" t="s">
        <v>118</v>
      </c>
      <c r="C306" s="4" t="s">
        <v>67</v>
      </c>
      <c r="D306" s="5" t="s">
        <v>181</v>
      </c>
      <c r="E306" s="7" t="s">
        <v>78</v>
      </c>
      <c r="F306" s="7" t="s">
        <v>77</v>
      </c>
      <c r="G306" s="7" t="s">
        <v>14</v>
      </c>
      <c r="H306" s="8">
        <v>1.5</v>
      </c>
      <c r="I306" s="9">
        <v>90000</v>
      </c>
      <c r="J306" s="9">
        <f t="shared" si="4"/>
        <v>135000</v>
      </c>
      <c r="K306" s="6" t="s">
        <v>15</v>
      </c>
    </row>
    <row r="307" spans="1:11" x14ac:dyDescent="0.25">
      <c r="A307" s="4" t="s">
        <v>180</v>
      </c>
      <c r="B307" s="5" t="s">
        <v>118</v>
      </c>
      <c r="C307" s="4" t="s">
        <v>67</v>
      </c>
      <c r="D307" s="5" t="s">
        <v>181</v>
      </c>
      <c r="E307" s="7" t="s">
        <v>105</v>
      </c>
      <c r="F307" s="7" t="s">
        <v>104</v>
      </c>
      <c r="G307" s="7" t="s">
        <v>14</v>
      </c>
      <c r="H307" s="8">
        <v>0.5</v>
      </c>
      <c r="I307" s="9">
        <v>195000</v>
      </c>
      <c r="J307" s="9">
        <f t="shared" si="4"/>
        <v>97500</v>
      </c>
      <c r="K307" s="6" t="s">
        <v>15</v>
      </c>
    </row>
    <row r="308" spans="1:11" x14ac:dyDescent="0.25">
      <c r="A308" s="4" t="s">
        <v>180</v>
      </c>
      <c r="B308" s="5" t="s">
        <v>118</v>
      </c>
      <c r="C308" s="4" t="s">
        <v>67</v>
      </c>
      <c r="D308" s="5" t="s">
        <v>181</v>
      </c>
      <c r="E308" s="7" t="s">
        <v>63</v>
      </c>
      <c r="F308" s="7" t="s">
        <v>64</v>
      </c>
      <c r="G308" s="7" t="s">
        <v>14</v>
      </c>
      <c r="H308" s="8">
        <v>3</v>
      </c>
      <c r="I308" s="9">
        <v>45000</v>
      </c>
      <c r="J308" s="9">
        <f t="shared" si="4"/>
        <v>135000</v>
      </c>
      <c r="K308" s="6" t="s">
        <v>15</v>
      </c>
    </row>
    <row r="309" spans="1:11" x14ac:dyDescent="0.25">
      <c r="A309" s="4" t="s">
        <v>180</v>
      </c>
      <c r="B309" s="5" t="s">
        <v>118</v>
      </c>
      <c r="C309" s="4" t="s">
        <v>67</v>
      </c>
      <c r="D309" s="5" t="s">
        <v>181</v>
      </c>
      <c r="E309" s="7" t="s">
        <v>55</v>
      </c>
      <c r="F309" s="7" t="s">
        <v>56</v>
      </c>
      <c r="G309" s="7" t="s">
        <v>14</v>
      </c>
      <c r="H309" s="8">
        <v>0.1</v>
      </c>
      <c r="I309" s="9">
        <v>70000</v>
      </c>
      <c r="J309" s="9">
        <f t="shared" si="4"/>
        <v>7000</v>
      </c>
      <c r="K309" s="6" t="s">
        <v>15</v>
      </c>
    </row>
    <row r="310" spans="1:11" x14ac:dyDescent="0.25">
      <c r="A310" s="4" t="s">
        <v>180</v>
      </c>
      <c r="B310" s="5" t="s">
        <v>118</v>
      </c>
      <c r="C310" s="4" t="s">
        <v>67</v>
      </c>
      <c r="D310" s="5" t="s">
        <v>181</v>
      </c>
      <c r="E310" s="7" t="s">
        <v>41</v>
      </c>
      <c r="F310" s="7" t="s">
        <v>42</v>
      </c>
      <c r="G310" s="7" t="s">
        <v>14</v>
      </c>
      <c r="H310" s="8">
        <v>1.5</v>
      </c>
      <c r="I310" s="9">
        <v>145000</v>
      </c>
      <c r="J310" s="9">
        <f t="shared" si="4"/>
        <v>217500</v>
      </c>
      <c r="K310" s="6" t="s">
        <v>15</v>
      </c>
    </row>
    <row r="311" spans="1:11" x14ac:dyDescent="0.25">
      <c r="A311" s="4" t="s">
        <v>180</v>
      </c>
      <c r="B311" s="5" t="s">
        <v>118</v>
      </c>
      <c r="C311" s="4" t="s">
        <v>67</v>
      </c>
      <c r="D311" s="5" t="s">
        <v>181</v>
      </c>
      <c r="E311" s="7" t="s">
        <v>57</v>
      </c>
      <c r="F311" s="7" t="s">
        <v>58</v>
      </c>
      <c r="G311" s="7" t="s">
        <v>14</v>
      </c>
      <c r="H311" s="8">
        <v>0.8</v>
      </c>
      <c r="I311" s="9">
        <v>148000</v>
      </c>
      <c r="J311" s="9">
        <f t="shared" si="4"/>
        <v>118400</v>
      </c>
      <c r="K311" s="6" t="s">
        <v>15</v>
      </c>
    </row>
    <row r="312" spans="1:11" x14ac:dyDescent="0.25">
      <c r="A312" s="4" t="s">
        <v>180</v>
      </c>
      <c r="B312" s="5" t="s">
        <v>118</v>
      </c>
      <c r="C312" s="4" t="s">
        <v>67</v>
      </c>
      <c r="D312" s="5" t="s">
        <v>181</v>
      </c>
      <c r="E312" s="7" t="s">
        <v>43</v>
      </c>
      <c r="F312" s="7" t="s">
        <v>44</v>
      </c>
      <c r="G312" s="7" t="s">
        <v>14</v>
      </c>
      <c r="H312" s="8">
        <v>0.1</v>
      </c>
      <c r="I312" s="9">
        <v>22000</v>
      </c>
      <c r="J312" s="9">
        <f t="shared" si="4"/>
        <v>2200</v>
      </c>
      <c r="K312" s="6" t="s">
        <v>15</v>
      </c>
    </row>
    <row r="313" spans="1:11" x14ac:dyDescent="0.25">
      <c r="A313" s="4" t="s">
        <v>180</v>
      </c>
      <c r="B313" s="5" t="s">
        <v>118</v>
      </c>
      <c r="C313" s="4" t="s">
        <v>67</v>
      </c>
      <c r="D313" s="5" t="s">
        <v>181</v>
      </c>
      <c r="E313" s="7" t="s">
        <v>157</v>
      </c>
      <c r="F313" s="7" t="s">
        <v>158</v>
      </c>
      <c r="G313" s="7" t="s">
        <v>14</v>
      </c>
      <c r="H313" s="8">
        <v>0.3</v>
      </c>
      <c r="I313" s="9">
        <v>36000</v>
      </c>
      <c r="J313" s="9">
        <f t="shared" si="4"/>
        <v>10800</v>
      </c>
      <c r="K313" s="6" t="s">
        <v>15</v>
      </c>
    </row>
    <row r="314" spans="1:11" x14ac:dyDescent="0.25">
      <c r="A314" s="4" t="s">
        <v>180</v>
      </c>
      <c r="B314" s="5" t="s">
        <v>118</v>
      </c>
      <c r="C314" s="4" t="s">
        <v>67</v>
      </c>
      <c r="D314" s="5" t="s">
        <v>181</v>
      </c>
      <c r="E314" s="7" t="s">
        <v>45</v>
      </c>
      <c r="F314" s="7" t="s">
        <v>46</v>
      </c>
      <c r="G314" s="7" t="s">
        <v>14</v>
      </c>
      <c r="H314" s="8">
        <v>0.8</v>
      </c>
      <c r="I314" s="9">
        <v>12000</v>
      </c>
      <c r="J314" s="9">
        <f t="shared" si="4"/>
        <v>9600</v>
      </c>
      <c r="K314" s="6" t="s">
        <v>15</v>
      </c>
    </row>
    <row r="315" spans="1:11" x14ac:dyDescent="0.25">
      <c r="A315" s="4" t="s">
        <v>180</v>
      </c>
      <c r="B315" s="5" t="s">
        <v>118</v>
      </c>
      <c r="C315" s="4" t="s">
        <v>67</v>
      </c>
      <c r="D315" s="5" t="s">
        <v>181</v>
      </c>
      <c r="E315" s="7" t="s">
        <v>47</v>
      </c>
      <c r="F315" s="7" t="s">
        <v>48</v>
      </c>
      <c r="G315" s="7" t="s">
        <v>14</v>
      </c>
      <c r="H315" s="8">
        <v>1.5</v>
      </c>
      <c r="I315" s="9">
        <v>21000</v>
      </c>
      <c r="J315" s="9">
        <f t="shared" si="4"/>
        <v>31500</v>
      </c>
      <c r="K315" s="6" t="s">
        <v>15</v>
      </c>
    </row>
    <row r="316" spans="1:11" x14ac:dyDescent="0.25">
      <c r="A316" s="4" t="s">
        <v>180</v>
      </c>
      <c r="B316" s="5" t="s">
        <v>118</v>
      </c>
      <c r="C316" s="4" t="s">
        <v>67</v>
      </c>
      <c r="D316" s="5" t="s">
        <v>181</v>
      </c>
      <c r="E316" s="7" t="s">
        <v>74</v>
      </c>
      <c r="F316" s="7" t="s">
        <v>73</v>
      </c>
      <c r="G316" s="7" t="s">
        <v>14</v>
      </c>
      <c r="H316" s="8">
        <v>0.1</v>
      </c>
      <c r="I316" s="9">
        <v>42000</v>
      </c>
      <c r="J316" s="9">
        <f t="shared" si="4"/>
        <v>4200</v>
      </c>
      <c r="K316" s="6" t="s">
        <v>15</v>
      </c>
    </row>
    <row r="317" spans="1:11" x14ac:dyDescent="0.25">
      <c r="A317" s="4" t="s">
        <v>180</v>
      </c>
      <c r="B317" s="5" t="s">
        <v>118</v>
      </c>
      <c r="C317" s="4" t="s">
        <v>67</v>
      </c>
      <c r="D317" s="5" t="s">
        <v>181</v>
      </c>
      <c r="E317" s="7" t="s">
        <v>27</v>
      </c>
      <c r="F317" s="7" t="s">
        <v>28</v>
      </c>
      <c r="G317" s="7" t="s">
        <v>14</v>
      </c>
      <c r="H317" s="8">
        <v>1</v>
      </c>
      <c r="I317" s="9">
        <v>50000</v>
      </c>
      <c r="J317" s="9">
        <f t="shared" si="4"/>
        <v>50000</v>
      </c>
      <c r="K317" s="6" t="s">
        <v>15</v>
      </c>
    </row>
    <row r="318" spans="1:11" x14ac:dyDescent="0.25">
      <c r="A318" s="4" t="s">
        <v>180</v>
      </c>
      <c r="B318" s="5" t="s">
        <v>118</v>
      </c>
      <c r="C318" s="4" t="s">
        <v>67</v>
      </c>
      <c r="D318" s="5" t="s">
        <v>181</v>
      </c>
      <c r="E318" s="7" t="s">
        <v>165</v>
      </c>
      <c r="F318" s="7" t="s">
        <v>166</v>
      </c>
      <c r="G318" s="7" t="s">
        <v>70</v>
      </c>
      <c r="H318" s="8">
        <v>20</v>
      </c>
      <c r="I318" s="9">
        <v>9000</v>
      </c>
      <c r="J318" s="9">
        <f t="shared" si="4"/>
        <v>180000</v>
      </c>
      <c r="K318" s="6" t="s">
        <v>15</v>
      </c>
    </row>
    <row r="319" spans="1:11" x14ac:dyDescent="0.25">
      <c r="A319" s="4" t="s">
        <v>180</v>
      </c>
      <c r="B319" s="5" t="s">
        <v>118</v>
      </c>
      <c r="C319" s="4" t="s">
        <v>67</v>
      </c>
      <c r="D319" s="5" t="s">
        <v>181</v>
      </c>
      <c r="E319" s="7" t="s">
        <v>72</v>
      </c>
      <c r="F319" s="7" t="s">
        <v>71</v>
      </c>
      <c r="G319" s="7" t="s">
        <v>70</v>
      </c>
      <c r="H319" s="8">
        <v>80</v>
      </c>
      <c r="I319" s="9">
        <v>5000</v>
      </c>
      <c r="J319" s="9">
        <f t="shared" si="4"/>
        <v>400000</v>
      </c>
      <c r="K319" s="6" t="s">
        <v>15</v>
      </c>
    </row>
    <row r="320" spans="1:11" x14ac:dyDescent="0.25">
      <c r="A320" s="4" t="s">
        <v>180</v>
      </c>
      <c r="B320" s="5" t="s">
        <v>118</v>
      </c>
      <c r="C320" s="4" t="s">
        <v>67</v>
      </c>
      <c r="D320" s="5" t="s">
        <v>181</v>
      </c>
      <c r="E320" s="7" t="s">
        <v>69</v>
      </c>
      <c r="F320" s="7" t="s">
        <v>68</v>
      </c>
      <c r="G320" s="7" t="s">
        <v>14</v>
      </c>
      <c r="H320" s="8">
        <v>0.1</v>
      </c>
      <c r="I320" s="9">
        <v>220000</v>
      </c>
      <c r="J320" s="9">
        <f t="shared" si="4"/>
        <v>22000</v>
      </c>
      <c r="K320" s="6" t="s">
        <v>15</v>
      </c>
    </row>
    <row r="321" spans="1:11" x14ac:dyDescent="0.25">
      <c r="A321" s="4" t="s">
        <v>180</v>
      </c>
      <c r="B321" s="5" t="s">
        <v>118</v>
      </c>
      <c r="C321" s="4" t="s">
        <v>67</v>
      </c>
      <c r="D321" s="5" t="s">
        <v>181</v>
      </c>
      <c r="E321" s="7" t="s">
        <v>66</v>
      </c>
      <c r="F321" s="7" t="s">
        <v>65</v>
      </c>
      <c r="G321" s="7" t="s">
        <v>14</v>
      </c>
      <c r="H321" s="8">
        <v>4</v>
      </c>
      <c r="I321" s="9">
        <v>62000</v>
      </c>
      <c r="J321" s="9">
        <f t="shared" si="4"/>
        <v>248000</v>
      </c>
      <c r="K321" s="6" t="s">
        <v>15</v>
      </c>
    </row>
    <row r="322" spans="1:11" ht="42.75" x14ac:dyDescent="0.25">
      <c r="A322" s="4" t="s">
        <v>180</v>
      </c>
      <c r="B322" s="5" t="s">
        <v>118</v>
      </c>
      <c r="C322" s="4" t="s">
        <v>67</v>
      </c>
      <c r="D322" s="5" t="s">
        <v>182</v>
      </c>
      <c r="E322" s="7" t="s">
        <v>99</v>
      </c>
      <c r="F322" s="7" t="s">
        <v>98</v>
      </c>
      <c r="G322" s="7" t="s">
        <v>14</v>
      </c>
      <c r="H322" s="8">
        <v>0.6</v>
      </c>
      <c r="I322" s="9">
        <v>30000</v>
      </c>
      <c r="J322" s="9">
        <f t="shared" si="4"/>
        <v>18000</v>
      </c>
      <c r="K322" s="6" t="s">
        <v>15</v>
      </c>
    </row>
    <row r="323" spans="1:11" ht="28.5" x14ac:dyDescent="0.25">
      <c r="A323" s="4" t="s">
        <v>180</v>
      </c>
      <c r="B323" s="5" t="s">
        <v>118</v>
      </c>
      <c r="C323" s="4" t="s">
        <v>67</v>
      </c>
      <c r="D323" s="5" t="s">
        <v>182</v>
      </c>
      <c r="E323" s="7" t="s">
        <v>78</v>
      </c>
      <c r="F323" s="7" t="s">
        <v>77</v>
      </c>
      <c r="G323" s="7" t="s">
        <v>14</v>
      </c>
      <c r="H323" s="8">
        <v>1</v>
      </c>
      <c r="I323" s="9">
        <v>90000</v>
      </c>
      <c r="J323" s="9">
        <f t="shared" si="4"/>
        <v>90000</v>
      </c>
      <c r="K323" s="6" t="s">
        <v>15</v>
      </c>
    </row>
    <row r="324" spans="1:11" x14ac:dyDescent="0.25">
      <c r="A324" s="4" t="s">
        <v>180</v>
      </c>
      <c r="B324" s="5" t="s">
        <v>118</v>
      </c>
      <c r="C324" s="4" t="s">
        <v>67</v>
      </c>
      <c r="D324" s="5" t="s">
        <v>182</v>
      </c>
      <c r="E324" s="7" t="s">
        <v>27</v>
      </c>
      <c r="F324" s="7" t="s">
        <v>28</v>
      </c>
      <c r="G324" s="7" t="s">
        <v>14</v>
      </c>
      <c r="H324" s="8">
        <v>1</v>
      </c>
      <c r="I324" s="9">
        <v>50000</v>
      </c>
      <c r="J324" s="9">
        <f t="shared" si="4"/>
        <v>50000</v>
      </c>
      <c r="K324" s="6" t="s">
        <v>15</v>
      </c>
    </row>
    <row r="325" spans="1:11" x14ac:dyDescent="0.25">
      <c r="A325" s="4" t="s">
        <v>183</v>
      </c>
      <c r="B325" s="5" t="s">
        <v>118</v>
      </c>
      <c r="C325" s="4" t="s">
        <v>67</v>
      </c>
      <c r="D325" s="5" t="s">
        <v>184</v>
      </c>
      <c r="E325" s="7" t="s">
        <v>103</v>
      </c>
      <c r="F325" s="7" t="s">
        <v>102</v>
      </c>
      <c r="G325" s="7" t="s">
        <v>14</v>
      </c>
      <c r="H325" s="8">
        <v>3</v>
      </c>
      <c r="I325" s="9">
        <v>15000</v>
      </c>
      <c r="J325" s="9">
        <f t="shared" si="4"/>
        <v>45000</v>
      </c>
      <c r="K325" s="6" t="s">
        <v>15</v>
      </c>
    </row>
    <row r="326" spans="1:11" x14ac:dyDescent="0.25">
      <c r="A326" s="4" t="s">
        <v>183</v>
      </c>
      <c r="B326" s="5" t="s">
        <v>118</v>
      </c>
      <c r="C326" s="4" t="s">
        <v>67</v>
      </c>
      <c r="D326" s="5" t="s">
        <v>184</v>
      </c>
      <c r="E326" s="7" t="s">
        <v>12</v>
      </c>
      <c r="F326" s="7" t="s">
        <v>13</v>
      </c>
      <c r="G326" s="7" t="s">
        <v>14</v>
      </c>
      <c r="H326" s="8">
        <v>5.5</v>
      </c>
      <c r="I326" s="9">
        <v>19000</v>
      </c>
      <c r="J326" s="9">
        <f t="shared" si="4"/>
        <v>104500</v>
      </c>
      <c r="K326" s="6" t="s">
        <v>15</v>
      </c>
    </row>
    <row r="327" spans="1:11" x14ac:dyDescent="0.25">
      <c r="A327" s="4" t="s">
        <v>183</v>
      </c>
      <c r="B327" s="5" t="s">
        <v>118</v>
      </c>
      <c r="C327" s="4" t="s">
        <v>67</v>
      </c>
      <c r="D327" s="5" t="s">
        <v>184</v>
      </c>
      <c r="E327" s="7" t="s">
        <v>59</v>
      </c>
      <c r="F327" s="7" t="s">
        <v>60</v>
      </c>
      <c r="G327" s="7" t="s">
        <v>14</v>
      </c>
      <c r="H327" s="8">
        <v>4.8</v>
      </c>
      <c r="I327" s="9">
        <v>30000</v>
      </c>
      <c r="J327" s="9">
        <f t="shared" si="4"/>
        <v>144000</v>
      </c>
      <c r="K327" s="6" t="s">
        <v>15</v>
      </c>
    </row>
    <row r="328" spans="1:11" x14ac:dyDescent="0.25">
      <c r="A328" s="4" t="s">
        <v>183</v>
      </c>
      <c r="B328" s="5" t="s">
        <v>118</v>
      </c>
      <c r="C328" s="4" t="s">
        <v>67</v>
      </c>
      <c r="D328" s="5" t="s">
        <v>184</v>
      </c>
      <c r="E328" s="7" t="s">
        <v>101</v>
      </c>
      <c r="F328" s="7" t="s">
        <v>100</v>
      </c>
      <c r="G328" s="7" t="s">
        <v>14</v>
      </c>
      <c r="H328" s="8">
        <v>12</v>
      </c>
      <c r="I328" s="9">
        <v>40000</v>
      </c>
      <c r="J328" s="9">
        <f t="shared" si="4"/>
        <v>480000</v>
      </c>
      <c r="K328" s="6" t="s">
        <v>15</v>
      </c>
    </row>
    <row r="329" spans="1:11" x14ac:dyDescent="0.25">
      <c r="A329" s="4" t="s">
        <v>183</v>
      </c>
      <c r="B329" s="5" t="s">
        <v>118</v>
      </c>
      <c r="C329" s="4" t="s">
        <v>67</v>
      </c>
      <c r="D329" s="5" t="s">
        <v>184</v>
      </c>
      <c r="E329" s="7" t="s">
        <v>119</v>
      </c>
      <c r="F329" s="7" t="s">
        <v>120</v>
      </c>
      <c r="G329" s="7" t="s">
        <v>14</v>
      </c>
      <c r="H329" s="8">
        <v>5</v>
      </c>
      <c r="I329" s="9">
        <v>52000</v>
      </c>
      <c r="J329" s="9">
        <f t="shared" si="4"/>
        <v>260000</v>
      </c>
      <c r="K329" s="6" t="s">
        <v>15</v>
      </c>
    </row>
    <row r="330" spans="1:11" x14ac:dyDescent="0.25">
      <c r="A330" s="4" t="s">
        <v>183</v>
      </c>
      <c r="B330" s="5" t="s">
        <v>118</v>
      </c>
      <c r="C330" s="4" t="s">
        <v>67</v>
      </c>
      <c r="D330" s="5" t="s">
        <v>184</v>
      </c>
      <c r="E330" s="7" t="s">
        <v>109</v>
      </c>
      <c r="F330" s="7" t="s">
        <v>108</v>
      </c>
      <c r="G330" s="7" t="s">
        <v>14</v>
      </c>
      <c r="H330" s="8">
        <v>0.4</v>
      </c>
      <c r="I330" s="9">
        <v>75000</v>
      </c>
      <c r="J330" s="9">
        <f t="shared" si="4"/>
        <v>30000</v>
      </c>
      <c r="K330" s="6" t="s">
        <v>15</v>
      </c>
    </row>
    <row r="331" spans="1:11" ht="42.75" x14ac:dyDescent="0.25">
      <c r="A331" s="4" t="s">
        <v>183</v>
      </c>
      <c r="B331" s="5" t="s">
        <v>118</v>
      </c>
      <c r="C331" s="4" t="s">
        <v>67</v>
      </c>
      <c r="D331" s="5" t="s">
        <v>184</v>
      </c>
      <c r="E331" s="7" t="s">
        <v>99</v>
      </c>
      <c r="F331" s="7" t="s">
        <v>98</v>
      </c>
      <c r="G331" s="7" t="s">
        <v>14</v>
      </c>
      <c r="H331" s="8">
        <v>3.5</v>
      </c>
      <c r="I331" s="9">
        <v>30000</v>
      </c>
      <c r="J331" s="9">
        <f t="shared" si="4"/>
        <v>105000</v>
      </c>
      <c r="K331" s="6" t="s">
        <v>15</v>
      </c>
    </row>
    <row r="332" spans="1:11" x14ac:dyDescent="0.25">
      <c r="A332" s="4" t="s">
        <v>183</v>
      </c>
      <c r="B332" s="5" t="s">
        <v>118</v>
      </c>
      <c r="C332" s="4" t="s">
        <v>67</v>
      </c>
      <c r="D332" s="5" t="s">
        <v>184</v>
      </c>
      <c r="E332" s="7" t="s">
        <v>97</v>
      </c>
      <c r="F332" s="7" t="s">
        <v>96</v>
      </c>
      <c r="G332" s="7" t="s">
        <v>14</v>
      </c>
      <c r="H332" s="8">
        <v>1</v>
      </c>
      <c r="I332" s="9">
        <v>75000</v>
      </c>
      <c r="J332" s="9">
        <f t="shared" si="4"/>
        <v>75000</v>
      </c>
      <c r="K332" s="6" t="s">
        <v>15</v>
      </c>
    </row>
    <row r="333" spans="1:11" x14ac:dyDescent="0.25">
      <c r="A333" s="4" t="s">
        <v>183</v>
      </c>
      <c r="B333" s="5" t="s">
        <v>118</v>
      </c>
      <c r="C333" s="4" t="s">
        <v>67</v>
      </c>
      <c r="D333" s="5" t="s">
        <v>184</v>
      </c>
      <c r="E333" s="7" t="s">
        <v>95</v>
      </c>
      <c r="F333" s="7" t="s">
        <v>94</v>
      </c>
      <c r="G333" s="7" t="s">
        <v>14</v>
      </c>
      <c r="H333" s="8">
        <v>0.9</v>
      </c>
      <c r="I333" s="9">
        <v>44000</v>
      </c>
      <c r="J333" s="9">
        <f t="shared" si="4"/>
        <v>39600</v>
      </c>
      <c r="K333" s="6" t="s">
        <v>15</v>
      </c>
    </row>
    <row r="334" spans="1:11" x14ac:dyDescent="0.25">
      <c r="A334" s="4" t="s">
        <v>183</v>
      </c>
      <c r="B334" s="5" t="s">
        <v>118</v>
      </c>
      <c r="C334" s="4" t="s">
        <v>67</v>
      </c>
      <c r="D334" s="5" t="s">
        <v>184</v>
      </c>
      <c r="E334" s="7" t="s">
        <v>35</v>
      </c>
      <c r="F334" s="7" t="s">
        <v>36</v>
      </c>
      <c r="G334" s="7" t="s">
        <v>14</v>
      </c>
      <c r="H334" s="8">
        <v>1</v>
      </c>
      <c r="I334" s="9">
        <v>38000</v>
      </c>
      <c r="J334" s="9">
        <f t="shared" si="4"/>
        <v>38000</v>
      </c>
      <c r="K334" s="6" t="s">
        <v>15</v>
      </c>
    </row>
    <row r="335" spans="1:11" x14ac:dyDescent="0.25">
      <c r="A335" s="4" t="s">
        <v>183</v>
      </c>
      <c r="B335" s="5" t="s">
        <v>118</v>
      </c>
      <c r="C335" s="4" t="s">
        <v>67</v>
      </c>
      <c r="D335" s="5" t="s">
        <v>184</v>
      </c>
      <c r="E335" s="7" t="s">
        <v>113</v>
      </c>
      <c r="F335" s="7" t="s">
        <v>112</v>
      </c>
      <c r="G335" s="7" t="s">
        <v>14</v>
      </c>
      <c r="H335" s="8">
        <v>0.1</v>
      </c>
      <c r="I335" s="9">
        <v>25000</v>
      </c>
      <c r="J335" s="9">
        <f t="shared" si="4"/>
        <v>2500</v>
      </c>
      <c r="K335" s="6" t="s">
        <v>15</v>
      </c>
    </row>
    <row r="336" spans="1:11" x14ac:dyDescent="0.25">
      <c r="A336" s="4" t="s">
        <v>183</v>
      </c>
      <c r="B336" s="5" t="s">
        <v>118</v>
      </c>
      <c r="C336" s="4" t="s">
        <v>67</v>
      </c>
      <c r="D336" s="5" t="s">
        <v>184</v>
      </c>
      <c r="E336" s="7" t="s">
        <v>19</v>
      </c>
      <c r="F336" s="7" t="s">
        <v>20</v>
      </c>
      <c r="G336" s="7" t="s">
        <v>14</v>
      </c>
      <c r="H336" s="8">
        <v>3</v>
      </c>
      <c r="I336" s="9">
        <v>32000</v>
      </c>
      <c r="J336" s="9">
        <f t="shared" ref="J336:J399" si="5">H336*I336</f>
        <v>96000</v>
      </c>
      <c r="K336" s="6" t="s">
        <v>15</v>
      </c>
    </row>
    <row r="337" spans="1:11" ht="28.5" x14ac:dyDescent="0.25">
      <c r="A337" s="4" t="s">
        <v>183</v>
      </c>
      <c r="B337" s="5" t="s">
        <v>118</v>
      </c>
      <c r="C337" s="4" t="s">
        <v>67</v>
      </c>
      <c r="D337" s="5" t="s">
        <v>184</v>
      </c>
      <c r="E337" s="7" t="s">
        <v>89</v>
      </c>
      <c r="F337" s="7" t="s">
        <v>88</v>
      </c>
      <c r="G337" s="7" t="s">
        <v>87</v>
      </c>
      <c r="H337" s="8">
        <v>6</v>
      </c>
      <c r="I337" s="9">
        <v>15000</v>
      </c>
      <c r="J337" s="9">
        <f t="shared" si="5"/>
        <v>90000</v>
      </c>
      <c r="K337" s="6" t="s">
        <v>15</v>
      </c>
    </row>
    <row r="338" spans="1:11" x14ac:dyDescent="0.25">
      <c r="A338" s="4" t="s">
        <v>183</v>
      </c>
      <c r="B338" s="5" t="s">
        <v>118</v>
      </c>
      <c r="C338" s="4" t="s">
        <v>67</v>
      </c>
      <c r="D338" s="5" t="s">
        <v>184</v>
      </c>
      <c r="E338" s="7" t="s">
        <v>51</v>
      </c>
      <c r="F338" s="7" t="s">
        <v>52</v>
      </c>
      <c r="G338" s="7" t="s">
        <v>14</v>
      </c>
      <c r="H338" s="8">
        <v>20</v>
      </c>
      <c r="I338" s="9">
        <v>18000</v>
      </c>
      <c r="J338" s="9">
        <f t="shared" si="5"/>
        <v>360000</v>
      </c>
      <c r="K338" s="6" t="s">
        <v>15</v>
      </c>
    </row>
    <row r="339" spans="1:11" x14ac:dyDescent="0.25">
      <c r="A339" s="4" t="s">
        <v>183</v>
      </c>
      <c r="B339" s="5" t="s">
        <v>118</v>
      </c>
      <c r="C339" s="4" t="s">
        <v>67</v>
      </c>
      <c r="D339" s="5" t="s">
        <v>184</v>
      </c>
      <c r="E339" s="7" t="s">
        <v>21</v>
      </c>
      <c r="F339" s="7" t="s">
        <v>22</v>
      </c>
      <c r="G339" s="7" t="s">
        <v>14</v>
      </c>
      <c r="H339" s="8">
        <v>3</v>
      </c>
      <c r="I339" s="9">
        <v>55000</v>
      </c>
      <c r="J339" s="9">
        <f t="shared" si="5"/>
        <v>165000</v>
      </c>
      <c r="K339" s="6" t="s">
        <v>15</v>
      </c>
    </row>
    <row r="340" spans="1:11" x14ac:dyDescent="0.25">
      <c r="A340" s="4" t="s">
        <v>183</v>
      </c>
      <c r="B340" s="5" t="s">
        <v>118</v>
      </c>
      <c r="C340" s="4" t="s">
        <v>67</v>
      </c>
      <c r="D340" s="5" t="s">
        <v>184</v>
      </c>
      <c r="E340" s="7" t="s">
        <v>84</v>
      </c>
      <c r="F340" s="7" t="s">
        <v>83</v>
      </c>
      <c r="G340" s="7" t="s">
        <v>14</v>
      </c>
      <c r="H340" s="8">
        <v>0.5</v>
      </c>
      <c r="I340" s="9">
        <v>23000</v>
      </c>
      <c r="J340" s="9">
        <f t="shared" si="5"/>
        <v>11500</v>
      </c>
      <c r="K340" s="6" t="s">
        <v>15</v>
      </c>
    </row>
    <row r="341" spans="1:11" x14ac:dyDescent="0.25">
      <c r="A341" s="4" t="s">
        <v>183</v>
      </c>
      <c r="B341" s="5" t="s">
        <v>118</v>
      </c>
      <c r="C341" s="4" t="s">
        <v>67</v>
      </c>
      <c r="D341" s="5" t="s">
        <v>184</v>
      </c>
      <c r="E341" s="7" t="s">
        <v>82</v>
      </c>
      <c r="F341" s="7" t="s">
        <v>81</v>
      </c>
      <c r="G341" s="7" t="s">
        <v>14</v>
      </c>
      <c r="H341" s="8">
        <v>1</v>
      </c>
      <c r="I341" s="9">
        <v>18000</v>
      </c>
      <c r="J341" s="9">
        <f t="shared" si="5"/>
        <v>18000</v>
      </c>
      <c r="K341" s="6" t="s">
        <v>15</v>
      </c>
    </row>
    <row r="342" spans="1:11" x14ac:dyDescent="0.25">
      <c r="A342" s="4" t="s">
        <v>183</v>
      </c>
      <c r="B342" s="5" t="s">
        <v>118</v>
      </c>
      <c r="C342" s="4" t="s">
        <v>67</v>
      </c>
      <c r="D342" s="5" t="s">
        <v>184</v>
      </c>
      <c r="E342" s="7" t="s">
        <v>37</v>
      </c>
      <c r="F342" s="7" t="s">
        <v>38</v>
      </c>
      <c r="G342" s="7" t="s">
        <v>14</v>
      </c>
      <c r="H342" s="8">
        <v>5</v>
      </c>
      <c r="I342" s="9">
        <v>27000</v>
      </c>
      <c r="J342" s="9">
        <f t="shared" si="5"/>
        <v>135000</v>
      </c>
      <c r="K342" s="6" t="s">
        <v>15</v>
      </c>
    </row>
    <row r="343" spans="1:11" ht="28.5" x14ac:dyDescent="0.25">
      <c r="A343" s="4" t="s">
        <v>183</v>
      </c>
      <c r="B343" s="5" t="s">
        <v>118</v>
      </c>
      <c r="C343" s="4" t="s">
        <v>67</v>
      </c>
      <c r="D343" s="5" t="s">
        <v>184</v>
      </c>
      <c r="E343" s="7" t="s">
        <v>39</v>
      </c>
      <c r="F343" s="7" t="s">
        <v>40</v>
      </c>
      <c r="G343" s="7" t="s">
        <v>14</v>
      </c>
      <c r="H343" s="8">
        <v>3</v>
      </c>
      <c r="I343" s="9">
        <v>145000</v>
      </c>
      <c r="J343" s="9">
        <f t="shared" si="5"/>
        <v>435000</v>
      </c>
      <c r="K343" s="6" t="s">
        <v>15</v>
      </c>
    </row>
    <row r="344" spans="1:11" x14ac:dyDescent="0.25">
      <c r="A344" s="4" t="s">
        <v>183</v>
      </c>
      <c r="B344" s="5" t="s">
        <v>118</v>
      </c>
      <c r="C344" s="4" t="s">
        <v>67</v>
      </c>
      <c r="D344" s="5" t="s">
        <v>184</v>
      </c>
      <c r="E344" s="7" t="s">
        <v>53</v>
      </c>
      <c r="F344" s="7" t="s">
        <v>54</v>
      </c>
      <c r="G344" s="7" t="s">
        <v>14</v>
      </c>
      <c r="H344" s="8">
        <v>2</v>
      </c>
      <c r="I344" s="9">
        <v>47000</v>
      </c>
      <c r="J344" s="9">
        <f t="shared" si="5"/>
        <v>94000</v>
      </c>
      <c r="K344" s="6" t="s">
        <v>15</v>
      </c>
    </row>
    <row r="345" spans="1:11" x14ac:dyDescent="0.25">
      <c r="A345" s="4" t="s">
        <v>183</v>
      </c>
      <c r="B345" s="5" t="s">
        <v>118</v>
      </c>
      <c r="C345" s="4" t="s">
        <v>67</v>
      </c>
      <c r="D345" s="5" t="s">
        <v>184</v>
      </c>
      <c r="E345" s="7" t="s">
        <v>80</v>
      </c>
      <c r="F345" s="7" t="s">
        <v>79</v>
      </c>
      <c r="G345" s="7" t="s">
        <v>14</v>
      </c>
      <c r="H345" s="8">
        <v>1</v>
      </c>
      <c r="I345" s="9">
        <v>90000</v>
      </c>
      <c r="J345" s="9">
        <f t="shared" si="5"/>
        <v>90000</v>
      </c>
      <c r="K345" s="6" t="s">
        <v>15</v>
      </c>
    </row>
    <row r="346" spans="1:11" x14ac:dyDescent="0.25">
      <c r="A346" s="4" t="s">
        <v>183</v>
      </c>
      <c r="B346" s="5" t="s">
        <v>118</v>
      </c>
      <c r="C346" s="4" t="s">
        <v>67</v>
      </c>
      <c r="D346" s="5" t="s">
        <v>184</v>
      </c>
      <c r="E346" s="7" t="s">
        <v>61</v>
      </c>
      <c r="F346" s="7" t="s">
        <v>62</v>
      </c>
      <c r="G346" s="7" t="s">
        <v>14</v>
      </c>
      <c r="H346" s="8">
        <v>1</v>
      </c>
      <c r="I346" s="9">
        <v>80000</v>
      </c>
      <c r="J346" s="9">
        <f t="shared" si="5"/>
        <v>80000</v>
      </c>
      <c r="K346" s="6" t="s">
        <v>15</v>
      </c>
    </row>
    <row r="347" spans="1:11" ht="28.5" x14ac:dyDescent="0.25">
      <c r="A347" s="4" t="s">
        <v>183</v>
      </c>
      <c r="B347" s="5" t="s">
        <v>118</v>
      </c>
      <c r="C347" s="4" t="s">
        <v>67</v>
      </c>
      <c r="D347" s="5" t="s">
        <v>184</v>
      </c>
      <c r="E347" s="7" t="s">
        <v>29</v>
      </c>
      <c r="F347" s="7" t="s">
        <v>30</v>
      </c>
      <c r="G347" s="7" t="s">
        <v>14</v>
      </c>
      <c r="H347" s="8">
        <v>6</v>
      </c>
      <c r="I347" s="9">
        <v>45000</v>
      </c>
      <c r="J347" s="9">
        <f t="shared" si="5"/>
        <v>270000</v>
      </c>
      <c r="K347" s="6" t="s">
        <v>15</v>
      </c>
    </row>
    <row r="348" spans="1:11" ht="28.5" x14ac:dyDescent="0.25">
      <c r="A348" s="4" t="s">
        <v>183</v>
      </c>
      <c r="B348" s="5" t="s">
        <v>118</v>
      </c>
      <c r="C348" s="4" t="s">
        <v>67</v>
      </c>
      <c r="D348" s="5" t="s">
        <v>184</v>
      </c>
      <c r="E348" s="7" t="s">
        <v>78</v>
      </c>
      <c r="F348" s="7" t="s">
        <v>77</v>
      </c>
      <c r="G348" s="7" t="s">
        <v>14</v>
      </c>
      <c r="H348" s="8">
        <v>1.4</v>
      </c>
      <c r="I348" s="9">
        <v>90000</v>
      </c>
      <c r="J348" s="9">
        <f t="shared" si="5"/>
        <v>125999.99999999999</v>
      </c>
      <c r="K348" s="6" t="s">
        <v>15</v>
      </c>
    </row>
    <row r="349" spans="1:11" x14ac:dyDescent="0.25">
      <c r="A349" s="4" t="s">
        <v>183</v>
      </c>
      <c r="B349" s="5" t="s">
        <v>118</v>
      </c>
      <c r="C349" s="4" t="s">
        <v>67</v>
      </c>
      <c r="D349" s="5" t="s">
        <v>184</v>
      </c>
      <c r="E349" s="7" t="s">
        <v>105</v>
      </c>
      <c r="F349" s="7" t="s">
        <v>104</v>
      </c>
      <c r="G349" s="7" t="s">
        <v>14</v>
      </c>
      <c r="H349" s="8">
        <v>0.5</v>
      </c>
      <c r="I349" s="9">
        <v>195000</v>
      </c>
      <c r="J349" s="9">
        <f t="shared" si="5"/>
        <v>97500</v>
      </c>
      <c r="K349" s="6" t="s">
        <v>15</v>
      </c>
    </row>
    <row r="350" spans="1:11" x14ac:dyDescent="0.25">
      <c r="A350" s="4" t="s">
        <v>183</v>
      </c>
      <c r="B350" s="5" t="s">
        <v>118</v>
      </c>
      <c r="C350" s="4" t="s">
        <v>67</v>
      </c>
      <c r="D350" s="5" t="s">
        <v>184</v>
      </c>
      <c r="E350" s="7" t="s">
        <v>63</v>
      </c>
      <c r="F350" s="7" t="s">
        <v>64</v>
      </c>
      <c r="G350" s="7" t="s">
        <v>14</v>
      </c>
      <c r="H350" s="8">
        <v>3.5</v>
      </c>
      <c r="I350" s="9">
        <v>45000</v>
      </c>
      <c r="J350" s="9">
        <f t="shared" si="5"/>
        <v>157500</v>
      </c>
      <c r="K350" s="6" t="s">
        <v>15</v>
      </c>
    </row>
    <row r="351" spans="1:11" x14ac:dyDescent="0.25">
      <c r="A351" s="4" t="s">
        <v>183</v>
      </c>
      <c r="B351" s="5" t="s">
        <v>118</v>
      </c>
      <c r="C351" s="4" t="s">
        <v>67</v>
      </c>
      <c r="D351" s="5" t="s">
        <v>184</v>
      </c>
      <c r="E351" s="7" t="s">
        <v>55</v>
      </c>
      <c r="F351" s="7" t="s">
        <v>56</v>
      </c>
      <c r="G351" s="7" t="s">
        <v>14</v>
      </c>
      <c r="H351" s="8">
        <v>0.1</v>
      </c>
      <c r="I351" s="9">
        <v>70000</v>
      </c>
      <c r="J351" s="9">
        <f t="shared" si="5"/>
        <v>7000</v>
      </c>
      <c r="K351" s="6" t="s">
        <v>15</v>
      </c>
    </row>
    <row r="352" spans="1:11" x14ac:dyDescent="0.25">
      <c r="A352" s="4" t="s">
        <v>183</v>
      </c>
      <c r="B352" s="5" t="s">
        <v>118</v>
      </c>
      <c r="C352" s="4" t="s">
        <v>67</v>
      </c>
      <c r="D352" s="5" t="s">
        <v>184</v>
      </c>
      <c r="E352" s="7" t="s">
        <v>41</v>
      </c>
      <c r="F352" s="7" t="s">
        <v>42</v>
      </c>
      <c r="G352" s="7" t="s">
        <v>14</v>
      </c>
      <c r="H352" s="8">
        <v>1</v>
      </c>
      <c r="I352" s="9">
        <v>145000</v>
      </c>
      <c r="J352" s="9">
        <f t="shared" si="5"/>
        <v>145000</v>
      </c>
      <c r="K352" s="6" t="s">
        <v>15</v>
      </c>
    </row>
    <row r="353" spans="1:11" x14ac:dyDescent="0.25">
      <c r="A353" s="4" t="s">
        <v>183</v>
      </c>
      <c r="B353" s="5" t="s">
        <v>118</v>
      </c>
      <c r="C353" s="4" t="s">
        <v>67</v>
      </c>
      <c r="D353" s="5" t="s">
        <v>184</v>
      </c>
      <c r="E353" s="7" t="s">
        <v>57</v>
      </c>
      <c r="F353" s="7" t="s">
        <v>58</v>
      </c>
      <c r="G353" s="7" t="s">
        <v>14</v>
      </c>
      <c r="H353" s="8">
        <v>0.8</v>
      </c>
      <c r="I353" s="9">
        <v>148000</v>
      </c>
      <c r="J353" s="9">
        <f t="shared" si="5"/>
        <v>118400</v>
      </c>
      <c r="K353" s="6" t="s">
        <v>15</v>
      </c>
    </row>
    <row r="354" spans="1:11" x14ac:dyDescent="0.25">
      <c r="A354" s="4" t="s">
        <v>183</v>
      </c>
      <c r="B354" s="5" t="s">
        <v>118</v>
      </c>
      <c r="C354" s="4" t="s">
        <v>67</v>
      </c>
      <c r="D354" s="5" t="s">
        <v>184</v>
      </c>
      <c r="E354" s="7" t="s">
        <v>43</v>
      </c>
      <c r="F354" s="7" t="s">
        <v>44</v>
      </c>
      <c r="G354" s="7" t="s">
        <v>14</v>
      </c>
      <c r="H354" s="8">
        <v>0.1</v>
      </c>
      <c r="I354" s="9">
        <v>22000</v>
      </c>
      <c r="J354" s="9">
        <f t="shared" si="5"/>
        <v>2200</v>
      </c>
      <c r="K354" s="6" t="s">
        <v>15</v>
      </c>
    </row>
    <row r="355" spans="1:11" x14ac:dyDescent="0.25">
      <c r="A355" s="4" t="s">
        <v>183</v>
      </c>
      <c r="B355" s="5" t="s">
        <v>118</v>
      </c>
      <c r="C355" s="4" t="s">
        <v>67</v>
      </c>
      <c r="D355" s="5" t="s">
        <v>184</v>
      </c>
      <c r="E355" s="7" t="s">
        <v>157</v>
      </c>
      <c r="F355" s="7" t="s">
        <v>158</v>
      </c>
      <c r="G355" s="7" t="s">
        <v>14</v>
      </c>
      <c r="H355" s="8">
        <v>0.3</v>
      </c>
      <c r="I355" s="9">
        <v>36000</v>
      </c>
      <c r="J355" s="9">
        <f t="shared" si="5"/>
        <v>10800</v>
      </c>
      <c r="K355" s="6" t="s">
        <v>15</v>
      </c>
    </row>
    <row r="356" spans="1:11" x14ac:dyDescent="0.25">
      <c r="A356" s="4" t="s">
        <v>183</v>
      </c>
      <c r="B356" s="5" t="s">
        <v>118</v>
      </c>
      <c r="C356" s="4" t="s">
        <v>67</v>
      </c>
      <c r="D356" s="5" t="s">
        <v>184</v>
      </c>
      <c r="E356" s="7" t="s">
        <v>45</v>
      </c>
      <c r="F356" s="7" t="s">
        <v>46</v>
      </c>
      <c r="G356" s="7" t="s">
        <v>14</v>
      </c>
      <c r="H356" s="8">
        <v>1</v>
      </c>
      <c r="I356" s="9">
        <v>12000</v>
      </c>
      <c r="J356" s="9">
        <f t="shared" si="5"/>
        <v>12000</v>
      </c>
      <c r="K356" s="6" t="s">
        <v>15</v>
      </c>
    </row>
    <row r="357" spans="1:11" x14ac:dyDescent="0.25">
      <c r="A357" s="4" t="s">
        <v>183</v>
      </c>
      <c r="B357" s="5" t="s">
        <v>118</v>
      </c>
      <c r="C357" s="4" t="s">
        <v>67</v>
      </c>
      <c r="D357" s="5" t="s">
        <v>184</v>
      </c>
      <c r="E357" s="7" t="s">
        <v>47</v>
      </c>
      <c r="F357" s="7" t="s">
        <v>48</v>
      </c>
      <c r="G357" s="7" t="s">
        <v>14</v>
      </c>
      <c r="H357" s="8">
        <v>1</v>
      </c>
      <c r="I357" s="9">
        <v>21000</v>
      </c>
      <c r="J357" s="9">
        <f t="shared" si="5"/>
        <v>21000</v>
      </c>
      <c r="K357" s="6" t="s">
        <v>15</v>
      </c>
    </row>
    <row r="358" spans="1:11" x14ac:dyDescent="0.25">
      <c r="A358" s="4" t="s">
        <v>183</v>
      </c>
      <c r="B358" s="5" t="s">
        <v>118</v>
      </c>
      <c r="C358" s="4" t="s">
        <v>67</v>
      </c>
      <c r="D358" s="5" t="s">
        <v>184</v>
      </c>
      <c r="E358" s="7" t="s">
        <v>74</v>
      </c>
      <c r="F358" s="7" t="s">
        <v>73</v>
      </c>
      <c r="G358" s="7" t="s">
        <v>14</v>
      </c>
      <c r="H358" s="8">
        <v>0.1</v>
      </c>
      <c r="I358" s="9">
        <v>42000</v>
      </c>
      <c r="J358" s="9">
        <f t="shared" si="5"/>
        <v>4200</v>
      </c>
      <c r="K358" s="6" t="s">
        <v>15</v>
      </c>
    </row>
    <row r="359" spans="1:11" x14ac:dyDescent="0.25">
      <c r="A359" s="4" t="s">
        <v>183</v>
      </c>
      <c r="B359" s="5" t="s">
        <v>118</v>
      </c>
      <c r="C359" s="4" t="s">
        <v>67</v>
      </c>
      <c r="D359" s="5" t="s">
        <v>184</v>
      </c>
      <c r="E359" s="7" t="s">
        <v>27</v>
      </c>
      <c r="F359" s="7" t="s">
        <v>28</v>
      </c>
      <c r="G359" s="7" t="s">
        <v>14</v>
      </c>
      <c r="H359" s="8">
        <v>1.4</v>
      </c>
      <c r="I359" s="9">
        <v>50000</v>
      </c>
      <c r="J359" s="9">
        <f t="shared" si="5"/>
        <v>70000</v>
      </c>
      <c r="K359" s="6" t="s">
        <v>15</v>
      </c>
    </row>
    <row r="360" spans="1:11" x14ac:dyDescent="0.25">
      <c r="A360" s="4" t="s">
        <v>183</v>
      </c>
      <c r="B360" s="5" t="s">
        <v>118</v>
      </c>
      <c r="C360" s="4" t="s">
        <v>67</v>
      </c>
      <c r="D360" s="5" t="s">
        <v>184</v>
      </c>
      <c r="E360" s="7" t="s">
        <v>72</v>
      </c>
      <c r="F360" s="7" t="s">
        <v>71</v>
      </c>
      <c r="G360" s="7" t="s">
        <v>70</v>
      </c>
      <c r="H360" s="8">
        <v>40</v>
      </c>
      <c r="I360" s="9">
        <v>5000</v>
      </c>
      <c r="J360" s="9">
        <f t="shared" si="5"/>
        <v>200000</v>
      </c>
      <c r="K360" s="6" t="s">
        <v>15</v>
      </c>
    </row>
    <row r="361" spans="1:11" x14ac:dyDescent="0.25">
      <c r="A361" s="4" t="s">
        <v>183</v>
      </c>
      <c r="B361" s="5" t="s">
        <v>118</v>
      </c>
      <c r="C361" s="4" t="s">
        <v>67</v>
      </c>
      <c r="D361" s="5" t="s">
        <v>184</v>
      </c>
      <c r="E361" s="7" t="s">
        <v>69</v>
      </c>
      <c r="F361" s="7" t="s">
        <v>68</v>
      </c>
      <c r="G361" s="7" t="s">
        <v>14</v>
      </c>
      <c r="H361" s="8">
        <v>0.2</v>
      </c>
      <c r="I361" s="9">
        <v>220000</v>
      </c>
      <c r="J361" s="9">
        <f t="shared" si="5"/>
        <v>44000</v>
      </c>
      <c r="K361" s="6" t="s">
        <v>15</v>
      </c>
    </row>
    <row r="362" spans="1:11" x14ac:dyDescent="0.25">
      <c r="A362" s="4" t="s">
        <v>183</v>
      </c>
      <c r="B362" s="5" t="s">
        <v>118</v>
      </c>
      <c r="C362" s="4" t="s">
        <v>67</v>
      </c>
      <c r="D362" s="5" t="s">
        <v>184</v>
      </c>
      <c r="E362" s="7" t="s">
        <v>66</v>
      </c>
      <c r="F362" s="7" t="s">
        <v>65</v>
      </c>
      <c r="G362" s="7" t="s">
        <v>14</v>
      </c>
      <c r="H362" s="8">
        <v>5.2</v>
      </c>
      <c r="I362" s="9">
        <v>62000</v>
      </c>
      <c r="J362" s="9">
        <f t="shared" si="5"/>
        <v>322400</v>
      </c>
      <c r="K362" s="6" t="s">
        <v>15</v>
      </c>
    </row>
    <row r="363" spans="1:11" ht="42.75" x14ac:dyDescent="0.25">
      <c r="A363" s="4" t="s">
        <v>183</v>
      </c>
      <c r="B363" s="5" t="s">
        <v>118</v>
      </c>
      <c r="C363" s="4" t="s">
        <v>67</v>
      </c>
      <c r="D363" s="5" t="s">
        <v>185</v>
      </c>
      <c r="E363" s="7" t="s">
        <v>99</v>
      </c>
      <c r="F363" s="7" t="s">
        <v>98</v>
      </c>
      <c r="G363" s="7" t="s">
        <v>14</v>
      </c>
      <c r="H363" s="8">
        <v>1</v>
      </c>
      <c r="I363" s="9">
        <v>30000</v>
      </c>
      <c r="J363" s="9">
        <f t="shared" si="5"/>
        <v>30000</v>
      </c>
      <c r="K363" s="6" t="s">
        <v>15</v>
      </c>
    </row>
    <row r="364" spans="1:11" x14ac:dyDescent="0.25">
      <c r="A364" s="4" t="s">
        <v>183</v>
      </c>
      <c r="B364" s="5" t="s">
        <v>118</v>
      </c>
      <c r="C364" s="4" t="s">
        <v>67</v>
      </c>
      <c r="D364" s="5" t="s">
        <v>185</v>
      </c>
      <c r="E364" s="7" t="s">
        <v>33</v>
      </c>
      <c r="F364" s="7" t="s">
        <v>34</v>
      </c>
      <c r="G364" s="7" t="s">
        <v>14</v>
      </c>
      <c r="H364" s="8">
        <v>3</v>
      </c>
      <c r="I364" s="9">
        <v>22000</v>
      </c>
      <c r="J364" s="9">
        <f t="shared" si="5"/>
        <v>66000</v>
      </c>
      <c r="K364" s="6" t="s">
        <v>15</v>
      </c>
    </row>
    <row r="365" spans="1:11" ht="28.5" x14ac:dyDescent="0.25">
      <c r="A365" s="4" t="s">
        <v>183</v>
      </c>
      <c r="B365" s="5" t="s">
        <v>118</v>
      </c>
      <c r="C365" s="4" t="s">
        <v>67</v>
      </c>
      <c r="D365" s="5" t="s">
        <v>185</v>
      </c>
      <c r="E365" s="7" t="s">
        <v>39</v>
      </c>
      <c r="F365" s="7" t="s">
        <v>40</v>
      </c>
      <c r="G365" s="7" t="s">
        <v>14</v>
      </c>
      <c r="H365" s="8">
        <v>2.2799999999999998</v>
      </c>
      <c r="I365" s="9">
        <v>145000</v>
      </c>
      <c r="J365" s="9">
        <f t="shared" si="5"/>
        <v>330600</v>
      </c>
      <c r="K365" s="6" t="s">
        <v>15</v>
      </c>
    </row>
    <row r="366" spans="1:11" x14ac:dyDescent="0.25">
      <c r="A366" s="4" t="s">
        <v>183</v>
      </c>
      <c r="B366" s="5" t="s">
        <v>118</v>
      </c>
      <c r="C366" s="4" t="s">
        <v>67</v>
      </c>
      <c r="D366" s="5" t="s">
        <v>185</v>
      </c>
      <c r="E366" s="7" t="s">
        <v>80</v>
      </c>
      <c r="F366" s="7" t="s">
        <v>79</v>
      </c>
      <c r="G366" s="7" t="s">
        <v>14</v>
      </c>
      <c r="H366" s="8">
        <v>0.75</v>
      </c>
      <c r="I366" s="9">
        <v>90000</v>
      </c>
      <c r="J366" s="9">
        <f t="shared" si="5"/>
        <v>67500</v>
      </c>
      <c r="K366" s="6" t="s">
        <v>15</v>
      </c>
    </row>
    <row r="367" spans="1:11" x14ac:dyDescent="0.25">
      <c r="A367" s="4" t="s">
        <v>183</v>
      </c>
      <c r="B367" s="5" t="s">
        <v>118</v>
      </c>
      <c r="C367" s="4" t="s">
        <v>67</v>
      </c>
      <c r="D367" s="5" t="s">
        <v>185</v>
      </c>
      <c r="E367" s="7" t="s">
        <v>76</v>
      </c>
      <c r="F367" s="7" t="s">
        <v>75</v>
      </c>
      <c r="G367" s="7" t="s">
        <v>14</v>
      </c>
      <c r="H367" s="8">
        <v>1</v>
      </c>
      <c r="I367" s="9">
        <v>42000</v>
      </c>
      <c r="J367" s="9">
        <f t="shared" si="5"/>
        <v>42000</v>
      </c>
      <c r="K367" s="6" t="s">
        <v>15</v>
      </c>
    </row>
    <row r="368" spans="1:11" x14ac:dyDescent="0.25">
      <c r="A368" s="4" t="s">
        <v>183</v>
      </c>
      <c r="B368" s="5" t="s">
        <v>118</v>
      </c>
      <c r="C368" s="4" t="s">
        <v>67</v>
      </c>
      <c r="D368" s="5" t="s">
        <v>185</v>
      </c>
      <c r="E368" s="7" t="s">
        <v>74</v>
      </c>
      <c r="F368" s="7" t="s">
        <v>73</v>
      </c>
      <c r="G368" s="7" t="s">
        <v>14</v>
      </c>
      <c r="H368" s="8">
        <v>0.1</v>
      </c>
      <c r="I368" s="9">
        <v>42000</v>
      </c>
      <c r="J368" s="9">
        <f t="shared" si="5"/>
        <v>4200</v>
      </c>
      <c r="K368" s="6" t="s">
        <v>15</v>
      </c>
    </row>
    <row r="369" spans="1:11" x14ac:dyDescent="0.25">
      <c r="A369" s="4" t="s">
        <v>186</v>
      </c>
      <c r="B369" s="5" t="s">
        <v>118</v>
      </c>
      <c r="C369" s="4" t="s">
        <v>67</v>
      </c>
      <c r="D369" s="5" t="s">
        <v>187</v>
      </c>
      <c r="E369" s="7" t="s">
        <v>103</v>
      </c>
      <c r="F369" s="7" t="s">
        <v>102</v>
      </c>
      <c r="G369" s="7" t="s">
        <v>14</v>
      </c>
      <c r="H369" s="8">
        <v>3.5</v>
      </c>
      <c r="I369" s="9">
        <v>15000</v>
      </c>
      <c r="J369" s="9">
        <f t="shared" si="5"/>
        <v>52500</v>
      </c>
      <c r="K369" s="6" t="s">
        <v>15</v>
      </c>
    </row>
    <row r="370" spans="1:11" ht="28.5" x14ac:dyDescent="0.25">
      <c r="A370" s="4" t="s">
        <v>186</v>
      </c>
      <c r="B370" s="5" t="s">
        <v>118</v>
      </c>
      <c r="C370" s="4" t="s">
        <v>67</v>
      </c>
      <c r="D370" s="5" t="s">
        <v>187</v>
      </c>
      <c r="E370" s="7" t="s">
        <v>16</v>
      </c>
      <c r="F370" s="7" t="s">
        <v>17</v>
      </c>
      <c r="G370" s="7" t="s">
        <v>18</v>
      </c>
      <c r="H370" s="8">
        <v>20</v>
      </c>
      <c r="I370" s="9">
        <v>8500</v>
      </c>
      <c r="J370" s="9">
        <f t="shared" si="5"/>
        <v>170000</v>
      </c>
      <c r="K370" s="6" t="s">
        <v>15</v>
      </c>
    </row>
    <row r="371" spans="1:11" x14ac:dyDescent="0.25">
      <c r="A371" s="4" t="s">
        <v>186</v>
      </c>
      <c r="B371" s="5" t="s">
        <v>118</v>
      </c>
      <c r="C371" s="4" t="s">
        <v>67</v>
      </c>
      <c r="D371" s="5" t="s">
        <v>187</v>
      </c>
      <c r="E371" s="7" t="s">
        <v>59</v>
      </c>
      <c r="F371" s="7" t="s">
        <v>60</v>
      </c>
      <c r="G371" s="7" t="s">
        <v>14</v>
      </c>
      <c r="H371" s="8">
        <v>6.7</v>
      </c>
      <c r="I371" s="9">
        <v>30000</v>
      </c>
      <c r="J371" s="9">
        <f t="shared" si="5"/>
        <v>201000</v>
      </c>
      <c r="K371" s="6" t="s">
        <v>15</v>
      </c>
    </row>
    <row r="372" spans="1:11" x14ac:dyDescent="0.25">
      <c r="A372" s="4" t="s">
        <v>186</v>
      </c>
      <c r="B372" s="5" t="s">
        <v>118</v>
      </c>
      <c r="C372" s="4" t="s">
        <v>67</v>
      </c>
      <c r="D372" s="5" t="s">
        <v>187</v>
      </c>
      <c r="E372" s="7" t="s">
        <v>101</v>
      </c>
      <c r="F372" s="7" t="s">
        <v>100</v>
      </c>
      <c r="G372" s="7" t="s">
        <v>14</v>
      </c>
      <c r="H372" s="8">
        <v>14.2</v>
      </c>
      <c r="I372" s="9">
        <v>40000</v>
      </c>
      <c r="J372" s="9">
        <f t="shared" si="5"/>
        <v>568000</v>
      </c>
      <c r="K372" s="6" t="s">
        <v>15</v>
      </c>
    </row>
    <row r="373" spans="1:11" x14ac:dyDescent="0.25">
      <c r="A373" s="4" t="s">
        <v>186</v>
      </c>
      <c r="B373" s="5" t="s">
        <v>118</v>
      </c>
      <c r="C373" s="4" t="s">
        <v>67</v>
      </c>
      <c r="D373" s="5" t="s">
        <v>187</v>
      </c>
      <c r="E373" s="7" t="s">
        <v>119</v>
      </c>
      <c r="F373" s="7" t="s">
        <v>120</v>
      </c>
      <c r="G373" s="7" t="s">
        <v>14</v>
      </c>
      <c r="H373" s="8">
        <v>5.4</v>
      </c>
      <c r="I373" s="9">
        <v>52000</v>
      </c>
      <c r="J373" s="9">
        <f t="shared" si="5"/>
        <v>280800</v>
      </c>
      <c r="K373" s="6" t="s">
        <v>15</v>
      </c>
    </row>
    <row r="374" spans="1:11" ht="42.75" x14ac:dyDescent="0.25">
      <c r="A374" s="4" t="s">
        <v>186</v>
      </c>
      <c r="B374" s="5" t="s">
        <v>118</v>
      </c>
      <c r="C374" s="4" t="s">
        <v>67</v>
      </c>
      <c r="D374" s="5" t="s">
        <v>187</v>
      </c>
      <c r="E374" s="7" t="s">
        <v>99</v>
      </c>
      <c r="F374" s="7" t="s">
        <v>98</v>
      </c>
      <c r="G374" s="7" t="s">
        <v>14</v>
      </c>
      <c r="H374" s="8">
        <v>3</v>
      </c>
      <c r="I374" s="9">
        <v>30000</v>
      </c>
      <c r="J374" s="9">
        <f t="shared" si="5"/>
        <v>90000</v>
      </c>
      <c r="K374" s="6" t="s">
        <v>15</v>
      </c>
    </row>
    <row r="375" spans="1:11" x14ac:dyDescent="0.25">
      <c r="A375" s="4" t="s">
        <v>186</v>
      </c>
      <c r="B375" s="5" t="s">
        <v>118</v>
      </c>
      <c r="C375" s="4" t="s">
        <v>67</v>
      </c>
      <c r="D375" s="5" t="s">
        <v>187</v>
      </c>
      <c r="E375" s="7" t="s">
        <v>97</v>
      </c>
      <c r="F375" s="7" t="s">
        <v>96</v>
      </c>
      <c r="G375" s="7" t="s">
        <v>14</v>
      </c>
      <c r="H375" s="8">
        <v>0.6</v>
      </c>
      <c r="I375" s="9">
        <v>75000</v>
      </c>
      <c r="J375" s="9">
        <f t="shared" si="5"/>
        <v>45000</v>
      </c>
      <c r="K375" s="6" t="s">
        <v>15</v>
      </c>
    </row>
    <row r="376" spans="1:11" x14ac:dyDescent="0.25">
      <c r="A376" s="4" t="s">
        <v>186</v>
      </c>
      <c r="B376" s="5" t="s">
        <v>118</v>
      </c>
      <c r="C376" s="4" t="s">
        <v>67</v>
      </c>
      <c r="D376" s="5" t="s">
        <v>187</v>
      </c>
      <c r="E376" s="7" t="s">
        <v>95</v>
      </c>
      <c r="F376" s="7" t="s">
        <v>94</v>
      </c>
      <c r="G376" s="7" t="s">
        <v>14</v>
      </c>
      <c r="H376" s="8">
        <v>1.7</v>
      </c>
      <c r="I376" s="9">
        <v>44000</v>
      </c>
      <c r="J376" s="9">
        <f t="shared" si="5"/>
        <v>74800</v>
      </c>
      <c r="K376" s="6" t="s">
        <v>15</v>
      </c>
    </row>
    <row r="377" spans="1:11" x14ac:dyDescent="0.25">
      <c r="A377" s="4" t="s">
        <v>186</v>
      </c>
      <c r="B377" s="5" t="s">
        <v>118</v>
      </c>
      <c r="C377" s="4" t="s">
        <v>67</v>
      </c>
      <c r="D377" s="5" t="s">
        <v>187</v>
      </c>
      <c r="E377" s="7" t="s">
        <v>49</v>
      </c>
      <c r="F377" s="7" t="s">
        <v>50</v>
      </c>
      <c r="G377" s="7" t="s">
        <v>14</v>
      </c>
      <c r="H377" s="8">
        <v>1</v>
      </c>
      <c r="I377" s="9">
        <v>34000</v>
      </c>
      <c r="J377" s="9">
        <f t="shared" si="5"/>
        <v>34000</v>
      </c>
      <c r="K377" s="6" t="s">
        <v>15</v>
      </c>
    </row>
    <row r="378" spans="1:11" x14ac:dyDescent="0.25">
      <c r="A378" s="4" t="s">
        <v>186</v>
      </c>
      <c r="B378" s="5" t="s">
        <v>118</v>
      </c>
      <c r="C378" s="4" t="s">
        <v>67</v>
      </c>
      <c r="D378" s="5" t="s">
        <v>187</v>
      </c>
      <c r="E378" s="7" t="s">
        <v>33</v>
      </c>
      <c r="F378" s="7" t="s">
        <v>34</v>
      </c>
      <c r="G378" s="7" t="s">
        <v>14</v>
      </c>
      <c r="H378" s="8">
        <v>2</v>
      </c>
      <c r="I378" s="9">
        <v>22000</v>
      </c>
      <c r="J378" s="9">
        <f t="shared" si="5"/>
        <v>44000</v>
      </c>
      <c r="K378" s="6" t="s">
        <v>15</v>
      </c>
    </row>
    <row r="379" spans="1:11" x14ac:dyDescent="0.25">
      <c r="A379" s="4" t="s">
        <v>186</v>
      </c>
      <c r="B379" s="5" t="s">
        <v>118</v>
      </c>
      <c r="C379" s="4" t="s">
        <v>67</v>
      </c>
      <c r="D379" s="5" t="s">
        <v>187</v>
      </c>
      <c r="E379" s="7" t="s">
        <v>93</v>
      </c>
      <c r="F379" s="7" t="s">
        <v>92</v>
      </c>
      <c r="G379" s="7" t="s">
        <v>14</v>
      </c>
      <c r="H379" s="8">
        <v>0.5</v>
      </c>
      <c r="I379" s="9">
        <v>95000</v>
      </c>
      <c r="J379" s="9">
        <f t="shared" si="5"/>
        <v>47500</v>
      </c>
      <c r="K379" s="6" t="s">
        <v>15</v>
      </c>
    </row>
    <row r="380" spans="1:11" x14ac:dyDescent="0.25">
      <c r="A380" s="4" t="s">
        <v>186</v>
      </c>
      <c r="B380" s="5" t="s">
        <v>118</v>
      </c>
      <c r="C380" s="4" t="s">
        <v>67</v>
      </c>
      <c r="D380" s="5" t="s">
        <v>187</v>
      </c>
      <c r="E380" s="7" t="s">
        <v>35</v>
      </c>
      <c r="F380" s="7" t="s">
        <v>36</v>
      </c>
      <c r="G380" s="7" t="s">
        <v>14</v>
      </c>
      <c r="H380" s="8">
        <v>2.6</v>
      </c>
      <c r="I380" s="9">
        <v>38000</v>
      </c>
      <c r="J380" s="9">
        <f t="shared" si="5"/>
        <v>98800</v>
      </c>
      <c r="K380" s="6" t="s">
        <v>15</v>
      </c>
    </row>
    <row r="381" spans="1:11" x14ac:dyDescent="0.25">
      <c r="A381" s="4" t="s">
        <v>186</v>
      </c>
      <c r="B381" s="5" t="s">
        <v>118</v>
      </c>
      <c r="C381" s="4" t="s">
        <v>67</v>
      </c>
      <c r="D381" s="5" t="s">
        <v>187</v>
      </c>
      <c r="E381" s="7" t="s">
        <v>113</v>
      </c>
      <c r="F381" s="7" t="s">
        <v>112</v>
      </c>
      <c r="G381" s="7" t="s">
        <v>14</v>
      </c>
      <c r="H381" s="8">
        <v>0.18</v>
      </c>
      <c r="I381" s="9">
        <v>25000</v>
      </c>
      <c r="J381" s="9">
        <f t="shared" si="5"/>
        <v>4500</v>
      </c>
      <c r="K381" s="6" t="s">
        <v>15</v>
      </c>
    </row>
    <row r="382" spans="1:11" x14ac:dyDescent="0.25">
      <c r="A382" s="4" t="s">
        <v>186</v>
      </c>
      <c r="B382" s="5" t="s">
        <v>118</v>
      </c>
      <c r="C382" s="4" t="s">
        <v>67</v>
      </c>
      <c r="D382" s="5" t="s">
        <v>187</v>
      </c>
      <c r="E382" s="7" t="s">
        <v>91</v>
      </c>
      <c r="F382" s="7" t="s">
        <v>90</v>
      </c>
      <c r="G382" s="7" t="s">
        <v>14</v>
      </c>
      <c r="H382" s="8">
        <v>3.5</v>
      </c>
      <c r="I382" s="9">
        <v>47000</v>
      </c>
      <c r="J382" s="9">
        <f t="shared" si="5"/>
        <v>164500</v>
      </c>
      <c r="K382" s="6" t="s">
        <v>15</v>
      </c>
    </row>
    <row r="383" spans="1:11" x14ac:dyDescent="0.25">
      <c r="A383" s="4" t="s">
        <v>186</v>
      </c>
      <c r="B383" s="5" t="s">
        <v>118</v>
      </c>
      <c r="C383" s="4" t="s">
        <v>67</v>
      </c>
      <c r="D383" s="5" t="s">
        <v>187</v>
      </c>
      <c r="E383" s="7" t="s">
        <v>19</v>
      </c>
      <c r="F383" s="7" t="s">
        <v>20</v>
      </c>
      <c r="G383" s="7" t="s">
        <v>14</v>
      </c>
      <c r="H383" s="8">
        <v>3.5</v>
      </c>
      <c r="I383" s="9">
        <v>32000</v>
      </c>
      <c r="J383" s="9">
        <f t="shared" si="5"/>
        <v>112000</v>
      </c>
      <c r="K383" s="6" t="s">
        <v>15</v>
      </c>
    </row>
    <row r="384" spans="1:11" x14ac:dyDescent="0.25">
      <c r="A384" s="4" t="s">
        <v>186</v>
      </c>
      <c r="B384" s="5" t="s">
        <v>118</v>
      </c>
      <c r="C384" s="4" t="s">
        <v>67</v>
      </c>
      <c r="D384" s="5" t="s">
        <v>187</v>
      </c>
      <c r="E384" s="7" t="s">
        <v>51</v>
      </c>
      <c r="F384" s="7" t="s">
        <v>52</v>
      </c>
      <c r="G384" s="7" t="s">
        <v>14</v>
      </c>
      <c r="H384" s="8">
        <v>50</v>
      </c>
      <c r="I384" s="9">
        <v>18000</v>
      </c>
      <c r="J384" s="9">
        <f t="shared" si="5"/>
        <v>900000</v>
      </c>
      <c r="K384" s="6" t="s">
        <v>15</v>
      </c>
    </row>
    <row r="385" spans="1:11" x14ac:dyDescent="0.25">
      <c r="A385" s="4" t="s">
        <v>186</v>
      </c>
      <c r="B385" s="5" t="s">
        <v>118</v>
      </c>
      <c r="C385" s="4" t="s">
        <v>67</v>
      </c>
      <c r="D385" s="5" t="s">
        <v>187</v>
      </c>
      <c r="E385" s="7" t="s">
        <v>21</v>
      </c>
      <c r="F385" s="7" t="s">
        <v>22</v>
      </c>
      <c r="G385" s="7" t="s">
        <v>14</v>
      </c>
      <c r="H385" s="8">
        <v>4.0999999999999996</v>
      </c>
      <c r="I385" s="9">
        <v>55000</v>
      </c>
      <c r="J385" s="9">
        <f t="shared" si="5"/>
        <v>225499.99999999997</v>
      </c>
      <c r="K385" s="6" t="s">
        <v>15</v>
      </c>
    </row>
    <row r="386" spans="1:11" x14ac:dyDescent="0.25">
      <c r="A386" s="4" t="s">
        <v>186</v>
      </c>
      <c r="B386" s="5" t="s">
        <v>118</v>
      </c>
      <c r="C386" s="4" t="s">
        <v>67</v>
      </c>
      <c r="D386" s="5" t="s">
        <v>187</v>
      </c>
      <c r="E386" s="7" t="s">
        <v>86</v>
      </c>
      <c r="F386" s="7" t="s">
        <v>85</v>
      </c>
      <c r="G386" s="7" t="s">
        <v>14</v>
      </c>
      <c r="H386" s="8">
        <v>0.8</v>
      </c>
      <c r="I386" s="9">
        <v>38000</v>
      </c>
      <c r="J386" s="9">
        <f t="shared" si="5"/>
        <v>30400</v>
      </c>
      <c r="K386" s="6" t="s">
        <v>15</v>
      </c>
    </row>
    <row r="387" spans="1:11" x14ac:dyDescent="0.25">
      <c r="A387" s="4" t="s">
        <v>186</v>
      </c>
      <c r="B387" s="5" t="s">
        <v>118</v>
      </c>
      <c r="C387" s="4" t="s">
        <v>67</v>
      </c>
      <c r="D387" s="5" t="s">
        <v>187</v>
      </c>
      <c r="E387" s="7" t="s">
        <v>23</v>
      </c>
      <c r="F387" s="7" t="s">
        <v>24</v>
      </c>
      <c r="G387" s="7" t="s">
        <v>14</v>
      </c>
      <c r="H387" s="8">
        <v>1</v>
      </c>
      <c r="I387" s="9">
        <v>13000</v>
      </c>
      <c r="J387" s="9">
        <f t="shared" si="5"/>
        <v>13000</v>
      </c>
      <c r="K387" s="6" t="s">
        <v>15</v>
      </c>
    </row>
    <row r="388" spans="1:11" x14ac:dyDescent="0.25">
      <c r="A388" s="4" t="s">
        <v>186</v>
      </c>
      <c r="B388" s="5" t="s">
        <v>118</v>
      </c>
      <c r="C388" s="4" t="s">
        <v>67</v>
      </c>
      <c r="D388" s="5" t="s">
        <v>187</v>
      </c>
      <c r="E388" s="7" t="s">
        <v>31</v>
      </c>
      <c r="F388" s="7" t="s">
        <v>32</v>
      </c>
      <c r="G388" s="7" t="s">
        <v>14</v>
      </c>
      <c r="H388" s="8">
        <v>0.1</v>
      </c>
      <c r="I388" s="9">
        <v>80000</v>
      </c>
      <c r="J388" s="9">
        <f t="shared" si="5"/>
        <v>8000</v>
      </c>
      <c r="K388" s="6" t="s">
        <v>15</v>
      </c>
    </row>
    <row r="389" spans="1:11" x14ac:dyDescent="0.25">
      <c r="A389" s="4" t="s">
        <v>186</v>
      </c>
      <c r="B389" s="5" t="s">
        <v>118</v>
      </c>
      <c r="C389" s="4" t="s">
        <v>67</v>
      </c>
      <c r="D389" s="5" t="s">
        <v>187</v>
      </c>
      <c r="E389" s="7" t="s">
        <v>25</v>
      </c>
      <c r="F389" s="7" t="s">
        <v>26</v>
      </c>
      <c r="G389" s="7" t="s">
        <v>14</v>
      </c>
      <c r="H389" s="8">
        <v>0.2</v>
      </c>
      <c r="I389" s="9">
        <v>65000</v>
      </c>
      <c r="J389" s="9">
        <f t="shared" si="5"/>
        <v>13000</v>
      </c>
      <c r="K389" s="6" t="s">
        <v>15</v>
      </c>
    </row>
    <row r="390" spans="1:11" x14ac:dyDescent="0.25">
      <c r="A390" s="4" t="s">
        <v>186</v>
      </c>
      <c r="B390" s="5" t="s">
        <v>118</v>
      </c>
      <c r="C390" s="4" t="s">
        <v>67</v>
      </c>
      <c r="D390" s="5" t="s">
        <v>187</v>
      </c>
      <c r="E390" s="7" t="s">
        <v>84</v>
      </c>
      <c r="F390" s="7" t="s">
        <v>83</v>
      </c>
      <c r="G390" s="7" t="s">
        <v>14</v>
      </c>
      <c r="H390" s="8">
        <v>1.1000000000000001</v>
      </c>
      <c r="I390" s="9">
        <v>23000</v>
      </c>
      <c r="J390" s="9">
        <f t="shared" si="5"/>
        <v>25300.000000000004</v>
      </c>
      <c r="K390" s="6" t="s">
        <v>15</v>
      </c>
    </row>
    <row r="391" spans="1:11" x14ac:dyDescent="0.25">
      <c r="A391" s="4" t="s">
        <v>186</v>
      </c>
      <c r="B391" s="5" t="s">
        <v>118</v>
      </c>
      <c r="C391" s="4" t="s">
        <v>67</v>
      </c>
      <c r="D391" s="5" t="s">
        <v>187</v>
      </c>
      <c r="E391" s="7" t="s">
        <v>37</v>
      </c>
      <c r="F391" s="7" t="s">
        <v>38</v>
      </c>
      <c r="G391" s="7" t="s">
        <v>14</v>
      </c>
      <c r="H391" s="8">
        <v>5.0999999999999996</v>
      </c>
      <c r="I391" s="9">
        <v>27000</v>
      </c>
      <c r="J391" s="9">
        <f t="shared" si="5"/>
        <v>137700</v>
      </c>
      <c r="K391" s="6" t="s">
        <v>15</v>
      </c>
    </row>
    <row r="392" spans="1:11" ht="28.5" x14ac:dyDescent="0.25">
      <c r="A392" s="4" t="s">
        <v>186</v>
      </c>
      <c r="B392" s="5" t="s">
        <v>118</v>
      </c>
      <c r="C392" s="4" t="s">
        <v>67</v>
      </c>
      <c r="D392" s="5" t="s">
        <v>187</v>
      </c>
      <c r="E392" s="7" t="s">
        <v>39</v>
      </c>
      <c r="F392" s="7" t="s">
        <v>40</v>
      </c>
      <c r="G392" s="7" t="s">
        <v>14</v>
      </c>
      <c r="H392" s="8">
        <v>3.7</v>
      </c>
      <c r="I392" s="9">
        <v>145000</v>
      </c>
      <c r="J392" s="9">
        <f t="shared" si="5"/>
        <v>536500</v>
      </c>
      <c r="K392" s="6" t="s">
        <v>15</v>
      </c>
    </row>
    <row r="393" spans="1:11" x14ac:dyDescent="0.25">
      <c r="A393" s="4" t="s">
        <v>186</v>
      </c>
      <c r="B393" s="5" t="s">
        <v>118</v>
      </c>
      <c r="C393" s="4" t="s">
        <v>67</v>
      </c>
      <c r="D393" s="5" t="s">
        <v>187</v>
      </c>
      <c r="E393" s="7" t="s">
        <v>53</v>
      </c>
      <c r="F393" s="7" t="s">
        <v>54</v>
      </c>
      <c r="G393" s="7" t="s">
        <v>14</v>
      </c>
      <c r="H393" s="8">
        <v>1</v>
      </c>
      <c r="I393" s="9">
        <v>47000</v>
      </c>
      <c r="J393" s="9">
        <f t="shared" si="5"/>
        <v>47000</v>
      </c>
      <c r="K393" s="6" t="s">
        <v>15</v>
      </c>
    </row>
    <row r="394" spans="1:11" x14ac:dyDescent="0.25">
      <c r="A394" s="4" t="s">
        <v>186</v>
      </c>
      <c r="B394" s="5" t="s">
        <v>118</v>
      </c>
      <c r="C394" s="4" t="s">
        <v>67</v>
      </c>
      <c r="D394" s="5" t="s">
        <v>187</v>
      </c>
      <c r="E394" s="7" t="s">
        <v>80</v>
      </c>
      <c r="F394" s="7" t="s">
        <v>79</v>
      </c>
      <c r="G394" s="7" t="s">
        <v>14</v>
      </c>
      <c r="H394" s="8">
        <v>2</v>
      </c>
      <c r="I394" s="9">
        <v>90000</v>
      </c>
      <c r="J394" s="9">
        <f t="shared" si="5"/>
        <v>180000</v>
      </c>
      <c r="K394" s="6" t="s">
        <v>15</v>
      </c>
    </row>
    <row r="395" spans="1:11" x14ac:dyDescent="0.25">
      <c r="A395" s="4" t="s">
        <v>186</v>
      </c>
      <c r="B395" s="5" t="s">
        <v>118</v>
      </c>
      <c r="C395" s="4" t="s">
        <v>67</v>
      </c>
      <c r="D395" s="5" t="s">
        <v>187</v>
      </c>
      <c r="E395" s="7" t="s">
        <v>61</v>
      </c>
      <c r="F395" s="7" t="s">
        <v>62</v>
      </c>
      <c r="G395" s="7" t="s">
        <v>14</v>
      </c>
      <c r="H395" s="8">
        <v>1.1000000000000001</v>
      </c>
      <c r="I395" s="9">
        <v>80000</v>
      </c>
      <c r="J395" s="9">
        <f t="shared" si="5"/>
        <v>88000</v>
      </c>
      <c r="K395" s="6" t="s">
        <v>15</v>
      </c>
    </row>
    <row r="396" spans="1:11" ht="28.5" x14ac:dyDescent="0.25">
      <c r="A396" s="4" t="s">
        <v>186</v>
      </c>
      <c r="B396" s="5" t="s">
        <v>118</v>
      </c>
      <c r="C396" s="4" t="s">
        <v>67</v>
      </c>
      <c r="D396" s="5" t="s">
        <v>187</v>
      </c>
      <c r="E396" s="7" t="s">
        <v>29</v>
      </c>
      <c r="F396" s="7" t="s">
        <v>30</v>
      </c>
      <c r="G396" s="7" t="s">
        <v>14</v>
      </c>
      <c r="H396" s="8">
        <v>6.6</v>
      </c>
      <c r="I396" s="9">
        <v>45000</v>
      </c>
      <c r="J396" s="9">
        <f t="shared" si="5"/>
        <v>297000</v>
      </c>
      <c r="K396" s="6" t="s">
        <v>15</v>
      </c>
    </row>
    <row r="397" spans="1:11" ht="28.5" x14ac:dyDescent="0.25">
      <c r="A397" s="4" t="s">
        <v>186</v>
      </c>
      <c r="B397" s="5" t="s">
        <v>118</v>
      </c>
      <c r="C397" s="4" t="s">
        <v>67</v>
      </c>
      <c r="D397" s="5" t="s">
        <v>187</v>
      </c>
      <c r="E397" s="7" t="s">
        <v>78</v>
      </c>
      <c r="F397" s="7" t="s">
        <v>77</v>
      </c>
      <c r="G397" s="7" t="s">
        <v>14</v>
      </c>
      <c r="H397" s="8">
        <v>1</v>
      </c>
      <c r="I397" s="9">
        <v>90000</v>
      </c>
      <c r="J397" s="9">
        <f t="shared" si="5"/>
        <v>90000</v>
      </c>
      <c r="K397" s="6" t="s">
        <v>15</v>
      </c>
    </row>
    <row r="398" spans="1:11" x14ac:dyDescent="0.25">
      <c r="A398" s="4" t="s">
        <v>186</v>
      </c>
      <c r="B398" s="5" t="s">
        <v>118</v>
      </c>
      <c r="C398" s="4" t="s">
        <v>67</v>
      </c>
      <c r="D398" s="5" t="s">
        <v>187</v>
      </c>
      <c r="E398" s="7" t="s">
        <v>63</v>
      </c>
      <c r="F398" s="7" t="s">
        <v>64</v>
      </c>
      <c r="G398" s="7" t="s">
        <v>14</v>
      </c>
      <c r="H398" s="8">
        <v>3.5</v>
      </c>
      <c r="I398" s="9">
        <v>45000</v>
      </c>
      <c r="J398" s="9">
        <f t="shared" si="5"/>
        <v>157500</v>
      </c>
      <c r="K398" s="6" t="s">
        <v>15</v>
      </c>
    </row>
    <row r="399" spans="1:11" x14ac:dyDescent="0.25">
      <c r="A399" s="4" t="s">
        <v>186</v>
      </c>
      <c r="B399" s="5" t="s">
        <v>118</v>
      </c>
      <c r="C399" s="4" t="s">
        <v>67</v>
      </c>
      <c r="D399" s="5" t="s">
        <v>187</v>
      </c>
      <c r="E399" s="7" t="s">
        <v>41</v>
      </c>
      <c r="F399" s="7" t="s">
        <v>42</v>
      </c>
      <c r="G399" s="7" t="s">
        <v>14</v>
      </c>
      <c r="H399" s="8">
        <v>1.4</v>
      </c>
      <c r="I399" s="9">
        <v>145000</v>
      </c>
      <c r="J399" s="9">
        <f t="shared" si="5"/>
        <v>203000</v>
      </c>
      <c r="K399" s="6" t="s">
        <v>15</v>
      </c>
    </row>
    <row r="400" spans="1:11" x14ac:dyDescent="0.25">
      <c r="A400" s="4" t="s">
        <v>186</v>
      </c>
      <c r="B400" s="5" t="s">
        <v>118</v>
      </c>
      <c r="C400" s="4" t="s">
        <v>67</v>
      </c>
      <c r="D400" s="5" t="s">
        <v>187</v>
      </c>
      <c r="E400" s="7" t="s">
        <v>111</v>
      </c>
      <c r="F400" s="7" t="s">
        <v>110</v>
      </c>
      <c r="G400" s="7" t="s">
        <v>14</v>
      </c>
      <c r="H400" s="8">
        <v>0.2</v>
      </c>
      <c r="I400" s="9">
        <v>185000</v>
      </c>
      <c r="J400" s="9">
        <f t="shared" ref="J400:J463" si="6">H400*I400</f>
        <v>37000</v>
      </c>
      <c r="K400" s="6" t="s">
        <v>15</v>
      </c>
    </row>
    <row r="401" spans="1:11" x14ac:dyDescent="0.25">
      <c r="A401" s="4" t="s">
        <v>186</v>
      </c>
      <c r="B401" s="5" t="s">
        <v>118</v>
      </c>
      <c r="C401" s="4" t="s">
        <v>67</v>
      </c>
      <c r="D401" s="5" t="s">
        <v>187</v>
      </c>
      <c r="E401" s="7" t="s">
        <v>76</v>
      </c>
      <c r="F401" s="7" t="s">
        <v>75</v>
      </c>
      <c r="G401" s="7" t="s">
        <v>14</v>
      </c>
      <c r="H401" s="8">
        <v>0.5</v>
      </c>
      <c r="I401" s="9">
        <v>42000</v>
      </c>
      <c r="J401" s="9">
        <f t="shared" si="6"/>
        <v>21000</v>
      </c>
      <c r="K401" s="6" t="s">
        <v>15</v>
      </c>
    </row>
    <row r="402" spans="1:11" x14ac:dyDescent="0.25">
      <c r="A402" s="4" t="s">
        <v>186</v>
      </c>
      <c r="B402" s="5" t="s">
        <v>118</v>
      </c>
      <c r="C402" s="4" t="s">
        <v>67</v>
      </c>
      <c r="D402" s="5" t="s">
        <v>187</v>
      </c>
      <c r="E402" s="7" t="s">
        <v>43</v>
      </c>
      <c r="F402" s="7" t="s">
        <v>44</v>
      </c>
      <c r="G402" s="7" t="s">
        <v>14</v>
      </c>
      <c r="H402" s="8">
        <v>0.1</v>
      </c>
      <c r="I402" s="9">
        <v>22000</v>
      </c>
      <c r="J402" s="9">
        <f t="shared" si="6"/>
        <v>2200</v>
      </c>
      <c r="K402" s="6" t="s">
        <v>15</v>
      </c>
    </row>
    <row r="403" spans="1:11" x14ac:dyDescent="0.25">
      <c r="A403" s="4" t="s">
        <v>186</v>
      </c>
      <c r="B403" s="5" t="s">
        <v>118</v>
      </c>
      <c r="C403" s="4" t="s">
        <v>67</v>
      </c>
      <c r="D403" s="5" t="s">
        <v>187</v>
      </c>
      <c r="E403" s="7" t="s">
        <v>157</v>
      </c>
      <c r="F403" s="7" t="s">
        <v>158</v>
      </c>
      <c r="G403" s="7" t="s">
        <v>14</v>
      </c>
      <c r="H403" s="8">
        <v>1</v>
      </c>
      <c r="I403" s="9">
        <v>36000</v>
      </c>
      <c r="J403" s="9">
        <f t="shared" si="6"/>
        <v>36000</v>
      </c>
      <c r="K403" s="6" t="s">
        <v>15</v>
      </c>
    </row>
    <row r="404" spans="1:11" x14ac:dyDescent="0.25">
      <c r="A404" s="4" t="s">
        <v>186</v>
      </c>
      <c r="B404" s="5" t="s">
        <v>118</v>
      </c>
      <c r="C404" s="4" t="s">
        <v>67</v>
      </c>
      <c r="D404" s="5" t="s">
        <v>187</v>
      </c>
      <c r="E404" s="7" t="s">
        <v>47</v>
      </c>
      <c r="F404" s="7" t="s">
        <v>48</v>
      </c>
      <c r="G404" s="7" t="s">
        <v>14</v>
      </c>
      <c r="H404" s="8">
        <v>2</v>
      </c>
      <c r="I404" s="9">
        <v>21000</v>
      </c>
      <c r="J404" s="9">
        <f t="shared" si="6"/>
        <v>42000</v>
      </c>
      <c r="K404" s="6" t="s">
        <v>15</v>
      </c>
    </row>
    <row r="405" spans="1:11" x14ac:dyDescent="0.25">
      <c r="A405" s="4" t="s">
        <v>186</v>
      </c>
      <c r="B405" s="5" t="s">
        <v>118</v>
      </c>
      <c r="C405" s="4" t="s">
        <v>67</v>
      </c>
      <c r="D405" s="5" t="s">
        <v>187</v>
      </c>
      <c r="E405" s="7" t="s">
        <v>74</v>
      </c>
      <c r="F405" s="7" t="s">
        <v>73</v>
      </c>
      <c r="G405" s="7" t="s">
        <v>14</v>
      </c>
      <c r="H405" s="8">
        <v>0.1</v>
      </c>
      <c r="I405" s="9">
        <v>42000</v>
      </c>
      <c r="J405" s="9">
        <f t="shared" si="6"/>
        <v>4200</v>
      </c>
      <c r="K405" s="6" t="s">
        <v>15</v>
      </c>
    </row>
    <row r="406" spans="1:11" x14ac:dyDescent="0.25">
      <c r="A406" s="4" t="s">
        <v>186</v>
      </c>
      <c r="B406" s="5" t="s">
        <v>118</v>
      </c>
      <c r="C406" s="4" t="s">
        <v>67</v>
      </c>
      <c r="D406" s="5" t="s">
        <v>187</v>
      </c>
      <c r="E406" s="7" t="s">
        <v>148</v>
      </c>
      <c r="F406" s="7" t="s">
        <v>149</v>
      </c>
      <c r="G406" s="7" t="s">
        <v>14</v>
      </c>
      <c r="H406" s="8">
        <v>0.2</v>
      </c>
      <c r="I406" s="9">
        <v>92000</v>
      </c>
      <c r="J406" s="9">
        <f t="shared" si="6"/>
        <v>18400</v>
      </c>
      <c r="K406" s="6" t="s">
        <v>15</v>
      </c>
    </row>
    <row r="407" spans="1:11" x14ac:dyDescent="0.25">
      <c r="A407" s="4" t="s">
        <v>186</v>
      </c>
      <c r="B407" s="5" t="s">
        <v>118</v>
      </c>
      <c r="C407" s="4" t="s">
        <v>67</v>
      </c>
      <c r="D407" s="5" t="s">
        <v>187</v>
      </c>
      <c r="E407" s="7" t="s">
        <v>27</v>
      </c>
      <c r="F407" s="7" t="s">
        <v>28</v>
      </c>
      <c r="G407" s="7" t="s">
        <v>14</v>
      </c>
      <c r="H407" s="8">
        <v>4</v>
      </c>
      <c r="I407" s="9">
        <v>50000</v>
      </c>
      <c r="J407" s="9">
        <f t="shared" si="6"/>
        <v>200000</v>
      </c>
      <c r="K407" s="6" t="s">
        <v>15</v>
      </c>
    </row>
    <row r="408" spans="1:11" x14ac:dyDescent="0.25">
      <c r="A408" s="4" t="s">
        <v>186</v>
      </c>
      <c r="B408" s="5" t="s">
        <v>118</v>
      </c>
      <c r="C408" s="4" t="s">
        <v>67</v>
      </c>
      <c r="D408" s="5" t="s">
        <v>187</v>
      </c>
      <c r="E408" s="7" t="s">
        <v>72</v>
      </c>
      <c r="F408" s="7" t="s">
        <v>71</v>
      </c>
      <c r="G408" s="7" t="s">
        <v>70</v>
      </c>
      <c r="H408" s="8">
        <v>70</v>
      </c>
      <c r="I408" s="9">
        <v>5000</v>
      </c>
      <c r="J408" s="9">
        <f t="shared" si="6"/>
        <v>350000</v>
      </c>
      <c r="K408" s="6" t="s">
        <v>15</v>
      </c>
    </row>
    <row r="409" spans="1:11" x14ac:dyDescent="0.25">
      <c r="A409" s="4" t="s">
        <v>186</v>
      </c>
      <c r="B409" s="5" t="s">
        <v>118</v>
      </c>
      <c r="C409" s="4" t="s">
        <v>67</v>
      </c>
      <c r="D409" s="5" t="s">
        <v>187</v>
      </c>
      <c r="E409" s="7" t="s">
        <v>69</v>
      </c>
      <c r="F409" s="7" t="s">
        <v>68</v>
      </c>
      <c r="G409" s="7" t="s">
        <v>14</v>
      </c>
      <c r="H409" s="8">
        <v>0.1</v>
      </c>
      <c r="I409" s="9">
        <v>220000</v>
      </c>
      <c r="J409" s="9">
        <f t="shared" si="6"/>
        <v>22000</v>
      </c>
      <c r="K409" s="6" t="s">
        <v>15</v>
      </c>
    </row>
    <row r="410" spans="1:11" x14ac:dyDescent="0.25">
      <c r="A410" s="4" t="s">
        <v>186</v>
      </c>
      <c r="B410" s="5" t="s">
        <v>118</v>
      </c>
      <c r="C410" s="4" t="s">
        <v>67</v>
      </c>
      <c r="D410" s="5" t="s">
        <v>187</v>
      </c>
      <c r="E410" s="7" t="s">
        <v>66</v>
      </c>
      <c r="F410" s="7" t="s">
        <v>65</v>
      </c>
      <c r="G410" s="7" t="s">
        <v>14</v>
      </c>
      <c r="H410" s="8">
        <v>5.6</v>
      </c>
      <c r="I410" s="9">
        <v>62000</v>
      </c>
      <c r="J410" s="9">
        <f t="shared" si="6"/>
        <v>347200</v>
      </c>
      <c r="K410" s="6" t="s">
        <v>15</v>
      </c>
    </row>
    <row r="411" spans="1:11" x14ac:dyDescent="0.25">
      <c r="A411" s="4" t="s">
        <v>186</v>
      </c>
      <c r="B411" s="5" t="s">
        <v>118</v>
      </c>
      <c r="C411" s="4" t="s">
        <v>67</v>
      </c>
      <c r="D411" s="5" t="s">
        <v>188</v>
      </c>
      <c r="E411" s="7" t="s">
        <v>12</v>
      </c>
      <c r="F411" s="7" t="s">
        <v>13</v>
      </c>
      <c r="G411" s="7" t="s">
        <v>14</v>
      </c>
      <c r="H411" s="8">
        <v>2.7</v>
      </c>
      <c r="I411" s="9">
        <v>19000</v>
      </c>
      <c r="J411" s="9">
        <f t="shared" si="6"/>
        <v>51300</v>
      </c>
      <c r="K411" s="6" t="s">
        <v>15</v>
      </c>
    </row>
    <row r="412" spans="1:11" x14ac:dyDescent="0.25">
      <c r="A412" s="4" t="s">
        <v>186</v>
      </c>
      <c r="B412" s="5" t="s">
        <v>118</v>
      </c>
      <c r="C412" s="4" t="s">
        <v>67</v>
      </c>
      <c r="D412" s="5" t="s">
        <v>188</v>
      </c>
      <c r="E412" s="7" t="s">
        <v>119</v>
      </c>
      <c r="F412" s="7" t="s">
        <v>120</v>
      </c>
      <c r="G412" s="7" t="s">
        <v>14</v>
      </c>
      <c r="H412" s="8">
        <v>4.4000000000000004</v>
      </c>
      <c r="I412" s="9">
        <v>52000</v>
      </c>
      <c r="J412" s="9">
        <f t="shared" si="6"/>
        <v>228800.00000000003</v>
      </c>
      <c r="K412" s="6" t="s">
        <v>15</v>
      </c>
    </row>
    <row r="413" spans="1:11" ht="42.75" x14ac:dyDescent="0.25">
      <c r="A413" s="4" t="s">
        <v>186</v>
      </c>
      <c r="B413" s="5" t="s">
        <v>118</v>
      </c>
      <c r="C413" s="4" t="s">
        <v>67</v>
      </c>
      <c r="D413" s="5" t="s">
        <v>188</v>
      </c>
      <c r="E413" s="7" t="s">
        <v>99</v>
      </c>
      <c r="F413" s="7" t="s">
        <v>98</v>
      </c>
      <c r="G413" s="7" t="s">
        <v>14</v>
      </c>
      <c r="H413" s="8">
        <v>3</v>
      </c>
      <c r="I413" s="9">
        <v>30000</v>
      </c>
      <c r="J413" s="9">
        <f t="shared" si="6"/>
        <v>90000</v>
      </c>
      <c r="K413" s="6" t="s">
        <v>15</v>
      </c>
    </row>
    <row r="414" spans="1:11" x14ac:dyDescent="0.25">
      <c r="A414" s="4" t="s">
        <v>186</v>
      </c>
      <c r="B414" s="5" t="s">
        <v>118</v>
      </c>
      <c r="C414" s="4" t="s">
        <v>67</v>
      </c>
      <c r="D414" s="5" t="s">
        <v>188</v>
      </c>
      <c r="E414" s="7" t="s">
        <v>84</v>
      </c>
      <c r="F414" s="7" t="s">
        <v>83</v>
      </c>
      <c r="G414" s="7" t="s">
        <v>14</v>
      </c>
      <c r="H414" s="8">
        <v>0.5</v>
      </c>
      <c r="I414" s="9">
        <v>23000</v>
      </c>
      <c r="J414" s="9">
        <f t="shared" si="6"/>
        <v>11500</v>
      </c>
      <c r="K414" s="6" t="s">
        <v>15</v>
      </c>
    </row>
    <row r="415" spans="1:11" x14ac:dyDescent="0.25">
      <c r="A415" s="4" t="s">
        <v>186</v>
      </c>
      <c r="B415" s="5" t="s">
        <v>118</v>
      </c>
      <c r="C415" s="4" t="s">
        <v>67</v>
      </c>
      <c r="D415" s="5" t="s">
        <v>188</v>
      </c>
      <c r="E415" s="7" t="s">
        <v>37</v>
      </c>
      <c r="F415" s="7" t="s">
        <v>38</v>
      </c>
      <c r="G415" s="7" t="s">
        <v>14</v>
      </c>
      <c r="H415" s="8">
        <v>3</v>
      </c>
      <c r="I415" s="9">
        <v>27000</v>
      </c>
      <c r="J415" s="9">
        <f t="shared" si="6"/>
        <v>81000</v>
      </c>
      <c r="K415" s="6" t="s">
        <v>15</v>
      </c>
    </row>
    <row r="416" spans="1:11" ht="28.5" x14ac:dyDescent="0.25">
      <c r="A416" s="4" t="s">
        <v>186</v>
      </c>
      <c r="B416" s="5" t="s">
        <v>118</v>
      </c>
      <c r="C416" s="4" t="s">
        <v>67</v>
      </c>
      <c r="D416" s="5" t="s">
        <v>188</v>
      </c>
      <c r="E416" s="7" t="s">
        <v>39</v>
      </c>
      <c r="F416" s="7" t="s">
        <v>40</v>
      </c>
      <c r="G416" s="7" t="s">
        <v>14</v>
      </c>
      <c r="H416" s="8">
        <v>1.6</v>
      </c>
      <c r="I416" s="9">
        <v>145000</v>
      </c>
      <c r="J416" s="9">
        <f t="shared" si="6"/>
        <v>232000</v>
      </c>
      <c r="K416" s="6" t="s">
        <v>15</v>
      </c>
    </row>
    <row r="417" spans="1:11" x14ac:dyDescent="0.25">
      <c r="A417" s="4" t="s">
        <v>189</v>
      </c>
      <c r="B417" s="5" t="s">
        <v>118</v>
      </c>
      <c r="C417" s="4" t="s">
        <v>67</v>
      </c>
      <c r="D417" s="5" t="s">
        <v>190</v>
      </c>
      <c r="E417" s="7" t="s">
        <v>103</v>
      </c>
      <c r="F417" s="7" t="s">
        <v>102</v>
      </c>
      <c r="G417" s="7" t="s">
        <v>14</v>
      </c>
      <c r="H417" s="8">
        <v>3.7</v>
      </c>
      <c r="I417" s="9">
        <v>15000</v>
      </c>
      <c r="J417" s="9">
        <f t="shared" si="6"/>
        <v>55500</v>
      </c>
      <c r="K417" s="6" t="s">
        <v>15</v>
      </c>
    </row>
    <row r="418" spans="1:11" x14ac:dyDescent="0.25">
      <c r="A418" s="4" t="s">
        <v>189</v>
      </c>
      <c r="B418" s="5" t="s">
        <v>118</v>
      </c>
      <c r="C418" s="4" t="s">
        <v>67</v>
      </c>
      <c r="D418" s="5" t="s">
        <v>190</v>
      </c>
      <c r="E418" s="7" t="s">
        <v>12</v>
      </c>
      <c r="F418" s="7" t="s">
        <v>13</v>
      </c>
      <c r="G418" s="7" t="s">
        <v>14</v>
      </c>
      <c r="H418" s="8">
        <v>3.4</v>
      </c>
      <c r="I418" s="9">
        <v>19000</v>
      </c>
      <c r="J418" s="9">
        <f t="shared" si="6"/>
        <v>64600</v>
      </c>
      <c r="K418" s="6" t="s">
        <v>15</v>
      </c>
    </row>
    <row r="419" spans="1:11" ht="28.5" x14ac:dyDescent="0.25">
      <c r="A419" s="4" t="s">
        <v>189</v>
      </c>
      <c r="B419" s="5" t="s">
        <v>118</v>
      </c>
      <c r="C419" s="4" t="s">
        <v>67</v>
      </c>
      <c r="D419" s="5" t="s">
        <v>190</v>
      </c>
      <c r="E419" s="7" t="s">
        <v>16</v>
      </c>
      <c r="F419" s="7" t="s">
        <v>17</v>
      </c>
      <c r="G419" s="7" t="s">
        <v>18</v>
      </c>
      <c r="H419" s="8">
        <v>18</v>
      </c>
      <c r="I419" s="9">
        <v>8500</v>
      </c>
      <c r="J419" s="9">
        <f t="shared" si="6"/>
        <v>153000</v>
      </c>
      <c r="K419" s="6" t="s">
        <v>15</v>
      </c>
    </row>
    <row r="420" spans="1:11" x14ac:dyDescent="0.25">
      <c r="A420" s="4" t="s">
        <v>189</v>
      </c>
      <c r="B420" s="5" t="s">
        <v>118</v>
      </c>
      <c r="C420" s="4" t="s">
        <v>67</v>
      </c>
      <c r="D420" s="5" t="s">
        <v>190</v>
      </c>
      <c r="E420" s="7" t="s">
        <v>59</v>
      </c>
      <c r="F420" s="7" t="s">
        <v>60</v>
      </c>
      <c r="G420" s="7" t="s">
        <v>14</v>
      </c>
      <c r="H420" s="8">
        <v>7.6</v>
      </c>
      <c r="I420" s="9">
        <v>30000</v>
      </c>
      <c r="J420" s="9">
        <f t="shared" si="6"/>
        <v>228000</v>
      </c>
      <c r="K420" s="6" t="s">
        <v>15</v>
      </c>
    </row>
    <row r="421" spans="1:11" x14ac:dyDescent="0.25">
      <c r="A421" s="4" t="s">
        <v>189</v>
      </c>
      <c r="B421" s="5" t="s">
        <v>118</v>
      </c>
      <c r="C421" s="4" t="s">
        <v>67</v>
      </c>
      <c r="D421" s="5" t="s">
        <v>190</v>
      </c>
      <c r="E421" s="7" t="s">
        <v>101</v>
      </c>
      <c r="F421" s="7" t="s">
        <v>100</v>
      </c>
      <c r="G421" s="7" t="s">
        <v>14</v>
      </c>
      <c r="H421" s="8">
        <v>10</v>
      </c>
      <c r="I421" s="9">
        <v>40000</v>
      </c>
      <c r="J421" s="9">
        <f t="shared" si="6"/>
        <v>400000</v>
      </c>
      <c r="K421" s="6" t="s">
        <v>15</v>
      </c>
    </row>
    <row r="422" spans="1:11" x14ac:dyDescent="0.25">
      <c r="A422" s="4" t="s">
        <v>189</v>
      </c>
      <c r="B422" s="5" t="s">
        <v>118</v>
      </c>
      <c r="C422" s="4" t="s">
        <v>67</v>
      </c>
      <c r="D422" s="5" t="s">
        <v>190</v>
      </c>
      <c r="E422" s="7" t="s">
        <v>119</v>
      </c>
      <c r="F422" s="7" t="s">
        <v>120</v>
      </c>
      <c r="G422" s="7" t="s">
        <v>14</v>
      </c>
      <c r="H422" s="8">
        <v>5.2</v>
      </c>
      <c r="I422" s="9">
        <v>52000</v>
      </c>
      <c r="J422" s="9">
        <f t="shared" si="6"/>
        <v>270400</v>
      </c>
      <c r="K422" s="6" t="s">
        <v>15</v>
      </c>
    </row>
    <row r="423" spans="1:11" ht="42.75" x14ac:dyDescent="0.25">
      <c r="A423" s="4" t="s">
        <v>189</v>
      </c>
      <c r="B423" s="5" t="s">
        <v>118</v>
      </c>
      <c r="C423" s="4" t="s">
        <v>67</v>
      </c>
      <c r="D423" s="5" t="s">
        <v>190</v>
      </c>
      <c r="E423" s="7" t="s">
        <v>99</v>
      </c>
      <c r="F423" s="7" t="s">
        <v>98</v>
      </c>
      <c r="G423" s="7" t="s">
        <v>14</v>
      </c>
      <c r="H423" s="8">
        <v>3</v>
      </c>
      <c r="I423" s="9">
        <v>30000</v>
      </c>
      <c r="J423" s="9">
        <f t="shared" si="6"/>
        <v>90000</v>
      </c>
      <c r="K423" s="6" t="s">
        <v>15</v>
      </c>
    </row>
    <row r="424" spans="1:11" x14ac:dyDescent="0.25">
      <c r="A424" s="4" t="s">
        <v>189</v>
      </c>
      <c r="B424" s="5" t="s">
        <v>118</v>
      </c>
      <c r="C424" s="4" t="s">
        <v>67</v>
      </c>
      <c r="D424" s="5" t="s">
        <v>190</v>
      </c>
      <c r="E424" s="7" t="s">
        <v>95</v>
      </c>
      <c r="F424" s="7" t="s">
        <v>94</v>
      </c>
      <c r="G424" s="7" t="s">
        <v>14</v>
      </c>
      <c r="H424" s="8">
        <v>1.6</v>
      </c>
      <c r="I424" s="9">
        <v>44000</v>
      </c>
      <c r="J424" s="9">
        <f t="shared" si="6"/>
        <v>70400</v>
      </c>
      <c r="K424" s="6" t="s">
        <v>15</v>
      </c>
    </row>
    <row r="425" spans="1:11" x14ac:dyDescent="0.25">
      <c r="A425" s="4" t="s">
        <v>189</v>
      </c>
      <c r="B425" s="5" t="s">
        <v>118</v>
      </c>
      <c r="C425" s="4" t="s">
        <v>67</v>
      </c>
      <c r="D425" s="5" t="s">
        <v>190</v>
      </c>
      <c r="E425" s="7" t="s">
        <v>33</v>
      </c>
      <c r="F425" s="7" t="s">
        <v>34</v>
      </c>
      <c r="G425" s="7" t="s">
        <v>14</v>
      </c>
      <c r="H425" s="8">
        <v>3</v>
      </c>
      <c r="I425" s="9">
        <v>22000</v>
      </c>
      <c r="J425" s="9">
        <f t="shared" si="6"/>
        <v>66000</v>
      </c>
      <c r="K425" s="6" t="s">
        <v>15</v>
      </c>
    </row>
    <row r="426" spans="1:11" x14ac:dyDescent="0.25">
      <c r="A426" s="4" t="s">
        <v>189</v>
      </c>
      <c r="B426" s="5" t="s">
        <v>118</v>
      </c>
      <c r="C426" s="4" t="s">
        <v>67</v>
      </c>
      <c r="D426" s="5" t="s">
        <v>190</v>
      </c>
      <c r="E426" s="7" t="s">
        <v>35</v>
      </c>
      <c r="F426" s="7" t="s">
        <v>36</v>
      </c>
      <c r="G426" s="7" t="s">
        <v>14</v>
      </c>
      <c r="H426" s="8">
        <v>2</v>
      </c>
      <c r="I426" s="9">
        <v>38000</v>
      </c>
      <c r="J426" s="9">
        <f t="shared" si="6"/>
        <v>76000</v>
      </c>
      <c r="K426" s="6" t="s">
        <v>15</v>
      </c>
    </row>
    <row r="427" spans="1:11" x14ac:dyDescent="0.25">
      <c r="A427" s="4" t="s">
        <v>189</v>
      </c>
      <c r="B427" s="5" t="s">
        <v>118</v>
      </c>
      <c r="C427" s="4" t="s">
        <v>67</v>
      </c>
      <c r="D427" s="5" t="s">
        <v>190</v>
      </c>
      <c r="E427" s="7" t="s">
        <v>91</v>
      </c>
      <c r="F427" s="7" t="s">
        <v>90</v>
      </c>
      <c r="G427" s="7" t="s">
        <v>14</v>
      </c>
      <c r="H427" s="8">
        <v>3</v>
      </c>
      <c r="I427" s="9">
        <v>47000</v>
      </c>
      <c r="J427" s="9">
        <f t="shared" si="6"/>
        <v>141000</v>
      </c>
      <c r="K427" s="6" t="s">
        <v>15</v>
      </c>
    </row>
    <row r="428" spans="1:11" x14ac:dyDescent="0.25">
      <c r="A428" s="4" t="s">
        <v>189</v>
      </c>
      <c r="B428" s="5" t="s">
        <v>118</v>
      </c>
      <c r="C428" s="4" t="s">
        <v>67</v>
      </c>
      <c r="D428" s="5" t="s">
        <v>190</v>
      </c>
      <c r="E428" s="7" t="s">
        <v>19</v>
      </c>
      <c r="F428" s="7" t="s">
        <v>20</v>
      </c>
      <c r="G428" s="7" t="s">
        <v>14</v>
      </c>
      <c r="H428" s="8">
        <v>3.3</v>
      </c>
      <c r="I428" s="9">
        <v>32000</v>
      </c>
      <c r="J428" s="9">
        <f t="shared" si="6"/>
        <v>105600</v>
      </c>
      <c r="K428" s="6" t="s">
        <v>15</v>
      </c>
    </row>
    <row r="429" spans="1:11" ht="28.5" x14ac:dyDescent="0.25">
      <c r="A429" s="4" t="s">
        <v>189</v>
      </c>
      <c r="B429" s="5" t="s">
        <v>118</v>
      </c>
      <c r="C429" s="4" t="s">
        <v>67</v>
      </c>
      <c r="D429" s="5" t="s">
        <v>190</v>
      </c>
      <c r="E429" s="7" t="s">
        <v>89</v>
      </c>
      <c r="F429" s="7" t="s">
        <v>88</v>
      </c>
      <c r="G429" s="7" t="s">
        <v>87</v>
      </c>
      <c r="H429" s="8">
        <v>3</v>
      </c>
      <c r="I429" s="9">
        <v>15000</v>
      </c>
      <c r="J429" s="9">
        <f t="shared" si="6"/>
        <v>45000</v>
      </c>
      <c r="K429" s="6" t="s">
        <v>15</v>
      </c>
    </row>
    <row r="430" spans="1:11" x14ac:dyDescent="0.25">
      <c r="A430" s="4" t="s">
        <v>189</v>
      </c>
      <c r="B430" s="5" t="s">
        <v>118</v>
      </c>
      <c r="C430" s="4" t="s">
        <v>67</v>
      </c>
      <c r="D430" s="5" t="s">
        <v>190</v>
      </c>
      <c r="E430" s="7" t="s">
        <v>51</v>
      </c>
      <c r="F430" s="7" t="s">
        <v>52</v>
      </c>
      <c r="G430" s="7" t="s">
        <v>14</v>
      </c>
      <c r="H430" s="8">
        <v>49</v>
      </c>
      <c r="I430" s="9">
        <v>18000</v>
      </c>
      <c r="J430" s="9">
        <f t="shared" si="6"/>
        <v>882000</v>
      </c>
      <c r="K430" s="6" t="s">
        <v>15</v>
      </c>
    </row>
    <row r="431" spans="1:11" x14ac:dyDescent="0.25">
      <c r="A431" s="4" t="s">
        <v>189</v>
      </c>
      <c r="B431" s="5" t="s">
        <v>118</v>
      </c>
      <c r="C431" s="4" t="s">
        <v>67</v>
      </c>
      <c r="D431" s="5" t="s">
        <v>190</v>
      </c>
      <c r="E431" s="7" t="s">
        <v>21</v>
      </c>
      <c r="F431" s="7" t="s">
        <v>22</v>
      </c>
      <c r="G431" s="7" t="s">
        <v>14</v>
      </c>
      <c r="H431" s="8">
        <v>4</v>
      </c>
      <c r="I431" s="9">
        <v>55000</v>
      </c>
      <c r="J431" s="9">
        <f t="shared" si="6"/>
        <v>220000</v>
      </c>
      <c r="K431" s="6" t="s">
        <v>15</v>
      </c>
    </row>
    <row r="432" spans="1:11" x14ac:dyDescent="0.25">
      <c r="A432" s="4" t="s">
        <v>189</v>
      </c>
      <c r="B432" s="5" t="s">
        <v>118</v>
      </c>
      <c r="C432" s="4" t="s">
        <v>67</v>
      </c>
      <c r="D432" s="5" t="s">
        <v>190</v>
      </c>
      <c r="E432" s="7" t="s">
        <v>31</v>
      </c>
      <c r="F432" s="7" t="s">
        <v>32</v>
      </c>
      <c r="G432" s="7" t="s">
        <v>14</v>
      </c>
      <c r="H432" s="8">
        <v>0.2</v>
      </c>
      <c r="I432" s="9">
        <v>80000</v>
      </c>
      <c r="J432" s="9">
        <f t="shared" si="6"/>
        <v>16000</v>
      </c>
      <c r="K432" s="6" t="s">
        <v>15</v>
      </c>
    </row>
    <row r="433" spans="1:11" x14ac:dyDescent="0.25">
      <c r="A433" s="4" t="s">
        <v>189</v>
      </c>
      <c r="B433" s="5" t="s">
        <v>118</v>
      </c>
      <c r="C433" s="4" t="s">
        <v>67</v>
      </c>
      <c r="D433" s="5" t="s">
        <v>190</v>
      </c>
      <c r="E433" s="7" t="s">
        <v>25</v>
      </c>
      <c r="F433" s="7" t="s">
        <v>26</v>
      </c>
      <c r="G433" s="7" t="s">
        <v>14</v>
      </c>
      <c r="H433" s="8">
        <v>0.2</v>
      </c>
      <c r="I433" s="9">
        <v>65000</v>
      </c>
      <c r="J433" s="9">
        <f t="shared" si="6"/>
        <v>13000</v>
      </c>
      <c r="K433" s="6" t="s">
        <v>15</v>
      </c>
    </row>
    <row r="434" spans="1:11" x14ac:dyDescent="0.25">
      <c r="A434" s="4" t="s">
        <v>189</v>
      </c>
      <c r="B434" s="5" t="s">
        <v>118</v>
      </c>
      <c r="C434" s="4" t="s">
        <v>67</v>
      </c>
      <c r="D434" s="5" t="s">
        <v>190</v>
      </c>
      <c r="E434" s="7" t="s">
        <v>37</v>
      </c>
      <c r="F434" s="7" t="s">
        <v>38</v>
      </c>
      <c r="G434" s="7" t="s">
        <v>14</v>
      </c>
      <c r="H434" s="8">
        <v>3.7</v>
      </c>
      <c r="I434" s="9">
        <v>27000</v>
      </c>
      <c r="J434" s="9">
        <f t="shared" si="6"/>
        <v>99900</v>
      </c>
      <c r="K434" s="6" t="s">
        <v>15</v>
      </c>
    </row>
    <row r="435" spans="1:11" ht="28.5" x14ac:dyDescent="0.25">
      <c r="A435" s="4" t="s">
        <v>189</v>
      </c>
      <c r="B435" s="5" t="s">
        <v>118</v>
      </c>
      <c r="C435" s="4" t="s">
        <v>67</v>
      </c>
      <c r="D435" s="5" t="s">
        <v>190</v>
      </c>
      <c r="E435" s="7" t="s">
        <v>39</v>
      </c>
      <c r="F435" s="7" t="s">
        <v>40</v>
      </c>
      <c r="G435" s="7" t="s">
        <v>14</v>
      </c>
      <c r="H435" s="8">
        <v>3.7</v>
      </c>
      <c r="I435" s="9">
        <v>145000</v>
      </c>
      <c r="J435" s="9">
        <f t="shared" si="6"/>
        <v>536500</v>
      </c>
      <c r="K435" s="6" t="s">
        <v>15</v>
      </c>
    </row>
    <row r="436" spans="1:11" x14ac:dyDescent="0.25">
      <c r="A436" s="4" t="s">
        <v>189</v>
      </c>
      <c r="B436" s="5" t="s">
        <v>118</v>
      </c>
      <c r="C436" s="4" t="s">
        <v>67</v>
      </c>
      <c r="D436" s="5" t="s">
        <v>190</v>
      </c>
      <c r="E436" s="7" t="s">
        <v>53</v>
      </c>
      <c r="F436" s="7" t="s">
        <v>54</v>
      </c>
      <c r="G436" s="7" t="s">
        <v>14</v>
      </c>
      <c r="H436" s="8">
        <v>2</v>
      </c>
      <c r="I436" s="9">
        <v>47000</v>
      </c>
      <c r="J436" s="9">
        <f t="shared" si="6"/>
        <v>94000</v>
      </c>
      <c r="K436" s="6" t="s">
        <v>15</v>
      </c>
    </row>
    <row r="437" spans="1:11" x14ac:dyDescent="0.25">
      <c r="A437" s="4" t="s">
        <v>189</v>
      </c>
      <c r="B437" s="5" t="s">
        <v>118</v>
      </c>
      <c r="C437" s="4" t="s">
        <v>67</v>
      </c>
      <c r="D437" s="5" t="s">
        <v>190</v>
      </c>
      <c r="E437" s="7" t="s">
        <v>80</v>
      </c>
      <c r="F437" s="7" t="s">
        <v>79</v>
      </c>
      <c r="G437" s="7" t="s">
        <v>14</v>
      </c>
      <c r="H437" s="8">
        <v>1.9</v>
      </c>
      <c r="I437" s="9">
        <v>90000</v>
      </c>
      <c r="J437" s="9">
        <f t="shared" si="6"/>
        <v>171000</v>
      </c>
      <c r="K437" s="6" t="s">
        <v>15</v>
      </c>
    </row>
    <row r="438" spans="1:11" ht="28.5" x14ac:dyDescent="0.25">
      <c r="A438" s="4" t="s">
        <v>189</v>
      </c>
      <c r="B438" s="5" t="s">
        <v>118</v>
      </c>
      <c r="C438" s="4" t="s">
        <v>67</v>
      </c>
      <c r="D438" s="5" t="s">
        <v>190</v>
      </c>
      <c r="E438" s="7" t="s">
        <v>29</v>
      </c>
      <c r="F438" s="7" t="s">
        <v>30</v>
      </c>
      <c r="G438" s="7" t="s">
        <v>14</v>
      </c>
      <c r="H438" s="8">
        <v>6.7</v>
      </c>
      <c r="I438" s="9">
        <v>45000</v>
      </c>
      <c r="J438" s="9">
        <f t="shared" si="6"/>
        <v>301500</v>
      </c>
      <c r="K438" s="6" t="s">
        <v>15</v>
      </c>
    </row>
    <row r="439" spans="1:11" ht="28.5" x14ac:dyDescent="0.25">
      <c r="A439" s="4" t="s">
        <v>189</v>
      </c>
      <c r="B439" s="5" t="s">
        <v>118</v>
      </c>
      <c r="C439" s="4" t="s">
        <v>67</v>
      </c>
      <c r="D439" s="5" t="s">
        <v>190</v>
      </c>
      <c r="E439" s="7" t="s">
        <v>78</v>
      </c>
      <c r="F439" s="7" t="s">
        <v>77</v>
      </c>
      <c r="G439" s="7" t="s">
        <v>14</v>
      </c>
      <c r="H439" s="8">
        <v>0.5</v>
      </c>
      <c r="I439" s="9">
        <v>90000</v>
      </c>
      <c r="J439" s="9">
        <f t="shared" si="6"/>
        <v>45000</v>
      </c>
      <c r="K439" s="6" t="s">
        <v>15</v>
      </c>
    </row>
    <row r="440" spans="1:11" x14ac:dyDescent="0.25">
      <c r="A440" s="4" t="s">
        <v>189</v>
      </c>
      <c r="B440" s="5" t="s">
        <v>118</v>
      </c>
      <c r="C440" s="4" t="s">
        <v>67</v>
      </c>
      <c r="D440" s="5" t="s">
        <v>190</v>
      </c>
      <c r="E440" s="7" t="s">
        <v>105</v>
      </c>
      <c r="F440" s="7" t="s">
        <v>104</v>
      </c>
      <c r="G440" s="7" t="s">
        <v>14</v>
      </c>
      <c r="H440" s="8">
        <v>0.3</v>
      </c>
      <c r="I440" s="9">
        <v>195000</v>
      </c>
      <c r="J440" s="9">
        <f t="shared" si="6"/>
        <v>58500</v>
      </c>
      <c r="K440" s="6" t="s">
        <v>15</v>
      </c>
    </row>
    <row r="441" spans="1:11" x14ac:dyDescent="0.25">
      <c r="A441" s="4" t="s">
        <v>189</v>
      </c>
      <c r="B441" s="5" t="s">
        <v>118</v>
      </c>
      <c r="C441" s="4" t="s">
        <v>67</v>
      </c>
      <c r="D441" s="5" t="s">
        <v>190</v>
      </c>
      <c r="E441" s="7" t="s">
        <v>63</v>
      </c>
      <c r="F441" s="7" t="s">
        <v>64</v>
      </c>
      <c r="G441" s="7" t="s">
        <v>14</v>
      </c>
      <c r="H441" s="8">
        <v>3.5</v>
      </c>
      <c r="I441" s="9">
        <v>45000</v>
      </c>
      <c r="J441" s="9">
        <f t="shared" si="6"/>
        <v>157500</v>
      </c>
      <c r="K441" s="6" t="s">
        <v>15</v>
      </c>
    </row>
    <row r="442" spans="1:11" x14ac:dyDescent="0.25">
      <c r="A442" s="4" t="s">
        <v>189</v>
      </c>
      <c r="B442" s="5" t="s">
        <v>118</v>
      </c>
      <c r="C442" s="4" t="s">
        <v>67</v>
      </c>
      <c r="D442" s="5" t="s">
        <v>190</v>
      </c>
      <c r="E442" s="7" t="s">
        <v>55</v>
      </c>
      <c r="F442" s="7" t="s">
        <v>56</v>
      </c>
      <c r="G442" s="7" t="s">
        <v>14</v>
      </c>
      <c r="H442" s="8">
        <v>0.1</v>
      </c>
      <c r="I442" s="9">
        <v>70000</v>
      </c>
      <c r="J442" s="9">
        <f t="shared" si="6"/>
        <v>7000</v>
      </c>
      <c r="K442" s="6" t="s">
        <v>15</v>
      </c>
    </row>
    <row r="443" spans="1:11" x14ac:dyDescent="0.25">
      <c r="A443" s="4" t="s">
        <v>189</v>
      </c>
      <c r="B443" s="5" t="s">
        <v>118</v>
      </c>
      <c r="C443" s="4" t="s">
        <v>67</v>
      </c>
      <c r="D443" s="5" t="s">
        <v>190</v>
      </c>
      <c r="E443" s="7" t="s">
        <v>41</v>
      </c>
      <c r="F443" s="7" t="s">
        <v>42</v>
      </c>
      <c r="G443" s="7" t="s">
        <v>14</v>
      </c>
      <c r="H443" s="8">
        <v>1.5</v>
      </c>
      <c r="I443" s="9">
        <v>145000</v>
      </c>
      <c r="J443" s="9">
        <f t="shared" si="6"/>
        <v>217500</v>
      </c>
      <c r="K443" s="6" t="s">
        <v>15</v>
      </c>
    </row>
    <row r="444" spans="1:11" x14ac:dyDescent="0.25">
      <c r="A444" s="4" t="s">
        <v>189</v>
      </c>
      <c r="B444" s="5" t="s">
        <v>118</v>
      </c>
      <c r="C444" s="4" t="s">
        <v>67</v>
      </c>
      <c r="D444" s="5" t="s">
        <v>190</v>
      </c>
      <c r="E444" s="7" t="s">
        <v>43</v>
      </c>
      <c r="F444" s="7" t="s">
        <v>44</v>
      </c>
      <c r="G444" s="7" t="s">
        <v>14</v>
      </c>
      <c r="H444" s="8">
        <v>0.1</v>
      </c>
      <c r="I444" s="9">
        <v>22000</v>
      </c>
      <c r="J444" s="9">
        <f t="shared" si="6"/>
        <v>2200</v>
      </c>
      <c r="K444" s="6" t="s">
        <v>15</v>
      </c>
    </row>
    <row r="445" spans="1:11" x14ac:dyDescent="0.25">
      <c r="A445" s="4" t="s">
        <v>189</v>
      </c>
      <c r="B445" s="5" t="s">
        <v>118</v>
      </c>
      <c r="C445" s="4" t="s">
        <v>67</v>
      </c>
      <c r="D445" s="5" t="s">
        <v>190</v>
      </c>
      <c r="E445" s="7" t="s">
        <v>45</v>
      </c>
      <c r="F445" s="7" t="s">
        <v>46</v>
      </c>
      <c r="G445" s="7" t="s">
        <v>14</v>
      </c>
      <c r="H445" s="8">
        <v>0.3</v>
      </c>
      <c r="I445" s="9">
        <v>12000</v>
      </c>
      <c r="J445" s="9">
        <f t="shared" si="6"/>
        <v>3600</v>
      </c>
      <c r="K445" s="6" t="s">
        <v>15</v>
      </c>
    </row>
    <row r="446" spans="1:11" x14ac:dyDescent="0.25">
      <c r="A446" s="4" t="s">
        <v>189</v>
      </c>
      <c r="B446" s="5" t="s">
        <v>118</v>
      </c>
      <c r="C446" s="4" t="s">
        <v>67</v>
      </c>
      <c r="D446" s="5" t="s">
        <v>190</v>
      </c>
      <c r="E446" s="7" t="s">
        <v>47</v>
      </c>
      <c r="F446" s="7" t="s">
        <v>48</v>
      </c>
      <c r="G446" s="7" t="s">
        <v>14</v>
      </c>
      <c r="H446" s="8">
        <v>2</v>
      </c>
      <c r="I446" s="9">
        <v>21000</v>
      </c>
      <c r="J446" s="9">
        <f t="shared" si="6"/>
        <v>42000</v>
      </c>
      <c r="K446" s="6" t="s">
        <v>15</v>
      </c>
    </row>
    <row r="447" spans="1:11" x14ac:dyDescent="0.25">
      <c r="A447" s="4" t="s">
        <v>189</v>
      </c>
      <c r="B447" s="5" t="s">
        <v>118</v>
      </c>
      <c r="C447" s="4" t="s">
        <v>67</v>
      </c>
      <c r="D447" s="5" t="s">
        <v>190</v>
      </c>
      <c r="E447" s="7" t="s">
        <v>27</v>
      </c>
      <c r="F447" s="7" t="s">
        <v>28</v>
      </c>
      <c r="G447" s="7" t="s">
        <v>14</v>
      </c>
      <c r="H447" s="8">
        <v>3.7</v>
      </c>
      <c r="I447" s="9">
        <v>50000</v>
      </c>
      <c r="J447" s="9">
        <f t="shared" si="6"/>
        <v>185000</v>
      </c>
      <c r="K447" s="6" t="s">
        <v>15</v>
      </c>
    </row>
    <row r="448" spans="1:11" x14ac:dyDescent="0.25">
      <c r="A448" s="4" t="s">
        <v>189</v>
      </c>
      <c r="B448" s="5" t="s">
        <v>118</v>
      </c>
      <c r="C448" s="4" t="s">
        <v>67</v>
      </c>
      <c r="D448" s="5" t="s">
        <v>190</v>
      </c>
      <c r="E448" s="7" t="s">
        <v>165</v>
      </c>
      <c r="F448" s="7" t="s">
        <v>166</v>
      </c>
      <c r="G448" s="7" t="s">
        <v>70</v>
      </c>
      <c r="H448" s="8">
        <v>20</v>
      </c>
      <c r="I448" s="9">
        <v>9000</v>
      </c>
      <c r="J448" s="9">
        <f t="shared" si="6"/>
        <v>180000</v>
      </c>
      <c r="K448" s="6" t="s">
        <v>15</v>
      </c>
    </row>
    <row r="449" spans="1:11" x14ac:dyDescent="0.25">
      <c r="A449" s="4" t="s">
        <v>189</v>
      </c>
      <c r="B449" s="5" t="s">
        <v>118</v>
      </c>
      <c r="C449" s="4" t="s">
        <v>67</v>
      </c>
      <c r="D449" s="5" t="s">
        <v>190</v>
      </c>
      <c r="E449" s="7" t="s">
        <v>72</v>
      </c>
      <c r="F449" s="7" t="s">
        <v>71</v>
      </c>
      <c r="G449" s="7" t="s">
        <v>70</v>
      </c>
      <c r="H449" s="8">
        <v>40</v>
      </c>
      <c r="I449" s="9">
        <v>5000</v>
      </c>
      <c r="J449" s="9">
        <f t="shared" si="6"/>
        <v>200000</v>
      </c>
      <c r="K449" s="6" t="s">
        <v>15</v>
      </c>
    </row>
    <row r="450" spans="1:11" x14ac:dyDescent="0.25">
      <c r="A450" s="4" t="s">
        <v>189</v>
      </c>
      <c r="B450" s="5" t="s">
        <v>118</v>
      </c>
      <c r="C450" s="4" t="s">
        <v>67</v>
      </c>
      <c r="D450" s="5" t="s">
        <v>190</v>
      </c>
      <c r="E450" s="7" t="s">
        <v>69</v>
      </c>
      <c r="F450" s="7" t="s">
        <v>68</v>
      </c>
      <c r="G450" s="7" t="s">
        <v>14</v>
      </c>
      <c r="H450" s="8">
        <v>0.2</v>
      </c>
      <c r="I450" s="9">
        <v>220000</v>
      </c>
      <c r="J450" s="9">
        <f t="shared" si="6"/>
        <v>44000</v>
      </c>
      <c r="K450" s="6" t="s">
        <v>15</v>
      </c>
    </row>
    <row r="451" spans="1:11" x14ac:dyDescent="0.25">
      <c r="A451" s="4" t="s">
        <v>189</v>
      </c>
      <c r="B451" s="5" t="s">
        <v>118</v>
      </c>
      <c r="C451" s="4" t="s">
        <v>67</v>
      </c>
      <c r="D451" s="5" t="s">
        <v>190</v>
      </c>
      <c r="E451" s="7" t="s">
        <v>66</v>
      </c>
      <c r="F451" s="7" t="s">
        <v>65</v>
      </c>
      <c r="G451" s="7" t="s">
        <v>14</v>
      </c>
      <c r="H451" s="8">
        <v>5</v>
      </c>
      <c r="I451" s="9">
        <v>62000</v>
      </c>
      <c r="J451" s="9">
        <f t="shared" si="6"/>
        <v>310000</v>
      </c>
      <c r="K451" s="6" t="s">
        <v>15</v>
      </c>
    </row>
    <row r="452" spans="1:11" ht="42.75" x14ac:dyDescent="0.25">
      <c r="A452" s="4" t="s">
        <v>189</v>
      </c>
      <c r="B452" s="5" t="s">
        <v>118</v>
      </c>
      <c r="C452" s="4" t="s">
        <v>67</v>
      </c>
      <c r="D452" s="5" t="s">
        <v>191</v>
      </c>
      <c r="E452" s="7" t="s">
        <v>99</v>
      </c>
      <c r="F452" s="7" t="s">
        <v>98</v>
      </c>
      <c r="G452" s="7" t="s">
        <v>14</v>
      </c>
      <c r="H452" s="8">
        <v>5</v>
      </c>
      <c r="I452" s="9">
        <v>30000</v>
      </c>
      <c r="J452" s="9">
        <f t="shared" si="6"/>
        <v>150000</v>
      </c>
      <c r="K452" s="6" t="s">
        <v>15</v>
      </c>
    </row>
    <row r="453" spans="1:11" ht="28.5" x14ac:dyDescent="0.25">
      <c r="A453" s="4" t="s">
        <v>189</v>
      </c>
      <c r="B453" s="5" t="s">
        <v>118</v>
      </c>
      <c r="C453" s="4" t="s">
        <v>67</v>
      </c>
      <c r="D453" s="5" t="s">
        <v>191</v>
      </c>
      <c r="E453" s="7" t="s">
        <v>89</v>
      </c>
      <c r="F453" s="7" t="s">
        <v>88</v>
      </c>
      <c r="G453" s="7" t="s">
        <v>87</v>
      </c>
      <c r="H453" s="8">
        <v>3</v>
      </c>
      <c r="I453" s="9">
        <v>15000</v>
      </c>
      <c r="J453" s="9">
        <f t="shared" si="6"/>
        <v>45000</v>
      </c>
      <c r="K453" s="6" t="s">
        <v>15</v>
      </c>
    </row>
    <row r="454" spans="1:11" x14ac:dyDescent="0.25">
      <c r="A454" s="4" t="s">
        <v>189</v>
      </c>
      <c r="B454" s="5" t="s">
        <v>118</v>
      </c>
      <c r="C454" s="4" t="s">
        <v>67</v>
      </c>
      <c r="D454" s="5" t="s">
        <v>191</v>
      </c>
      <c r="E454" s="7" t="s">
        <v>37</v>
      </c>
      <c r="F454" s="7" t="s">
        <v>38</v>
      </c>
      <c r="G454" s="7" t="s">
        <v>14</v>
      </c>
      <c r="H454" s="8">
        <v>4</v>
      </c>
      <c r="I454" s="9">
        <v>27000</v>
      </c>
      <c r="J454" s="9">
        <f t="shared" si="6"/>
        <v>108000</v>
      </c>
      <c r="K454" s="6" t="s">
        <v>15</v>
      </c>
    </row>
    <row r="455" spans="1:11" ht="28.5" x14ac:dyDescent="0.25">
      <c r="A455" s="4" t="s">
        <v>189</v>
      </c>
      <c r="B455" s="5" t="s">
        <v>118</v>
      </c>
      <c r="C455" s="4" t="s">
        <v>67</v>
      </c>
      <c r="D455" s="5" t="s">
        <v>191</v>
      </c>
      <c r="E455" s="7" t="s">
        <v>39</v>
      </c>
      <c r="F455" s="7" t="s">
        <v>40</v>
      </c>
      <c r="G455" s="7" t="s">
        <v>14</v>
      </c>
      <c r="H455" s="8">
        <v>3</v>
      </c>
      <c r="I455" s="9">
        <v>145000</v>
      </c>
      <c r="J455" s="9">
        <f t="shared" si="6"/>
        <v>435000</v>
      </c>
      <c r="K455" s="6" t="s">
        <v>15</v>
      </c>
    </row>
    <row r="456" spans="1:11" x14ac:dyDescent="0.25">
      <c r="A456" s="4" t="s">
        <v>192</v>
      </c>
      <c r="B456" s="5" t="s">
        <v>118</v>
      </c>
      <c r="C456" s="4" t="s">
        <v>67</v>
      </c>
      <c r="D456" s="5" t="s">
        <v>193</v>
      </c>
      <c r="E456" s="7" t="s">
        <v>103</v>
      </c>
      <c r="F456" s="7" t="s">
        <v>102</v>
      </c>
      <c r="G456" s="7" t="s">
        <v>14</v>
      </c>
      <c r="H456" s="8">
        <v>2</v>
      </c>
      <c r="I456" s="9">
        <v>15000</v>
      </c>
      <c r="J456" s="9">
        <f t="shared" si="6"/>
        <v>30000</v>
      </c>
      <c r="K456" s="6" t="s">
        <v>15</v>
      </c>
    </row>
    <row r="457" spans="1:11" ht="42.75" x14ac:dyDescent="0.25">
      <c r="A457" s="4" t="s">
        <v>192</v>
      </c>
      <c r="B457" s="5" t="s">
        <v>118</v>
      </c>
      <c r="C457" s="4" t="s">
        <v>67</v>
      </c>
      <c r="D457" s="5" t="s">
        <v>193</v>
      </c>
      <c r="E457" s="7" t="s">
        <v>99</v>
      </c>
      <c r="F457" s="7" t="s">
        <v>98</v>
      </c>
      <c r="G457" s="7" t="s">
        <v>14</v>
      </c>
      <c r="H457" s="8">
        <v>2.4</v>
      </c>
      <c r="I457" s="9">
        <v>30000</v>
      </c>
      <c r="J457" s="9">
        <f t="shared" si="6"/>
        <v>72000</v>
      </c>
      <c r="K457" s="6" t="s">
        <v>15</v>
      </c>
    </row>
    <row r="458" spans="1:11" x14ac:dyDescent="0.25">
      <c r="A458" s="4" t="s">
        <v>192</v>
      </c>
      <c r="B458" s="5" t="s">
        <v>118</v>
      </c>
      <c r="C458" s="4" t="s">
        <v>67</v>
      </c>
      <c r="D458" s="5" t="s">
        <v>193</v>
      </c>
      <c r="E458" s="7" t="s">
        <v>47</v>
      </c>
      <c r="F458" s="7" t="s">
        <v>48</v>
      </c>
      <c r="G458" s="7" t="s">
        <v>14</v>
      </c>
      <c r="H458" s="8">
        <v>1</v>
      </c>
      <c r="I458" s="9">
        <v>21000</v>
      </c>
      <c r="J458" s="9">
        <f t="shared" si="6"/>
        <v>21000</v>
      </c>
      <c r="K458" s="6" t="s">
        <v>15</v>
      </c>
    </row>
    <row r="459" spans="1:11" x14ac:dyDescent="0.25">
      <c r="A459" s="4" t="s">
        <v>192</v>
      </c>
      <c r="B459" s="5" t="s">
        <v>118</v>
      </c>
      <c r="C459" s="4" t="s">
        <v>67</v>
      </c>
      <c r="D459" s="5" t="s">
        <v>194</v>
      </c>
      <c r="E459" s="7" t="s">
        <v>103</v>
      </c>
      <c r="F459" s="7" t="s">
        <v>102</v>
      </c>
      <c r="G459" s="7" t="s">
        <v>14</v>
      </c>
      <c r="H459" s="8">
        <v>2</v>
      </c>
      <c r="I459" s="9">
        <v>15000</v>
      </c>
      <c r="J459" s="9">
        <f t="shared" si="6"/>
        <v>30000</v>
      </c>
      <c r="K459" s="6" t="s">
        <v>15</v>
      </c>
    </row>
    <row r="460" spans="1:11" ht="28.5" x14ac:dyDescent="0.25">
      <c r="A460" s="4" t="s">
        <v>192</v>
      </c>
      <c r="B460" s="5" t="s">
        <v>118</v>
      </c>
      <c r="C460" s="4" t="s">
        <v>67</v>
      </c>
      <c r="D460" s="5" t="s">
        <v>194</v>
      </c>
      <c r="E460" s="7" t="s">
        <v>16</v>
      </c>
      <c r="F460" s="7" t="s">
        <v>17</v>
      </c>
      <c r="G460" s="7" t="s">
        <v>18</v>
      </c>
      <c r="H460" s="8">
        <v>15</v>
      </c>
      <c r="I460" s="9">
        <v>8500</v>
      </c>
      <c r="J460" s="9">
        <f t="shared" si="6"/>
        <v>127500</v>
      </c>
      <c r="K460" s="6" t="s">
        <v>15</v>
      </c>
    </row>
    <row r="461" spans="1:11" x14ac:dyDescent="0.25">
      <c r="A461" s="4" t="s">
        <v>192</v>
      </c>
      <c r="B461" s="5" t="s">
        <v>118</v>
      </c>
      <c r="C461" s="4" t="s">
        <v>67</v>
      </c>
      <c r="D461" s="5" t="s">
        <v>194</v>
      </c>
      <c r="E461" s="7" t="s">
        <v>59</v>
      </c>
      <c r="F461" s="7" t="s">
        <v>60</v>
      </c>
      <c r="G461" s="7" t="s">
        <v>14</v>
      </c>
      <c r="H461" s="8">
        <v>5.5</v>
      </c>
      <c r="I461" s="9">
        <v>30000</v>
      </c>
      <c r="J461" s="9">
        <f t="shared" si="6"/>
        <v>165000</v>
      </c>
      <c r="K461" s="6" t="s">
        <v>15</v>
      </c>
    </row>
    <row r="462" spans="1:11" x14ac:dyDescent="0.25">
      <c r="A462" s="4" t="s">
        <v>192</v>
      </c>
      <c r="B462" s="5" t="s">
        <v>118</v>
      </c>
      <c r="C462" s="4" t="s">
        <v>67</v>
      </c>
      <c r="D462" s="5" t="s">
        <v>194</v>
      </c>
      <c r="E462" s="7" t="s">
        <v>101</v>
      </c>
      <c r="F462" s="7" t="s">
        <v>100</v>
      </c>
      <c r="G462" s="7" t="s">
        <v>14</v>
      </c>
      <c r="H462" s="8">
        <v>15</v>
      </c>
      <c r="I462" s="9">
        <v>40000</v>
      </c>
      <c r="J462" s="9">
        <f t="shared" si="6"/>
        <v>600000</v>
      </c>
      <c r="K462" s="6" t="s">
        <v>15</v>
      </c>
    </row>
    <row r="463" spans="1:11" x14ac:dyDescent="0.25">
      <c r="A463" s="4" t="s">
        <v>192</v>
      </c>
      <c r="B463" s="5" t="s">
        <v>118</v>
      </c>
      <c r="C463" s="4" t="s">
        <v>67</v>
      </c>
      <c r="D463" s="5" t="s">
        <v>194</v>
      </c>
      <c r="E463" s="7" t="s">
        <v>119</v>
      </c>
      <c r="F463" s="7" t="s">
        <v>120</v>
      </c>
      <c r="G463" s="7" t="s">
        <v>14</v>
      </c>
      <c r="H463" s="8">
        <v>5.8</v>
      </c>
      <c r="I463" s="9">
        <v>52000</v>
      </c>
      <c r="J463" s="9">
        <f t="shared" si="6"/>
        <v>301600</v>
      </c>
      <c r="K463" s="6" t="s">
        <v>15</v>
      </c>
    </row>
    <row r="464" spans="1:11" x14ac:dyDescent="0.25">
      <c r="A464" s="4" t="s">
        <v>192</v>
      </c>
      <c r="B464" s="5" t="s">
        <v>118</v>
      </c>
      <c r="C464" s="4" t="s">
        <v>67</v>
      </c>
      <c r="D464" s="5" t="s">
        <v>194</v>
      </c>
      <c r="E464" s="7" t="s">
        <v>109</v>
      </c>
      <c r="F464" s="7" t="s">
        <v>108</v>
      </c>
      <c r="G464" s="7" t="s">
        <v>14</v>
      </c>
      <c r="H464" s="8">
        <v>0.5</v>
      </c>
      <c r="I464" s="9">
        <v>75000</v>
      </c>
      <c r="J464" s="9">
        <f t="shared" ref="J464:J527" si="7">H464*I464</f>
        <v>37500</v>
      </c>
      <c r="K464" s="6" t="s">
        <v>15</v>
      </c>
    </row>
    <row r="465" spans="1:11" ht="42.75" x14ac:dyDescent="0.25">
      <c r="A465" s="4" t="s">
        <v>192</v>
      </c>
      <c r="B465" s="5" t="s">
        <v>118</v>
      </c>
      <c r="C465" s="4" t="s">
        <v>67</v>
      </c>
      <c r="D465" s="5" t="s">
        <v>194</v>
      </c>
      <c r="E465" s="7" t="s">
        <v>99</v>
      </c>
      <c r="F465" s="7" t="s">
        <v>98</v>
      </c>
      <c r="G465" s="7" t="s">
        <v>14</v>
      </c>
      <c r="H465" s="8">
        <v>3</v>
      </c>
      <c r="I465" s="9">
        <v>30000</v>
      </c>
      <c r="J465" s="9">
        <f t="shared" si="7"/>
        <v>90000</v>
      </c>
      <c r="K465" s="6" t="s">
        <v>15</v>
      </c>
    </row>
    <row r="466" spans="1:11" x14ac:dyDescent="0.25">
      <c r="A466" s="4" t="s">
        <v>192</v>
      </c>
      <c r="B466" s="5" t="s">
        <v>118</v>
      </c>
      <c r="C466" s="4" t="s">
        <v>67</v>
      </c>
      <c r="D466" s="5" t="s">
        <v>194</v>
      </c>
      <c r="E466" s="7" t="s">
        <v>97</v>
      </c>
      <c r="F466" s="7" t="s">
        <v>96</v>
      </c>
      <c r="G466" s="7" t="s">
        <v>14</v>
      </c>
      <c r="H466" s="8">
        <v>1.5</v>
      </c>
      <c r="I466" s="9">
        <v>75000</v>
      </c>
      <c r="J466" s="9">
        <f t="shared" si="7"/>
        <v>112500</v>
      </c>
      <c r="K466" s="6" t="s">
        <v>15</v>
      </c>
    </row>
    <row r="467" spans="1:11" x14ac:dyDescent="0.25">
      <c r="A467" s="4" t="s">
        <v>192</v>
      </c>
      <c r="B467" s="5" t="s">
        <v>118</v>
      </c>
      <c r="C467" s="4" t="s">
        <v>67</v>
      </c>
      <c r="D467" s="5" t="s">
        <v>194</v>
      </c>
      <c r="E467" s="7" t="s">
        <v>95</v>
      </c>
      <c r="F467" s="7" t="s">
        <v>94</v>
      </c>
      <c r="G467" s="7" t="s">
        <v>14</v>
      </c>
      <c r="H467" s="8">
        <v>2.1</v>
      </c>
      <c r="I467" s="9">
        <v>44000</v>
      </c>
      <c r="J467" s="9">
        <f t="shared" si="7"/>
        <v>92400</v>
      </c>
      <c r="K467" s="6" t="s">
        <v>15</v>
      </c>
    </row>
    <row r="468" spans="1:11" x14ac:dyDescent="0.25">
      <c r="A468" s="4" t="s">
        <v>192</v>
      </c>
      <c r="B468" s="5" t="s">
        <v>118</v>
      </c>
      <c r="C468" s="4" t="s">
        <v>67</v>
      </c>
      <c r="D468" s="5" t="s">
        <v>194</v>
      </c>
      <c r="E468" s="7" t="s">
        <v>49</v>
      </c>
      <c r="F468" s="7" t="s">
        <v>50</v>
      </c>
      <c r="G468" s="7" t="s">
        <v>14</v>
      </c>
      <c r="H468" s="8">
        <v>1.2</v>
      </c>
      <c r="I468" s="9">
        <v>34000</v>
      </c>
      <c r="J468" s="9">
        <f t="shared" si="7"/>
        <v>40800</v>
      </c>
      <c r="K468" s="6" t="s">
        <v>15</v>
      </c>
    </row>
    <row r="469" spans="1:11" x14ac:dyDescent="0.25">
      <c r="A469" s="4" t="s">
        <v>192</v>
      </c>
      <c r="B469" s="5" t="s">
        <v>118</v>
      </c>
      <c r="C469" s="4" t="s">
        <v>67</v>
      </c>
      <c r="D469" s="5" t="s">
        <v>194</v>
      </c>
      <c r="E469" s="7" t="s">
        <v>33</v>
      </c>
      <c r="F469" s="7" t="s">
        <v>34</v>
      </c>
      <c r="G469" s="7" t="s">
        <v>14</v>
      </c>
      <c r="H469" s="8">
        <v>3</v>
      </c>
      <c r="I469" s="9">
        <v>22000</v>
      </c>
      <c r="J469" s="9">
        <f t="shared" si="7"/>
        <v>66000</v>
      </c>
      <c r="K469" s="6" t="s">
        <v>15</v>
      </c>
    </row>
    <row r="470" spans="1:11" x14ac:dyDescent="0.25">
      <c r="A470" s="4" t="s">
        <v>192</v>
      </c>
      <c r="B470" s="5" t="s">
        <v>118</v>
      </c>
      <c r="C470" s="4" t="s">
        <v>67</v>
      </c>
      <c r="D470" s="5" t="s">
        <v>194</v>
      </c>
      <c r="E470" s="7" t="s">
        <v>93</v>
      </c>
      <c r="F470" s="7" t="s">
        <v>92</v>
      </c>
      <c r="G470" s="7" t="s">
        <v>14</v>
      </c>
      <c r="H470" s="8">
        <v>0.4</v>
      </c>
      <c r="I470" s="9">
        <v>95000</v>
      </c>
      <c r="J470" s="9">
        <f t="shared" si="7"/>
        <v>38000</v>
      </c>
      <c r="K470" s="6" t="s">
        <v>15</v>
      </c>
    </row>
    <row r="471" spans="1:11" x14ac:dyDescent="0.25">
      <c r="A471" s="4" t="s">
        <v>192</v>
      </c>
      <c r="B471" s="5" t="s">
        <v>118</v>
      </c>
      <c r="C471" s="4" t="s">
        <v>67</v>
      </c>
      <c r="D471" s="5" t="s">
        <v>194</v>
      </c>
      <c r="E471" s="7" t="s">
        <v>35</v>
      </c>
      <c r="F471" s="7" t="s">
        <v>36</v>
      </c>
      <c r="G471" s="7" t="s">
        <v>14</v>
      </c>
      <c r="H471" s="8">
        <v>1</v>
      </c>
      <c r="I471" s="9">
        <v>38000</v>
      </c>
      <c r="J471" s="9">
        <f t="shared" si="7"/>
        <v>38000</v>
      </c>
      <c r="K471" s="6" t="s">
        <v>15</v>
      </c>
    </row>
    <row r="472" spans="1:11" x14ac:dyDescent="0.25">
      <c r="A472" s="4" t="s">
        <v>192</v>
      </c>
      <c r="B472" s="5" t="s">
        <v>118</v>
      </c>
      <c r="C472" s="4" t="s">
        <v>67</v>
      </c>
      <c r="D472" s="5" t="s">
        <v>194</v>
      </c>
      <c r="E472" s="7" t="s">
        <v>113</v>
      </c>
      <c r="F472" s="7" t="s">
        <v>112</v>
      </c>
      <c r="G472" s="7" t="s">
        <v>14</v>
      </c>
      <c r="H472" s="8">
        <v>0.1</v>
      </c>
      <c r="I472" s="9">
        <v>25000</v>
      </c>
      <c r="J472" s="9">
        <f t="shared" si="7"/>
        <v>2500</v>
      </c>
      <c r="K472" s="6" t="s">
        <v>15</v>
      </c>
    </row>
    <row r="473" spans="1:11" x14ac:dyDescent="0.25">
      <c r="A473" s="4" t="s">
        <v>192</v>
      </c>
      <c r="B473" s="5" t="s">
        <v>118</v>
      </c>
      <c r="C473" s="4" t="s">
        <v>67</v>
      </c>
      <c r="D473" s="5" t="s">
        <v>194</v>
      </c>
      <c r="E473" s="7" t="s">
        <v>19</v>
      </c>
      <c r="F473" s="7" t="s">
        <v>20</v>
      </c>
      <c r="G473" s="7" t="s">
        <v>14</v>
      </c>
      <c r="H473" s="8">
        <v>3.5</v>
      </c>
      <c r="I473" s="9">
        <v>32000</v>
      </c>
      <c r="J473" s="9">
        <f t="shared" si="7"/>
        <v>112000</v>
      </c>
      <c r="K473" s="6" t="s">
        <v>15</v>
      </c>
    </row>
    <row r="474" spans="1:11" ht="28.5" x14ac:dyDescent="0.25">
      <c r="A474" s="4" t="s">
        <v>192</v>
      </c>
      <c r="B474" s="5" t="s">
        <v>118</v>
      </c>
      <c r="C474" s="4" t="s">
        <v>67</v>
      </c>
      <c r="D474" s="5" t="s">
        <v>194</v>
      </c>
      <c r="E474" s="7" t="s">
        <v>89</v>
      </c>
      <c r="F474" s="7" t="s">
        <v>88</v>
      </c>
      <c r="G474" s="7" t="s">
        <v>87</v>
      </c>
      <c r="H474" s="8">
        <v>6</v>
      </c>
      <c r="I474" s="9">
        <v>15000</v>
      </c>
      <c r="J474" s="9">
        <f t="shared" si="7"/>
        <v>90000</v>
      </c>
      <c r="K474" s="6" t="s">
        <v>15</v>
      </c>
    </row>
    <row r="475" spans="1:11" x14ac:dyDescent="0.25">
      <c r="A475" s="4" t="s">
        <v>192</v>
      </c>
      <c r="B475" s="5" t="s">
        <v>118</v>
      </c>
      <c r="C475" s="4" t="s">
        <v>67</v>
      </c>
      <c r="D475" s="5" t="s">
        <v>194</v>
      </c>
      <c r="E475" s="7" t="s">
        <v>51</v>
      </c>
      <c r="F475" s="7" t="s">
        <v>52</v>
      </c>
      <c r="G475" s="7" t="s">
        <v>14</v>
      </c>
      <c r="H475" s="8">
        <v>32</v>
      </c>
      <c r="I475" s="9">
        <v>18000</v>
      </c>
      <c r="J475" s="9">
        <f t="shared" si="7"/>
        <v>576000</v>
      </c>
      <c r="K475" s="6" t="s">
        <v>15</v>
      </c>
    </row>
    <row r="476" spans="1:11" x14ac:dyDescent="0.25">
      <c r="A476" s="4" t="s">
        <v>192</v>
      </c>
      <c r="B476" s="5" t="s">
        <v>118</v>
      </c>
      <c r="C476" s="4" t="s">
        <v>67</v>
      </c>
      <c r="D476" s="5" t="s">
        <v>194</v>
      </c>
      <c r="E476" s="7" t="s">
        <v>21</v>
      </c>
      <c r="F476" s="7" t="s">
        <v>22</v>
      </c>
      <c r="G476" s="7" t="s">
        <v>14</v>
      </c>
      <c r="H476" s="8">
        <v>3</v>
      </c>
      <c r="I476" s="9">
        <v>55000</v>
      </c>
      <c r="J476" s="9">
        <f t="shared" si="7"/>
        <v>165000</v>
      </c>
      <c r="K476" s="6" t="s">
        <v>15</v>
      </c>
    </row>
    <row r="477" spans="1:11" x14ac:dyDescent="0.25">
      <c r="A477" s="4" t="s">
        <v>192</v>
      </c>
      <c r="B477" s="5" t="s">
        <v>118</v>
      </c>
      <c r="C477" s="4" t="s">
        <v>67</v>
      </c>
      <c r="D477" s="5" t="s">
        <v>194</v>
      </c>
      <c r="E477" s="7" t="s">
        <v>23</v>
      </c>
      <c r="F477" s="7" t="s">
        <v>24</v>
      </c>
      <c r="G477" s="7" t="s">
        <v>14</v>
      </c>
      <c r="H477" s="8">
        <v>0.4</v>
      </c>
      <c r="I477" s="9">
        <v>13000</v>
      </c>
      <c r="J477" s="9">
        <f t="shared" si="7"/>
        <v>5200</v>
      </c>
      <c r="K477" s="6" t="s">
        <v>15</v>
      </c>
    </row>
    <row r="478" spans="1:11" x14ac:dyDescent="0.25">
      <c r="A478" s="4" t="s">
        <v>192</v>
      </c>
      <c r="B478" s="5" t="s">
        <v>118</v>
      </c>
      <c r="C478" s="4" t="s">
        <v>67</v>
      </c>
      <c r="D478" s="5" t="s">
        <v>194</v>
      </c>
      <c r="E478" s="7" t="s">
        <v>25</v>
      </c>
      <c r="F478" s="7" t="s">
        <v>26</v>
      </c>
      <c r="G478" s="7" t="s">
        <v>14</v>
      </c>
      <c r="H478" s="8">
        <v>0.2</v>
      </c>
      <c r="I478" s="9">
        <v>65000</v>
      </c>
      <c r="J478" s="9">
        <f t="shared" si="7"/>
        <v>13000</v>
      </c>
      <c r="K478" s="6" t="s">
        <v>15</v>
      </c>
    </row>
    <row r="479" spans="1:11" x14ac:dyDescent="0.25">
      <c r="A479" s="4" t="s">
        <v>192</v>
      </c>
      <c r="B479" s="5" t="s">
        <v>118</v>
      </c>
      <c r="C479" s="4" t="s">
        <v>67</v>
      </c>
      <c r="D479" s="5" t="s">
        <v>194</v>
      </c>
      <c r="E479" s="7" t="s">
        <v>84</v>
      </c>
      <c r="F479" s="7" t="s">
        <v>83</v>
      </c>
      <c r="G479" s="7" t="s">
        <v>14</v>
      </c>
      <c r="H479" s="8">
        <v>0.5</v>
      </c>
      <c r="I479" s="9">
        <v>23000</v>
      </c>
      <c r="J479" s="9">
        <f t="shared" si="7"/>
        <v>11500</v>
      </c>
      <c r="K479" s="6" t="s">
        <v>15</v>
      </c>
    </row>
    <row r="480" spans="1:11" x14ac:dyDescent="0.25">
      <c r="A480" s="4" t="s">
        <v>192</v>
      </c>
      <c r="B480" s="5" t="s">
        <v>118</v>
      </c>
      <c r="C480" s="4" t="s">
        <v>67</v>
      </c>
      <c r="D480" s="5" t="s">
        <v>194</v>
      </c>
      <c r="E480" s="7" t="s">
        <v>107</v>
      </c>
      <c r="F480" s="7" t="s">
        <v>106</v>
      </c>
      <c r="G480" s="7" t="s">
        <v>14</v>
      </c>
      <c r="H480" s="8">
        <v>0.1</v>
      </c>
      <c r="I480" s="9">
        <v>42000</v>
      </c>
      <c r="J480" s="9">
        <f t="shared" si="7"/>
        <v>4200</v>
      </c>
      <c r="K480" s="6" t="s">
        <v>15</v>
      </c>
    </row>
    <row r="481" spans="1:11" x14ac:dyDescent="0.25">
      <c r="A481" s="4" t="s">
        <v>192</v>
      </c>
      <c r="B481" s="5" t="s">
        <v>118</v>
      </c>
      <c r="C481" s="4" t="s">
        <v>67</v>
      </c>
      <c r="D481" s="5" t="s">
        <v>194</v>
      </c>
      <c r="E481" s="7" t="s">
        <v>82</v>
      </c>
      <c r="F481" s="7" t="s">
        <v>81</v>
      </c>
      <c r="G481" s="7" t="s">
        <v>14</v>
      </c>
      <c r="H481" s="8">
        <v>0.6</v>
      </c>
      <c r="I481" s="9">
        <v>18000</v>
      </c>
      <c r="J481" s="9">
        <f t="shared" si="7"/>
        <v>10800</v>
      </c>
      <c r="K481" s="6" t="s">
        <v>15</v>
      </c>
    </row>
    <row r="482" spans="1:11" x14ac:dyDescent="0.25">
      <c r="A482" s="4" t="s">
        <v>192</v>
      </c>
      <c r="B482" s="5" t="s">
        <v>118</v>
      </c>
      <c r="C482" s="4" t="s">
        <v>67</v>
      </c>
      <c r="D482" s="5" t="s">
        <v>194</v>
      </c>
      <c r="E482" s="7" t="s">
        <v>37</v>
      </c>
      <c r="F482" s="7" t="s">
        <v>38</v>
      </c>
      <c r="G482" s="7" t="s">
        <v>14</v>
      </c>
      <c r="H482" s="8">
        <v>5</v>
      </c>
      <c r="I482" s="9">
        <v>27000</v>
      </c>
      <c r="J482" s="9">
        <f t="shared" si="7"/>
        <v>135000</v>
      </c>
      <c r="K482" s="6" t="s">
        <v>15</v>
      </c>
    </row>
    <row r="483" spans="1:11" ht="28.5" x14ac:dyDescent="0.25">
      <c r="A483" s="4" t="s">
        <v>192</v>
      </c>
      <c r="B483" s="5" t="s">
        <v>118</v>
      </c>
      <c r="C483" s="4" t="s">
        <v>67</v>
      </c>
      <c r="D483" s="5" t="s">
        <v>194</v>
      </c>
      <c r="E483" s="7" t="s">
        <v>39</v>
      </c>
      <c r="F483" s="7" t="s">
        <v>40</v>
      </c>
      <c r="G483" s="7" t="s">
        <v>14</v>
      </c>
      <c r="H483" s="8">
        <v>3</v>
      </c>
      <c r="I483" s="9">
        <v>145000</v>
      </c>
      <c r="J483" s="9">
        <f t="shared" si="7"/>
        <v>435000</v>
      </c>
      <c r="K483" s="6" t="s">
        <v>15</v>
      </c>
    </row>
    <row r="484" spans="1:11" x14ac:dyDescent="0.25">
      <c r="A484" s="4" t="s">
        <v>192</v>
      </c>
      <c r="B484" s="5" t="s">
        <v>118</v>
      </c>
      <c r="C484" s="4" t="s">
        <v>67</v>
      </c>
      <c r="D484" s="5" t="s">
        <v>194</v>
      </c>
      <c r="E484" s="7" t="s">
        <v>53</v>
      </c>
      <c r="F484" s="7" t="s">
        <v>54</v>
      </c>
      <c r="G484" s="7" t="s">
        <v>14</v>
      </c>
      <c r="H484" s="8">
        <v>3</v>
      </c>
      <c r="I484" s="9">
        <v>47000</v>
      </c>
      <c r="J484" s="9">
        <f t="shared" si="7"/>
        <v>141000</v>
      </c>
      <c r="K484" s="6" t="s">
        <v>15</v>
      </c>
    </row>
    <row r="485" spans="1:11" x14ac:dyDescent="0.25">
      <c r="A485" s="4" t="s">
        <v>192</v>
      </c>
      <c r="B485" s="5" t="s">
        <v>118</v>
      </c>
      <c r="C485" s="4" t="s">
        <v>67</v>
      </c>
      <c r="D485" s="5" t="s">
        <v>194</v>
      </c>
      <c r="E485" s="7" t="s">
        <v>80</v>
      </c>
      <c r="F485" s="7" t="s">
        <v>79</v>
      </c>
      <c r="G485" s="7" t="s">
        <v>14</v>
      </c>
      <c r="H485" s="8">
        <v>1.2</v>
      </c>
      <c r="I485" s="9">
        <v>90000</v>
      </c>
      <c r="J485" s="9">
        <f t="shared" si="7"/>
        <v>108000</v>
      </c>
      <c r="K485" s="6" t="s">
        <v>15</v>
      </c>
    </row>
    <row r="486" spans="1:11" x14ac:dyDescent="0.25">
      <c r="A486" s="4" t="s">
        <v>192</v>
      </c>
      <c r="B486" s="5" t="s">
        <v>118</v>
      </c>
      <c r="C486" s="4" t="s">
        <v>67</v>
      </c>
      <c r="D486" s="5" t="s">
        <v>194</v>
      </c>
      <c r="E486" s="7" t="s">
        <v>61</v>
      </c>
      <c r="F486" s="7" t="s">
        <v>62</v>
      </c>
      <c r="G486" s="7" t="s">
        <v>14</v>
      </c>
      <c r="H486" s="8">
        <v>1.2</v>
      </c>
      <c r="I486" s="9">
        <v>80000</v>
      </c>
      <c r="J486" s="9">
        <f t="shared" si="7"/>
        <v>96000</v>
      </c>
      <c r="K486" s="6" t="s">
        <v>15</v>
      </c>
    </row>
    <row r="487" spans="1:11" ht="28.5" x14ac:dyDescent="0.25">
      <c r="A487" s="4" t="s">
        <v>192</v>
      </c>
      <c r="B487" s="5" t="s">
        <v>118</v>
      </c>
      <c r="C487" s="4" t="s">
        <v>67</v>
      </c>
      <c r="D487" s="5" t="s">
        <v>194</v>
      </c>
      <c r="E487" s="7" t="s">
        <v>29</v>
      </c>
      <c r="F487" s="7" t="s">
        <v>30</v>
      </c>
      <c r="G487" s="7" t="s">
        <v>14</v>
      </c>
      <c r="H487" s="8">
        <v>6</v>
      </c>
      <c r="I487" s="9">
        <v>45000</v>
      </c>
      <c r="J487" s="9">
        <f t="shared" si="7"/>
        <v>270000</v>
      </c>
      <c r="K487" s="6" t="s">
        <v>15</v>
      </c>
    </row>
    <row r="488" spans="1:11" ht="28.5" x14ac:dyDescent="0.25">
      <c r="A488" s="4" t="s">
        <v>192</v>
      </c>
      <c r="B488" s="5" t="s">
        <v>118</v>
      </c>
      <c r="C488" s="4" t="s">
        <v>67</v>
      </c>
      <c r="D488" s="5" t="s">
        <v>194</v>
      </c>
      <c r="E488" s="7" t="s">
        <v>78</v>
      </c>
      <c r="F488" s="7" t="s">
        <v>77</v>
      </c>
      <c r="G488" s="7" t="s">
        <v>14</v>
      </c>
      <c r="H488" s="8">
        <v>1.2</v>
      </c>
      <c r="I488" s="9">
        <v>90000</v>
      </c>
      <c r="J488" s="9">
        <f t="shared" si="7"/>
        <v>108000</v>
      </c>
      <c r="K488" s="6" t="s">
        <v>15</v>
      </c>
    </row>
    <row r="489" spans="1:11" x14ac:dyDescent="0.25">
      <c r="A489" s="4" t="s">
        <v>192</v>
      </c>
      <c r="B489" s="5" t="s">
        <v>118</v>
      </c>
      <c r="C489" s="4" t="s">
        <v>67</v>
      </c>
      <c r="D489" s="5" t="s">
        <v>194</v>
      </c>
      <c r="E489" s="7" t="s">
        <v>105</v>
      </c>
      <c r="F489" s="7" t="s">
        <v>104</v>
      </c>
      <c r="G489" s="7" t="s">
        <v>14</v>
      </c>
      <c r="H489" s="8">
        <v>0.2</v>
      </c>
      <c r="I489" s="9">
        <v>195000</v>
      </c>
      <c r="J489" s="9">
        <f t="shared" si="7"/>
        <v>39000</v>
      </c>
      <c r="K489" s="6" t="s">
        <v>15</v>
      </c>
    </row>
    <row r="490" spans="1:11" x14ac:dyDescent="0.25">
      <c r="A490" s="4" t="s">
        <v>192</v>
      </c>
      <c r="B490" s="5" t="s">
        <v>118</v>
      </c>
      <c r="C490" s="4" t="s">
        <v>67</v>
      </c>
      <c r="D490" s="5" t="s">
        <v>194</v>
      </c>
      <c r="E490" s="7" t="s">
        <v>63</v>
      </c>
      <c r="F490" s="7" t="s">
        <v>64</v>
      </c>
      <c r="G490" s="7" t="s">
        <v>14</v>
      </c>
      <c r="H490" s="8">
        <v>3.5</v>
      </c>
      <c r="I490" s="9">
        <v>45000</v>
      </c>
      <c r="J490" s="9">
        <f t="shared" si="7"/>
        <v>157500</v>
      </c>
      <c r="K490" s="6" t="s">
        <v>15</v>
      </c>
    </row>
    <row r="491" spans="1:11" x14ac:dyDescent="0.25">
      <c r="A491" s="4" t="s">
        <v>192</v>
      </c>
      <c r="B491" s="5" t="s">
        <v>118</v>
      </c>
      <c r="C491" s="4" t="s">
        <v>67</v>
      </c>
      <c r="D491" s="5" t="s">
        <v>194</v>
      </c>
      <c r="E491" s="7" t="s">
        <v>55</v>
      </c>
      <c r="F491" s="7" t="s">
        <v>56</v>
      </c>
      <c r="G491" s="7" t="s">
        <v>14</v>
      </c>
      <c r="H491" s="8">
        <v>0.1</v>
      </c>
      <c r="I491" s="9">
        <v>70000</v>
      </c>
      <c r="J491" s="9">
        <f t="shared" si="7"/>
        <v>7000</v>
      </c>
      <c r="K491" s="6" t="s">
        <v>15</v>
      </c>
    </row>
    <row r="492" spans="1:11" x14ac:dyDescent="0.25">
      <c r="A492" s="4" t="s">
        <v>192</v>
      </c>
      <c r="B492" s="5" t="s">
        <v>118</v>
      </c>
      <c r="C492" s="4" t="s">
        <v>67</v>
      </c>
      <c r="D492" s="5" t="s">
        <v>194</v>
      </c>
      <c r="E492" s="7" t="s">
        <v>41</v>
      </c>
      <c r="F492" s="7" t="s">
        <v>42</v>
      </c>
      <c r="G492" s="7" t="s">
        <v>14</v>
      </c>
      <c r="H492" s="8">
        <v>1.5</v>
      </c>
      <c r="I492" s="9">
        <v>145000</v>
      </c>
      <c r="J492" s="9">
        <f t="shared" si="7"/>
        <v>217500</v>
      </c>
      <c r="K492" s="6" t="s">
        <v>15</v>
      </c>
    </row>
    <row r="493" spans="1:11" x14ac:dyDescent="0.25">
      <c r="A493" s="4" t="s">
        <v>192</v>
      </c>
      <c r="B493" s="5" t="s">
        <v>118</v>
      </c>
      <c r="C493" s="4" t="s">
        <v>67</v>
      </c>
      <c r="D493" s="5" t="s">
        <v>194</v>
      </c>
      <c r="E493" s="7" t="s">
        <v>57</v>
      </c>
      <c r="F493" s="7" t="s">
        <v>58</v>
      </c>
      <c r="G493" s="7" t="s">
        <v>14</v>
      </c>
      <c r="H493" s="8">
        <v>0.5</v>
      </c>
      <c r="I493" s="9">
        <v>148000</v>
      </c>
      <c r="J493" s="9">
        <f t="shared" si="7"/>
        <v>74000</v>
      </c>
      <c r="K493" s="6" t="s">
        <v>15</v>
      </c>
    </row>
    <row r="494" spans="1:11" x14ac:dyDescent="0.25">
      <c r="A494" s="4" t="s">
        <v>192</v>
      </c>
      <c r="B494" s="5" t="s">
        <v>118</v>
      </c>
      <c r="C494" s="4" t="s">
        <v>67</v>
      </c>
      <c r="D494" s="5" t="s">
        <v>194</v>
      </c>
      <c r="E494" s="7" t="s">
        <v>76</v>
      </c>
      <c r="F494" s="7" t="s">
        <v>75</v>
      </c>
      <c r="G494" s="7" t="s">
        <v>14</v>
      </c>
      <c r="H494" s="8">
        <v>0.5</v>
      </c>
      <c r="I494" s="9">
        <v>42000</v>
      </c>
      <c r="J494" s="9">
        <f t="shared" si="7"/>
        <v>21000</v>
      </c>
      <c r="K494" s="6" t="s">
        <v>15</v>
      </c>
    </row>
    <row r="495" spans="1:11" x14ac:dyDescent="0.25">
      <c r="A495" s="4" t="s">
        <v>192</v>
      </c>
      <c r="B495" s="5" t="s">
        <v>118</v>
      </c>
      <c r="C495" s="4" t="s">
        <v>67</v>
      </c>
      <c r="D495" s="5" t="s">
        <v>194</v>
      </c>
      <c r="E495" s="7" t="s">
        <v>43</v>
      </c>
      <c r="F495" s="7" t="s">
        <v>44</v>
      </c>
      <c r="G495" s="7" t="s">
        <v>14</v>
      </c>
      <c r="H495" s="8">
        <v>0.1</v>
      </c>
      <c r="I495" s="9">
        <v>22000</v>
      </c>
      <c r="J495" s="9">
        <f t="shared" si="7"/>
        <v>2200</v>
      </c>
      <c r="K495" s="6" t="s">
        <v>15</v>
      </c>
    </row>
    <row r="496" spans="1:11" x14ac:dyDescent="0.25">
      <c r="A496" s="4" t="s">
        <v>192</v>
      </c>
      <c r="B496" s="5" t="s">
        <v>118</v>
      </c>
      <c r="C496" s="4" t="s">
        <v>67</v>
      </c>
      <c r="D496" s="5" t="s">
        <v>194</v>
      </c>
      <c r="E496" s="7" t="s">
        <v>157</v>
      </c>
      <c r="F496" s="7" t="s">
        <v>158</v>
      </c>
      <c r="G496" s="7" t="s">
        <v>14</v>
      </c>
      <c r="H496" s="8">
        <v>0.3</v>
      </c>
      <c r="I496" s="9">
        <v>36000</v>
      </c>
      <c r="J496" s="9">
        <f t="shared" si="7"/>
        <v>10800</v>
      </c>
      <c r="K496" s="6" t="s">
        <v>15</v>
      </c>
    </row>
    <row r="497" spans="1:11" x14ac:dyDescent="0.25">
      <c r="A497" s="4" t="s">
        <v>192</v>
      </c>
      <c r="B497" s="5" t="s">
        <v>118</v>
      </c>
      <c r="C497" s="4" t="s">
        <v>67</v>
      </c>
      <c r="D497" s="5" t="s">
        <v>194</v>
      </c>
      <c r="E497" s="7" t="s">
        <v>45</v>
      </c>
      <c r="F497" s="7" t="s">
        <v>46</v>
      </c>
      <c r="G497" s="7" t="s">
        <v>14</v>
      </c>
      <c r="H497" s="8">
        <v>1</v>
      </c>
      <c r="I497" s="9">
        <v>12000</v>
      </c>
      <c r="J497" s="9">
        <f t="shared" si="7"/>
        <v>12000</v>
      </c>
      <c r="K497" s="6" t="s">
        <v>15</v>
      </c>
    </row>
    <row r="498" spans="1:11" x14ac:dyDescent="0.25">
      <c r="A498" s="4" t="s">
        <v>192</v>
      </c>
      <c r="B498" s="5" t="s">
        <v>118</v>
      </c>
      <c r="C498" s="4" t="s">
        <v>67</v>
      </c>
      <c r="D498" s="5" t="s">
        <v>194</v>
      </c>
      <c r="E498" s="7" t="s">
        <v>47</v>
      </c>
      <c r="F498" s="7" t="s">
        <v>48</v>
      </c>
      <c r="G498" s="7" t="s">
        <v>14</v>
      </c>
      <c r="H498" s="8">
        <v>1.5</v>
      </c>
      <c r="I498" s="9">
        <v>21000</v>
      </c>
      <c r="J498" s="9">
        <f t="shared" si="7"/>
        <v>31500</v>
      </c>
      <c r="K498" s="6" t="s">
        <v>15</v>
      </c>
    </row>
    <row r="499" spans="1:11" x14ac:dyDescent="0.25">
      <c r="A499" s="4" t="s">
        <v>192</v>
      </c>
      <c r="B499" s="5" t="s">
        <v>118</v>
      </c>
      <c r="C499" s="4" t="s">
        <v>67</v>
      </c>
      <c r="D499" s="5" t="s">
        <v>194</v>
      </c>
      <c r="E499" s="7" t="s">
        <v>27</v>
      </c>
      <c r="F499" s="7" t="s">
        <v>28</v>
      </c>
      <c r="G499" s="7" t="s">
        <v>14</v>
      </c>
      <c r="H499" s="8">
        <v>1.5</v>
      </c>
      <c r="I499" s="9">
        <v>50000</v>
      </c>
      <c r="J499" s="9">
        <f t="shared" si="7"/>
        <v>75000</v>
      </c>
      <c r="K499" s="6" t="s">
        <v>15</v>
      </c>
    </row>
    <row r="500" spans="1:11" x14ac:dyDescent="0.25">
      <c r="A500" s="4" t="s">
        <v>192</v>
      </c>
      <c r="B500" s="5" t="s">
        <v>118</v>
      </c>
      <c r="C500" s="4" t="s">
        <v>67</v>
      </c>
      <c r="D500" s="5" t="s">
        <v>194</v>
      </c>
      <c r="E500" s="7" t="s">
        <v>165</v>
      </c>
      <c r="F500" s="7" t="s">
        <v>166</v>
      </c>
      <c r="G500" s="7" t="s">
        <v>70</v>
      </c>
      <c r="H500" s="8">
        <v>15</v>
      </c>
      <c r="I500" s="9">
        <v>9000</v>
      </c>
      <c r="J500" s="9">
        <f t="shared" si="7"/>
        <v>135000</v>
      </c>
      <c r="K500" s="6" t="s">
        <v>15</v>
      </c>
    </row>
    <row r="501" spans="1:11" x14ac:dyDescent="0.25">
      <c r="A501" s="4" t="s">
        <v>192</v>
      </c>
      <c r="B501" s="5" t="s">
        <v>118</v>
      </c>
      <c r="C501" s="4" t="s">
        <v>67</v>
      </c>
      <c r="D501" s="5" t="s">
        <v>194</v>
      </c>
      <c r="E501" s="7" t="s">
        <v>72</v>
      </c>
      <c r="F501" s="7" t="s">
        <v>71</v>
      </c>
      <c r="G501" s="7" t="s">
        <v>70</v>
      </c>
      <c r="H501" s="8">
        <v>40</v>
      </c>
      <c r="I501" s="9">
        <v>5000</v>
      </c>
      <c r="J501" s="9">
        <f t="shared" si="7"/>
        <v>200000</v>
      </c>
      <c r="K501" s="6" t="s">
        <v>15</v>
      </c>
    </row>
    <row r="502" spans="1:11" x14ac:dyDescent="0.25">
      <c r="A502" s="4" t="s">
        <v>192</v>
      </c>
      <c r="B502" s="5" t="s">
        <v>118</v>
      </c>
      <c r="C502" s="4" t="s">
        <v>67</v>
      </c>
      <c r="D502" s="5" t="s">
        <v>194</v>
      </c>
      <c r="E502" s="7" t="s">
        <v>69</v>
      </c>
      <c r="F502" s="7" t="s">
        <v>68</v>
      </c>
      <c r="G502" s="7" t="s">
        <v>14</v>
      </c>
      <c r="H502" s="8">
        <v>0.2</v>
      </c>
      <c r="I502" s="9">
        <v>220000</v>
      </c>
      <c r="J502" s="9">
        <f t="shared" si="7"/>
        <v>44000</v>
      </c>
      <c r="K502" s="6" t="s">
        <v>15</v>
      </c>
    </row>
    <row r="503" spans="1:11" x14ac:dyDescent="0.25">
      <c r="A503" s="4" t="s">
        <v>192</v>
      </c>
      <c r="B503" s="5" t="s">
        <v>118</v>
      </c>
      <c r="C503" s="4" t="s">
        <v>67</v>
      </c>
      <c r="D503" s="5" t="s">
        <v>194</v>
      </c>
      <c r="E503" s="7" t="s">
        <v>66</v>
      </c>
      <c r="F503" s="7" t="s">
        <v>65</v>
      </c>
      <c r="G503" s="7" t="s">
        <v>14</v>
      </c>
      <c r="H503" s="8">
        <v>5</v>
      </c>
      <c r="I503" s="9">
        <v>62000</v>
      </c>
      <c r="J503" s="9">
        <f t="shared" si="7"/>
        <v>310000</v>
      </c>
      <c r="K503" s="6" t="s">
        <v>15</v>
      </c>
    </row>
    <row r="504" spans="1:11" x14ac:dyDescent="0.25">
      <c r="A504" s="4" t="s">
        <v>195</v>
      </c>
      <c r="B504" s="5" t="s">
        <v>118</v>
      </c>
      <c r="C504" s="4" t="s">
        <v>67</v>
      </c>
      <c r="D504" s="5" t="s">
        <v>196</v>
      </c>
      <c r="E504" s="7" t="s">
        <v>103</v>
      </c>
      <c r="F504" s="7" t="s">
        <v>102</v>
      </c>
      <c r="G504" s="7" t="s">
        <v>14</v>
      </c>
      <c r="H504" s="8">
        <v>3</v>
      </c>
      <c r="I504" s="9">
        <v>15000</v>
      </c>
      <c r="J504" s="9">
        <f t="shared" si="7"/>
        <v>45000</v>
      </c>
      <c r="K504" s="6" t="s">
        <v>15</v>
      </c>
    </row>
    <row r="505" spans="1:11" x14ac:dyDescent="0.25">
      <c r="A505" s="4" t="s">
        <v>195</v>
      </c>
      <c r="B505" s="5" t="s">
        <v>118</v>
      </c>
      <c r="C505" s="4" t="s">
        <v>67</v>
      </c>
      <c r="D505" s="5" t="s">
        <v>196</v>
      </c>
      <c r="E505" s="7" t="s">
        <v>12</v>
      </c>
      <c r="F505" s="7" t="s">
        <v>13</v>
      </c>
      <c r="G505" s="7" t="s">
        <v>14</v>
      </c>
      <c r="H505" s="8">
        <v>5.7</v>
      </c>
      <c r="I505" s="9">
        <v>19000</v>
      </c>
      <c r="J505" s="9">
        <f t="shared" si="7"/>
        <v>108300</v>
      </c>
      <c r="K505" s="6" t="s">
        <v>15</v>
      </c>
    </row>
    <row r="506" spans="1:11" ht="28.5" x14ac:dyDescent="0.25">
      <c r="A506" s="4" t="s">
        <v>195</v>
      </c>
      <c r="B506" s="5" t="s">
        <v>118</v>
      </c>
      <c r="C506" s="4" t="s">
        <v>67</v>
      </c>
      <c r="D506" s="5" t="s">
        <v>196</v>
      </c>
      <c r="E506" s="7" t="s">
        <v>16</v>
      </c>
      <c r="F506" s="7" t="s">
        <v>17</v>
      </c>
      <c r="G506" s="7" t="s">
        <v>18</v>
      </c>
      <c r="H506" s="8">
        <v>12</v>
      </c>
      <c r="I506" s="9">
        <v>8500</v>
      </c>
      <c r="J506" s="9">
        <f t="shared" si="7"/>
        <v>102000</v>
      </c>
      <c r="K506" s="6" t="s">
        <v>15</v>
      </c>
    </row>
    <row r="507" spans="1:11" x14ac:dyDescent="0.25">
      <c r="A507" s="4" t="s">
        <v>195</v>
      </c>
      <c r="B507" s="5" t="s">
        <v>118</v>
      </c>
      <c r="C507" s="4" t="s">
        <v>67</v>
      </c>
      <c r="D507" s="5" t="s">
        <v>196</v>
      </c>
      <c r="E507" s="7" t="s">
        <v>59</v>
      </c>
      <c r="F507" s="7" t="s">
        <v>60</v>
      </c>
      <c r="G507" s="7" t="s">
        <v>14</v>
      </c>
      <c r="H507" s="8">
        <v>5.8</v>
      </c>
      <c r="I507" s="9">
        <v>30000</v>
      </c>
      <c r="J507" s="9">
        <f t="shared" si="7"/>
        <v>174000</v>
      </c>
      <c r="K507" s="6" t="s">
        <v>15</v>
      </c>
    </row>
    <row r="508" spans="1:11" x14ac:dyDescent="0.25">
      <c r="A508" s="4" t="s">
        <v>195</v>
      </c>
      <c r="B508" s="5" t="s">
        <v>118</v>
      </c>
      <c r="C508" s="4" t="s">
        <v>67</v>
      </c>
      <c r="D508" s="5" t="s">
        <v>196</v>
      </c>
      <c r="E508" s="7" t="s">
        <v>101</v>
      </c>
      <c r="F508" s="7" t="s">
        <v>100</v>
      </c>
      <c r="G508" s="7" t="s">
        <v>14</v>
      </c>
      <c r="H508" s="8">
        <v>7</v>
      </c>
      <c r="I508" s="9">
        <v>40000</v>
      </c>
      <c r="J508" s="9">
        <f t="shared" si="7"/>
        <v>280000</v>
      </c>
      <c r="K508" s="6" t="s">
        <v>15</v>
      </c>
    </row>
    <row r="509" spans="1:11" x14ac:dyDescent="0.25">
      <c r="A509" s="4" t="s">
        <v>195</v>
      </c>
      <c r="B509" s="5" t="s">
        <v>118</v>
      </c>
      <c r="C509" s="4" t="s">
        <v>67</v>
      </c>
      <c r="D509" s="5" t="s">
        <v>196</v>
      </c>
      <c r="E509" s="7" t="s">
        <v>119</v>
      </c>
      <c r="F509" s="7" t="s">
        <v>120</v>
      </c>
      <c r="G509" s="7" t="s">
        <v>14</v>
      </c>
      <c r="H509" s="8">
        <v>4.2</v>
      </c>
      <c r="I509" s="9">
        <v>52000</v>
      </c>
      <c r="J509" s="9">
        <f t="shared" si="7"/>
        <v>218400</v>
      </c>
      <c r="K509" s="6" t="s">
        <v>15</v>
      </c>
    </row>
    <row r="510" spans="1:11" x14ac:dyDescent="0.25">
      <c r="A510" s="4" t="s">
        <v>195</v>
      </c>
      <c r="B510" s="5" t="s">
        <v>118</v>
      </c>
      <c r="C510" s="4" t="s">
        <v>67</v>
      </c>
      <c r="D510" s="5" t="s">
        <v>196</v>
      </c>
      <c r="E510" s="7" t="s">
        <v>109</v>
      </c>
      <c r="F510" s="7" t="s">
        <v>108</v>
      </c>
      <c r="G510" s="7" t="s">
        <v>14</v>
      </c>
      <c r="H510" s="8">
        <v>0.5</v>
      </c>
      <c r="I510" s="9">
        <v>75000</v>
      </c>
      <c r="J510" s="9">
        <f t="shared" si="7"/>
        <v>37500</v>
      </c>
      <c r="K510" s="6" t="s">
        <v>15</v>
      </c>
    </row>
    <row r="511" spans="1:11" ht="42.75" x14ac:dyDescent="0.25">
      <c r="A511" s="4" t="s">
        <v>195</v>
      </c>
      <c r="B511" s="5" t="s">
        <v>118</v>
      </c>
      <c r="C511" s="4" t="s">
        <v>67</v>
      </c>
      <c r="D511" s="5" t="s">
        <v>196</v>
      </c>
      <c r="E511" s="7" t="s">
        <v>99</v>
      </c>
      <c r="F511" s="7" t="s">
        <v>98</v>
      </c>
      <c r="G511" s="7" t="s">
        <v>14</v>
      </c>
      <c r="H511" s="8">
        <v>3</v>
      </c>
      <c r="I511" s="9">
        <v>30000</v>
      </c>
      <c r="J511" s="9">
        <f t="shared" si="7"/>
        <v>90000</v>
      </c>
      <c r="K511" s="6" t="s">
        <v>15</v>
      </c>
    </row>
    <row r="512" spans="1:11" x14ac:dyDescent="0.25">
      <c r="A512" s="4" t="s">
        <v>195</v>
      </c>
      <c r="B512" s="5" t="s">
        <v>118</v>
      </c>
      <c r="C512" s="4" t="s">
        <v>67</v>
      </c>
      <c r="D512" s="5" t="s">
        <v>196</v>
      </c>
      <c r="E512" s="7" t="s">
        <v>95</v>
      </c>
      <c r="F512" s="7" t="s">
        <v>94</v>
      </c>
      <c r="G512" s="7" t="s">
        <v>14</v>
      </c>
      <c r="H512" s="8">
        <v>2.2000000000000002</v>
      </c>
      <c r="I512" s="9">
        <v>44000</v>
      </c>
      <c r="J512" s="9">
        <f t="shared" si="7"/>
        <v>96800.000000000015</v>
      </c>
      <c r="K512" s="6" t="s">
        <v>15</v>
      </c>
    </row>
    <row r="513" spans="1:11" x14ac:dyDescent="0.25">
      <c r="A513" s="4" t="s">
        <v>195</v>
      </c>
      <c r="B513" s="5" t="s">
        <v>118</v>
      </c>
      <c r="C513" s="4" t="s">
        <v>67</v>
      </c>
      <c r="D513" s="5" t="s">
        <v>196</v>
      </c>
      <c r="E513" s="7" t="s">
        <v>35</v>
      </c>
      <c r="F513" s="7" t="s">
        <v>36</v>
      </c>
      <c r="G513" s="7" t="s">
        <v>14</v>
      </c>
      <c r="H513" s="8">
        <v>1.9</v>
      </c>
      <c r="I513" s="9">
        <v>38000</v>
      </c>
      <c r="J513" s="9">
        <f t="shared" si="7"/>
        <v>72200</v>
      </c>
      <c r="K513" s="6" t="s">
        <v>15</v>
      </c>
    </row>
    <row r="514" spans="1:11" x14ac:dyDescent="0.25">
      <c r="A514" s="4" t="s">
        <v>195</v>
      </c>
      <c r="B514" s="5" t="s">
        <v>118</v>
      </c>
      <c r="C514" s="4" t="s">
        <v>67</v>
      </c>
      <c r="D514" s="5" t="s">
        <v>196</v>
      </c>
      <c r="E514" s="7" t="s">
        <v>91</v>
      </c>
      <c r="F514" s="7" t="s">
        <v>90</v>
      </c>
      <c r="G514" s="7" t="s">
        <v>14</v>
      </c>
      <c r="H514" s="8">
        <v>1.29</v>
      </c>
      <c r="I514" s="9">
        <v>47000</v>
      </c>
      <c r="J514" s="9">
        <f t="shared" si="7"/>
        <v>60630</v>
      </c>
      <c r="K514" s="6" t="s">
        <v>15</v>
      </c>
    </row>
    <row r="515" spans="1:11" x14ac:dyDescent="0.25">
      <c r="A515" s="4" t="s">
        <v>195</v>
      </c>
      <c r="B515" s="5" t="s">
        <v>118</v>
      </c>
      <c r="C515" s="4" t="s">
        <v>67</v>
      </c>
      <c r="D515" s="5" t="s">
        <v>196</v>
      </c>
      <c r="E515" s="7" t="s">
        <v>19</v>
      </c>
      <c r="F515" s="7" t="s">
        <v>20</v>
      </c>
      <c r="G515" s="7" t="s">
        <v>14</v>
      </c>
      <c r="H515" s="8">
        <v>2.8</v>
      </c>
      <c r="I515" s="9">
        <v>32000</v>
      </c>
      <c r="J515" s="9">
        <f t="shared" si="7"/>
        <v>89600</v>
      </c>
      <c r="K515" s="6" t="s">
        <v>15</v>
      </c>
    </row>
    <row r="516" spans="1:11" ht="28.5" x14ac:dyDescent="0.25">
      <c r="A516" s="4" t="s">
        <v>195</v>
      </c>
      <c r="B516" s="5" t="s">
        <v>118</v>
      </c>
      <c r="C516" s="4" t="s">
        <v>67</v>
      </c>
      <c r="D516" s="5" t="s">
        <v>196</v>
      </c>
      <c r="E516" s="7" t="s">
        <v>89</v>
      </c>
      <c r="F516" s="7" t="s">
        <v>88</v>
      </c>
      <c r="G516" s="7" t="s">
        <v>87</v>
      </c>
      <c r="H516" s="8">
        <v>6</v>
      </c>
      <c r="I516" s="9">
        <v>15000</v>
      </c>
      <c r="J516" s="9">
        <f t="shared" si="7"/>
        <v>90000</v>
      </c>
      <c r="K516" s="6" t="s">
        <v>15</v>
      </c>
    </row>
    <row r="517" spans="1:11" x14ac:dyDescent="0.25">
      <c r="A517" s="4" t="s">
        <v>195</v>
      </c>
      <c r="B517" s="5" t="s">
        <v>118</v>
      </c>
      <c r="C517" s="4" t="s">
        <v>67</v>
      </c>
      <c r="D517" s="5" t="s">
        <v>196</v>
      </c>
      <c r="E517" s="7" t="s">
        <v>21</v>
      </c>
      <c r="F517" s="7" t="s">
        <v>22</v>
      </c>
      <c r="G517" s="7" t="s">
        <v>14</v>
      </c>
      <c r="H517" s="8">
        <v>1.5</v>
      </c>
      <c r="I517" s="9">
        <v>55000</v>
      </c>
      <c r="J517" s="9">
        <f t="shared" si="7"/>
        <v>82500</v>
      </c>
      <c r="K517" s="6" t="s">
        <v>15</v>
      </c>
    </row>
    <row r="518" spans="1:11" x14ac:dyDescent="0.25">
      <c r="A518" s="4" t="s">
        <v>195</v>
      </c>
      <c r="B518" s="5" t="s">
        <v>118</v>
      </c>
      <c r="C518" s="4" t="s">
        <v>67</v>
      </c>
      <c r="D518" s="5" t="s">
        <v>196</v>
      </c>
      <c r="E518" s="7" t="s">
        <v>23</v>
      </c>
      <c r="F518" s="7" t="s">
        <v>24</v>
      </c>
      <c r="G518" s="7" t="s">
        <v>14</v>
      </c>
      <c r="H518" s="8">
        <v>0.55000000000000004</v>
      </c>
      <c r="I518" s="9">
        <v>13000</v>
      </c>
      <c r="J518" s="9">
        <f t="shared" si="7"/>
        <v>7150.0000000000009</v>
      </c>
      <c r="K518" s="6" t="s">
        <v>15</v>
      </c>
    </row>
    <row r="519" spans="1:11" x14ac:dyDescent="0.25">
      <c r="A519" s="4" t="s">
        <v>195</v>
      </c>
      <c r="B519" s="5" t="s">
        <v>118</v>
      </c>
      <c r="C519" s="4" t="s">
        <v>67</v>
      </c>
      <c r="D519" s="5" t="s">
        <v>196</v>
      </c>
      <c r="E519" s="7" t="s">
        <v>82</v>
      </c>
      <c r="F519" s="7" t="s">
        <v>81</v>
      </c>
      <c r="G519" s="7" t="s">
        <v>14</v>
      </c>
      <c r="H519" s="8">
        <v>1.1000000000000001</v>
      </c>
      <c r="I519" s="9">
        <v>18000</v>
      </c>
      <c r="J519" s="9">
        <f t="shared" si="7"/>
        <v>19800</v>
      </c>
      <c r="K519" s="6" t="s">
        <v>15</v>
      </c>
    </row>
    <row r="520" spans="1:11" x14ac:dyDescent="0.25">
      <c r="A520" s="4" t="s">
        <v>195</v>
      </c>
      <c r="B520" s="5" t="s">
        <v>118</v>
      </c>
      <c r="C520" s="4" t="s">
        <v>67</v>
      </c>
      <c r="D520" s="5" t="s">
        <v>196</v>
      </c>
      <c r="E520" s="7" t="s">
        <v>37</v>
      </c>
      <c r="F520" s="7" t="s">
        <v>38</v>
      </c>
      <c r="G520" s="7" t="s">
        <v>14</v>
      </c>
      <c r="H520" s="8">
        <v>2.8</v>
      </c>
      <c r="I520" s="9">
        <v>27000</v>
      </c>
      <c r="J520" s="9">
        <f t="shared" si="7"/>
        <v>75600</v>
      </c>
      <c r="K520" s="6" t="s">
        <v>15</v>
      </c>
    </row>
    <row r="521" spans="1:11" ht="28.5" x14ac:dyDescent="0.25">
      <c r="A521" s="4" t="s">
        <v>195</v>
      </c>
      <c r="B521" s="5" t="s">
        <v>118</v>
      </c>
      <c r="C521" s="4" t="s">
        <v>67</v>
      </c>
      <c r="D521" s="5" t="s">
        <v>196</v>
      </c>
      <c r="E521" s="7" t="s">
        <v>39</v>
      </c>
      <c r="F521" s="7" t="s">
        <v>40</v>
      </c>
      <c r="G521" s="7" t="s">
        <v>14</v>
      </c>
      <c r="H521" s="8">
        <v>2</v>
      </c>
      <c r="I521" s="9">
        <v>145000</v>
      </c>
      <c r="J521" s="9">
        <f t="shared" si="7"/>
        <v>290000</v>
      </c>
      <c r="K521" s="6" t="s">
        <v>15</v>
      </c>
    </row>
    <row r="522" spans="1:11" x14ac:dyDescent="0.25">
      <c r="A522" s="4" t="s">
        <v>195</v>
      </c>
      <c r="B522" s="5" t="s">
        <v>118</v>
      </c>
      <c r="C522" s="4" t="s">
        <v>67</v>
      </c>
      <c r="D522" s="5" t="s">
        <v>196</v>
      </c>
      <c r="E522" s="7" t="s">
        <v>80</v>
      </c>
      <c r="F522" s="7" t="s">
        <v>79</v>
      </c>
      <c r="G522" s="7" t="s">
        <v>14</v>
      </c>
      <c r="H522" s="8">
        <v>1.6</v>
      </c>
      <c r="I522" s="9">
        <v>90000</v>
      </c>
      <c r="J522" s="9">
        <f t="shared" si="7"/>
        <v>144000</v>
      </c>
      <c r="K522" s="6" t="s">
        <v>15</v>
      </c>
    </row>
    <row r="523" spans="1:11" x14ac:dyDescent="0.25">
      <c r="A523" s="4" t="s">
        <v>195</v>
      </c>
      <c r="B523" s="5" t="s">
        <v>118</v>
      </c>
      <c r="C523" s="4" t="s">
        <v>67</v>
      </c>
      <c r="D523" s="5" t="s">
        <v>196</v>
      </c>
      <c r="E523" s="7" t="s">
        <v>61</v>
      </c>
      <c r="F523" s="7" t="s">
        <v>62</v>
      </c>
      <c r="G523" s="7" t="s">
        <v>14</v>
      </c>
      <c r="H523" s="8">
        <v>0.6</v>
      </c>
      <c r="I523" s="9">
        <v>80000</v>
      </c>
      <c r="J523" s="9">
        <f t="shared" si="7"/>
        <v>48000</v>
      </c>
      <c r="K523" s="6" t="s">
        <v>15</v>
      </c>
    </row>
    <row r="524" spans="1:11" ht="28.5" x14ac:dyDescent="0.25">
      <c r="A524" s="4" t="s">
        <v>195</v>
      </c>
      <c r="B524" s="5" t="s">
        <v>118</v>
      </c>
      <c r="C524" s="4" t="s">
        <v>67</v>
      </c>
      <c r="D524" s="5" t="s">
        <v>196</v>
      </c>
      <c r="E524" s="7" t="s">
        <v>29</v>
      </c>
      <c r="F524" s="7" t="s">
        <v>30</v>
      </c>
      <c r="G524" s="7" t="s">
        <v>14</v>
      </c>
      <c r="H524" s="8">
        <v>4.2</v>
      </c>
      <c r="I524" s="9">
        <v>45000</v>
      </c>
      <c r="J524" s="9">
        <f t="shared" si="7"/>
        <v>189000</v>
      </c>
      <c r="K524" s="6" t="s">
        <v>15</v>
      </c>
    </row>
    <row r="525" spans="1:11" ht="28.5" x14ac:dyDescent="0.25">
      <c r="A525" s="4" t="s">
        <v>195</v>
      </c>
      <c r="B525" s="5" t="s">
        <v>118</v>
      </c>
      <c r="C525" s="4" t="s">
        <v>67</v>
      </c>
      <c r="D525" s="5" t="s">
        <v>196</v>
      </c>
      <c r="E525" s="7" t="s">
        <v>78</v>
      </c>
      <c r="F525" s="7" t="s">
        <v>77</v>
      </c>
      <c r="G525" s="7" t="s">
        <v>14</v>
      </c>
      <c r="H525" s="8">
        <v>0.8</v>
      </c>
      <c r="I525" s="9">
        <v>90000</v>
      </c>
      <c r="J525" s="9">
        <f t="shared" si="7"/>
        <v>72000</v>
      </c>
      <c r="K525" s="6" t="s">
        <v>15</v>
      </c>
    </row>
    <row r="526" spans="1:11" x14ac:dyDescent="0.25">
      <c r="A526" s="4" t="s">
        <v>195</v>
      </c>
      <c r="B526" s="5" t="s">
        <v>118</v>
      </c>
      <c r="C526" s="4" t="s">
        <v>67</v>
      </c>
      <c r="D526" s="5" t="s">
        <v>196</v>
      </c>
      <c r="E526" s="7" t="s">
        <v>105</v>
      </c>
      <c r="F526" s="7" t="s">
        <v>104</v>
      </c>
      <c r="G526" s="7" t="s">
        <v>14</v>
      </c>
      <c r="H526" s="8">
        <v>0.3</v>
      </c>
      <c r="I526" s="9">
        <v>195000</v>
      </c>
      <c r="J526" s="9">
        <f t="shared" si="7"/>
        <v>58500</v>
      </c>
      <c r="K526" s="6" t="s">
        <v>15</v>
      </c>
    </row>
    <row r="527" spans="1:11" x14ac:dyDescent="0.25">
      <c r="A527" s="4" t="s">
        <v>195</v>
      </c>
      <c r="B527" s="5" t="s">
        <v>118</v>
      </c>
      <c r="C527" s="4" t="s">
        <v>67</v>
      </c>
      <c r="D527" s="5" t="s">
        <v>196</v>
      </c>
      <c r="E527" s="7" t="s">
        <v>41</v>
      </c>
      <c r="F527" s="7" t="s">
        <v>42</v>
      </c>
      <c r="G527" s="7" t="s">
        <v>14</v>
      </c>
      <c r="H527" s="8">
        <v>0.9</v>
      </c>
      <c r="I527" s="9">
        <v>145000</v>
      </c>
      <c r="J527" s="9">
        <f t="shared" si="7"/>
        <v>130500</v>
      </c>
      <c r="K527" s="6" t="s">
        <v>15</v>
      </c>
    </row>
    <row r="528" spans="1:11" x14ac:dyDescent="0.25">
      <c r="A528" s="4" t="s">
        <v>195</v>
      </c>
      <c r="B528" s="5" t="s">
        <v>118</v>
      </c>
      <c r="C528" s="4" t="s">
        <v>67</v>
      </c>
      <c r="D528" s="5" t="s">
        <v>196</v>
      </c>
      <c r="E528" s="7" t="s">
        <v>57</v>
      </c>
      <c r="F528" s="7" t="s">
        <v>58</v>
      </c>
      <c r="G528" s="7" t="s">
        <v>14</v>
      </c>
      <c r="H528" s="8">
        <v>0.7</v>
      </c>
      <c r="I528" s="9">
        <v>148000</v>
      </c>
      <c r="J528" s="9">
        <f t="shared" ref="J528:J591" si="8">H528*I528</f>
        <v>103600</v>
      </c>
      <c r="K528" s="6" t="s">
        <v>15</v>
      </c>
    </row>
    <row r="529" spans="1:11" x14ac:dyDescent="0.25">
      <c r="A529" s="4" t="s">
        <v>195</v>
      </c>
      <c r="B529" s="5" t="s">
        <v>118</v>
      </c>
      <c r="C529" s="4" t="s">
        <v>67</v>
      </c>
      <c r="D529" s="5" t="s">
        <v>196</v>
      </c>
      <c r="E529" s="7" t="s">
        <v>76</v>
      </c>
      <c r="F529" s="7" t="s">
        <v>75</v>
      </c>
      <c r="G529" s="7" t="s">
        <v>14</v>
      </c>
      <c r="H529" s="8">
        <v>0.5</v>
      </c>
      <c r="I529" s="9">
        <v>42000</v>
      </c>
      <c r="J529" s="9">
        <f t="shared" si="8"/>
        <v>21000</v>
      </c>
      <c r="K529" s="6" t="s">
        <v>15</v>
      </c>
    </row>
    <row r="530" spans="1:11" x14ac:dyDescent="0.25">
      <c r="A530" s="4" t="s">
        <v>195</v>
      </c>
      <c r="B530" s="5" t="s">
        <v>118</v>
      </c>
      <c r="C530" s="4" t="s">
        <v>67</v>
      </c>
      <c r="D530" s="5" t="s">
        <v>196</v>
      </c>
      <c r="E530" s="7" t="s">
        <v>47</v>
      </c>
      <c r="F530" s="7" t="s">
        <v>48</v>
      </c>
      <c r="G530" s="7" t="s">
        <v>14</v>
      </c>
      <c r="H530" s="8">
        <v>1.5</v>
      </c>
      <c r="I530" s="9">
        <v>21000</v>
      </c>
      <c r="J530" s="9">
        <f t="shared" si="8"/>
        <v>31500</v>
      </c>
      <c r="K530" s="6" t="s">
        <v>15</v>
      </c>
    </row>
    <row r="531" spans="1:11" x14ac:dyDescent="0.25">
      <c r="A531" s="4" t="s">
        <v>195</v>
      </c>
      <c r="B531" s="5" t="s">
        <v>118</v>
      </c>
      <c r="C531" s="4" t="s">
        <v>67</v>
      </c>
      <c r="D531" s="5" t="s">
        <v>196</v>
      </c>
      <c r="E531" s="7" t="s">
        <v>74</v>
      </c>
      <c r="F531" s="7" t="s">
        <v>73</v>
      </c>
      <c r="G531" s="7" t="s">
        <v>14</v>
      </c>
      <c r="H531" s="8">
        <v>0.1</v>
      </c>
      <c r="I531" s="9">
        <v>42000</v>
      </c>
      <c r="J531" s="9">
        <f t="shared" si="8"/>
        <v>4200</v>
      </c>
      <c r="K531" s="6" t="s">
        <v>15</v>
      </c>
    </row>
    <row r="532" spans="1:11" x14ac:dyDescent="0.25">
      <c r="A532" s="4" t="s">
        <v>195</v>
      </c>
      <c r="B532" s="5" t="s">
        <v>118</v>
      </c>
      <c r="C532" s="4" t="s">
        <v>67</v>
      </c>
      <c r="D532" s="5" t="s">
        <v>196</v>
      </c>
      <c r="E532" s="7" t="s">
        <v>27</v>
      </c>
      <c r="F532" s="7" t="s">
        <v>28</v>
      </c>
      <c r="G532" s="7" t="s">
        <v>14</v>
      </c>
      <c r="H532" s="8">
        <v>2</v>
      </c>
      <c r="I532" s="9">
        <v>50000</v>
      </c>
      <c r="J532" s="9">
        <f t="shared" si="8"/>
        <v>100000</v>
      </c>
      <c r="K532" s="6" t="s">
        <v>15</v>
      </c>
    </row>
    <row r="533" spans="1:11" x14ac:dyDescent="0.25">
      <c r="A533" s="4" t="s">
        <v>195</v>
      </c>
      <c r="B533" s="5" t="s">
        <v>118</v>
      </c>
      <c r="C533" s="4" t="s">
        <v>67</v>
      </c>
      <c r="D533" s="5" t="s">
        <v>196</v>
      </c>
      <c r="E533" s="7" t="s">
        <v>72</v>
      </c>
      <c r="F533" s="7" t="s">
        <v>71</v>
      </c>
      <c r="G533" s="7" t="s">
        <v>70</v>
      </c>
      <c r="H533" s="8">
        <v>30</v>
      </c>
      <c r="I533" s="9">
        <v>5000</v>
      </c>
      <c r="J533" s="9">
        <f t="shared" si="8"/>
        <v>150000</v>
      </c>
      <c r="K533" s="6" t="s">
        <v>15</v>
      </c>
    </row>
    <row r="534" spans="1:11" x14ac:dyDescent="0.25">
      <c r="A534" s="4" t="s">
        <v>195</v>
      </c>
      <c r="B534" s="5" t="s">
        <v>118</v>
      </c>
      <c r="C534" s="4" t="s">
        <v>67</v>
      </c>
      <c r="D534" s="5" t="s">
        <v>196</v>
      </c>
      <c r="E534" s="7" t="s">
        <v>66</v>
      </c>
      <c r="F534" s="7" t="s">
        <v>65</v>
      </c>
      <c r="G534" s="7" t="s">
        <v>14</v>
      </c>
      <c r="H534" s="8">
        <v>4.5999999999999996</v>
      </c>
      <c r="I534" s="9">
        <v>62000</v>
      </c>
      <c r="J534" s="9">
        <f t="shared" si="8"/>
        <v>285200</v>
      </c>
      <c r="K534" s="6" t="s">
        <v>15</v>
      </c>
    </row>
    <row r="535" spans="1:11" ht="42.75" x14ac:dyDescent="0.25">
      <c r="A535" s="4" t="s">
        <v>195</v>
      </c>
      <c r="B535" s="5" t="s">
        <v>118</v>
      </c>
      <c r="C535" s="4" t="s">
        <v>67</v>
      </c>
      <c r="D535" s="5" t="s">
        <v>197</v>
      </c>
      <c r="E535" s="7" t="s">
        <v>99</v>
      </c>
      <c r="F535" s="7" t="s">
        <v>98</v>
      </c>
      <c r="G535" s="7" t="s">
        <v>14</v>
      </c>
      <c r="H535" s="8">
        <v>1.8</v>
      </c>
      <c r="I535" s="9">
        <v>30000</v>
      </c>
      <c r="J535" s="9">
        <f t="shared" si="8"/>
        <v>54000</v>
      </c>
      <c r="K535" s="6" t="s">
        <v>15</v>
      </c>
    </row>
    <row r="536" spans="1:11" ht="28.5" x14ac:dyDescent="0.25">
      <c r="A536" s="4" t="s">
        <v>195</v>
      </c>
      <c r="B536" s="5" t="s">
        <v>118</v>
      </c>
      <c r="C536" s="4" t="s">
        <v>67</v>
      </c>
      <c r="D536" s="5" t="s">
        <v>197</v>
      </c>
      <c r="E536" s="7" t="s">
        <v>39</v>
      </c>
      <c r="F536" s="7" t="s">
        <v>40</v>
      </c>
      <c r="G536" s="7" t="s">
        <v>14</v>
      </c>
      <c r="H536" s="8">
        <v>1</v>
      </c>
      <c r="I536" s="9">
        <v>145000</v>
      </c>
      <c r="J536" s="9">
        <f t="shared" si="8"/>
        <v>145000</v>
      </c>
      <c r="K536" s="6" t="s">
        <v>15</v>
      </c>
    </row>
    <row r="537" spans="1:11" x14ac:dyDescent="0.25">
      <c r="A537" s="4" t="s">
        <v>198</v>
      </c>
      <c r="B537" s="5" t="s">
        <v>118</v>
      </c>
      <c r="C537" s="4" t="s">
        <v>67</v>
      </c>
      <c r="D537" s="5" t="s">
        <v>199</v>
      </c>
      <c r="E537" s="7" t="s">
        <v>103</v>
      </c>
      <c r="F537" s="7" t="s">
        <v>102</v>
      </c>
      <c r="G537" s="7" t="s">
        <v>14</v>
      </c>
      <c r="H537" s="8">
        <v>1.7</v>
      </c>
      <c r="I537" s="9">
        <v>15000</v>
      </c>
      <c r="J537" s="9">
        <f t="shared" si="8"/>
        <v>25500</v>
      </c>
      <c r="K537" s="6" t="s">
        <v>15</v>
      </c>
    </row>
    <row r="538" spans="1:11" ht="28.5" x14ac:dyDescent="0.25">
      <c r="A538" s="4" t="s">
        <v>198</v>
      </c>
      <c r="B538" s="5" t="s">
        <v>118</v>
      </c>
      <c r="C538" s="4" t="s">
        <v>67</v>
      </c>
      <c r="D538" s="5" t="s">
        <v>199</v>
      </c>
      <c r="E538" s="7" t="s">
        <v>16</v>
      </c>
      <c r="F538" s="7" t="s">
        <v>17</v>
      </c>
      <c r="G538" s="7" t="s">
        <v>18</v>
      </c>
      <c r="H538" s="8">
        <v>15</v>
      </c>
      <c r="I538" s="9">
        <v>8500</v>
      </c>
      <c r="J538" s="9">
        <f t="shared" si="8"/>
        <v>127500</v>
      </c>
      <c r="K538" s="6" t="s">
        <v>15</v>
      </c>
    </row>
    <row r="539" spans="1:11" x14ac:dyDescent="0.25">
      <c r="A539" s="4" t="s">
        <v>198</v>
      </c>
      <c r="B539" s="5" t="s">
        <v>118</v>
      </c>
      <c r="C539" s="4" t="s">
        <v>67</v>
      </c>
      <c r="D539" s="5" t="s">
        <v>199</v>
      </c>
      <c r="E539" s="7" t="s">
        <v>59</v>
      </c>
      <c r="F539" s="7" t="s">
        <v>60</v>
      </c>
      <c r="G539" s="7" t="s">
        <v>14</v>
      </c>
      <c r="H539" s="8">
        <v>3.9</v>
      </c>
      <c r="I539" s="9">
        <v>30000</v>
      </c>
      <c r="J539" s="9">
        <f t="shared" si="8"/>
        <v>117000</v>
      </c>
      <c r="K539" s="6" t="s">
        <v>15</v>
      </c>
    </row>
    <row r="540" spans="1:11" x14ac:dyDescent="0.25">
      <c r="A540" s="4" t="s">
        <v>198</v>
      </c>
      <c r="B540" s="5" t="s">
        <v>118</v>
      </c>
      <c r="C540" s="4" t="s">
        <v>67</v>
      </c>
      <c r="D540" s="5" t="s">
        <v>199</v>
      </c>
      <c r="E540" s="7" t="s">
        <v>101</v>
      </c>
      <c r="F540" s="7" t="s">
        <v>100</v>
      </c>
      <c r="G540" s="7" t="s">
        <v>14</v>
      </c>
      <c r="H540" s="8">
        <v>3.3</v>
      </c>
      <c r="I540" s="9">
        <v>40000</v>
      </c>
      <c r="J540" s="9">
        <f t="shared" si="8"/>
        <v>132000</v>
      </c>
      <c r="K540" s="6" t="s">
        <v>15</v>
      </c>
    </row>
    <row r="541" spans="1:11" x14ac:dyDescent="0.25">
      <c r="A541" s="4" t="s">
        <v>198</v>
      </c>
      <c r="B541" s="5" t="s">
        <v>118</v>
      </c>
      <c r="C541" s="4" t="s">
        <v>67</v>
      </c>
      <c r="D541" s="5" t="s">
        <v>199</v>
      </c>
      <c r="E541" s="7" t="s">
        <v>119</v>
      </c>
      <c r="F541" s="7" t="s">
        <v>120</v>
      </c>
      <c r="G541" s="7" t="s">
        <v>14</v>
      </c>
      <c r="H541" s="8">
        <v>2.2000000000000002</v>
      </c>
      <c r="I541" s="9">
        <v>52000</v>
      </c>
      <c r="J541" s="9">
        <f t="shared" si="8"/>
        <v>114400.00000000001</v>
      </c>
      <c r="K541" s="6" t="s">
        <v>15</v>
      </c>
    </row>
    <row r="542" spans="1:11" ht="42.75" x14ac:dyDescent="0.25">
      <c r="A542" s="4" t="s">
        <v>198</v>
      </c>
      <c r="B542" s="5" t="s">
        <v>118</v>
      </c>
      <c r="C542" s="4" t="s">
        <v>67</v>
      </c>
      <c r="D542" s="5" t="s">
        <v>199</v>
      </c>
      <c r="E542" s="7" t="s">
        <v>99</v>
      </c>
      <c r="F542" s="7" t="s">
        <v>98</v>
      </c>
      <c r="G542" s="7" t="s">
        <v>14</v>
      </c>
      <c r="H542" s="8">
        <v>0.6</v>
      </c>
      <c r="I542" s="9">
        <v>30000</v>
      </c>
      <c r="J542" s="9">
        <f t="shared" si="8"/>
        <v>18000</v>
      </c>
      <c r="K542" s="6" t="s">
        <v>15</v>
      </c>
    </row>
    <row r="543" spans="1:11" x14ac:dyDescent="0.25">
      <c r="A543" s="4" t="s">
        <v>198</v>
      </c>
      <c r="B543" s="5" t="s">
        <v>118</v>
      </c>
      <c r="C543" s="4" t="s">
        <v>67</v>
      </c>
      <c r="D543" s="5" t="s">
        <v>199</v>
      </c>
      <c r="E543" s="7" t="s">
        <v>97</v>
      </c>
      <c r="F543" s="7" t="s">
        <v>96</v>
      </c>
      <c r="G543" s="7" t="s">
        <v>14</v>
      </c>
      <c r="H543" s="8">
        <v>0.8</v>
      </c>
      <c r="I543" s="9">
        <v>75000</v>
      </c>
      <c r="J543" s="9">
        <f t="shared" si="8"/>
        <v>60000</v>
      </c>
      <c r="K543" s="6" t="s">
        <v>15</v>
      </c>
    </row>
    <row r="544" spans="1:11" x14ac:dyDescent="0.25">
      <c r="A544" s="4" t="s">
        <v>198</v>
      </c>
      <c r="B544" s="5" t="s">
        <v>118</v>
      </c>
      <c r="C544" s="4" t="s">
        <v>67</v>
      </c>
      <c r="D544" s="5" t="s">
        <v>199</v>
      </c>
      <c r="E544" s="7" t="s">
        <v>95</v>
      </c>
      <c r="F544" s="7" t="s">
        <v>94</v>
      </c>
      <c r="G544" s="7" t="s">
        <v>14</v>
      </c>
      <c r="H544" s="8">
        <v>1.5</v>
      </c>
      <c r="I544" s="9">
        <v>44000</v>
      </c>
      <c r="J544" s="9">
        <f t="shared" si="8"/>
        <v>66000</v>
      </c>
      <c r="K544" s="6" t="s">
        <v>15</v>
      </c>
    </row>
    <row r="545" spans="1:11" x14ac:dyDescent="0.25">
      <c r="A545" s="4" t="s">
        <v>198</v>
      </c>
      <c r="B545" s="5" t="s">
        <v>118</v>
      </c>
      <c r="C545" s="4" t="s">
        <v>67</v>
      </c>
      <c r="D545" s="5" t="s">
        <v>199</v>
      </c>
      <c r="E545" s="7" t="s">
        <v>35</v>
      </c>
      <c r="F545" s="7" t="s">
        <v>36</v>
      </c>
      <c r="G545" s="7" t="s">
        <v>14</v>
      </c>
      <c r="H545" s="8">
        <v>2</v>
      </c>
      <c r="I545" s="9">
        <v>38000</v>
      </c>
      <c r="J545" s="9">
        <f t="shared" si="8"/>
        <v>76000</v>
      </c>
      <c r="K545" s="6" t="s">
        <v>15</v>
      </c>
    </row>
    <row r="546" spans="1:11" x14ac:dyDescent="0.25">
      <c r="A546" s="4" t="s">
        <v>198</v>
      </c>
      <c r="B546" s="5" t="s">
        <v>118</v>
      </c>
      <c r="C546" s="4" t="s">
        <v>67</v>
      </c>
      <c r="D546" s="5" t="s">
        <v>199</v>
      </c>
      <c r="E546" s="7" t="s">
        <v>113</v>
      </c>
      <c r="F546" s="7" t="s">
        <v>112</v>
      </c>
      <c r="G546" s="7" t="s">
        <v>14</v>
      </c>
      <c r="H546" s="8">
        <v>0.1</v>
      </c>
      <c r="I546" s="9">
        <v>25000</v>
      </c>
      <c r="J546" s="9">
        <f t="shared" si="8"/>
        <v>2500</v>
      </c>
      <c r="K546" s="6" t="s">
        <v>15</v>
      </c>
    </row>
    <row r="547" spans="1:11" x14ac:dyDescent="0.25">
      <c r="A547" s="4" t="s">
        <v>198</v>
      </c>
      <c r="B547" s="5" t="s">
        <v>118</v>
      </c>
      <c r="C547" s="4" t="s">
        <v>67</v>
      </c>
      <c r="D547" s="5" t="s">
        <v>199</v>
      </c>
      <c r="E547" s="7" t="s">
        <v>91</v>
      </c>
      <c r="F547" s="7" t="s">
        <v>90</v>
      </c>
      <c r="G547" s="7" t="s">
        <v>14</v>
      </c>
      <c r="H547" s="8">
        <v>2</v>
      </c>
      <c r="I547" s="9">
        <v>47000</v>
      </c>
      <c r="J547" s="9">
        <f t="shared" si="8"/>
        <v>94000</v>
      </c>
      <c r="K547" s="6" t="s">
        <v>15</v>
      </c>
    </row>
    <row r="548" spans="1:11" x14ac:dyDescent="0.25">
      <c r="A548" s="4" t="s">
        <v>198</v>
      </c>
      <c r="B548" s="5" t="s">
        <v>118</v>
      </c>
      <c r="C548" s="4" t="s">
        <v>67</v>
      </c>
      <c r="D548" s="5" t="s">
        <v>199</v>
      </c>
      <c r="E548" s="7" t="s">
        <v>19</v>
      </c>
      <c r="F548" s="7" t="s">
        <v>20</v>
      </c>
      <c r="G548" s="7" t="s">
        <v>14</v>
      </c>
      <c r="H548" s="8">
        <v>3</v>
      </c>
      <c r="I548" s="9">
        <v>32000</v>
      </c>
      <c r="J548" s="9">
        <f t="shared" si="8"/>
        <v>96000</v>
      </c>
      <c r="K548" s="6" t="s">
        <v>15</v>
      </c>
    </row>
    <row r="549" spans="1:11" x14ac:dyDescent="0.25">
      <c r="A549" s="4" t="s">
        <v>198</v>
      </c>
      <c r="B549" s="5" t="s">
        <v>118</v>
      </c>
      <c r="C549" s="4" t="s">
        <v>67</v>
      </c>
      <c r="D549" s="5" t="s">
        <v>199</v>
      </c>
      <c r="E549" s="7" t="s">
        <v>51</v>
      </c>
      <c r="F549" s="7" t="s">
        <v>52</v>
      </c>
      <c r="G549" s="7" t="s">
        <v>14</v>
      </c>
      <c r="H549" s="8">
        <v>33.5</v>
      </c>
      <c r="I549" s="9">
        <v>18000</v>
      </c>
      <c r="J549" s="9">
        <f t="shared" si="8"/>
        <v>603000</v>
      </c>
      <c r="K549" s="6" t="s">
        <v>15</v>
      </c>
    </row>
    <row r="550" spans="1:11" x14ac:dyDescent="0.25">
      <c r="A550" s="4" t="s">
        <v>198</v>
      </c>
      <c r="B550" s="5" t="s">
        <v>118</v>
      </c>
      <c r="C550" s="4" t="s">
        <v>67</v>
      </c>
      <c r="D550" s="5" t="s">
        <v>199</v>
      </c>
      <c r="E550" s="7" t="s">
        <v>21</v>
      </c>
      <c r="F550" s="7" t="s">
        <v>22</v>
      </c>
      <c r="G550" s="7" t="s">
        <v>14</v>
      </c>
      <c r="H550" s="8">
        <v>3</v>
      </c>
      <c r="I550" s="9">
        <v>55000</v>
      </c>
      <c r="J550" s="9">
        <f t="shared" si="8"/>
        <v>165000</v>
      </c>
      <c r="K550" s="6" t="s">
        <v>15</v>
      </c>
    </row>
    <row r="551" spans="1:11" x14ac:dyDescent="0.25">
      <c r="A551" s="4" t="s">
        <v>198</v>
      </c>
      <c r="B551" s="5" t="s">
        <v>118</v>
      </c>
      <c r="C551" s="4" t="s">
        <v>67</v>
      </c>
      <c r="D551" s="5" t="s">
        <v>199</v>
      </c>
      <c r="E551" s="7" t="s">
        <v>37</v>
      </c>
      <c r="F551" s="7" t="s">
        <v>38</v>
      </c>
      <c r="G551" s="7" t="s">
        <v>14</v>
      </c>
      <c r="H551" s="8">
        <v>3.29</v>
      </c>
      <c r="I551" s="9">
        <v>27000</v>
      </c>
      <c r="J551" s="9">
        <f t="shared" si="8"/>
        <v>88830</v>
      </c>
      <c r="K551" s="6" t="s">
        <v>15</v>
      </c>
    </row>
    <row r="552" spans="1:11" ht="28.5" x14ac:dyDescent="0.25">
      <c r="A552" s="4" t="s">
        <v>198</v>
      </c>
      <c r="B552" s="5" t="s">
        <v>118</v>
      </c>
      <c r="C552" s="4" t="s">
        <v>67</v>
      </c>
      <c r="D552" s="5" t="s">
        <v>199</v>
      </c>
      <c r="E552" s="7" t="s">
        <v>39</v>
      </c>
      <c r="F552" s="7" t="s">
        <v>40</v>
      </c>
      <c r="G552" s="7" t="s">
        <v>14</v>
      </c>
      <c r="H552" s="8">
        <v>4</v>
      </c>
      <c r="I552" s="9">
        <v>145000</v>
      </c>
      <c r="J552" s="9">
        <f t="shared" si="8"/>
        <v>580000</v>
      </c>
      <c r="K552" s="6" t="s">
        <v>15</v>
      </c>
    </row>
    <row r="553" spans="1:11" x14ac:dyDescent="0.25">
      <c r="A553" s="4" t="s">
        <v>198</v>
      </c>
      <c r="B553" s="5" t="s">
        <v>118</v>
      </c>
      <c r="C553" s="4" t="s">
        <v>67</v>
      </c>
      <c r="D553" s="5" t="s">
        <v>199</v>
      </c>
      <c r="E553" s="7" t="s">
        <v>53</v>
      </c>
      <c r="F553" s="7" t="s">
        <v>54</v>
      </c>
      <c r="G553" s="7" t="s">
        <v>14</v>
      </c>
      <c r="H553" s="8">
        <v>1</v>
      </c>
      <c r="I553" s="9">
        <v>47000</v>
      </c>
      <c r="J553" s="9">
        <f t="shared" si="8"/>
        <v>47000</v>
      </c>
      <c r="K553" s="6" t="s">
        <v>15</v>
      </c>
    </row>
    <row r="554" spans="1:11" x14ac:dyDescent="0.25">
      <c r="A554" s="4" t="s">
        <v>198</v>
      </c>
      <c r="B554" s="5" t="s">
        <v>118</v>
      </c>
      <c r="C554" s="4" t="s">
        <v>67</v>
      </c>
      <c r="D554" s="5" t="s">
        <v>199</v>
      </c>
      <c r="E554" s="7" t="s">
        <v>80</v>
      </c>
      <c r="F554" s="7" t="s">
        <v>79</v>
      </c>
      <c r="G554" s="7" t="s">
        <v>14</v>
      </c>
      <c r="H554" s="8">
        <v>1.6</v>
      </c>
      <c r="I554" s="9">
        <v>90000</v>
      </c>
      <c r="J554" s="9">
        <f t="shared" si="8"/>
        <v>144000</v>
      </c>
      <c r="K554" s="6" t="s">
        <v>15</v>
      </c>
    </row>
    <row r="555" spans="1:11" x14ac:dyDescent="0.25">
      <c r="A555" s="4" t="s">
        <v>198</v>
      </c>
      <c r="B555" s="5" t="s">
        <v>118</v>
      </c>
      <c r="C555" s="4" t="s">
        <v>67</v>
      </c>
      <c r="D555" s="5" t="s">
        <v>199</v>
      </c>
      <c r="E555" s="7" t="s">
        <v>61</v>
      </c>
      <c r="F555" s="7" t="s">
        <v>62</v>
      </c>
      <c r="G555" s="7" t="s">
        <v>14</v>
      </c>
      <c r="H555" s="8">
        <v>1</v>
      </c>
      <c r="I555" s="9">
        <v>80000</v>
      </c>
      <c r="J555" s="9">
        <f t="shared" si="8"/>
        <v>80000</v>
      </c>
      <c r="K555" s="6" t="s">
        <v>15</v>
      </c>
    </row>
    <row r="556" spans="1:11" ht="28.5" x14ac:dyDescent="0.25">
      <c r="A556" s="4" t="s">
        <v>198</v>
      </c>
      <c r="B556" s="5" t="s">
        <v>118</v>
      </c>
      <c r="C556" s="4" t="s">
        <v>67</v>
      </c>
      <c r="D556" s="5" t="s">
        <v>199</v>
      </c>
      <c r="E556" s="7" t="s">
        <v>29</v>
      </c>
      <c r="F556" s="7" t="s">
        <v>30</v>
      </c>
      <c r="G556" s="7" t="s">
        <v>14</v>
      </c>
      <c r="H556" s="8">
        <v>6</v>
      </c>
      <c r="I556" s="9">
        <v>45000</v>
      </c>
      <c r="J556" s="9">
        <f t="shared" si="8"/>
        <v>270000</v>
      </c>
      <c r="K556" s="6" t="s">
        <v>15</v>
      </c>
    </row>
    <row r="557" spans="1:11" ht="28.5" x14ac:dyDescent="0.25">
      <c r="A557" s="4" t="s">
        <v>198</v>
      </c>
      <c r="B557" s="5" t="s">
        <v>118</v>
      </c>
      <c r="C557" s="4" t="s">
        <v>67</v>
      </c>
      <c r="D557" s="5" t="s">
        <v>199</v>
      </c>
      <c r="E557" s="7" t="s">
        <v>78</v>
      </c>
      <c r="F557" s="7" t="s">
        <v>77</v>
      </c>
      <c r="G557" s="7" t="s">
        <v>14</v>
      </c>
      <c r="H557" s="8">
        <v>1.2</v>
      </c>
      <c r="I557" s="9">
        <v>90000</v>
      </c>
      <c r="J557" s="9">
        <f t="shared" si="8"/>
        <v>108000</v>
      </c>
      <c r="K557" s="6" t="s">
        <v>15</v>
      </c>
    </row>
    <row r="558" spans="1:11" x14ac:dyDescent="0.25">
      <c r="A558" s="4" t="s">
        <v>198</v>
      </c>
      <c r="B558" s="5" t="s">
        <v>118</v>
      </c>
      <c r="C558" s="4" t="s">
        <v>67</v>
      </c>
      <c r="D558" s="5" t="s">
        <v>199</v>
      </c>
      <c r="E558" s="7" t="s">
        <v>105</v>
      </c>
      <c r="F558" s="7" t="s">
        <v>104</v>
      </c>
      <c r="G558" s="7" t="s">
        <v>14</v>
      </c>
      <c r="H558" s="8">
        <v>0.4</v>
      </c>
      <c r="I558" s="9">
        <v>195000</v>
      </c>
      <c r="J558" s="9">
        <f t="shared" si="8"/>
        <v>78000</v>
      </c>
      <c r="K558" s="6" t="s">
        <v>15</v>
      </c>
    </row>
    <row r="559" spans="1:11" x14ac:dyDescent="0.25">
      <c r="A559" s="4" t="s">
        <v>198</v>
      </c>
      <c r="B559" s="5" t="s">
        <v>118</v>
      </c>
      <c r="C559" s="4" t="s">
        <v>67</v>
      </c>
      <c r="D559" s="5" t="s">
        <v>199</v>
      </c>
      <c r="E559" s="7" t="s">
        <v>63</v>
      </c>
      <c r="F559" s="7" t="s">
        <v>64</v>
      </c>
      <c r="G559" s="7" t="s">
        <v>14</v>
      </c>
      <c r="H559" s="8">
        <v>2.5</v>
      </c>
      <c r="I559" s="9">
        <v>45000</v>
      </c>
      <c r="J559" s="9">
        <f t="shared" si="8"/>
        <v>112500</v>
      </c>
      <c r="K559" s="6" t="s">
        <v>15</v>
      </c>
    </row>
    <row r="560" spans="1:11" x14ac:dyDescent="0.25">
      <c r="A560" s="4" t="s">
        <v>198</v>
      </c>
      <c r="B560" s="5" t="s">
        <v>118</v>
      </c>
      <c r="C560" s="4" t="s">
        <v>67</v>
      </c>
      <c r="D560" s="5" t="s">
        <v>199</v>
      </c>
      <c r="E560" s="7" t="s">
        <v>41</v>
      </c>
      <c r="F560" s="7" t="s">
        <v>42</v>
      </c>
      <c r="G560" s="7" t="s">
        <v>14</v>
      </c>
      <c r="H560" s="8">
        <v>0.5</v>
      </c>
      <c r="I560" s="9">
        <v>145000</v>
      </c>
      <c r="J560" s="9">
        <f t="shared" si="8"/>
        <v>72500</v>
      </c>
      <c r="K560" s="6" t="s">
        <v>15</v>
      </c>
    </row>
    <row r="561" spans="1:11" x14ac:dyDescent="0.25">
      <c r="A561" s="4" t="s">
        <v>198</v>
      </c>
      <c r="B561" s="5" t="s">
        <v>118</v>
      </c>
      <c r="C561" s="4" t="s">
        <v>67</v>
      </c>
      <c r="D561" s="5" t="s">
        <v>199</v>
      </c>
      <c r="E561" s="7" t="s">
        <v>57</v>
      </c>
      <c r="F561" s="7" t="s">
        <v>58</v>
      </c>
      <c r="G561" s="7" t="s">
        <v>14</v>
      </c>
      <c r="H561" s="8">
        <v>0.3</v>
      </c>
      <c r="I561" s="9">
        <v>148000</v>
      </c>
      <c r="J561" s="9">
        <f t="shared" si="8"/>
        <v>44400</v>
      </c>
      <c r="K561" s="6" t="s">
        <v>15</v>
      </c>
    </row>
    <row r="562" spans="1:11" x14ac:dyDescent="0.25">
      <c r="A562" s="4" t="s">
        <v>198</v>
      </c>
      <c r="B562" s="5" t="s">
        <v>118</v>
      </c>
      <c r="C562" s="4" t="s">
        <v>67</v>
      </c>
      <c r="D562" s="5" t="s">
        <v>199</v>
      </c>
      <c r="E562" s="7" t="s">
        <v>76</v>
      </c>
      <c r="F562" s="7" t="s">
        <v>75</v>
      </c>
      <c r="G562" s="7" t="s">
        <v>14</v>
      </c>
      <c r="H562" s="8">
        <v>0.5</v>
      </c>
      <c r="I562" s="9">
        <v>42000</v>
      </c>
      <c r="J562" s="9">
        <f t="shared" si="8"/>
        <v>21000</v>
      </c>
      <c r="K562" s="6"/>
    </row>
    <row r="563" spans="1:11" x14ac:dyDescent="0.25">
      <c r="A563" s="4" t="s">
        <v>198</v>
      </c>
      <c r="B563" s="5" t="s">
        <v>118</v>
      </c>
      <c r="C563" s="4" t="s">
        <v>67</v>
      </c>
      <c r="D563" s="5" t="s">
        <v>199</v>
      </c>
      <c r="E563" s="7" t="s">
        <v>45</v>
      </c>
      <c r="F563" s="7" t="s">
        <v>46</v>
      </c>
      <c r="G563" s="7" t="s">
        <v>14</v>
      </c>
      <c r="H563" s="8">
        <v>1</v>
      </c>
      <c r="I563" s="9">
        <v>12000</v>
      </c>
      <c r="J563" s="9">
        <f t="shared" si="8"/>
        <v>12000</v>
      </c>
      <c r="K563" s="6"/>
    </row>
    <row r="564" spans="1:11" x14ac:dyDescent="0.25">
      <c r="A564" s="4" t="s">
        <v>198</v>
      </c>
      <c r="B564" s="5" t="s">
        <v>118</v>
      </c>
      <c r="C564" s="4" t="s">
        <v>67</v>
      </c>
      <c r="D564" s="5" t="s">
        <v>199</v>
      </c>
      <c r="E564" s="7" t="s">
        <v>47</v>
      </c>
      <c r="F564" s="7" t="s">
        <v>48</v>
      </c>
      <c r="G564" s="7" t="s">
        <v>14</v>
      </c>
      <c r="H564" s="8">
        <v>1</v>
      </c>
      <c r="I564" s="9">
        <v>21000</v>
      </c>
      <c r="J564" s="9">
        <f t="shared" si="8"/>
        <v>21000</v>
      </c>
      <c r="K564" s="6"/>
    </row>
    <row r="565" spans="1:11" x14ac:dyDescent="0.25">
      <c r="A565" s="4" t="s">
        <v>198</v>
      </c>
      <c r="B565" s="5" t="s">
        <v>118</v>
      </c>
      <c r="C565" s="4" t="s">
        <v>67</v>
      </c>
      <c r="D565" s="5" t="s">
        <v>199</v>
      </c>
      <c r="E565" s="7" t="s">
        <v>27</v>
      </c>
      <c r="F565" s="7" t="s">
        <v>28</v>
      </c>
      <c r="G565" s="7" t="s">
        <v>14</v>
      </c>
      <c r="H565" s="8">
        <v>2</v>
      </c>
      <c r="I565" s="9">
        <v>50000</v>
      </c>
      <c r="J565" s="9">
        <f t="shared" si="8"/>
        <v>100000</v>
      </c>
      <c r="K565" s="6"/>
    </row>
    <row r="566" spans="1:11" x14ac:dyDescent="0.25">
      <c r="A566" s="4" t="s">
        <v>198</v>
      </c>
      <c r="B566" s="5" t="s">
        <v>118</v>
      </c>
      <c r="C566" s="4" t="s">
        <v>67</v>
      </c>
      <c r="D566" s="5" t="s">
        <v>199</v>
      </c>
      <c r="E566" s="7" t="s">
        <v>72</v>
      </c>
      <c r="F566" s="7" t="s">
        <v>71</v>
      </c>
      <c r="G566" s="7" t="s">
        <v>70</v>
      </c>
      <c r="H566" s="8">
        <v>60</v>
      </c>
      <c r="I566" s="9">
        <v>5000</v>
      </c>
      <c r="J566" s="9">
        <f t="shared" si="8"/>
        <v>300000</v>
      </c>
      <c r="K566" s="6"/>
    </row>
    <row r="567" spans="1:11" x14ac:dyDescent="0.25">
      <c r="A567" s="4" t="s">
        <v>198</v>
      </c>
      <c r="B567" s="5" t="s">
        <v>118</v>
      </c>
      <c r="C567" s="4" t="s">
        <v>67</v>
      </c>
      <c r="D567" s="5" t="s">
        <v>199</v>
      </c>
      <c r="E567" s="7" t="s">
        <v>66</v>
      </c>
      <c r="F567" s="7" t="s">
        <v>65</v>
      </c>
      <c r="G567" s="7" t="s">
        <v>14</v>
      </c>
      <c r="H567" s="8">
        <v>4.5</v>
      </c>
      <c r="I567" s="9">
        <v>62000</v>
      </c>
      <c r="J567" s="9">
        <f t="shared" si="8"/>
        <v>279000</v>
      </c>
      <c r="K567" s="6"/>
    </row>
    <row r="568" spans="1:11" x14ac:dyDescent="0.25">
      <c r="A568" s="4" t="s">
        <v>198</v>
      </c>
      <c r="B568" s="5" t="s">
        <v>118</v>
      </c>
      <c r="C568" s="4" t="s">
        <v>67</v>
      </c>
      <c r="D568" s="5" t="s">
        <v>200</v>
      </c>
      <c r="E568" s="7" t="s">
        <v>37</v>
      </c>
      <c r="F568" s="7" t="s">
        <v>38</v>
      </c>
      <c r="G568" s="7" t="s">
        <v>14</v>
      </c>
      <c r="H568" s="8">
        <v>2</v>
      </c>
      <c r="I568" s="9">
        <v>27000</v>
      </c>
      <c r="J568" s="9">
        <f t="shared" si="8"/>
        <v>54000</v>
      </c>
      <c r="K568" s="6"/>
    </row>
    <row r="569" spans="1:11" ht="28.5" x14ac:dyDescent="0.25">
      <c r="A569" s="4" t="s">
        <v>198</v>
      </c>
      <c r="B569" s="5" t="s">
        <v>118</v>
      </c>
      <c r="C569" s="4" t="s">
        <v>67</v>
      </c>
      <c r="D569" s="5" t="s">
        <v>200</v>
      </c>
      <c r="E569" s="7" t="s">
        <v>39</v>
      </c>
      <c r="F569" s="7" t="s">
        <v>40</v>
      </c>
      <c r="G569" s="7" t="s">
        <v>14</v>
      </c>
      <c r="H569" s="8">
        <v>1.7</v>
      </c>
      <c r="I569" s="9">
        <v>145000</v>
      </c>
      <c r="J569" s="9">
        <f t="shared" si="8"/>
        <v>246500</v>
      </c>
      <c r="K569" s="6"/>
    </row>
    <row r="570" spans="1:11" x14ac:dyDescent="0.25">
      <c r="A570" s="4" t="s">
        <v>201</v>
      </c>
      <c r="B570" s="5" t="s">
        <v>118</v>
      </c>
      <c r="C570" s="4" t="s">
        <v>67</v>
      </c>
      <c r="D570" s="5" t="s">
        <v>202</v>
      </c>
      <c r="E570" s="7" t="s">
        <v>103</v>
      </c>
      <c r="F570" s="7" t="s">
        <v>102</v>
      </c>
      <c r="G570" s="7" t="s">
        <v>14</v>
      </c>
      <c r="H570" s="8">
        <v>2</v>
      </c>
      <c r="I570" s="9">
        <v>15000</v>
      </c>
      <c r="J570" s="9">
        <f t="shared" si="8"/>
        <v>30000</v>
      </c>
      <c r="K570" s="6"/>
    </row>
    <row r="571" spans="1:11" ht="28.5" x14ac:dyDescent="0.25">
      <c r="A571" s="4" t="s">
        <v>201</v>
      </c>
      <c r="B571" s="5" t="s">
        <v>118</v>
      </c>
      <c r="C571" s="4" t="s">
        <v>67</v>
      </c>
      <c r="D571" s="5" t="s">
        <v>202</v>
      </c>
      <c r="E571" s="7" t="s">
        <v>16</v>
      </c>
      <c r="F571" s="7" t="s">
        <v>17</v>
      </c>
      <c r="G571" s="7" t="s">
        <v>18</v>
      </c>
      <c r="H571" s="8">
        <v>12</v>
      </c>
      <c r="I571" s="9">
        <v>8500</v>
      </c>
      <c r="J571" s="9">
        <f t="shared" si="8"/>
        <v>102000</v>
      </c>
      <c r="K571" s="6"/>
    </row>
    <row r="572" spans="1:11" x14ac:dyDescent="0.25">
      <c r="A572" s="4" t="s">
        <v>201</v>
      </c>
      <c r="B572" s="5" t="s">
        <v>118</v>
      </c>
      <c r="C572" s="4" t="s">
        <v>67</v>
      </c>
      <c r="D572" s="5" t="s">
        <v>202</v>
      </c>
      <c r="E572" s="7" t="s">
        <v>59</v>
      </c>
      <c r="F572" s="7" t="s">
        <v>60</v>
      </c>
      <c r="G572" s="7" t="s">
        <v>14</v>
      </c>
      <c r="H572" s="8">
        <v>5.3</v>
      </c>
      <c r="I572" s="9">
        <v>30000</v>
      </c>
      <c r="J572" s="9">
        <f t="shared" si="8"/>
        <v>159000</v>
      </c>
      <c r="K572" s="6"/>
    </row>
    <row r="573" spans="1:11" x14ac:dyDescent="0.25">
      <c r="A573" s="4" t="s">
        <v>201</v>
      </c>
      <c r="B573" s="5" t="s">
        <v>118</v>
      </c>
      <c r="C573" s="4" t="s">
        <v>67</v>
      </c>
      <c r="D573" s="5" t="s">
        <v>202</v>
      </c>
      <c r="E573" s="7" t="s">
        <v>101</v>
      </c>
      <c r="F573" s="7" t="s">
        <v>100</v>
      </c>
      <c r="G573" s="7" t="s">
        <v>14</v>
      </c>
      <c r="H573" s="8">
        <v>12</v>
      </c>
      <c r="I573" s="9">
        <v>40000</v>
      </c>
      <c r="J573" s="9">
        <f t="shared" si="8"/>
        <v>480000</v>
      </c>
      <c r="K573" s="6"/>
    </row>
    <row r="574" spans="1:11" x14ac:dyDescent="0.25">
      <c r="A574" s="4" t="s">
        <v>201</v>
      </c>
      <c r="B574" s="5" t="s">
        <v>118</v>
      </c>
      <c r="C574" s="4" t="s">
        <v>67</v>
      </c>
      <c r="D574" s="5" t="s">
        <v>202</v>
      </c>
      <c r="E574" s="7" t="s">
        <v>119</v>
      </c>
      <c r="F574" s="7" t="s">
        <v>120</v>
      </c>
      <c r="G574" s="7" t="s">
        <v>14</v>
      </c>
      <c r="H574" s="8">
        <v>6.1</v>
      </c>
      <c r="I574" s="9">
        <v>52000</v>
      </c>
      <c r="J574" s="9">
        <f t="shared" si="8"/>
        <v>317200</v>
      </c>
      <c r="K574" s="6"/>
    </row>
    <row r="575" spans="1:11" x14ac:dyDescent="0.25">
      <c r="A575" s="4" t="s">
        <v>201</v>
      </c>
      <c r="B575" s="5" t="s">
        <v>118</v>
      </c>
      <c r="C575" s="4" t="s">
        <v>67</v>
      </c>
      <c r="D575" s="5" t="s">
        <v>202</v>
      </c>
      <c r="E575" s="7" t="s">
        <v>109</v>
      </c>
      <c r="F575" s="7" t="s">
        <v>108</v>
      </c>
      <c r="G575" s="7" t="s">
        <v>14</v>
      </c>
      <c r="H575" s="8">
        <v>0.3</v>
      </c>
      <c r="I575" s="9">
        <v>75000</v>
      </c>
      <c r="J575" s="9">
        <f t="shared" si="8"/>
        <v>22500</v>
      </c>
      <c r="K575" s="6"/>
    </row>
    <row r="576" spans="1:11" ht="42.75" x14ac:dyDescent="0.25">
      <c r="A576" s="4" t="s">
        <v>201</v>
      </c>
      <c r="B576" s="5" t="s">
        <v>118</v>
      </c>
      <c r="C576" s="4" t="s">
        <v>67</v>
      </c>
      <c r="D576" s="5" t="s">
        <v>202</v>
      </c>
      <c r="E576" s="7" t="s">
        <v>99</v>
      </c>
      <c r="F576" s="7" t="s">
        <v>98</v>
      </c>
      <c r="G576" s="7" t="s">
        <v>14</v>
      </c>
      <c r="H576" s="8">
        <v>2.7</v>
      </c>
      <c r="I576" s="9">
        <v>30000</v>
      </c>
      <c r="J576" s="9">
        <f t="shared" si="8"/>
        <v>81000</v>
      </c>
      <c r="K576" s="6"/>
    </row>
    <row r="577" spans="1:11" x14ac:dyDescent="0.25">
      <c r="A577" s="4" t="s">
        <v>201</v>
      </c>
      <c r="B577" s="5" t="s">
        <v>118</v>
      </c>
      <c r="C577" s="4" t="s">
        <v>67</v>
      </c>
      <c r="D577" s="5" t="s">
        <v>202</v>
      </c>
      <c r="E577" s="7" t="s">
        <v>97</v>
      </c>
      <c r="F577" s="7" t="s">
        <v>96</v>
      </c>
      <c r="G577" s="7" t="s">
        <v>14</v>
      </c>
      <c r="H577" s="8">
        <v>0.85</v>
      </c>
      <c r="I577" s="9">
        <v>75000</v>
      </c>
      <c r="J577" s="9">
        <f t="shared" si="8"/>
        <v>63750</v>
      </c>
      <c r="K577" s="6"/>
    </row>
    <row r="578" spans="1:11" x14ac:dyDescent="0.25">
      <c r="A578" s="4" t="s">
        <v>201</v>
      </c>
      <c r="B578" s="5" t="s">
        <v>118</v>
      </c>
      <c r="C578" s="4" t="s">
        <v>67</v>
      </c>
      <c r="D578" s="5" t="s">
        <v>202</v>
      </c>
      <c r="E578" s="7" t="s">
        <v>95</v>
      </c>
      <c r="F578" s="7" t="s">
        <v>94</v>
      </c>
      <c r="G578" s="7" t="s">
        <v>14</v>
      </c>
      <c r="H578" s="8">
        <v>2</v>
      </c>
      <c r="I578" s="9">
        <v>44000</v>
      </c>
      <c r="J578" s="9">
        <f t="shared" si="8"/>
        <v>88000</v>
      </c>
      <c r="K578" s="6"/>
    </row>
    <row r="579" spans="1:11" x14ac:dyDescent="0.25">
      <c r="A579" s="4" t="s">
        <v>201</v>
      </c>
      <c r="B579" s="5" t="s">
        <v>118</v>
      </c>
      <c r="C579" s="4" t="s">
        <v>67</v>
      </c>
      <c r="D579" s="5" t="s">
        <v>202</v>
      </c>
      <c r="E579" s="7" t="s">
        <v>49</v>
      </c>
      <c r="F579" s="7" t="s">
        <v>50</v>
      </c>
      <c r="G579" s="7" t="s">
        <v>14</v>
      </c>
      <c r="H579" s="8">
        <v>1</v>
      </c>
      <c r="I579" s="9">
        <v>34000</v>
      </c>
      <c r="J579" s="9">
        <f t="shared" si="8"/>
        <v>34000</v>
      </c>
      <c r="K579" s="6"/>
    </row>
    <row r="580" spans="1:11" x14ac:dyDescent="0.25">
      <c r="A580" s="4" t="s">
        <v>201</v>
      </c>
      <c r="B580" s="5" t="s">
        <v>118</v>
      </c>
      <c r="C580" s="4" t="s">
        <v>67</v>
      </c>
      <c r="D580" s="5" t="s">
        <v>202</v>
      </c>
      <c r="E580" s="7" t="s">
        <v>33</v>
      </c>
      <c r="F580" s="7" t="s">
        <v>34</v>
      </c>
      <c r="G580" s="7" t="s">
        <v>14</v>
      </c>
      <c r="H580" s="8">
        <v>2</v>
      </c>
      <c r="I580" s="9">
        <v>22000</v>
      </c>
      <c r="J580" s="9">
        <f t="shared" si="8"/>
        <v>44000</v>
      </c>
      <c r="K580" s="6"/>
    </row>
    <row r="581" spans="1:11" x14ac:dyDescent="0.25">
      <c r="A581" s="4" t="s">
        <v>201</v>
      </c>
      <c r="B581" s="5" t="s">
        <v>118</v>
      </c>
      <c r="C581" s="4" t="s">
        <v>67</v>
      </c>
      <c r="D581" s="5" t="s">
        <v>202</v>
      </c>
      <c r="E581" s="7" t="s">
        <v>93</v>
      </c>
      <c r="F581" s="7" t="s">
        <v>92</v>
      </c>
      <c r="G581" s="7" t="s">
        <v>14</v>
      </c>
      <c r="H581" s="8">
        <v>0.3</v>
      </c>
      <c r="I581" s="9">
        <v>95000</v>
      </c>
      <c r="J581" s="9">
        <f t="shared" si="8"/>
        <v>28500</v>
      </c>
      <c r="K581" s="6"/>
    </row>
    <row r="582" spans="1:11" x14ac:dyDescent="0.25">
      <c r="A582" s="4" t="s">
        <v>201</v>
      </c>
      <c r="B582" s="5" t="s">
        <v>118</v>
      </c>
      <c r="C582" s="4" t="s">
        <v>67</v>
      </c>
      <c r="D582" s="5" t="s">
        <v>202</v>
      </c>
      <c r="E582" s="7" t="s">
        <v>35</v>
      </c>
      <c r="F582" s="7" t="s">
        <v>36</v>
      </c>
      <c r="G582" s="7" t="s">
        <v>14</v>
      </c>
      <c r="H582" s="8">
        <v>1.5</v>
      </c>
      <c r="I582" s="9">
        <v>38000</v>
      </c>
      <c r="J582" s="9">
        <f t="shared" si="8"/>
        <v>57000</v>
      </c>
      <c r="K582" s="6"/>
    </row>
    <row r="583" spans="1:11" x14ac:dyDescent="0.25">
      <c r="A583" s="4" t="s">
        <v>201</v>
      </c>
      <c r="B583" s="5" t="s">
        <v>118</v>
      </c>
      <c r="C583" s="4" t="s">
        <v>67</v>
      </c>
      <c r="D583" s="5" t="s">
        <v>202</v>
      </c>
      <c r="E583" s="7" t="s">
        <v>19</v>
      </c>
      <c r="F583" s="7" t="s">
        <v>20</v>
      </c>
      <c r="G583" s="7" t="s">
        <v>14</v>
      </c>
      <c r="H583" s="8">
        <v>3</v>
      </c>
      <c r="I583" s="9">
        <v>32000</v>
      </c>
      <c r="J583" s="9">
        <f t="shared" si="8"/>
        <v>96000</v>
      </c>
      <c r="K583" s="6"/>
    </row>
    <row r="584" spans="1:11" x14ac:dyDescent="0.25">
      <c r="A584" s="4" t="s">
        <v>201</v>
      </c>
      <c r="B584" s="5" t="s">
        <v>118</v>
      </c>
      <c r="C584" s="4" t="s">
        <v>67</v>
      </c>
      <c r="D584" s="5" t="s">
        <v>202</v>
      </c>
      <c r="E584" s="7" t="s">
        <v>51</v>
      </c>
      <c r="F584" s="7" t="s">
        <v>52</v>
      </c>
      <c r="G584" s="7" t="s">
        <v>14</v>
      </c>
      <c r="H584" s="8">
        <v>25</v>
      </c>
      <c r="I584" s="9">
        <v>18000</v>
      </c>
      <c r="J584" s="9">
        <f t="shared" si="8"/>
        <v>450000</v>
      </c>
      <c r="K584" s="6"/>
    </row>
    <row r="585" spans="1:11" x14ac:dyDescent="0.25">
      <c r="A585" s="4" t="s">
        <v>201</v>
      </c>
      <c r="B585" s="5" t="s">
        <v>118</v>
      </c>
      <c r="C585" s="4" t="s">
        <v>67</v>
      </c>
      <c r="D585" s="5" t="s">
        <v>202</v>
      </c>
      <c r="E585" s="7" t="s">
        <v>21</v>
      </c>
      <c r="F585" s="7" t="s">
        <v>22</v>
      </c>
      <c r="G585" s="7" t="s">
        <v>14</v>
      </c>
      <c r="H585" s="8">
        <v>3</v>
      </c>
      <c r="I585" s="9">
        <v>55000</v>
      </c>
      <c r="J585" s="9">
        <f t="shared" si="8"/>
        <v>165000</v>
      </c>
      <c r="K585" s="6"/>
    </row>
    <row r="586" spans="1:11" x14ac:dyDescent="0.25">
      <c r="A586" s="4" t="s">
        <v>201</v>
      </c>
      <c r="B586" s="5" t="s">
        <v>118</v>
      </c>
      <c r="C586" s="4" t="s">
        <v>67</v>
      </c>
      <c r="D586" s="5" t="s">
        <v>202</v>
      </c>
      <c r="E586" s="7" t="s">
        <v>31</v>
      </c>
      <c r="F586" s="7" t="s">
        <v>32</v>
      </c>
      <c r="G586" s="7" t="s">
        <v>14</v>
      </c>
      <c r="H586" s="8">
        <v>0.1</v>
      </c>
      <c r="I586" s="9">
        <v>80000</v>
      </c>
      <c r="J586" s="9">
        <f t="shared" si="8"/>
        <v>8000</v>
      </c>
      <c r="K586" s="6"/>
    </row>
    <row r="587" spans="1:11" x14ac:dyDescent="0.25">
      <c r="A587" s="4" t="s">
        <v>201</v>
      </c>
      <c r="B587" s="5" t="s">
        <v>118</v>
      </c>
      <c r="C587" s="4" t="s">
        <v>67</v>
      </c>
      <c r="D587" s="5" t="s">
        <v>202</v>
      </c>
      <c r="E587" s="7" t="s">
        <v>25</v>
      </c>
      <c r="F587" s="7" t="s">
        <v>26</v>
      </c>
      <c r="G587" s="7" t="s">
        <v>14</v>
      </c>
      <c r="H587" s="8">
        <v>0.1</v>
      </c>
      <c r="I587" s="9">
        <v>65000</v>
      </c>
      <c r="J587" s="9">
        <f t="shared" si="8"/>
        <v>6500</v>
      </c>
      <c r="K587" s="6"/>
    </row>
    <row r="588" spans="1:11" x14ac:dyDescent="0.25">
      <c r="A588" s="4" t="s">
        <v>201</v>
      </c>
      <c r="B588" s="5" t="s">
        <v>118</v>
      </c>
      <c r="C588" s="4" t="s">
        <v>67</v>
      </c>
      <c r="D588" s="5" t="s">
        <v>202</v>
      </c>
      <c r="E588" s="7" t="s">
        <v>82</v>
      </c>
      <c r="F588" s="7" t="s">
        <v>81</v>
      </c>
      <c r="G588" s="7" t="s">
        <v>14</v>
      </c>
      <c r="H588" s="8">
        <v>0.4</v>
      </c>
      <c r="I588" s="9">
        <v>18000</v>
      </c>
      <c r="J588" s="9">
        <f t="shared" si="8"/>
        <v>7200</v>
      </c>
      <c r="K588" s="6"/>
    </row>
    <row r="589" spans="1:11" ht="28.5" x14ac:dyDescent="0.25">
      <c r="A589" s="4" t="s">
        <v>201</v>
      </c>
      <c r="B589" s="5" t="s">
        <v>118</v>
      </c>
      <c r="C589" s="4" t="s">
        <v>67</v>
      </c>
      <c r="D589" s="5" t="s">
        <v>202</v>
      </c>
      <c r="E589" s="7" t="s">
        <v>39</v>
      </c>
      <c r="F589" s="7" t="s">
        <v>40</v>
      </c>
      <c r="G589" s="7" t="s">
        <v>14</v>
      </c>
      <c r="H589" s="8">
        <v>3</v>
      </c>
      <c r="I589" s="9">
        <v>145000</v>
      </c>
      <c r="J589" s="9">
        <f t="shared" si="8"/>
        <v>435000</v>
      </c>
      <c r="K589" s="6"/>
    </row>
    <row r="590" spans="1:11" x14ac:dyDescent="0.25">
      <c r="A590" s="4" t="s">
        <v>201</v>
      </c>
      <c r="B590" s="5" t="s">
        <v>118</v>
      </c>
      <c r="C590" s="4" t="s">
        <v>67</v>
      </c>
      <c r="D590" s="5" t="s">
        <v>202</v>
      </c>
      <c r="E590" s="7" t="s">
        <v>53</v>
      </c>
      <c r="F590" s="7" t="s">
        <v>54</v>
      </c>
      <c r="G590" s="7" t="s">
        <v>14</v>
      </c>
      <c r="H590" s="8">
        <v>3</v>
      </c>
      <c r="I590" s="9">
        <v>47000</v>
      </c>
      <c r="J590" s="9">
        <f t="shared" si="8"/>
        <v>141000</v>
      </c>
      <c r="K590" s="6"/>
    </row>
    <row r="591" spans="1:11" x14ac:dyDescent="0.25">
      <c r="A591" s="4" t="s">
        <v>201</v>
      </c>
      <c r="B591" s="5" t="s">
        <v>118</v>
      </c>
      <c r="C591" s="4" t="s">
        <v>67</v>
      </c>
      <c r="D591" s="5" t="s">
        <v>202</v>
      </c>
      <c r="E591" s="7" t="s">
        <v>80</v>
      </c>
      <c r="F591" s="7" t="s">
        <v>79</v>
      </c>
      <c r="G591" s="7" t="s">
        <v>14</v>
      </c>
      <c r="H591" s="8">
        <v>0.9</v>
      </c>
      <c r="I591" s="9">
        <v>90000</v>
      </c>
      <c r="J591" s="9">
        <f t="shared" si="8"/>
        <v>81000</v>
      </c>
      <c r="K591" s="6"/>
    </row>
    <row r="592" spans="1:11" x14ac:dyDescent="0.25">
      <c r="A592" s="4" t="s">
        <v>201</v>
      </c>
      <c r="B592" s="5" t="s">
        <v>118</v>
      </c>
      <c r="C592" s="4" t="s">
        <v>67</v>
      </c>
      <c r="D592" s="5" t="s">
        <v>202</v>
      </c>
      <c r="E592" s="7" t="s">
        <v>61</v>
      </c>
      <c r="F592" s="7" t="s">
        <v>62</v>
      </c>
      <c r="G592" s="7" t="s">
        <v>14</v>
      </c>
      <c r="H592" s="8">
        <v>1</v>
      </c>
      <c r="I592" s="9">
        <v>80000</v>
      </c>
      <c r="J592" s="9">
        <f t="shared" ref="J592:J612" si="9">H592*I592</f>
        <v>80000</v>
      </c>
      <c r="K592" s="6"/>
    </row>
    <row r="593" spans="1:11" ht="28.5" x14ac:dyDescent="0.25">
      <c r="A593" s="4" t="s">
        <v>201</v>
      </c>
      <c r="B593" s="5" t="s">
        <v>118</v>
      </c>
      <c r="C593" s="4" t="s">
        <v>67</v>
      </c>
      <c r="D593" s="5" t="s">
        <v>202</v>
      </c>
      <c r="E593" s="7" t="s">
        <v>29</v>
      </c>
      <c r="F593" s="7" t="s">
        <v>30</v>
      </c>
      <c r="G593" s="7" t="s">
        <v>14</v>
      </c>
      <c r="H593" s="8">
        <v>7</v>
      </c>
      <c r="I593" s="9">
        <v>45000</v>
      </c>
      <c r="J593" s="9">
        <f t="shared" si="9"/>
        <v>315000</v>
      </c>
      <c r="K593" s="6"/>
    </row>
    <row r="594" spans="1:11" ht="28.5" x14ac:dyDescent="0.25">
      <c r="A594" s="4" t="s">
        <v>201</v>
      </c>
      <c r="B594" s="5" t="s">
        <v>118</v>
      </c>
      <c r="C594" s="4" t="s">
        <v>67</v>
      </c>
      <c r="D594" s="5" t="s">
        <v>202</v>
      </c>
      <c r="E594" s="7" t="s">
        <v>78</v>
      </c>
      <c r="F594" s="7" t="s">
        <v>77</v>
      </c>
      <c r="G594" s="7" t="s">
        <v>14</v>
      </c>
      <c r="H594" s="8">
        <v>1.2</v>
      </c>
      <c r="I594" s="9">
        <v>90000</v>
      </c>
      <c r="J594" s="9">
        <f t="shared" si="9"/>
        <v>108000</v>
      </c>
      <c r="K594" s="6"/>
    </row>
    <row r="595" spans="1:11" x14ac:dyDescent="0.25">
      <c r="A595" s="4" t="s">
        <v>201</v>
      </c>
      <c r="B595" s="5" t="s">
        <v>118</v>
      </c>
      <c r="C595" s="4" t="s">
        <v>67</v>
      </c>
      <c r="D595" s="5" t="s">
        <v>202</v>
      </c>
      <c r="E595" s="7" t="s">
        <v>105</v>
      </c>
      <c r="F595" s="7" t="s">
        <v>104</v>
      </c>
      <c r="G595" s="7" t="s">
        <v>14</v>
      </c>
      <c r="H595" s="8">
        <v>0.5</v>
      </c>
      <c r="I595" s="9">
        <v>195000</v>
      </c>
      <c r="J595" s="9">
        <f t="shared" si="9"/>
        <v>97500</v>
      </c>
      <c r="K595" s="6"/>
    </row>
    <row r="596" spans="1:11" x14ac:dyDescent="0.25">
      <c r="A596" s="4" t="s">
        <v>201</v>
      </c>
      <c r="B596" s="5" t="s">
        <v>118</v>
      </c>
      <c r="C596" s="4" t="s">
        <v>67</v>
      </c>
      <c r="D596" s="5" t="s">
        <v>202</v>
      </c>
      <c r="E596" s="7" t="s">
        <v>63</v>
      </c>
      <c r="F596" s="7" t="s">
        <v>64</v>
      </c>
      <c r="G596" s="7" t="s">
        <v>14</v>
      </c>
      <c r="H596" s="8">
        <v>3.5</v>
      </c>
      <c r="I596" s="9">
        <v>45000</v>
      </c>
      <c r="J596" s="9">
        <f t="shared" si="9"/>
        <v>157500</v>
      </c>
      <c r="K596" s="6"/>
    </row>
    <row r="597" spans="1:11" x14ac:dyDescent="0.25">
      <c r="A597" s="4" t="s">
        <v>201</v>
      </c>
      <c r="B597" s="5" t="s">
        <v>118</v>
      </c>
      <c r="C597" s="4" t="s">
        <v>67</v>
      </c>
      <c r="D597" s="5" t="s">
        <v>202</v>
      </c>
      <c r="E597" s="7" t="s">
        <v>55</v>
      </c>
      <c r="F597" s="7" t="s">
        <v>56</v>
      </c>
      <c r="G597" s="7" t="s">
        <v>14</v>
      </c>
      <c r="H597" s="8">
        <v>0.1</v>
      </c>
      <c r="I597" s="9">
        <v>70000</v>
      </c>
      <c r="J597" s="9">
        <f t="shared" si="9"/>
        <v>7000</v>
      </c>
      <c r="K597" s="6"/>
    </row>
    <row r="598" spans="1:11" x14ac:dyDescent="0.25">
      <c r="A598" s="4" t="s">
        <v>201</v>
      </c>
      <c r="B598" s="5" t="s">
        <v>118</v>
      </c>
      <c r="C598" s="4" t="s">
        <v>67</v>
      </c>
      <c r="D598" s="5" t="s">
        <v>202</v>
      </c>
      <c r="E598" s="7" t="s">
        <v>41</v>
      </c>
      <c r="F598" s="7" t="s">
        <v>42</v>
      </c>
      <c r="G598" s="7" t="s">
        <v>14</v>
      </c>
      <c r="H598" s="8">
        <v>1.5</v>
      </c>
      <c r="I598" s="9">
        <v>145000</v>
      </c>
      <c r="J598" s="9">
        <f t="shared" si="9"/>
        <v>217500</v>
      </c>
      <c r="K598" s="6"/>
    </row>
    <row r="599" spans="1:11" x14ac:dyDescent="0.25">
      <c r="A599" s="4" t="s">
        <v>201</v>
      </c>
      <c r="B599" s="5" t="s">
        <v>118</v>
      </c>
      <c r="C599" s="4" t="s">
        <v>67</v>
      </c>
      <c r="D599" s="5" t="s">
        <v>202</v>
      </c>
      <c r="E599" s="7" t="s">
        <v>57</v>
      </c>
      <c r="F599" s="7" t="s">
        <v>58</v>
      </c>
      <c r="G599" s="7" t="s">
        <v>14</v>
      </c>
      <c r="H599" s="8">
        <v>0.3</v>
      </c>
      <c r="I599" s="9">
        <v>148000</v>
      </c>
      <c r="J599" s="9">
        <f t="shared" si="9"/>
        <v>44400</v>
      </c>
      <c r="K599" s="6"/>
    </row>
    <row r="600" spans="1:11" x14ac:dyDescent="0.25">
      <c r="A600" s="4" t="s">
        <v>201</v>
      </c>
      <c r="B600" s="5" t="s">
        <v>118</v>
      </c>
      <c r="C600" s="4" t="s">
        <v>67</v>
      </c>
      <c r="D600" s="5" t="s">
        <v>202</v>
      </c>
      <c r="E600" s="7" t="s">
        <v>157</v>
      </c>
      <c r="F600" s="7" t="s">
        <v>158</v>
      </c>
      <c r="G600" s="7" t="s">
        <v>14</v>
      </c>
      <c r="H600" s="8">
        <v>0.2</v>
      </c>
      <c r="I600" s="9">
        <v>36000</v>
      </c>
      <c r="J600" s="9">
        <f t="shared" si="9"/>
        <v>7200</v>
      </c>
      <c r="K600" s="6"/>
    </row>
    <row r="601" spans="1:11" x14ac:dyDescent="0.25">
      <c r="A601" s="4" t="s">
        <v>201</v>
      </c>
      <c r="B601" s="5" t="s">
        <v>118</v>
      </c>
      <c r="C601" s="4" t="s">
        <v>67</v>
      </c>
      <c r="D601" s="5" t="s">
        <v>202</v>
      </c>
      <c r="E601" s="7" t="s">
        <v>47</v>
      </c>
      <c r="F601" s="7" t="s">
        <v>48</v>
      </c>
      <c r="G601" s="7" t="s">
        <v>14</v>
      </c>
      <c r="H601" s="8">
        <v>1.5</v>
      </c>
      <c r="I601" s="9">
        <v>21000</v>
      </c>
      <c r="J601" s="9">
        <f t="shared" si="9"/>
        <v>31500</v>
      </c>
      <c r="K601" s="6"/>
    </row>
    <row r="602" spans="1:11" x14ac:dyDescent="0.25">
      <c r="A602" s="4" t="s">
        <v>201</v>
      </c>
      <c r="B602" s="5" t="s">
        <v>118</v>
      </c>
      <c r="C602" s="4" t="s">
        <v>67</v>
      </c>
      <c r="D602" s="5" t="s">
        <v>202</v>
      </c>
      <c r="E602" s="7" t="s">
        <v>74</v>
      </c>
      <c r="F602" s="7" t="s">
        <v>73</v>
      </c>
      <c r="G602" s="7" t="s">
        <v>14</v>
      </c>
      <c r="H602" s="8">
        <v>0.1</v>
      </c>
      <c r="I602" s="9">
        <v>42000</v>
      </c>
      <c r="J602" s="9">
        <f t="shared" si="9"/>
        <v>4200</v>
      </c>
      <c r="K602" s="6"/>
    </row>
    <row r="603" spans="1:11" x14ac:dyDescent="0.25">
      <c r="A603" s="4" t="s">
        <v>201</v>
      </c>
      <c r="B603" s="5" t="s">
        <v>118</v>
      </c>
      <c r="C603" s="4" t="s">
        <v>67</v>
      </c>
      <c r="D603" s="5" t="s">
        <v>202</v>
      </c>
      <c r="E603" s="7" t="s">
        <v>27</v>
      </c>
      <c r="F603" s="7" t="s">
        <v>28</v>
      </c>
      <c r="G603" s="7" t="s">
        <v>14</v>
      </c>
      <c r="H603" s="8">
        <v>1.5</v>
      </c>
      <c r="I603" s="9">
        <v>50000</v>
      </c>
      <c r="J603" s="9">
        <f t="shared" si="9"/>
        <v>75000</v>
      </c>
      <c r="K603" s="6"/>
    </row>
    <row r="604" spans="1:11" x14ac:dyDescent="0.25">
      <c r="A604" s="4" t="s">
        <v>201</v>
      </c>
      <c r="B604" s="5" t="s">
        <v>118</v>
      </c>
      <c r="C604" s="4" t="s">
        <v>67</v>
      </c>
      <c r="D604" s="5" t="s">
        <v>202</v>
      </c>
      <c r="E604" s="7" t="s">
        <v>165</v>
      </c>
      <c r="F604" s="7" t="s">
        <v>166</v>
      </c>
      <c r="G604" s="7" t="s">
        <v>70</v>
      </c>
      <c r="H604" s="8">
        <v>15</v>
      </c>
      <c r="I604" s="9">
        <v>9000</v>
      </c>
      <c r="J604" s="9">
        <f t="shared" si="9"/>
        <v>135000</v>
      </c>
      <c r="K604" s="6"/>
    </row>
    <row r="605" spans="1:11" x14ac:dyDescent="0.25">
      <c r="A605" s="4" t="s">
        <v>201</v>
      </c>
      <c r="B605" s="5" t="s">
        <v>118</v>
      </c>
      <c r="C605" s="4" t="s">
        <v>67</v>
      </c>
      <c r="D605" s="5" t="s">
        <v>202</v>
      </c>
      <c r="E605" s="7" t="s">
        <v>72</v>
      </c>
      <c r="F605" s="7" t="s">
        <v>71</v>
      </c>
      <c r="G605" s="7" t="s">
        <v>70</v>
      </c>
      <c r="H605" s="8">
        <v>30</v>
      </c>
      <c r="I605" s="9">
        <v>5000</v>
      </c>
      <c r="J605" s="9">
        <f t="shared" si="9"/>
        <v>150000</v>
      </c>
      <c r="K605" s="6"/>
    </row>
    <row r="606" spans="1:11" x14ac:dyDescent="0.25">
      <c r="A606" s="4" t="s">
        <v>201</v>
      </c>
      <c r="B606" s="5" t="s">
        <v>118</v>
      </c>
      <c r="C606" s="4" t="s">
        <v>67</v>
      </c>
      <c r="D606" s="5" t="s">
        <v>202</v>
      </c>
      <c r="E606" s="7" t="s">
        <v>69</v>
      </c>
      <c r="F606" s="7" t="s">
        <v>68</v>
      </c>
      <c r="G606" s="7" t="s">
        <v>14</v>
      </c>
      <c r="H606" s="8">
        <v>0.22</v>
      </c>
      <c r="I606" s="9">
        <v>220000</v>
      </c>
      <c r="J606" s="9">
        <f t="shared" si="9"/>
        <v>48400</v>
      </c>
      <c r="K606" s="6"/>
    </row>
    <row r="607" spans="1:11" x14ac:dyDescent="0.25">
      <c r="A607" s="4" t="s">
        <v>201</v>
      </c>
      <c r="B607" s="5" t="s">
        <v>118</v>
      </c>
      <c r="C607" s="4" t="s">
        <v>67</v>
      </c>
      <c r="D607" s="5" t="s">
        <v>202</v>
      </c>
      <c r="E607" s="7" t="s">
        <v>66</v>
      </c>
      <c r="F607" s="7" t="s">
        <v>65</v>
      </c>
      <c r="G607" s="7" t="s">
        <v>14</v>
      </c>
      <c r="H607" s="8">
        <v>5</v>
      </c>
      <c r="I607" s="9">
        <v>62000</v>
      </c>
      <c r="J607" s="9">
        <f t="shared" si="9"/>
        <v>310000</v>
      </c>
      <c r="K607" s="6"/>
    </row>
    <row r="608" spans="1:11" x14ac:dyDescent="0.25">
      <c r="A608" s="4" t="s">
        <v>201</v>
      </c>
      <c r="B608" s="5" t="s">
        <v>118</v>
      </c>
      <c r="C608" s="4" t="s">
        <v>67</v>
      </c>
      <c r="D608" s="5" t="s">
        <v>203</v>
      </c>
      <c r="E608" s="7" t="s">
        <v>59</v>
      </c>
      <c r="F608" s="7" t="s">
        <v>60</v>
      </c>
      <c r="G608" s="7" t="s">
        <v>14</v>
      </c>
      <c r="H608" s="8">
        <v>5.3</v>
      </c>
      <c r="I608" s="9">
        <v>30000</v>
      </c>
      <c r="J608" s="9">
        <f t="shared" si="9"/>
        <v>159000</v>
      </c>
      <c r="K608" s="6"/>
    </row>
    <row r="609" spans="1:11" ht="42.75" x14ac:dyDescent="0.25">
      <c r="A609" s="4" t="s">
        <v>201</v>
      </c>
      <c r="B609" s="5" t="s">
        <v>118</v>
      </c>
      <c r="C609" s="4" t="s">
        <v>67</v>
      </c>
      <c r="D609" s="5" t="s">
        <v>203</v>
      </c>
      <c r="E609" s="7" t="s">
        <v>99</v>
      </c>
      <c r="F609" s="7" t="s">
        <v>98</v>
      </c>
      <c r="G609" s="7" t="s">
        <v>14</v>
      </c>
      <c r="H609" s="8">
        <v>0.8</v>
      </c>
      <c r="I609" s="9">
        <v>30000</v>
      </c>
      <c r="J609" s="9">
        <f t="shared" si="9"/>
        <v>24000</v>
      </c>
      <c r="K609" s="6"/>
    </row>
    <row r="610" spans="1:11" x14ac:dyDescent="0.25">
      <c r="A610" s="4" t="s">
        <v>201</v>
      </c>
      <c r="B610" s="5" t="s">
        <v>118</v>
      </c>
      <c r="C610" s="4" t="s">
        <v>67</v>
      </c>
      <c r="D610" s="5" t="s">
        <v>203</v>
      </c>
      <c r="E610" s="7" t="s">
        <v>37</v>
      </c>
      <c r="F610" s="7" t="s">
        <v>38</v>
      </c>
      <c r="G610" s="7" t="s">
        <v>14</v>
      </c>
      <c r="H610" s="8">
        <v>3.5</v>
      </c>
      <c r="I610" s="9">
        <v>27000</v>
      </c>
      <c r="J610" s="9">
        <f t="shared" si="9"/>
        <v>94500</v>
      </c>
      <c r="K610" s="6"/>
    </row>
    <row r="611" spans="1:11" ht="28.5" x14ac:dyDescent="0.25">
      <c r="A611" s="4" t="s">
        <v>201</v>
      </c>
      <c r="B611" s="5" t="s">
        <v>118</v>
      </c>
      <c r="C611" s="4" t="s">
        <v>67</v>
      </c>
      <c r="D611" s="5" t="s">
        <v>203</v>
      </c>
      <c r="E611" s="7" t="s">
        <v>78</v>
      </c>
      <c r="F611" s="7" t="s">
        <v>77</v>
      </c>
      <c r="G611" s="7" t="s">
        <v>14</v>
      </c>
      <c r="H611" s="8">
        <v>0.5</v>
      </c>
      <c r="I611" s="9">
        <v>90000</v>
      </c>
      <c r="J611" s="9">
        <f t="shared" si="9"/>
        <v>45000</v>
      </c>
      <c r="K611" s="6"/>
    </row>
    <row r="612" spans="1:11" x14ac:dyDescent="0.25">
      <c r="A612" s="4" t="s">
        <v>201</v>
      </c>
      <c r="B612" s="5" t="s">
        <v>118</v>
      </c>
      <c r="C612" s="4" t="s">
        <v>67</v>
      </c>
      <c r="D612" s="5" t="s">
        <v>203</v>
      </c>
      <c r="E612" s="7" t="s">
        <v>157</v>
      </c>
      <c r="F612" s="7" t="s">
        <v>158</v>
      </c>
      <c r="G612" s="7" t="s">
        <v>14</v>
      </c>
      <c r="H612" s="8">
        <v>0.2</v>
      </c>
      <c r="I612" s="9">
        <v>36000</v>
      </c>
      <c r="J612" s="9">
        <f t="shared" si="9"/>
        <v>7200</v>
      </c>
      <c r="K612" s="6"/>
    </row>
  </sheetData>
  <autoFilter ref="A14:M222" xr:uid="{D387264D-7755-4B35-BA3A-91CDF44EAED5}"/>
  <mergeCells count="7">
    <mergeCell ref="A10:K10"/>
    <mergeCell ref="A12:K12"/>
    <mergeCell ref="A2:C2"/>
    <mergeCell ref="D2:K2"/>
    <mergeCell ref="A4:K4"/>
    <mergeCell ref="A6:K6"/>
    <mergeCell ref="A8:K8"/>
  </mergeCells>
  <pageMargins left="1" right="1" top="1" bottom="1.3145799212598399" header="1" footer="1"/>
  <pageSetup orientation="portrait" horizontalDpi="300" verticalDpi="300"/>
  <headerFooter alignWithMargins="0">
    <oddFooter>&amp;L&amp;"Segoe UI"&amp;11&amp;P/&amp;N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28748-65CB-4027-866C-694DAA8ADBF9}">
  <dimension ref="A1:V387"/>
  <sheetViews>
    <sheetView showGridLines="0" tabSelected="1" topLeftCell="F1" workbookViewId="0">
      <selection activeCell="O24" sqref="O24"/>
    </sheetView>
  </sheetViews>
  <sheetFormatPr defaultRowHeight="15" x14ac:dyDescent="0.25"/>
  <cols>
    <col min="1" max="1" width="11.28515625" bestFit="1" customWidth="1"/>
    <col min="2" max="2" width="45.28515625" hidden="1" customWidth="1"/>
    <col min="3" max="3" width="22.7109375" customWidth="1"/>
    <col min="4" max="4" width="22.7109375" hidden="1" customWidth="1"/>
    <col min="5" max="5" width="12.28515625" bestFit="1" customWidth="1"/>
    <col min="6" max="6" width="22.140625" customWidth="1"/>
    <col min="7" max="7" width="8" customWidth="1"/>
    <col min="8" max="8" width="13.7109375" bestFit="1" customWidth="1"/>
    <col min="9" max="9" width="11.140625" bestFit="1" customWidth="1"/>
    <col min="10" max="10" width="14.28515625" bestFit="1" customWidth="1"/>
    <col min="11" max="11" width="18.140625" customWidth="1"/>
    <col min="15" max="15" width="11.5703125" customWidth="1"/>
    <col min="18" max="19" width="0" hidden="1" customWidth="1"/>
    <col min="20" max="20" width="25" hidden="1" customWidth="1"/>
  </cols>
  <sheetData>
    <row r="1" spans="1:22" ht="9.6" customHeight="1" x14ac:dyDescent="0.25"/>
    <row r="2" spans="1:22" ht="102.95" customHeight="1" x14ac:dyDescent="0.25">
      <c r="A2" s="37"/>
      <c r="B2" s="35"/>
      <c r="C2" s="36"/>
      <c r="D2" s="38" t="s">
        <v>0</v>
      </c>
      <c r="E2" s="35"/>
      <c r="F2" s="35"/>
      <c r="G2" s="35"/>
      <c r="H2" s="35"/>
      <c r="I2" s="35"/>
      <c r="J2" s="35"/>
      <c r="K2" s="36"/>
    </row>
    <row r="3" spans="1:22" ht="1.1499999999999999" customHeight="1" x14ac:dyDescent="0.25"/>
    <row r="4" spans="1:22" ht="24.75" customHeight="1" x14ac:dyDescent="0.25">
      <c r="A4" s="39" t="s">
        <v>1</v>
      </c>
      <c r="B4" s="35"/>
      <c r="C4" s="35"/>
      <c r="D4" s="35"/>
      <c r="E4" s="35"/>
      <c r="F4" s="35"/>
      <c r="G4" s="35"/>
      <c r="H4" s="35"/>
      <c r="I4" s="35"/>
      <c r="J4" s="35"/>
      <c r="K4" s="36"/>
    </row>
    <row r="5" spans="1:22" ht="2.1" customHeight="1" x14ac:dyDescent="0.25"/>
    <row r="6" spans="1:22" ht="22.5" customHeight="1" x14ac:dyDescent="0.25">
      <c r="A6" s="40" t="s">
        <v>154</v>
      </c>
      <c r="B6" s="35"/>
      <c r="C6" s="35"/>
      <c r="D6" s="35"/>
      <c r="E6" s="35"/>
      <c r="F6" s="35"/>
      <c r="G6" s="35"/>
      <c r="H6" s="35"/>
      <c r="I6" s="35"/>
      <c r="J6" s="35"/>
      <c r="K6" s="36"/>
    </row>
    <row r="7" spans="1:22" ht="3" customHeight="1" x14ac:dyDescent="0.25"/>
    <row r="8" spans="1:22" ht="24.95" customHeight="1" x14ac:dyDescent="0.25">
      <c r="A8" s="34" t="s">
        <v>147</v>
      </c>
      <c r="B8" s="35"/>
      <c r="C8" s="35"/>
      <c r="D8" s="35"/>
      <c r="E8" s="35"/>
      <c r="F8" s="35"/>
      <c r="G8" s="35"/>
      <c r="H8" s="35"/>
      <c r="I8" s="35"/>
      <c r="J8" s="35"/>
      <c r="K8" s="36"/>
    </row>
    <row r="9" spans="1:22" ht="4.1500000000000004" customHeight="1" x14ac:dyDescent="0.25"/>
    <row r="10" spans="1:22" ht="23.25" customHeight="1" x14ac:dyDescent="0.25">
      <c r="A10" s="34" t="s">
        <v>2</v>
      </c>
      <c r="B10" s="35"/>
      <c r="C10" s="35"/>
      <c r="D10" s="35"/>
      <c r="E10" s="35"/>
      <c r="F10" s="35"/>
      <c r="G10" s="35"/>
      <c r="H10" s="35"/>
      <c r="I10" s="35"/>
      <c r="J10" s="35"/>
      <c r="K10" s="36"/>
    </row>
    <row r="11" spans="1:22" ht="3.95" customHeight="1" x14ac:dyDescent="0.25"/>
    <row r="12" spans="1:22" ht="23.85" customHeight="1" x14ac:dyDescent="0.25">
      <c r="A12" s="34" t="s">
        <v>3</v>
      </c>
      <c r="B12" s="35"/>
      <c r="C12" s="35"/>
      <c r="D12" s="35"/>
      <c r="E12" s="35"/>
      <c r="F12" s="35"/>
      <c r="G12" s="35"/>
      <c r="H12" s="35"/>
      <c r="I12" s="35"/>
      <c r="J12" s="35"/>
      <c r="K12" s="36"/>
    </row>
    <row r="13" spans="1:22" ht="24.75" customHeight="1" x14ac:dyDescent="0.25">
      <c r="J13" s="10">
        <f>SUBTOTAL(9,J15:J387)</f>
        <v>27361370</v>
      </c>
      <c r="M13" s="12"/>
      <c r="N13" s="13" t="s">
        <v>807</v>
      </c>
      <c r="O13" s="13">
        <f>SUBTOTAL(9,O15:O908)</f>
        <v>23526920</v>
      </c>
      <c r="P13" s="13">
        <f>O13-Sheet2!N1</f>
        <v>0</v>
      </c>
      <c r="R13" s="14"/>
      <c r="U13" s="15"/>
    </row>
    <row r="14" spans="1:22" ht="24" x14ac:dyDescent="0.25">
      <c r="A14" s="1" t="s">
        <v>5</v>
      </c>
      <c r="B14" s="1" t="s">
        <v>115</v>
      </c>
      <c r="C14" s="1" t="s">
        <v>116</v>
      </c>
      <c r="D14" s="1" t="s">
        <v>4</v>
      </c>
      <c r="E14" s="2" t="s">
        <v>6</v>
      </c>
      <c r="F14" s="2" t="s">
        <v>7</v>
      </c>
      <c r="G14" s="1" t="s">
        <v>8</v>
      </c>
      <c r="H14" s="3" t="s">
        <v>117</v>
      </c>
      <c r="I14" s="1" t="s">
        <v>9</v>
      </c>
      <c r="J14" s="1" t="s">
        <v>10</v>
      </c>
      <c r="K14" s="1" t="s">
        <v>11</v>
      </c>
      <c r="L14" s="16" t="s">
        <v>808</v>
      </c>
      <c r="M14" s="17" t="s">
        <v>809</v>
      </c>
      <c r="N14" s="18" t="s">
        <v>233</v>
      </c>
      <c r="O14" s="18" t="s">
        <v>810</v>
      </c>
      <c r="P14" s="18" t="s">
        <v>811</v>
      </c>
      <c r="Q14" s="16" t="s">
        <v>812</v>
      </c>
      <c r="R14" s="19"/>
      <c r="S14" s="20"/>
      <c r="U14" s="16" t="s">
        <v>813</v>
      </c>
      <c r="V14" s="16" t="s">
        <v>814</v>
      </c>
    </row>
    <row r="15" spans="1:22" x14ac:dyDescent="0.25">
      <c r="A15" s="4" t="s">
        <v>155</v>
      </c>
      <c r="B15" s="5" t="s">
        <v>123</v>
      </c>
      <c r="C15" s="4" t="s">
        <v>124</v>
      </c>
      <c r="D15" s="5" t="s">
        <v>204</v>
      </c>
      <c r="E15" s="7" t="s">
        <v>12</v>
      </c>
      <c r="F15" s="7" t="s">
        <v>13</v>
      </c>
      <c r="G15" s="7" t="s">
        <v>14</v>
      </c>
      <c r="H15" s="8">
        <v>4.5999999999999996</v>
      </c>
      <c r="I15" s="9">
        <v>19000</v>
      </c>
      <c r="J15" s="9">
        <f>H15*I15</f>
        <v>87400</v>
      </c>
      <c r="K15" s="6" t="s">
        <v>15</v>
      </c>
      <c r="L15" s="21" t="str">
        <f>+VLOOKUP(E15,mã!$B$2:$F$229,2,0)</f>
        <v>NL300004</v>
      </c>
      <c r="M15" s="22">
        <f>+VLOOKUP(T15,Sheet2!$B$2:$P$372,10,0)</f>
        <v>4.5999999999999996</v>
      </c>
      <c r="N15" s="23">
        <f>+VLOOKUP(L15,mã!$C$2:$F$229,4,0)</f>
        <v>19000</v>
      </c>
      <c r="O15" s="23">
        <f t="shared" ref="O15" si="0">M15*N15</f>
        <v>87400</v>
      </c>
      <c r="P15" s="23">
        <f t="shared" ref="P15" si="1">J15-O15</f>
        <v>0</v>
      </c>
      <c r="Q15" s="21" t="str">
        <f>IF(U15=0," ","SAI SL NHẬN")</f>
        <v xml:space="preserve"> </v>
      </c>
      <c r="R15" s="14">
        <f>+VLOOKUP(T15,Sheet2!$B$2:$P$372,13,0)</f>
        <v>87400</v>
      </c>
      <c r="S15" s="24">
        <f t="shared" ref="S15" si="2">O15-R15</f>
        <v>0</v>
      </c>
      <c r="T15" t="str">
        <f>A15&amp;L15</f>
        <v>01/01/2026NL300004</v>
      </c>
      <c r="U15" s="15">
        <f t="shared" ref="U15" si="3">H15-M15</f>
        <v>0</v>
      </c>
      <c r="V15" s="25">
        <f>I15-N15</f>
        <v>0</v>
      </c>
    </row>
    <row r="16" spans="1:22" ht="15.75" customHeight="1" x14ac:dyDescent="0.25">
      <c r="A16" s="4" t="s">
        <v>155</v>
      </c>
      <c r="B16" s="5" t="s">
        <v>123</v>
      </c>
      <c r="C16" s="4" t="s">
        <v>124</v>
      </c>
      <c r="D16" s="5" t="s">
        <v>204</v>
      </c>
      <c r="E16" s="7" t="s">
        <v>16</v>
      </c>
      <c r="F16" s="7" t="s">
        <v>17</v>
      </c>
      <c r="G16" s="7" t="s">
        <v>18</v>
      </c>
      <c r="H16" s="8">
        <v>25</v>
      </c>
      <c r="I16" s="9">
        <v>8500</v>
      </c>
      <c r="J16" s="9">
        <f t="shared" ref="J16:J79" si="4">H16*I16</f>
        <v>212500</v>
      </c>
      <c r="K16" s="6" t="s">
        <v>15</v>
      </c>
      <c r="L16" s="21" t="str">
        <f>+VLOOKUP(E16,mã!$B$2:$F$229,2,0)</f>
        <v>NL300107</v>
      </c>
      <c r="M16" s="22">
        <f>+VLOOKUP(T16,Sheet2!$B$2:$P$372,10,0)</f>
        <v>20</v>
      </c>
      <c r="N16" s="23">
        <f>+VLOOKUP(L16,mã!$C$2:$F$229,4,0)</f>
        <v>8500</v>
      </c>
      <c r="O16" s="23">
        <f t="shared" ref="O16:O79" si="5">M16*N16</f>
        <v>170000</v>
      </c>
      <c r="P16" s="23">
        <f t="shared" ref="P16:P79" si="6">J16-O16</f>
        <v>42500</v>
      </c>
      <c r="Q16" s="21" t="str">
        <f t="shared" ref="Q16:Q79" si="7">IF(U16=0," ","SAI SL NHẬN")</f>
        <v>SAI SL NHẬN</v>
      </c>
      <c r="R16" s="14">
        <f>+VLOOKUP(T16,Sheet2!$B$2:$P$372,13,0)</f>
        <v>170000</v>
      </c>
      <c r="S16" s="24">
        <f t="shared" ref="S16:S79" si="8">O16-R16</f>
        <v>0</v>
      </c>
      <c r="T16" t="str">
        <f t="shared" ref="T16:T79" si="9">A16&amp;L16</f>
        <v>01/01/2026NL300107</v>
      </c>
      <c r="U16" s="15">
        <f t="shared" ref="U16:U79" si="10">H16-M16</f>
        <v>5</v>
      </c>
      <c r="V16" s="25">
        <f t="shared" ref="V16:V79" si="11">I16-N16</f>
        <v>0</v>
      </c>
    </row>
    <row r="17" spans="1:22" ht="15" customHeight="1" x14ac:dyDescent="0.25">
      <c r="A17" s="4" t="s">
        <v>155</v>
      </c>
      <c r="B17" s="5" t="s">
        <v>123</v>
      </c>
      <c r="C17" s="4" t="s">
        <v>124</v>
      </c>
      <c r="D17" s="5" t="s">
        <v>204</v>
      </c>
      <c r="E17" s="7" t="s">
        <v>59</v>
      </c>
      <c r="F17" s="7" t="s">
        <v>60</v>
      </c>
      <c r="G17" s="7" t="s">
        <v>14</v>
      </c>
      <c r="H17" s="8">
        <v>2.9</v>
      </c>
      <c r="I17" s="9">
        <v>30000</v>
      </c>
      <c r="J17" s="9">
        <f t="shared" si="4"/>
        <v>87000</v>
      </c>
      <c r="K17" s="6" t="s">
        <v>15</v>
      </c>
      <c r="L17" s="21" t="str">
        <f>+VLOOKUP(E17,mã!$B$2:$F$229,2,0)</f>
        <v>NL300007</v>
      </c>
      <c r="M17" s="22">
        <f>+VLOOKUP(T17,Sheet2!$B$2:$P$372,10,0)</f>
        <v>2.9</v>
      </c>
      <c r="N17" s="23">
        <f>+VLOOKUP(L17,mã!$C$2:$F$229,4,0)</f>
        <v>30000</v>
      </c>
      <c r="O17" s="23">
        <f t="shared" si="5"/>
        <v>87000</v>
      </c>
      <c r="P17" s="23">
        <f t="shared" si="6"/>
        <v>0</v>
      </c>
      <c r="Q17" s="21" t="str">
        <f t="shared" si="7"/>
        <v xml:space="preserve"> </v>
      </c>
      <c r="R17" s="14">
        <f>+VLOOKUP(T17,Sheet2!$B$2:$P$372,13,0)</f>
        <v>87000</v>
      </c>
      <c r="S17" s="24">
        <f t="shared" si="8"/>
        <v>0</v>
      </c>
      <c r="T17" t="str">
        <f t="shared" si="9"/>
        <v>01/01/2026NL300007</v>
      </c>
      <c r="U17" s="15">
        <f t="shared" si="10"/>
        <v>0</v>
      </c>
      <c r="V17" s="25">
        <f t="shared" si="11"/>
        <v>0</v>
      </c>
    </row>
    <row r="18" spans="1:22" ht="15" customHeight="1" x14ac:dyDescent="0.25">
      <c r="A18" s="4" t="s">
        <v>155</v>
      </c>
      <c r="B18" s="5" t="s">
        <v>123</v>
      </c>
      <c r="C18" s="4" t="s">
        <v>124</v>
      </c>
      <c r="D18" s="5" t="s">
        <v>204</v>
      </c>
      <c r="E18" s="7" t="s">
        <v>101</v>
      </c>
      <c r="F18" s="7" t="s">
        <v>100</v>
      </c>
      <c r="G18" s="7" t="s">
        <v>14</v>
      </c>
      <c r="H18" s="8">
        <v>3.1</v>
      </c>
      <c r="I18" s="9">
        <v>40000</v>
      </c>
      <c r="J18" s="9">
        <f t="shared" si="4"/>
        <v>124000</v>
      </c>
      <c r="K18" s="6" t="s">
        <v>15</v>
      </c>
      <c r="L18" s="21" t="str">
        <f>+VLOOKUP(E18,mã!$B$2:$F$229,2,0)</f>
        <v>NL300008</v>
      </c>
      <c r="M18" s="22">
        <f>+VLOOKUP(T18,Sheet2!$B$2:$P$372,10,0)</f>
        <v>3.1</v>
      </c>
      <c r="N18" s="23">
        <f>+VLOOKUP(L18,mã!$C$2:$F$229,4,0)</f>
        <v>40000</v>
      </c>
      <c r="O18" s="23">
        <f t="shared" si="5"/>
        <v>124000</v>
      </c>
      <c r="P18" s="23">
        <f t="shared" si="6"/>
        <v>0</v>
      </c>
      <c r="Q18" s="21" t="str">
        <f t="shared" si="7"/>
        <v xml:space="preserve"> </v>
      </c>
      <c r="R18" s="14">
        <f>+VLOOKUP(T18,Sheet2!$B$2:$P$372,13,0)</f>
        <v>124000</v>
      </c>
      <c r="S18" s="24">
        <f t="shared" si="8"/>
        <v>0</v>
      </c>
      <c r="T18" t="str">
        <f t="shared" si="9"/>
        <v>01/01/2026NL300008</v>
      </c>
      <c r="U18" s="15">
        <f t="shared" si="10"/>
        <v>0</v>
      </c>
      <c r="V18" s="25">
        <f t="shared" si="11"/>
        <v>0</v>
      </c>
    </row>
    <row r="19" spans="1:22" x14ac:dyDescent="0.25">
      <c r="A19" s="4" t="s">
        <v>155</v>
      </c>
      <c r="B19" s="5" t="s">
        <v>123</v>
      </c>
      <c r="C19" s="4" t="s">
        <v>124</v>
      </c>
      <c r="D19" s="5" t="s">
        <v>204</v>
      </c>
      <c r="E19" s="7" t="s">
        <v>150</v>
      </c>
      <c r="F19" s="7" t="s">
        <v>151</v>
      </c>
      <c r="G19" s="7" t="s">
        <v>14</v>
      </c>
      <c r="H19" s="8">
        <v>1</v>
      </c>
      <c r="I19" s="9">
        <v>50000</v>
      </c>
      <c r="J19" s="9">
        <f t="shared" si="4"/>
        <v>50000</v>
      </c>
      <c r="K19" s="6" t="s">
        <v>15</v>
      </c>
      <c r="L19" s="21" t="str">
        <f>+VLOOKUP(E19,mã!$B$2:$F$229,2,0)</f>
        <v>NL300013</v>
      </c>
      <c r="M19" s="22">
        <f>+VLOOKUP(T19,Sheet2!$B$2:$P$372,10,0)</f>
        <v>1</v>
      </c>
      <c r="N19" s="23">
        <f>+VLOOKUP(L19,mã!$C$2:$F$229,4,0)</f>
        <v>50000</v>
      </c>
      <c r="O19" s="23">
        <f t="shared" si="5"/>
        <v>50000</v>
      </c>
      <c r="P19" s="23">
        <f t="shared" si="6"/>
        <v>0</v>
      </c>
      <c r="Q19" s="21" t="str">
        <f t="shared" si="7"/>
        <v xml:space="preserve"> </v>
      </c>
      <c r="R19" s="14">
        <f>+VLOOKUP(T19,Sheet2!$B$2:$P$372,13,0)</f>
        <v>50000</v>
      </c>
      <c r="S19" s="24">
        <f t="shared" si="8"/>
        <v>0</v>
      </c>
      <c r="T19" t="str">
        <f t="shared" si="9"/>
        <v>01/01/2026NL300013</v>
      </c>
      <c r="U19" s="15">
        <f t="shared" si="10"/>
        <v>0</v>
      </c>
      <c r="V19" s="25">
        <f t="shared" si="11"/>
        <v>0</v>
      </c>
    </row>
    <row r="20" spans="1:22" ht="18" customHeight="1" x14ac:dyDescent="0.25">
      <c r="A20" s="4" t="s">
        <v>155</v>
      </c>
      <c r="B20" s="5" t="s">
        <v>123</v>
      </c>
      <c r="C20" s="4" t="s">
        <v>124</v>
      </c>
      <c r="D20" s="5" t="s">
        <v>204</v>
      </c>
      <c r="E20" s="7" t="s">
        <v>131</v>
      </c>
      <c r="F20" s="7" t="s">
        <v>132</v>
      </c>
      <c r="G20" s="7" t="s">
        <v>14</v>
      </c>
      <c r="H20" s="8">
        <v>1</v>
      </c>
      <c r="I20" s="9">
        <v>55000</v>
      </c>
      <c r="J20" s="9">
        <f t="shared" si="4"/>
        <v>55000</v>
      </c>
      <c r="K20" s="6" t="s">
        <v>15</v>
      </c>
      <c r="L20" s="21" t="str">
        <f>+VLOOKUP(E20,mã!$B$2:$F$229,2,0)</f>
        <v>NL300014</v>
      </c>
      <c r="M20" s="22">
        <f>+VLOOKUP(T20,Sheet2!$B$2:$P$372,10,0)</f>
        <v>1</v>
      </c>
      <c r="N20" s="23">
        <f>+VLOOKUP(L20,mã!$C$2:$F$229,4,0)</f>
        <v>55000</v>
      </c>
      <c r="O20" s="23">
        <f t="shared" si="5"/>
        <v>55000</v>
      </c>
      <c r="P20" s="23">
        <f t="shared" si="6"/>
        <v>0</v>
      </c>
      <c r="Q20" s="21" t="str">
        <f t="shared" si="7"/>
        <v xml:space="preserve"> </v>
      </c>
      <c r="R20" s="14">
        <f>+VLOOKUP(T20,Sheet2!$B$2:$P$372,13,0)</f>
        <v>55000</v>
      </c>
      <c r="S20" s="24">
        <f t="shared" si="8"/>
        <v>0</v>
      </c>
      <c r="T20" t="str">
        <f t="shared" si="9"/>
        <v>01/01/2026NL300014</v>
      </c>
      <c r="U20" s="15">
        <f t="shared" si="10"/>
        <v>0</v>
      </c>
      <c r="V20" s="25">
        <f t="shared" si="11"/>
        <v>0</v>
      </c>
    </row>
    <row r="21" spans="1:22" ht="18" customHeight="1" x14ac:dyDescent="0.25">
      <c r="A21" s="4" t="s">
        <v>155</v>
      </c>
      <c r="B21" s="5" t="s">
        <v>123</v>
      </c>
      <c r="C21" s="4" t="s">
        <v>124</v>
      </c>
      <c r="D21" s="5" t="s">
        <v>204</v>
      </c>
      <c r="E21" s="7" t="s">
        <v>125</v>
      </c>
      <c r="F21" s="7" t="s">
        <v>126</v>
      </c>
      <c r="G21" s="7" t="s">
        <v>14</v>
      </c>
      <c r="H21" s="8">
        <v>3</v>
      </c>
      <c r="I21" s="9">
        <v>18000</v>
      </c>
      <c r="J21" s="9">
        <f t="shared" si="4"/>
        <v>54000</v>
      </c>
      <c r="K21" s="6" t="s">
        <v>15</v>
      </c>
      <c r="L21" s="21" t="str">
        <f>+VLOOKUP(E21,mã!$B$2:$F$229,2,0)</f>
        <v>NL300027</v>
      </c>
      <c r="M21" s="22">
        <f>+VLOOKUP(T21,Sheet2!$B$2:$P$372,10,0)</f>
        <v>3</v>
      </c>
      <c r="N21" s="23">
        <f>+VLOOKUP(L21,mã!$C$2:$F$229,4,0)</f>
        <v>18000</v>
      </c>
      <c r="O21" s="23">
        <f t="shared" si="5"/>
        <v>54000</v>
      </c>
      <c r="P21" s="23">
        <f t="shared" si="6"/>
        <v>0</v>
      </c>
      <c r="Q21" s="21" t="str">
        <f t="shared" si="7"/>
        <v xml:space="preserve"> </v>
      </c>
      <c r="R21" s="14">
        <f>+VLOOKUP(T21,Sheet2!$B$2:$P$372,13,0)</f>
        <v>54000</v>
      </c>
      <c r="S21" s="24">
        <f t="shared" si="8"/>
        <v>0</v>
      </c>
      <c r="T21" t="str">
        <f t="shared" si="9"/>
        <v>01/01/2026NL300027</v>
      </c>
      <c r="U21" s="15">
        <f t="shared" si="10"/>
        <v>0</v>
      </c>
      <c r="V21" s="25">
        <f t="shared" si="11"/>
        <v>0</v>
      </c>
    </row>
    <row r="22" spans="1:22" ht="18" customHeight="1" x14ac:dyDescent="0.25">
      <c r="A22" s="4" t="s">
        <v>155</v>
      </c>
      <c r="B22" s="5" t="s">
        <v>123</v>
      </c>
      <c r="C22" s="4" t="s">
        <v>124</v>
      </c>
      <c r="D22" s="5" t="s">
        <v>204</v>
      </c>
      <c r="E22" s="7" t="s">
        <v>205</v>
      </c>
      <c r="F22" s="7" t="s">
        <v>206</v>
      </c>
      <c r="G22" s="7" t="s">
        <v>207</v>
      </c>
      <c r="H22" s="8">
        <v>0.1</v>
      </c>
      <c r="I22" s="9">
        <v>10000</v>
      </c>
      <c r="J22" s="9">
        <f t="shared" si="4"/>
        <v>1000</v>
      </c>
      <c r="K22" s="6" t="s">
        <v>15</v>
      </c>
      <c r="L22" s="21" t="s">
        <v>802</v>
      </c>
      <c r="M22" s="22">
        <f>+VLOOKUP(T22,Sheet2!$B$2:$P$372,10,0)</f>
        <v>0.1</v>
      </c>
      <c r="N22" s="23">
        <f>+VLOOKUP(L22,mã!$C$2:$F$229,4,0)</f>
        <v>80000</v>
      </c>
      <c r="O22" s="23">
        <f t="shared" si="5"/>
        <v>8000</v>
      </c>
      <c r="P22" s="23">
        <f t="shared" si="6"/>
        <v>-7000</v>
      </c>
      <c r="Q22" s="21" t="str">
        <f t="shared" si="7"/>
        <v xml:space="preserve"> </v>
      </c>
      <c r="R22" s="14">
        <f>+VLOOKUP(T22,Sheet2!$B$2:$P$372,13,0)</f>
        <v>8000</v>
      </c>
      <c r="S22" s="24">
        <f t="shared" si="8"/>
        <v>0</v>
      </c>
      <c r="T22" t="str">
        <f t="shared" si="9"/>
        <v>01/01/2026NL300230</v>
      </c>
      <c r="U22" s="15">
        <f t="shared" si="10"/>
        <v>0</v>
      </c>
      <c r="V22" s="25">
        <f t="shared" si="11"/>
        <v>-70000</v>
      </c>
    </row>
    <row r="23" spans="1:22" x14ac:dyDescent="0.25">
      <c r="A23" s="4" t="s">
        <v>155</v>
      </c>
      <c r="B23" s="5" t="s">
        <v>123</v>
      </c>
      <c r="C23" s="4" t="s">
        <v>124</v>
      </c>
      <c r="D23" s="5" t="s">
        <v>204</v>
      </c>
      <c r="E23" s="7" t="s">
        <v>135</v>
      </c>
      <c r="F23" s="7" t="s">
        <v>136</v>
      </c>
      <c r="G23" s="7" t="s">
        <v>14</v>
      </c>
      <c r="H23" s="8">
        <v>0.2</v>
      </c>
      <c r="I23" s="9">
        <v>40000</v>
      </c>
      <c r="J23" s="9">
        <f t="shared" si="4"/>
        <v>8000</v>
      </c>
      <c r="K23" s="6" t="s">
        <v>15</v>
      </c>
      <c r="L23" s="21" t="str">
        <f>+VLOOKUP(E23,mã!$B$2:$F$229,2,0)</f>
        <v>NL300034</v>
      </c>
      <c r="M23" s="22">
        <f>+VLOOKUP(T23,Sheet2!$B$2:$P$372,10,0)</f>
        <v>0.2</v>
      </c>
      <c r="N23" s="23">
        <f>+VLOOKUP(L23,mã!$C$2:$F$229,4,0)</f>
        <v>40000</v>
      </c>
      <c r="O23" s="23">
        <f t="shared" si="5"/>
        <v>8000</v>
      </c>
      <c r="P23" s="23">
        <f t="shared" si="6"/>
        <v>0</v>
      </c>
      <c r="Q23" s="21" t="str">
        <f t="shared" si="7"/>
        <v xml:space="preserve"> </v>
      </c>
      <c r="R23" s="14">
        <f>+VLOOKUP(T23,Sheet2!$B$2:$P$372,13,0)</f>
        <v>8000</v>
      </c>
      <c r="S23" s="24">
        <f t="shared" si="8"/>
        <v>0</v>
      </c>
      <c r="T23" t="str">
        <f t="shared" si="9"/>
        <v>01/01/2026NL300034</v>
      </c>
      <c r="U23" s="15">
        <f t="shared" si="10"/>
        <v>0</v>
      </c>
      <c r="V23" s="25">
        <f t="shared" si="11"/>
        <v>0</v>
      </c>
    </row>
    <row r="24" spans="1:22" x14ac:dyDescent="0.25">
      <c r="A24" s="4" t="s">
        <v>155</v>
      </c>
      <c r="B24" s="5" t="s">
        <v>123</v>
      </c>
      <c r="C24" s="4" t="s">
        <v>124</v>
      </c>
      <c r="D24" s="5" t="s">
        <v>204</v>
      </c>
      <c r="E24" s="7" t="s">
        <v>127</v>
      </c>
      <c r="F24" s="7" t="s">
        <v>128</v>
      </c>
      <c r="G24" s="7" t="s">
        <v>14</v>
      </c>
      <c r="H24" s="8">
        <v>4</v>
      </c>
      <c r="I24" s="9">
        <v>13000</v>
      </c>
      <c r="J24" s="9">
        <f t="shared" si="4"/>
        <v>52000</v>
      </c>
      <c r="K24" s="6" t="s">
        <v>15</v>
      </c>
      <c r="L24" s="21" t="str">
        <f>+VLOOKUP(E24,mã!$B$2:$F$229,2,0)</f>
        <v>NL300033</v>
      </c>
      <c r="M24" s="22">
        <f>+VLOOKUP(T24,Sheet2!$B$2:$P$372,10,0)</f>
        <v>4</v>
      </c>
      <c r="N24" s="23">
        <f>+VLOOKUP(L24,mã!$C$2:$F$229,4,0)</f>
        <v>13000</v>
      </c>
      <c r="O24" s="23">
        <f t="shared" si="5"/>
        <v>52000</v>
      </c>
      <c r="P24" s="23">
        <f t="shared" si="6"/>
        <v>0</v>
      </c>
      <c r="Q24" s="21" t="str">
        <f t="shared" si="7"/>
        <v xml:space="preserve"> </v>
      </c>
      <c r="R24" s="14">
        <f>+VLOOKUP(T24,Sheet2!$B$2:$P$372,13,0)</f>
        <v>52000</v>
      </c>
      <c r="S24" s="24">
        <f t="shared" si="8"/>
        <v>0</v>
      </c>
      <c r="T24" t="str">
        <f t="shared" si="9"/>
        <v>01/01/2026NL300033</v>
      </c>
      <c r="U24" s="15">
        <f t="shared" si="10"/>
        <v>0</v>
      </c>
      <c r="V24" s="25">
        <f t="shared" si="11"/>
        <v>0</v>
      </c>
    </row>
    <row r="25" spans="1:22" x14ac:dyDescent="0.25">
      <c r="A25" s="4" t="s">
        <v>155</v>
      </c>
      <c r="B25" s="5" t="s">
        <v>123</v>
      </c>
      <c r="C25" s="4" t="s">
        <v>124</v>
      </c>
      <c r="D25" s="5" t="s">
        <v>204</v>
      </c>
      <c r="E25" s="7" t="s">
        <v>35</v>
      </c>
      <c r="F25" s="7" t="s">
        <v>36</v>
      </c>
      <c r="G25" s="7" t="s">
        <v>14</v>
      </c>
      <c r="H25" s="8">
        <v>0.5</v>
      </c>
      <c r="I25" s="9">
        <v>38000</v>
      </c>
      <c r="J25" s="9">
        <f t="shared" si="4"/>
        <v>19000</v>
      </c>
      <c r="K25" s="6" t="s">
        <v>15</v>
      </c>
      <c r="L25" s="21" t="s">
        <v>475</v>
      </c>
      <c r="M25" s="22">
        <f>+VLOOKUP(T25,Sheet2!$B$2:$P$372,10,0)</f>
        <v>0.5</v>
      </c>
      <c r="N25" s="23">
        <f>+VLOOKUP(L25,mã!$C$2:$F$229,4,0)</f>
        <v>30000</v>
      </c>
      <c r="O25" s="23">
        <f t="shared" si="5"/>
        <v>15000</v>
      </c>
      <c r="P25" s="23">
        <f t="shared" si="6"/>
        <v>4000</v>
      </c>
      <c r="Q25" s="21" t="str">
        <f t="shared" si="7"/>
        <v xml:space="preserve"> </v>
      </c>
      <c r="R25" s="14">
        <f>+VLOOKUP(T25,Sheet2!$B$2:$P$372,13,0)</f>
        <v>15000</v>
      </c>
      <c r="S25" s="24">
        <f t="shared" si="8"/>
        <v>0</v>
      </c>
      <c r="T25" t="str">
        <f t="shared" si="9"/>
        <v>01/01/2026NL300053</v>
      </c>
      <c r="U25" s="15">
        <f t="shared" si="10"/>
        <v>0</v>
      </c>
      <c r="V25" s="25">
        <f t="shared" si="11"/>
        <v>8000</v>
      </c>
    </row>
    <row r="26" spans="1:22" x14ac:dyDescent="0.25">
      <c r="A26" s="4" t="s">
        <v>155</v>
      </c>
      <c r="B26" s="5" t="s">
        <v>123</v>
      </c>
      <c r="C26" s="4" t="s">
        <v>124</v>
      </c>
      <c r="D26" s="5" t="s">
        <v>204</v>
      </c>
      <c r="E26" s="7" t="s">
        <v>19</v>
      </c>
      <c r="F26" s="7" t="s">
        <v>20</v>
      </c>
      <c r="G26" s="7" t="s">
        <v>14</v>
      </c>
      <c r="H26" s="8">
        <v>3</v>
      </c>
      <c r="I26" s="9">
        <v>32000</v>
      </c>
      <c r="J26" s="9">
        <f t="shared" si="4"/>
        <v>96000</v>
      </c>
      <c r="K26" s="6" t="s">
        <v>15</v>
      </c>
      <c r="L26" s="21" t="str">
        <f>+VLOOKUP(E26,mã!$B$2:$F$229,2,0)</f>
        <v>NL300038</v>
      </c>
      <c r="M26" s="22">
        <f>+VLOOKUP(T26,Sheet2!$B$2:$P$372,10,0)</f>
        <v>3</v>
      </c>
      <c r="N26" s="23">
        <f>+VLOOKUP(L26,mã!$C$2:$F$229,4,0)</f>
        <v>32000</v>
      </c>
      <c r="O26" s="23">
        <f t="shared" si="5"/>
        <v>96000</v>
      </c>
      <c r="P26" s="23">
        <f t="shared" si="6"/>
        <v>0</v>
      </c>
      <c r="Q26" s="21" t="str">
        <f t="shared" si="7"/>
        <v xml:space="preserve"> </v>
      </c>
      <c r="R26" s="14">
        <f>+VLOOKUP(T26,Sheet2!$B$2:$P$372,13,0)</f>
        <v>96000</v>
      </c>
      <c r="S26" s="24">
        <f t="shared" si="8"/>
        <v>0</v>
      </c>
      <c r="T26" t="str">
        <f t="shared" si="9"/>
        <v>01/01/2026NL300038</v>
      </c>
      <c r="U26" s="15">
        <f t="shared" si="10"/>
        <v>0</v>
      </c>
      <c r="V26" s="25">
        <f t="shared" si="11"/>
        <v>0</v>
      </c>
    </row>
    <row r="27" spans="1:22" ht="28.5" x14ac:dyDescent="0.25">
      <c r="A27" s="4" t="s">
        <v>155</v>
      </c>
      <c r="B27" s="5" t="s">
        <v>123</v>
      </c>
      <c r="C27" s="4" t="s">
        <v>124</v>
      </c>
      <c r="D27" s="5" t="s">
        <v>204</v>
      </c>
      <c r="E27" s="7" t="s">
        <v>89</v>
      </c>
      <c r="F27" s="7" t="s">
        <v>88</v>
      </c>
      <c r="G27" s="7" t="s">
        <v>87</v>
      </c>
      <c r="H27" s="8">
        <v>6</v>
      </c>
      <c r="I27" s="9">
        <v>15000</v>
      </c>
      <c r="J27" s="9">
        <f t="shared" si="4"/>
        <v>90000</v>
      </c>
      <c r="K27" s="6" t="s">
        <v>15</v>
      </c>
      <c r="L27" s="21" t="str">
        <f>+VLOOKUP(E27,mã!$B$2:$F$229,2,0)</f>
        <v>NL300041</v>
      </c>
      <c r="M27" s="22">
        <f>+VLOOKUP(T27,Sheet2!$B$2:$P$372,10,0)</f>
        <v>6</v>
      </c>
      <c r="N27" s="23">
        <f>+VLOOKUP(L27,mã!$C$2:$F$229,4,0)</f>
        <v>15000</v>
      </c>
      <c r="O27" s="23">
        <f t="shared" si="5"/>
        <v>90000</v>
      </c>
      <c r="P27" s="23">
        <f t="shared" si="6"/>
        <v>0</v>
      </c>
      <c r="Q27" s="21" t="str">
        <f t="shared" si="7"/>
        <v xml:space="preserve"> </v>
      </c>
      <c r="R27" s="14">
        <f>+VLOOKUP(T27,Sheet2!$B$2:$P$372,13,0)</f>
        <v>90000</v>
      </c>
      <c r="S27" s="24">
        <f t="shared" si="8"/>
        <v>0</v>
      </c>
      <c r="T27" t="str">
        <f t="shared" si="9"/>
        <v>01/01/2026NL300041</v>
      </c>
      <c r="U27" s="15">
        <f t="shared" si="10"/>
        <v>0</v>
      </c>
      <c r="V27" s="25">
        <f t="shared" si="11"/>
        <v>0</v>
      </c>
    </row>
    <row r="28" spans="1:22" x14ac:dyDescent="0.25">
      <c r="A28" s="4" t="s">
        <v>155</v>
      </c>
      <c r="B28" s="5" t="s">
        <v>123</v>
      </c>
      <c r="C28" s="4" t="s">
        <v>124</v>
      </c>
      <c r="D28" s="5" t="s">
        <v>204</v>
      </c>
      <c r="E28" s="7" t="s">
        <v>51</v>
      </c>
      <c r="F28" s="7" t="s">
        <v>52</v>
      </c>
      <c r="G28" s="7" t="s">
        <v>14</v>
      </c>
      <c r="H28" s="8">
        <v>21</v>
      </c>
      <c r="I28" s="9">
        <v>18000</v>
      </c>
      <c r="J28" s="9">
        <f t="shared" si="4"/>
        <v>378000</v>
      </c>
      <c r="K28" s="6" t="s">
        <v>15</v>
      </c>
      <c r="L28" s="21" t="str">
        <f>+VLOOKUP(E28,mã!$B$2:$F$229,2,0)</f>
        <v>NL600004</v>
      </c>
      <c r="M28" s="22">
        <f>+VLOOKUP(T28,Sheet2!$B$2:$P$372,10,0)</f>
        <v>21</v>
      </c>
      <c r="N28" s="23">
        <f>+VLOOKUP(L28,mã!$C$2:$F$229,4,0)</f>
        <v>18000</v>
      </c>
      <c r="O28" s="23">
        <f t="shared" si="5"/>
        <v>378000</v>
      </c>
      <c r="P28" s="23">
        <f t="shared" si="6"/>
        <v>0</v>
      </c>
      <c r="Q28" s="21" t="str">
        <f t="shared" si="7"/>
        <v xml:space="preserve"> </v>
      </c>
      <c r="R28" s="14">
        <f>+VLOOKUP(T28,Sheet2!$B$2:$P$372,13,0)</f>
        <v>378000</v>
      </c>
      <c r="S28" s="24">
        <f t="shared" si="8"/>
        <v>0</v>
      </c>
      <c r="T28" t="str">
        <f t="shared" si="9"/>
        <v>01/01/2026NL600004</v>
      </c>
      <c r="U28" s="15">
        <f t="shared" si="10"/>
        <v>0</v>
      </c>
      <c r="V28" s="25">
        <f t="shared" si="11"/>
        <v>0</v>
      </c>
    </row>
    <row r="29" spans="1:22" x14ac:dyDescent="0.25">
      <c r="A29" s="4" t="s">
        <v>155</v>
      </c>
      <c r="B29" s="5" t="s">
        <v>123</v>
      </c>
      <c r="C29" s="4" t="s">
        <v>124</v>
      </c>
      <c r="D29" s="5" t="s">
        <v>204</v>
      </c>
      <c r="E29" s="7" t="s">
        <v>129</v>
      </c>
      <c r="F29" s="7" t="s">
        <v>130</v>
      </c>
      <c r="G29" s="7" t="s">
        <v>14</v>
      </c>
      <c r="H29" s="8">
        <v>4</v>
      </c>
      <c r="I29" s="9">
        <v>18000</v>
      </c>
      <c r="J29" s="9">
        <f t="shared" si="4"/>
        <v>72000</v>
      </c>
      <c r="K29" s="6" t="s">
        <v>15</v>
      </c>
      <c r="L29" s="21" t="str">
        <f>+VLOOKUP(E29,mã!$B$2:$F$229,2,0)</f>
        <v>NL300048</v>
      </c>
      <c r="M29" s="22">
        <f>+VLOOKUP(T29,Sheet2!$B$2:$P$372,10,0)</f>
        <v>4</v>
      </c>
      <c r="N29" s="23">
        <f>+VLOOKUP(L29,mã!$C$2:$F$229,4,0)</f>
        <v>18000</v>
      </c>
      <c r="O29" s="23">
        <f t="shared" si="5"/>
        <v>72000</v>
      </c>
      <c r="P29" s="23">
        <f t="shared" si="6"/>
        <v>0</v>
      </c>
      <c r="Q29" s="21" t="str">
        <f t="shared" si="7"/>
        <v xml:space="preserve"> </v>
      </c>
      <c r="R29" s="14">
        <f>+VLOOKUP(T29,Sheet2!$B$2:$P$372,13,0)</f>
        <v>72000</v>
      </c>
      <c r="S29" s="24">
        <f t="shared" si="8"/>
        <v>0</v>
      </c>
      <c r="T29" t="str">
        <f t="shared" si="9"/>
        <v>01/01/2026NL300048</v>
      </c>
      <c r="U29" s="15">
        <f t="shared" si="10"/>
        <v>0</v>
      </c>
      <c r="V29" s="25">
        <f t="shared" si="11"/>
        <v>0</v>
      </c>
    </row>
    <row r="30" spans="1:22" x14ac:dyDescent="0.25">
      <c r="A30" s="4" t="s">
        <v>155</v>
      </c>
      <c r="B30" s="5" t="s">
        <v>123</v>
      </c>
      <c r="C30" s="4" t="s">
        <v>124</v>
      </c>
      <c r="D30" s="5" t="s">
        <v>204</v>
      </c>
      <c r="E30" s="7" t="s">
        <v>208</v>
      </c>
      <c r="F30" s="11" t="s">
        <v>209</v>
      </c>
      <c r="G30" s="7" t="s">
        <v>14</v>
      </c>
      <c r="H30" s="8">
        <v>0.5</v>
      </c>
      <c r="I30" s="9"/>
      <c r="J30" s="9">
        <f t="shared" si="4"/>
        <v>0</v>
      </c>
      <c r="K30" s="6" t="s">
        <v>15</v>
      </c>
      <c r="L30" s="21" t="s">
        <v>804</v>
      </c>
      <c r="M30" s="22">
        <f>+VLOOKUP(T30,Sheet2!$B$2:$P$372,10,0)</f>
        <v>0.5</v>
      </c>
      <c r="N30" s="23">
        <f>+VLOOKUP(L30,mã!$C$2:$F$229,4,0)</f>
        <v>9000</v>
      </c>
      <c r="O30" s="23">
        <f t="shared" si="5"/>
        <v>4500</v>
      </c>
      <c r="P30" s="23">
        <f t="shared" si="6"/>
        <v>-4500</v>
      </c>
      <c r="Q30" s="21" t="str">
        <f t="shared" si="7"/>
        <v xml:space="preserve"> </v>
      </c>
      <c r="R30" s="14">
        <f>+VLOOKUP(T30,Sheet2!$B$2:$P$372,13,0)</f>
        <v>4500</v>
      </c>
      <c r="S30" s="24">
        <f t="shared" si="8"/>
        <v>0</v>
      </c>
      <c r="T30" t="str">
        <f t="shared" si="9"/>
        <v>01/01/2026NL300050</v>
      </c>
      <c r="U30" s="15">
        <f t="shared" si="10"/>
        <v>0</v>
      </c>
      <c r="V30" s="25">
        <f t="shared" si="11"/>
        <v>-9000</v>
      </c>
    </row>
    <row r="31" spans="1:22" x14ac:dyDescent="0.25">
      <c r="A31" s="4" t="s">
        <v>155</v>
      </c>
      <c r="B31" s="5" t="s">
        <v>123</v>
      </c>
      <c r="C31" s="4" t="s">
        <v>124</v>
      </c>
      <c r="D31" s="5" t="s">
        <v>204</v>
      </c>
      <c r="E31" s="7" t="s">
        <v>21</v>
      </c>
      <c r="F31" s="7" t="s">
        <v>22</v>
      </c>
      <c r="G31" s="7" t="s">
        <v>14</v>
      </c>
      <c r="H31" s="8">
        <v>0.3</v>
      </c>
      <c r="I31" s="9">
        <v>55000</v>
      </c>
      <c r="J31" s="9">
        <f t="shared" si="4"/>
        <v>16500</v>
      </c>
      <c r="K31" s="6" t="s">
        <v>15</v>
      </c>
      <c r="L31" s="21" t="str">
        <f>+VLOOKUP(E31,mã!$B$2:$F$229,2,0)</f>
        <v>NL300058</v>
      </c>
      <c r="M31" s="22">
        <f>+VLOOKUP(T31,Sheet2!$B$2:$P$372,10,0)</f>
        <v>0.3</v>
      </c>
      <c r="N31" s="23">
        <f>+VLOOKUP(L31,mã!$C$2:$F$229,4,0)</f>
        <v>55000</v>
      </c>
      <c r="O31" s="23">
        <f t="shared" si="5"/>
        <v>16500</v>
      </c>
      <c r="P31" s="23">
        <f t="shared" si="6"/>
        <v>0</v>
      </c>
      <c r="Q31" s="21" t="str">
        <f t="shared" si="7"/>
        <v xml:space="preserve"> </v>
      </c>
      <c r="R31" s="14">
        <f>+VLOOKUP(T31,Sheet2!$B$2:$P$372,13,0)</f>
        <v>16500</v>
      </c>
      <c r="S31" s="24">
        <f t="shared" si="8"/>
        <v>0</v>
      </c>
      <c r="T31" t="str">
        <f t="shared" si="9"/>
        <v>01/01/2026NL300058</v>
      </c>
      <c r="U31" s="15">
        <f t="shared" si="10"/>
        <v>0</v>
      </c>
      <c r="V31" s="25">
        <f t="shared" si="11"/>
        <v>0</v>
      </c>
    </row>
    <row r="32" spans="1:22" x14ac:dyDescent="0.25">
      <c r="A32" s="4" t="s">
        <v>155</v>
      </c>
      <c r="B32" s="5" t="s">
        <v>123</v>
      </c>
      <c r="C32" s="4" t="s">
        <v>124</v>
      </c>
      <c r="D32" s="5" t="s">
        <v>204</v>
      </c>
      <c r="E32" s="7" t="s">
        <v>86</v>
      </c>
      <c r="F32" s="7" t="s">
        <v>85</v>
      </c>
      <c r="G32" s="7" t="s">
        <v>14</v>
      </c>
      <c r="H32" s="8">
        <v>0.6</v>
      </c>
      <c r="I32" s="9">
        <v>38000</v>
      </c>
      <c r="J32" s="9">
        <f t="shared" si="4"/>
        <v>22800</v>
      </c>
      <c r="K32" s="6" t="s">
        <v>15</v>
      </c>
      <c r="L32" s="21" t="str">
        <f>+VLOOKUP(E32,mã!$B$2:$F$229,2,0)</f>
        <v>NL300061</v>
      </c>
      <c r="M32" s="22">
        <f>+VLOOKUP(T32,Sheet2!$B$2:$P$372,10,0)</f>
        <v>0.6</v>
      </c>
      <c r="N32" s="23">
        <f>+VLOOKUP(L32,mã!$C$2:$F$229,4,0)</f>
        <v>38000</v>
      </c>
      <c r="O32" s="23">
        <f t="shared" si="5"/>
        <v>22800</v>
      </c>
      <c r="P32" s="23">
        <f t="shared" si="6"/>
        <v>0</v>
      </c>
      <c r="Q32" s="21" t="str">
        <f t="shared" si="7"/>
        <v xml:space="preserve"> </v>
      </c>
      <c r="R32" s="14">
        <f>+VLOOKUP(T32,Sheet2!$B$2:$P$372,13,0)</f>
        <v>22800</v>
      </c>
      <c r="S32" s="24">
        <f t="shared" si="8"/>
        <v>0</v>
      </c>
      <c r="T32" t="str">
        <f t="shared" si="9"/>
        <v>01/01/2026NL300061</v>
      </c>
      <c r="U32" s="15">
        <f t="shared" si="10"/>
        <v>0</v>
      </c>
      <c r="V32" s="25">
        <f t="shared" si="11"/>
        <v>0</v>
      </c>
    </row>
    <row r="33" spans="1:22" x14ac:dyDescent="0.25">
      <c r="A33" s="4" t="s">
        <v>155</v>
      </c>
      <c r="B33" s="5" t="s">
        <v>123</v>
      </c>
      <c r="C33" s="4" t="s">
        <v>124</v>
      </c>
      <c r="D33" s="5" t="s">
        <v>204</v>
      </c>
      <c r="E33" s="7" t="s">
        <v>23</v>
      </c>
      <c r="F33" s="7" t="s">
        <v>24</v>
      </c>
      <c r="G33" s="7" t="s">
        <v>14</v>
      </c>
      <c r="H33" s="8">
        <v>3.1</v>
      </c>
      <c r="I33" s="9">
        <v>13000</v>
      </c>
      <c r="J33" s="9">
        <f t="shared" si="4"/>
        <v>40300</v>
      </c>
      <c r="K33" s="6" t="s">
        <v>15</v>
      </c>
      <c r="L33" s="21" t="str">
        <f>+VLOOKUP(E33,mã!$B$2:$F$229,2,0)</f>
        <v>NL300059</v>
      </c>
      <c r="M33" s="22">
        <f>+VLOOKUP(T33,Sheet2!$B$2:$P$372,10,0)</f>
        <v>2.2000000000000002</v>
      </c>
      <c r="N33" s="23">
        <f>+VLOOKUP(L33,mã!$C$2:$F$229,4,0)</f>
        <v>13000</v>
      </c>
      <c r="O33" s="23">
        <f t="shared" si="5"/>
        <v>28600.000000000004</v>
      </c>
      <c r="P33" s="23">
        <f t="shared" si="6"/>
        <v>11699.999999999996</v>
      </c>
      <c r="Q33" s="21" t="str">
        <f t="shared" si="7"/>
        <v>SAI SL NHẬN</v>
      </c>
      <c r="R33" s="14">
        <f>+VLOOKUP(T33,Sheet2!$B$2:$P$372,13,0)</f>
        <v>28600.000000000004</v>
      </c>
      <c r="S33" s="24">
        <f t="shared" si="8"/>
        <v>0</v>
      </c>
      <c r="T33" t="str">
        <f t="shared" si="9"/>
        <v>01/01/2026NL300059</v>
      </c>
      <c r="U33" s="15">
        <f t="shared" si="10"/>
        <v>0.89999999999999991</v>
      </c>
      <c r="V33" s="25">
        <f t="shared" si="11"/>
        <v>0</v>
      </c>
    </row>
    <row r="34" spans="1:22" x14ac:dyDescent="0.25">
      <c r="A34" s="4" t="s">
        <v>155</v>
      </c>
      <c r="B34" s="5" t="s">
        <v>123</v>
      </c>
      <c r="C34" s="4" t="s">
        <v>124</v>
      </c>
      <c r="D34" s="5" t="s">
        <v>204</v>
      </c>
      <c r="E34" s="7" t="s">
        <v>84</v>
      </c>
      <c r="F34" s="7" t="s">
        <v>83</v>
      </c>
      <c r="G34" s="7" t="s">
        <v>14</v>
      </c>
      <c r="H34" s="8">
        <v>3</v>
      </c>
      <c r="I34" s="9">
        <v>23000</v>
      </c>
      <c r="J34" s="9">
        <f t="shared" si="4"/>
        <v>69000</v>
      </c>
      <c r="K34" s="6" t="s">
        <v>15</v>
      </c>
      <c r="L34" s="21" t="str">
        <f>+VLOOKUP(E34,mã!$B$2:$F$229,2,0)</f>
        <v>NL300070</v>
      </c>
      <c r="M34" s="22">
        <f>+VLOOKUP(T34,Sheet2!$B$2:$P$372,10,0)</f>
        <v>3</v>
      </c>
      <c r="N34" s="23">
        <f>+VLOOKUP(L34,mã!$C$2:$F$229,4,0)</f>
        <v>23000</v>
      </c>
      <c r="O34" s="23">
        <f t="shared" si="5"/>
        <v>69000</v>
      </c>
      <c r="P34" s="23">
        <f t="shared" si="6"/>
        <v>0</v>
      </c>
      <c r="Q34" s="21" t="str">
        <f t="shared" si="7"/>
        <v xml:space="preserve"> </v>
      </c>
      <c r="R34" s="14">
        <f>+VLOOKUP(T34,Sheet2!$B$2:$P$372,13,0)</f>
        <v>69000</v>
      </c>
      <c r="S34" s="24">
        <f t="shared" si="8"/>
        <v>0</v>
      </c>
      <c r="T34" t="str">
        <f t="shared" si="9"/>
        <v>01/01/2026NL300070</v>
      </c>
      <c r="U34" s="15">
        <f t="shared" si="10"/>
        <v>0</v>
      </c>
      <c r="V34" s="25">
        <f t="shared" si="11"/>
        <v>0</v>
      </c>
    </row>
    <row r="35" spans="1:22" x14ac:dyDescent="0.25">
      <c r="A35" s="4" t="s">
        <v>155</v>
      </c>
      <c r="B35" s="5" t="s">
        <v>123</v>
      </c>
      <c r="C35" s="4" t="s">
        <v>124</v>
      </c>
      <c r="D35" s="5" t="s">
        <v>204</v>
      </c>
      <c r="E35" s="7" t="s">
        <v>152</v>
      </c>
      <c r="F35" s="7" t="s">
        <v>153</v>
      </c>
      <c r="G35" s="7" t="s">
        <v>14</v>
      </c>
      <c r="H35" s="8">
        <v>1.3</v>
      </c>
      <c r="I35" s="9">
        <v>20000</v>
      </c>
      <c r="J35" s="9">
        <f t="shared" si="4"/>
        <v>26000</v>
      </c>
      <c r="K35" s="6" t="s">
        <v>15</v>
      </c>
      <c r="L35" s="21" t="str">
        <f>+VLOOKUP(E35,mã!$B$2:$F$229,2,0)</f>
        <v>NL300071</v>
      </c>
      <c r="M35" s="22">
        <v>0</v>
      </c>
      <c r="N35" s="23">
        <f>+VLOOKUP(L35,mã!$C$2:$F$229,4,0)</f>
        <v>20000</v>
      </c>
      <c r="O35" s="23">
        <f t="shared" si="5"/>
        <v>0</v>
      </c>
      <c r="P35" s="23">
        <f t="shared" si="6"/>
        <v>26000</v>
      </c>
      <c r="Q35" s="21" t="str">
        <f t="shared" si="7"/>
        <v>SAI SL NHẬN</v>
      </c>
      <c r="R35" s="14">
        <v>0</v>
      </c>
      <c r="S35" s="24">
        <f t="shared" si="8"/>
        <v>0</v>
      </c>
      <c r="T35" t="str">
        <f t="shared" si="9"/>
        <v>01/01/2026NL300071</v>
      </c>
      <c r="U35" s="15">
        <f t="shared" si="10"/>
        <v>1.3</v>
      </c>
      <c r="V35" s="25">
        <f t="shared" si="11"/>
        <v>0</v>
      </c>
    </row>
    <row r="36" spans="1:22" x14ac:dyDescent="0.25">
      <c r="A36" s="4" t="s">
        <v>155</v>
      </c>
      <c r="B36" s="5" t="s">
        <v>123</v>
      </c>
      <c r="C36" s="4" t="s">
        <v>124</v>
      </c>
      <c r="D36" s="5" t="s">
        <v>204</v>
      </c>
      <c r="E36" s="7" t="s">
        <v>141</v>
      </c>
      <c r="F36" s="7" t="s">
        <v>142</v>
      </c>
      <c r="G36" s="7" t="s">
        <v>14</v>
      </c>
      <c r="H36" s="8">
        <v>4</v>
      </c>
      <c r="I36" s="9">
        <v>95000</v>
      </c>
      <c r="J36" s="9">
        <f t="shared" si="4"/>
        <v>380000</v>
      </c>
      <c r="K36" s="6" t="s">
        <v>15</v>
      </c>
      <c r="L36" s="21" t="str">
        <f>+VLOOKUP(E36,mã!$B$2:$F$229,2,0)</f>
        <v>NL300080</v>
      </c>
      <c r="M36" s="22">
        <f>+VLOOKUP(T36,Sheet2!$B$2:$P$372,10,0)</f>
        <v>4</v>
      </c>
      <c r="N36" s="23">
        <f>+VLOOKUP(L36,mã!$C$2:$F$229,4,0)</f>
        <v>95000</v>
      </c>
      <c r="O36" s="23">
        <f t="shared" si="5"/>
        <v>380000</v>
      </c>
      <c r="P36" s="23">
        <f t="shared" si="6"/>
        <v>0</v>
      </c>
      <c r="Q36" s="21" t="str">
        <f t="shared" si="7"/>
        <v xml:space="preserve"> </v>
      </c>
      <c r="R36" s="14">
        <f>+VLOOKUP(T36,Sheet2!$B$2:$P$372,13,0)</f>
        <v>380000</v>
      </c>
      <c r="S36" s="24">
        <f t="shared" si="8"/>
        <v>0</v>
      </c>
      <c r="T36" t="str">
        <f t="shared" si="9"/>
        <v>01/01/2026NL300080</v>
      </c>
      <c r="U36" s="15">
        <f t="shared" si="10"/>
        <v>0</v>
      </c>
      <c r="V36" s="25">
        <f t="shared" si="11"/>
        <v>0</v>
      </c>
    </row>
    <row r="37" spans="1:22" x14ac:dyDescent="0.25">
      <c r="A37" s="4" t="s">
        <v>155</v>
      </c>
      <c r="B37" s="5" t="s">
        <v>123</v>
      </c>
      <c r="C37" s="4" t="s">
        <v>124</v>
      </c>
      <c r="D37" s="5" t="s">
        <v>204</v>
      </c>
      <c r="E37" s="7" t="s">
        <v>39</v>
      </c>
      <c r="F37" s="7" t="s">
        <v>40</v>
      </c>
      <c r="G37" s="7" t="s">
        <v>14</v>
      </c>
      <c r="H37" s="8">
        <v>7</v>
      </c>
      <c r="I37" s="9">
        <v>145000</v>
      </c>
      <c r="J37" s="9">
        <f t="shared" si="4"/>
        <v>1015000</v>
      </c>
      <c r="K37" s="6" t="s">
        <v>15</v>
      </c>
      <c r="L37" s="21" t="str">
        <f>+VLOOKUP(E37,mã!$B$2:$F$229,2,0)</f>
        <v>NL300090</v>
      </c>
      <c r="M37" s="22">
        <f>+VLOOKUP(T37,Sheet2!$B$2:$P$372,10,0)</f>
        <v>7</v>
      </c>
      <c r="N37" s="23">
        <f>+VLOOKUP(L37,mã!$C$2:$F$229,4,0)</f>
        <v>145000</v>
      </c>
      <c r="O37" s="23">
        <f t="shared" si="5"/>
        <v>1015000</v>
      </c>
      <c r="P37" s="23">
        <f t="shared" si="6"/>
        <v>0</v>
      </c>
      <c r="Q37" s="21" t="str">
        <f t="shared" si="7"/>
        <v xml:space="preserve"> </v>
      </c>
      <c r="R37" s="14">
        <f>+VLOOKUP(T37,Sheet2!$B$2:$P$372,13,0)</f>
        <v>1015000</v>
      </c>
      <c r="S37" s="24">
        <f t="shared" si="8"/>
        <v>0</v>
      </c>
      <c r="T37" t="str">
        <f t="shared" si="9"/>
        <v>01/01/2026NL300090</v>
      </c>
      <c r="U37" s="15">
        <f t="shared" si="10"/>
        <v>0</v>
      </c>
      <c r="V37" s="25">
        <f t="shared" si="11"/>
        <v>0</v>
      </c>
    </row>
    <row r="38" spans="1:22" x14ac:dyDescent="0.25">
      <c r="A38" s="4" t="s">
        <v>155</v>
      </c>
      <c r="B38" s="5" t="s">
        <v>123</v>
      </c>
      <c r="C38" s="4" t="s">
        <v>124</v>
      </c>
      <c r="D38" s="5" t="s">
        <v>204</v>
      </c>
      <c r="E38" s="7" t="s">
        <v>53</v>
      </c>
      <c r="F38" s="7" t="s">
        <v>54</v>
      </c>
      <c r="G38" s="7" t="s">
        <v>14</v>
      </c>
      <c r="H38" s="8">
        <v>2</v>
      </c>
      <c r="I38" s="9">
        <v>47000</v>
      </c>
      <c r="J38" s="9">
        <f t="shared" si="4"/>
        <v>94000</v>
      </c>
      <c r="K38" s="6" t="s">
        <v>15</v>
      </c>
      <c r="L38" s="21" t="str">
        <f>+VLOOKUP(E38,mã!$B$2:$F$229,2,0)</f>
        <v>NL300091</v>
      </c>
      <c r="M38" s="22">
        <f>+VLOOKUP(T38,Sheet2!$B$2:$P$372,10,0)</f>
        <v>2</v>
      </c>
      <c r="N38" s="23">
        <f>+VLOOKUP(L38,mã!$C$2:$F$229,4,0)</f>
        <v>47000</v>
      </c>
      <c r="O38" s="23">
        <f t="shared" si="5"/>
        <v>94000</v>
      </c>
      <c r="P38" s="23">
        <f t="shared" si="6"/>
        <v>0</v>
      </c>
      <c r="Q38" s="21" t="str">
        <f t="shared" si="7"/>
        <v xml:space="preserve"> </v>
      </c>
      <c r="R38" s="14">
        <f>+VLOOKUP(T38,Sheet2!$B$2:$P$372,13,0)</f>
        <v>94000</v>
      </c>
      <c r="S38" s="24">
        <f t="shared" si="8"/>
        <v>0</v>
      </c>
      <c r="T38" t="str">
        <f t="shared" si="9"/>
        <v>01/01/2026NL300091</v>
      </c>
      <c r="U38" s="15">
        <f t="shared" si="10"/>
        <v>0</v>
      </c>
      <c r="V38" s="25">
        <f t="shared" si="11"/>
        <v>0</v>
      </c>
    </row>
    <row r="39" spans="1:22" x14ac:dyDescent="0.25">
      <c r="A39" s="4" t="s">
        <v>155</v>
      </c>
      <c r="B39" s="5" t="s">
        <v>123</v>
      </c>
      <c r="C39" s="4" t="s">
        <v>124</v>
      </c>
      <c r="D39" s="5" t="s">
        <v>204</v>
      </c>
      <c r="E39" s="7" t="s">
        <v>61</v>
      </c>
      <c r="F39" s="7" t="s">
        <v>62</v>
      </c>
      <c r="G39" s="7" t="s">
        <v>14</v>
      </c>
      <c r="H39" s="8">
        <v>2</v>
      </c>
      <c r="I39" s="9">
        <v>80000</v>
      </c>
      <c r="J39" s="9">
        <f t="shared" si="4"/>
        <v>160000</v>
      </c>
      <c r="K39" s="6" t="s">
        <v>15</v>
      </c>
      <c r="L39" s="21" t="str">
        <f>+VLOOKUP(E39,mã!$B$2:$F$229,2,0)</f>
        <v>NL300094</v>
      </c>
      <c r="M39" s="22">
        <v>0</v>
      </c>
      <c r="N39" s="23">
        <f>+VLOOKUP(L39,mã!$C$2:$F$229,4,0)</f>
        <v>80000</v>
      </c>
      <c r="O39" s="23">
        <f t="shared" si="5"/>
        <v>0</v>
      </c>
      <c r="P39" s="23">
        <f t="shared" si="6"/>
        <v>160000</v>
      </c>
      <c r="Q39" s="21" t="str">
        <f t="shared" si="7"/>
        <v>SAI SL NHẬN</v>
      </c>
      <c r="R39" s="14">
        <v>0</v>
      </c>
      <c r="S39" s="24">
        <f t="shared" si="8"/>
        <v>0</v>
      </c>
      <c r="T39" t="str">
        <f t="shared" si="9"/>
        <v>01/01/2026NL300094</v>
      </c>
      <c r="U39" s="15">
        <f t="shared" si="10"/>
        <v>2</v>
      </c>
      <c r="V39" s="25">
        <f t="shared" si="11"/>
        <v>0</v>
      </c>
    </row>
    <row r="40" spans="1:22" x14ac:dyDescent="0.25">
      <c r="A40" s="4" t="s">
        <v>155</v>
      </c>
      <c r="B40" s="5" t="s">
        <v>123</v>
      </c>
      <c r="C40" s="4" t="s">
        <v>124</v>
      </c>
      <c r="D40" s="5" t="s">
        <v>204</v>
      </c>
      <c r="E40" s="7" t="s">
        <v>29</v>
      </c>
      <c r="F40" s="7" t="s">
        <v>30</v>
      </c>
      <c r="G40" s="7" t="s">
        <v>14</v>
      </c>
      <c r="H40" s="8">
        <v>1</v>
      </c>
      <c r="I40" s="9">
        <v>45000</v>
      </c>
      <c r="J40" s="9">
        <f t="shared" si="4"/>
        <v>45000</v>
      </c>
      <c r="K40" s="6" t="s">
        <v>15</v>
      </c>
      <c r="L40" s="21" t="str">
        <f>+VLOOKUP(E40,mã!$B$2:$F$229,2,0)</f>
        <v>NL300096</v>
      </c>
      <c r="M40" s="22">
        <f>+VLOOKUP(T40,Sheet2!$B$2:$P$372,10,0)</f>
        <v>1</v>
      </c>
      <c r="N40" s="23">
        <f>+VLOOKUP(L40,mã!$C$2:$F$229,4,0)</f>
        <v>45000</v>
      </c>
      <c r="O40" s="23">
        <f t="shared" si="5"/>
        <v>45000</v>
      </c>
      <c r="P40" s="23">
        <f t="shared" si="6"/>
        <v>0</v>
      </c>
      <c r="Q40" s="21" t="str">
        <f t="shared" si="7"/>
        <v xml:space="preserve"> </v>
      </c>
      <c r="R40" s="14">
        <f>+VLOOKUP(T40,Sheet2!$B$2:$P$372,13,0)</f>
        <v>45000</v>
      </c>
      <c r="S40" s="24">
        <f t="shared" si="8"/>
        <v>0</v>
      </c>
      <c r="T40" t="str">
        <f t="shared" si="9"/>
        <v>01/01/2026NL300096</v>
      </c>
      <c r="U40" s="15">
        <f t="shared" si="10"/>
        <v>0</v>
      </c>
      <c r="V40" s="25">
        <f t="shared" si="11"/>
        <v>0</v>
      </c>
    </row>
    <row r="41" spans="1:22" x14ac:dyDescent="0.25">
      <c r="A41" s="4" t="s">
        <v>155</v>
      </c>
      <c r="B41" s="5" t="s">
        <v>123</v>
      </c>
      <c r="C41" s="4" t="s">
        <v>124</v>
      </c>
      <c r="D41" s="5" t="s">
        <v>204</v>
      </c>
      <c r="E41" s="7" t="s">
        <v>63</v>
      </c>
      <c r="F41" s="7" t="s">
        <v>64</v>
      </c>
      <c r="G41" s="7" t="s">
        <v>14</v>
      </c>
      <c r="H41" s="8">
        <v>0.1</v>
      </c>
      <c r="I41" s="9">
        <v>45000</v>
      </c>
      <c r="J41" s="9">
        <f t="shared" si="4"/>
        <v>4500</v>
      </c>
      <c r="K41" s="6" t="s">
        <v>15</v>
      </c>
      <c r="L41" s="21" t="str">
        <f>+VLOOKUP(E41,mã!$B$2:$F$229,2,0)</f>
        <v>NL300085</v>
      </c>
      <c r="M41" s="22">
        <f>+VLOOKUP(T41,Sheet2!$B$2:$P$372,10,0)</f>
        <v>0.1</v>
      </c>
      <c r="N41" s="23">
        <f>+VLOOKUP(L41,mã!$C$2:$F$229,4,0)</f>
        <v>45000</v>
      </c>
      <c r="O41" s="23">
        <f t="shared" si="5"/>
        <v>4500</v>
      </c>
      <c r="P41" s="23">
        <f t="shared" si="6"/>
        <v>0</v>
      </c>
      <c r="Q41" s="21" t="str">
        <f t="shared" si="7"/>
        <v xml:space="preserve"> </v>
      </c>
      <c r="R41" s="14">
        <f>+VLOOKUP(T41,Sheet2!$B$2:$P$372,13,0)</f>
        <v>4500</v>
      </c>
      <c r="S41" s="24">
        <f t="shared" si="8"/>
        <v>0</v>
      </c>
      <c r="T41" t="str">
        <f t="shared" si="9"/>
        <v>01/01/2026NL300085</v>
      </c>
      <c r="U41" s="15">
        <f t="shared" si="10"/>
        <v>0</v>
      </c>
      <c r="V41" s="25">
        <f t="shared" si="11"/>
        <v>0</v>
      </c>
    </row>
    <row r="42" spans="1:22" x14ac:dyDescent="0.25">
      <c r="A42" s="4" t="s">
        <v>155</v>
      </c>
      <c r="B42" s="5" t="s">
        <v>123</v>
      </c>
      <c r="C42" s="4" t="s">
        <v>124</v>
      </c>
      <c r="D42" s="5" t="s">
        <v>204</v>
      </c>
      <c r="E42" s="7" t="s">
        <v>55</v>
      </c>
      <c r="F42" s="7" t="s">
        <v>56</v>
      </c>
      <c r="G42" s="7" t="s">
        <v>14</v>
      </c>
      <c r="H42" s="8">
        <v>0.5</v>
      </c>
      <c r="I42" s="9">
        <v>70000</v>
      </c>
      <c r="J42" s="9">
        <f t="shared" si="4"/>
        <v>35000</v>
      </c>
      <c r="K42" s="6" t="s">
        <v>15</v>
      </c>
      <c r="L42" s="21" t="str">
        <f>+VLOOKUP(E42,mã!$B$2:$F$229,2,0)</f>
        <v>NL300126</v>
      </c>
      <c r="M42" s="22">
        <f>+VLOOKUP(T42,Sheet2!$B$2:$P$372,10,0)</f>
        <v>0.5</v>
      </c>
      <c r="N42" s="23">
        <f>+VLOOKUP(L42,mã!$C$2:$F$229,4,0)</f>
        <v>70000</v>
      </c>
      <c r="O42" s="23">
        <f t="shared" si="5"/>
        <v>35000</v>
      </c>
      <c r="P42" s="23">
        <f t="shared" si="6"/>
        <v>0</v>
      </c>
      <c r="Q42" s="21" t="str">
        <f t="shared" si="7"/>
        <v xml:space="preserve"> </v>
      </c>
      <c r="R42" s="14">
        <f>+VLOOKUP(T42,Sheet2!$B$2:$P$372,13,0)</f>
        <v>35000</v>
      </c>
      <c r="S42" s="24">
        <f t="shared" si="8"/>
        <v>0</v>
      </c>
      <c r="T42" t="str">
        <f t="shared" si="9"/>
        <v>01/01/2026NL300126</v>
      </c>
      <c r="U42" s="15">
        <f t="shared" si="10"/>
        <v>0</v>
      </c>
      <c r="V42" s="25">
        <f t="shared" si="11"/>
        <v>0</v>
      </c>
    </row>
    <row r="43" spans="1:22" x14ac:dyDescent="0.25">
      <c r="A43" s="4" t="s">
        <v>155</v>
      </c>
      <c r="B43" s="5" t="s">
        <v>123</v>
      </c>
      <c r="C43" s="4" t="s">
        <v>124</v>
      </c>
      <c r="D43" s="5" t="s">
        <v>204</v>
      </c>
      <c r="E43" s="7" t="s">
        <v>41</v>
      </c>
      <c r="F43" s="7" t="s">
        <v>42</v>
      </c>
      <c r="G43" s="7" t="s">
        <v>14</v>
      </c>
      <c r="H43" s="8">
        <v>1</v>
      </c>
      <c r="I43" s="9">
        <v>145000</v>
      </c>
      <c r="J43" s="9">
        <f t="shared" si="4"/>
        <v>145000</v>
      </c>
      <c r="K43" s="6" t="s">
        <v>15</v>
      </c>
      <c r="L43" s="21" t="str">
        <f>+VLOOKUP(E43,mã!$B$2:$F$229,2,0)</f>
        <v>NL300113</v>
      </c>
      <c r="M43" s="22">
        <f>+VLOOKUP(T43,Sheet2!$B$2:$P$372,10,0)</f>
        <v>1</v>
      </c>
      <c r="N43" s="23">
        <f>+VLOOKUP(L43,mã!$C$2:$F$229,4,0)</f>
        <v>145000</v>
      </c>
      <c r="O43" s="23">
        <f t="shared" si="5"/>
        <v>145000</v>
      </c>
      <c r="P43" s="23">
        <f t="shared" si="6"/>
        <v>0</v>
      </c>
      <c r="Q43" s="21" t="str">
        <f t="shared" si="7"/>
        <v xml:space="preserve"> </v>
      </c>
      <c r="R43" s="14">
        <f>+VLOOKUP(T43,Sheet2!$B$2:$P$372,13,0)</f>
        <v>145000</v>
      </c>
      <c r="S43" s="24">
        <f t="shared" si="8"/>
        <v>0</v>
      </c>
      <c r="T43" t="str">
        <f t="shared" si="9"/>
        <v>01/01/2026NL300113</v>
      </c>
      <c r="U43" s="15">
        <f t="shared" si="10"/>
        <v>0</v>
      </c>
      <c r="V43" s="25">
        <f t="shared" si="11"/>
        <v>0</v>
      </c>
    </row>
    <row r="44" spans="1:22" x14ac:dyDescent="0.25">
      <c r="A44" s="4" t="s">
        <v>155</v>
      </c>
      <c r="B44" s="5" t="s">
        <v>123</v>
      </c>
      <c r="C44" s="4" t="s">
        <v>124</v>
      </c>
      <c r="D44" s="5" t="s">
        <v>204</v>
      </c>
      <c r="E44" s="7" t="s">
        <v>47</v>
      </c>
      <c r="F44" s="7" t="s">
        <v>48</v>
      </c>
      <c r="G44" s="7" t="s">
        <v>14</v>
      </c>
      <c r="H44" s="8">
        <v>2.5</v>
      </c>
      <c r="I44" s="9">
        <v>21000</v>
      </c>
      <c r="J44" s="9">
        <f t="shared" si="4"/>
        <v>52500</v>
      </c>
      <c r="K44" s="6" t="s">
        <v>15</v>
      </c>
      <c r="L44" s="21" t="str">
        <f>+VLOOKUP(E44,mã!$B$2:$F$229,2,0)</f>
        <v>NL300119</v>
      </c>
      <c r="M44" s="22">
        <f>+VLOOKUP(T44,Sheet2!$B$2:$P$372,10,0)</f>
        <v>1.7</v>
      </c>
      <c r="N44" s="23">
        <f>+VLOOKUP(L44,mã!$C$2:$F$229,4,0)</f>
        <v>21000</v>
      </c>
      <c r="O44" s="23">
        <f t="shared" si="5"/>
        <v>35700</v>
      </c>
      <c r="P44" s="23">
        <f t="shared" si="6"/>
        <v>16800</v>
      </c>
      <c r="Q44" s="21" t="str">
        <f t="shared" si="7"/>
        <v>SAI SL NHẬN</v>
      </c>
      <c r="R44" s="14">
        <f>+VLOOKUP(T44,Sheet2!$B$2:$P$372,13,0)</f>
        <v>35700</v>
      </c>
      <c r="S44" s="24">
        <f t="shared" si="8"/>
        <v>0</v>
      </c>
      <c r="T44" t="str">
        <f t="shared" si="9"/>
        <v>01/01/2026NL300119</v>
      </c>
      <c r="U44" s="15">
        <f t="shared" si="10"/>
        <v>0.8</v>
      </c>
      <c r="V44" s="25">
        <f t="shared" si="11"/>
        <v>0</v>
      </c>
    </row>
    <row r="45" spans="1:22" x14ac:dyDescent="0.25">
      <c r="A45" s="4" t="s">
        <v>155</v>
      </c>
      <c r="B45" s="5" t="s">
        <v>123</v>
      </c>
      <c r="C45" s="4" t="s">
        <v>124</v>
      </c>
      <c r="D45" s="5" t="s">
        <v>204</v>
      </c>
      <c r="E45" s="7" t="s">
        <v>27</v>
      </c>
      <c r="F45" s="7" t="s">
        <v>28</v>
      </c>
      <c r="G45" s="7" t="s">
        <v>14</v>
      </c>
      <c r="H45" s="8">
        <v>0.5</v>
      </c>
      <c r="I45" s="9">
        <v>50000</v>
      </c>
      <c r="J45" s="9">
        <f t="shared" si="4"/>
        <v>25000</v>
      </c>
      <c r="K45" s="6" t="s">
        <v>15</v>
      </c>
      <c r="L45" s="21" t="str">
        <f>+VLOOKUP(E45,mã!$B$2:$F$229,2,0)</f>
        <v>NL300142</v>
      </c>
      <c r="M45" s="22">
        <f>+VLOOKUP(T45,Sheet2!$B$2:$P$372,10,0)</f>
        <v>0.5</v>
      </c>
      <c r="N45" s="23">
        <f>+VLOOKUP(L45,mã!$C$2:$F$229,4,0)</f>
        <v>50000</v>
      </c>
      <c r="O45" s="23">
        <f t="shared" si="5"/>
        <v>25000</v>
      </c>
      <c r="P45" s="23">
        <f t="shared" si="6"/>
        <v>0</v>
      </c>
      <c r="Q45" s="21" t="str">
        <f t="shared" si="7"/>
        <v xml:space="preserve"> </v>
      </c>
      <c r="R45" s="14">
        <f>+VLOOKUP(T45,Sheet2!$B$2:$P$372,13,0)</f>
        <v>25000</v>
      </c>
      <c r="S45" s="24">
        <f t="shared" si="8"/>
        <v>0</v>
      </c>
      <c r="T45" t="str">
        <f t="shared" si="9"/>
        <v>01/01/2026NL300142</v>
      </c>
      <c r="U45" s="15">
        <f t="shared" si="10"/>
        <v>0</v>
      </c>
      <c r="V45" s="25">
        <f t="shared" si="11"/>
        <v>0</v>
      </c>
    </row>
    <row r="46" spans="1:22" x14ac:dyDescent="0.25">
      <c r="A46" s="4" t="s">
        <v>155</v>
      </c>
      <c r="B46" s="5" t="s">
        <v>123</v>
      </c>
      <c r="C46" s="4" t="s">
        <v>124</v>
      </c>
      <c r="D46" s="5" t="s">
        <v>204</v>
      </c>
      <c r="E46" s="7" t="s">
        <v>143</v>
      </c>
      <c r="F46" s="7" t="s">
        <v>144</v>
      </c>
      <c r="G46" s="7" t="s">
        <v>14</v>
      </c>
      <c r="H46" s="8">
        <v>1</v>
      </c>
      <c r="I46" s="9">
        <v>65000</v>
      </c>
      <c r="J46" s="9">
        <f t="shared" si="4"/>
        <v>65000</v>
      </c>
      <c r="K46" s="6" t="s">
        <v>15</v>
      </c>
      <c r="L46" s="21" t="str">
        <f>+VLOOKUP(E46,mã!$B$2:$F$229,2,0)</f>
        <v>NL300146</v>
      </c>
      <c r="M46" s="22">
        <f>+VLOOKUP(T46,Sheet2!$B$2:$P$372,10,0)</f>
        <v>1</v>
      </c>
      <c r="N46" s="23">
        <f>+VLOOKUP(L46,mã!$C$2:$F$229,4,0)</f>
        <v>65000</v>
      </c>
      <c r="O46" s="23">
        <f t="shared" si="5"/>
        <v>65000</v>
      </c>
      <c r="P46" s="23">
        <f t="shared" si="6"/>
        <v>0</v>
      </c>
      <c r="Q46" s="21" t="str">
        <f t="shared" si="7"/>
        <v xml:space="preserve"> </v>
      </c>
      <c r="R46" s="14">
        <f>+VLOOKUP(T46,Sheet2!$B$2:$P$372,13,0)</f>
        <v>65000</v>
      </c>
      <c r="S46" s="24">
        <f t="shared" si="8"/>
        <v>0</v>
      </c>
      <c r="T46" t="str">
        <f t="shared" si="9"/>
        <v>01/01/2026NL300146</v>
      </c>
      <c r="U46" s="15">
        <f t="shared" si="10"/>
        <v>0</v>
      </c>
      <c r="V46" s="25">
        <f t="shared" si="11"/>
        <v>0</v>
      </c>
    </row>
    <row r="47" spans="1:22" x14ac:dyDescent="0.25">
      <c r="A47" s="4" t="s">
        <v>155</v>
      </c>
      <c r="B47" s="5" t="s">
        <v>123</v>
      </c>
      <c r="C47" s="4" t="s">
        <v>124</v>
      </c>
      <c r="D47" s="5" t="s">
        <v>204</v>
      </c>
      <c r="E47" s="7" t="s">
        <v>210</v>
      </c>
      <c r="F47" s="7" t="s">
        <v>211</v>
      </c>
      <c r="G47" s="7" t="s">
        <v>14</v>
      </c>
      <c r="H47" s="8">
        <v>2.2000000000000002</v>
      </c>
      <c r="I47" s="9">
        <v>68000</v>
      </c>
      <c r="J47" s="9">
        <f t="shared" si="4"/>
        <v>149600</v>
      </c>
      <c r="K47" s="6" t="s">
        <v>15</v>
      </c>
      <c r="L47" s="21" t="s">
        <v>846</v>
      </c>
      <c r="M47" s="22">
        <f>+VLOOKUP(T47,Sheet2!$B$2:$P$372,10,0)</f>
        <v>2.2000000000000002</v>
      </c>
      <c r="N47" s="23">
        <f>+VLOOKUP(L47,mã!$C$2:$F$229,4,0)</f>
        <v>68000</v>
      </c>
      <c r="O47" s="23">
        <f t="shared" si="5"/>
        <v>149600</v>
      </c>
      <c r="P47" s="23">
        <f t="shared" si="6"/>
        <v>0</v>
      </c>
      <c r="Q47" s="21" t="str">
        <f t="shared" si="7"/>
        <v xml:space="preserve"> </v>
      </c>
      <c r="R47" s="14">
        <f>+VLOOKUP(T47,Sheet2!$B$2:$P$372,13,0)</f>
        <v>149600</v>
      </c>
      <c r="S47" s="24">
        <f t="shared" si="8"/>
        <v>0</v>
      </c>
      <c r="T47" t="str">
        <f t="shared" si="9"/>
        <v>01/01/2026NL300232</v>
      </c>
      <c r="U47" s="15">
        <f t="shared" si="10"/>
        <v>0</v>
      </c>
      <c r="V47" s="25">
        <f t="shared" si="11"/>
        <v>0</v>
      </c>
    </row>
    <row r="48" spans="1:22" x14ac:dyDescent="0.25">
      <c r="A48" s="4" t="s">
        <v>155</v>
      </c>
      <c r="B48" s="5" t="s">
        <v>123</v>
      </c>
      <c r="C48" s="4" t="s">
        <v>124</v>
      </c>
      <c r="D48" s="5" t="s">
        <v>204</v>
      </c>
      <c r="E48" s="7" t="s">
        <v>145</v>
      </c>
      <c r="F48" s="7" t="s">
        <v>146</v>
      </c>
      <c r="G48" s="7" t="s">
        <v>14</v>
      </c>
      <c r="H48" s="8">
        <v>15</v>
      </c>
      <c r="I48" s="9">
        <v>38000</v>
      </c>
      <c r="J48" s="9">
        <f t="shared" si="4"/>
        <v>570000</v>
      </c>
      <c r="K48" s="6" t="s">
        <v>15</v>
      </c>
      <c r="L48" s="21" t="str">
        <f>+VLOOKUP(E48,mã!$B$2:$F$229,2,0)</f>
        <v>NL300145</v>
      </c>
      <c r="M48" s="22">
        <f>+VLOOKUP(T48,Sheet2!$B$2:$P$372,10,0)</f>
        <v>12</v>
      </c>
      <c r="N48" s="23">
        <f>+VLOOKUP(L48,mã!$C$2:$F$229,4,0)</f>
        <v>38000</v>
      </c>
      <c r="O48" s="23">
        <f t="shared" si="5"/>
        <v>456000</v>
      </c>
      <c r="P48" s="23">
        <f t="shared" si="6"/>
        <v>114000</v>
      </c>
      <c r="Q48" s="21" t="str">
        <f t="shared" si="7"/>
        <v>SAI SL NHẬN</v>
      </c>
      <c r="R48" s="14">
        <f>+VLOOKUP(T48,Sheet2!$B$2:$P$372,13,0)</f>
        <v>456000</v>
      </c>
      <c r="S48" s="24">
        <f t="shared" si="8"/>
        <v>0</v>
      </c>
      <c r="T48" t="str">
        <f t="shared" si="9"/>
        <v>01/01/2026NL300145</v>
      </c>
      <c r="U48" s="15">
        <f t="shared" si="10"/>
        <v>3</v>
      </c>
      <c r="V48" s="25">
        <f t="shared" si="11"/>
        <v>0</v>
      </c>
    </row>
    <row r="49" spans="1:22" x14ac:dyDescent="0.25">
      <c r="A49" s="4" t="s">
        <v>155</v>
      </c>
      <c r="B49" s="5" t="s">
        <v>123</v>
      </c>
      <c r="C49" s="4" t="s">
        <v>124</v>
      </c>
      <c r="D49" s="5" t="s">
        <v>204</v>
      </c>
      <c r="E49" s="7" t="s">
        <v>66</v>
      </c>
      <c r="F49" s="7" t="s">
        <v>65</v>
      </c>
      <c r="G49" s="7" t="s">
        <v>14</v>
      </c>
      <c r="H49" s="8">
        <v>2.1</v>
      </c>
      <c r="I49" s="9">
        <v>62000</v>
      </c>
      <c r="J49" s="9">
        <f t="shared" si="4"/>
        <v>130200</v>
      </c>
      <c r="K49" s="6" t="s">
        <v>15</v>
      </c>
      <c r="L49" s="21" t="str">
        <f>+VLOOKUP(E49,mã!$B$2:$F$229,2,0)</f>
        <v>NL300147</v>
      </c>
      <c r="M49" s="22">
        <f>+VLOOKUP(T49,Sheet2!$B$2:$P$372,10,0)</f>
        <v>2.1</v>
      </c>
      <c r="N49" s="23">
        <f>+VLOOKUP(L49,mã!$C$2:$F$229,4,0)</f>
        <v>62000</v>
      </c>
      <c r="O49" s="23">
        <f t="shared" si="5"/>
        <v>130200</v>
      </c>
      <c r="P49" s="23">
        <f t="shared" si="6"/>
        <v>0</v>
      </c>
      <c r="Q49" s="21" t="str">
        <f t="shared" si="7"/>
        <v xml:space="preserve"> </v>
      </c>
      <c r="R49" s="14">
        <f>+VLOOKUP(T49,Sheet2!$B$2:$P$372,13,0)</f>
        <v>130200</v>
      </c>
      <c r="S49" s="24">
        <f t="shared" si="8"/>
        <v>0</v>
      </c>
      <c r="T49" t="str">
        <f t="shared" si="9"/>
        <v>01/01/2026NL300147</v>
      </c>
      <c r="U49" s="15">
        <f t="shared" si="10"/>
        <v>0</v>
      </c>
      <c r="V49" s="25">
        <f t="shared" si="11"/>
        <v>0</v>
      </c>
    </row>
    <row r="50" spans="1:22" x14ac:dyDescent="0.25">
      <c r="A50" s="4" t="s">
        <v>160</v>
      </c>
      <c r="B50" s="5" t="s">
        <v>123</v>
      </c>
      <c r="C50" s="4" t="s">
        <v>124</v>
      </c>
      <c r="D50" s="5" t="s">
        <v>212</v>
      </c>
      <c r="E50" s="7" t="s">
        <v>12</v>
      </c>
      <c r="F50" s="7" t="s">
        <v>13</v>
      </c>
      <c r="G50" s="7" t="s">
        <v>14</v>
      </c>
      <c r="H50" s="8">
        <v>5.5</v>
      </c>
      <c r="I50" s="9">
        <v>19000</v>
      </c>
      <c r="J50" s="9">
        <f t="shared" si="4"/>
        <v>104500</v>
      </c>
      <c r="K50" s="6" t="s">
        <v>15</v>
      </c>
      <c r="L50" s="21" t="str">
        <f>+VLOOKUP(E50,mã!$B$2:$F$229,2,0)</f>
        <v>NL300004</v>
      </c>
      <c r="M50" s="22">
        <f>+VLOOKUP(T50,Sheet2!$B$2:$P$372,10,0)</f>
        <v>0</v>
      </c>
      <c r="N50" s="23">
        <f>+VLOOKUP(L50,mã!$C$2:$F$229,4,0)</f>
        <v>19000</v>
      </c>
      <c r="O50" s="23">
        <f t="shared" si="5"/>
        <v>0</v>
      </c>
      <c r="P50" s="23">
        <f t="shared" si="6"/>
        <v>104500</v>
      </c>
      <c r="Q50" s="21" t="str">
        <f t="shared" si="7"/>
        <v>SAI SL NHẬN</v>
      </c>
      <c r="R50" s="14">
        <f>+VLOOKUP(T50,Sheet2!$B$2:$P$372,13,0)</f>
        <v>0</v>
      </c>
      <c r="S50" s="24">
        <f t="shared" si="8"/>
        <v>0</v>
      </c>
      <c r="T50" t="str">
        <f t="shared" si="9"/>
        <v>02/01/2026NL300004</v>
      </c>
      <c r="U50" s="15">
        <f t="shared" si="10"/>
        <v>5.5</v>
      </c>
      <c r="V50" s="25">
        <f t="shared" si="11"/>
        <v>0</v>
      </c>
    </row>
    <row r="51" spans="1:22" x14ac:dyDescent="0.25">
      <c r="A51" s="4" t="s">
        <v>160</v>
      </c>
      <c r="B51" s="5" t="s">
        <v>123</v>
      </c>
      <c r="C51" s="4" t="s">
        <v>124</v>
      </c>
      <c r="D51" s="5" t="s">
        <v>212</v>
      </c>
      <c r="E51" s="7" t="s">
        <v>16</v>
      </c>
      <c r="F51" s="7" t="s">
        <v>17</v>
      </c>
      <c r="G51" s="7" t="s">
        <v>18</v>
      </c>
      <c r="H51" s="8">
        <v>20</v>
      </c>
      <c r="I51" s="9">
        <v>8500</v>
      </c>
      <c r="J51" s="9">
        <f t="shared" si="4"/>
        <v>170000</v>
      </c>
      <c r="K51" s="6" t="s">
        <v>15</v>
      </c>
      <c r="L51" s="21" t="str">
        <f>+VLOOKUP(E51,mã!$B$2:$F$229,2,0)</f>
        <v>NL300107</v>
      </c>
      <c r="M51" s="22">
        <f>+VLOOKUP(T51,Sheet2!$B$2:$P$372,10,0)</f>
        <v>20</v>
      </c>
      <c r="N51" s="23">
        <f>+VLOOKUP(L51,mã!$C$2:$F$229,4,0)</f>
        <v>8500</v>
      </c>
      <c r="O51" s="23">
        <f t="shared" si="5"/>
        <v>170000</v>
      </c>
      <c r="P51" s="23">
        <f t="shared" si="6"/>
        <v>0</v>
      </c>
      <c r="Q51" s="21" t="str">
        <f t="shared" si="7"/>
        <v xml:space="preserve"> </v>
      </c>
      <c r="R51" s="14">
        <f>+VLOOKUP(T51,Sheet2!$B$2:$P$372,13,0)</f>
        <v>170000</v>
      </c>
      <c r="S51" s="24">
        <f t="shared" si="8"/>
        <v>0</v>
      </c>
      <c r="T51" t="str">
        <f t="shared" si="9"/>
        <v>02/01/2026NL300107</v>
      </c>
      <c r="U51" s="15">
        <f t="shared" si="10"/>
        <v>0</v>
      </c>
      <c r="V51" s="25">
        <f t="shared" si="11"/>
        <v>0</v>
      </c>
    </row>
    <row r="52" spans="1:22" x14ac:dyDescent="0.25">
      <c r="A52" s="4" t="s">
        <v>160</v>
      </c>
      <c r="B52" s="5" t="s">
        <v>123</v>
      </c>
      <c r="C52" s="4" t="s">
        <v>124</v>
      </c>
      <c r="D52" s="5" t="s">
        <v>212</v>
      </c>
      <c r="E52" s="7" t="s">
        <v>59</v>
      </c>
      <c r="F52" s="7" t="s">
        <v>60</v>
      </c>
      <c r="G52" s="7" t="s">
        <v>14</v>
      </c>
      <c r="H52" s="8">
        <v>2.1</v>
      </c>
      <c r="I52" s="9">
        <v>30000</v>
      </c>
      <c r="J52" s="9">
        <f t="shared" si="4"/>
        <v>63000</v>
      </c>
      <c r="K52" s="6" t="s">
        <v>15</v>
      </c>
      <c r="L52" s="21" t="str">
        <f>+VLOOKUP(E52,mã!$B$2:$F$229,2,0)</f>
        <v>NL300007</v>
      </c>
      <c r="M52" s="22">
        <f>+VLOOKUP(T52,Sheet2!$B$2:$P$372,10,0)</f>
        <v>0</v>
      </c>
      <c r="N52" s="23">
        <f>+VLOOKUP(L52,mã!$C$2:$F$229,4,0)</f>
        <v>30000</v>
      </c>
      <c r="O52" s="23">
        <f t="shared" si="5"/>
        <v>0</v>
      </c>
      <c r="P52" s="23">
        <f t="shared" si="6"/>
        <v>63000</v>
      </c>
      <c r="Q52" s="21" t="str">
        <f t="shared" si="7"/>
        <v>SAI SL NHẬN</v>
      </c>
      <c r="R52" s="14">
        <f>+VLOOKUP(T52,Sheet2!$B$2:$P$372,13,0)</f>
        <v>0</v>
      </c>
      <c r="S52" s="24">
        <f t="shared" si="8"/>
        <v>0</v>
      </c>
      <c r="T52" t="str">
        <f t="shared" si="9"/>
        <v>02/01/2026NL300007</v>
      </c>
      <c r="U52" s="15">
        <f t="shared" si="10"/>
        <v>2.1</v>
      </c>
      <c r="V52" s="25">
        <f t="shared" si="11"/>
        <v>0</v>
      </c>
    </row>
    <row r="53" spans="1:22" x14ac:dyDescent="0.25">
      <c r="A53" s="4" t="s">
        <v>160</v>
      </c>
      <c r="B53" s="5" t="s">
        <v>123</v>
      </c>
      <c r="C53" s="4" t="s">
        <v>124</v>
      </c>
      <c r="D53" s="5" t="s">
        <v>212</v>
      </c>
      <c r="E53" s="7" t="s">
        <v>101</v>
      </c>
      <c r="F53" s="7" t="s">
        <v>100</v>
      </c>
      <c r="G53" s="7" t="s">
        <v>14</v>
      </c>
      <c r="H53" s="8">
        <v>3.2</v>
      </c>
      <c r="I53" s="9">
        <v>40000</v>
      </c>
      <c r="J53" s="9">
        <f t="shared" si="4"/>
        <v>128000</v>
      </c>
      <c r="K53" s="6" t="s">
        <v>15</v>
      </c>
      <c r="L53" s="21" t="str">
        <f>+VLOOKUP(E53,mã!$B$2:$F$229,2,0)</f>
        <v>NL300008</v>
      </c>
      <c r="M53" s="22">
        <f>+VLOOKUP(T53,Sheet2!$B$2:$P$372,10,0)</f>
        <v>3</v>
      </c>
      <c r="N53" s="23">
        <f>+VLOOKUP(L53,mã!$C$2:$F$229,4,0)</f>
        <v>40000</v>
      </c>
      <c r="O53" s="23">
        <f t="shared" si="5"/>
        <v>120000</v>
      </c>
      <c r="P53" s="23">
        <f t="shared" si="6"/>
        <v>8000</v>
      </c>
      <c r="Q53" s="21" t="str">
        <f t="shared" si="7"/>
        <v>SAI SL NHẬN</v>
      </c>
      <c r="R53" s="14">
        <f>+VLOOKUP(T53,Sheet2!$B$2:$P$372,13,0)</f>
        <v>120000</v>
      </c>
      <c r="S53" s="24">
        <f t="shared" si="8"/>
        <v>0</v>
      </c>
      <c r="T53" t="str">
        <f t="shared" si="9"/>
        <v>02/01/2026NL300008</v>
      </c>
      <c r="U53" s="15">
        <f t="shared" si="10"/>
        <v>0.20000000000000018</v>
      </c>
      <c r="V53" s="25">
        <f t="shared" si="11"/>
        <v>0</v>
      </c>
    </row>
    <row r="54" spans="1:22" x14ac:dyDescent="0.25">
      <c r="A54" s="4" t="s">
        <v>160</v>
      </c>
      <c r="B54" s="5" t="s">
        <v>123</v>
      </c>
      <c r="C54" s="4" t="s">
        <v>124</v>
      </c>
      <c r="D54" s="5" t="s">
        <v>212</v>
      </c>
      <c r="E54" s="7" t="s">
        <v>150</v>
      </c>
      <c r="F54" s="7" t="s">
        <v>151</v>
      </c>
      <c r="G54" s="7" t="s">
        <v>14</v>
      </c>
      <c r="H54" s="8">
        <v>1</v>
      </c>
      <c r="I54" s="9">
        <v>50000</v>
      </c>
      <c r="J54" s="9">
        <f t="shared" si="4"/>
        <v>50000</v>
      </c>
      <c r="K54" s="6" t="s">
        <v>15</v>
      </c>
      <c r="L54" s="21" t="str">
        <f>+VLOOKUP(E54,mã!$B$2:$F$229,2,0)</f>
        <v>NL300013</v>
      </c>
      <c r="M54" s="22">
        <f>+VLOOKUP(T54,Sheet2!$B$2:$P$372,10,0)</f>
        <v>0.9</v>
      </c>
      <c r="N54" s="23">
        <f>+VLOOKUP(L54,mã!$C$2:$F$229,4,0)</f>
        <v>50000</v>
      </c>
      <c r="O54" s="23">
        <f t="shared" si="5"/>
        <v>45000</v>
      </c>
      <c r="P54" s="23">
        <f t="shared" si="6"/>
        <v>5000</v>
      </c>
      <c r="Q54" s="21" t="str">
        <f t="shared" si="7"/>
        <v>SAI SL NHẬN</v>
      </c>
      <c r="R54" s="14">
        <f>+VLOOKUP(T54,Sheet2!$B$2:$P$372,13,0)</f>
        <v>45000</v>
      </c>
      <c r="S54" s="24">
        <f t="shared" si="8"/>
        <v>0</v>
      </c>
      <c r="T54" t="str">
        <f t="shared" si="9"/>
        <v>02/01/2026NL300013</v>
      </c>
      <c r="U54" s="15">
        <f t="shared" si="10"/>
        <v>9.9999999999999978E-2</v>
      </c>
      <c r="V54" s="25">
        <f t="shared" si="11"/>
        <v>0</v>
      </c>
    </row>
    <row r="55" spans="1:22" x14ac:dyDescent="0.25">
      <c r="A55" s="4" t="s">
        <v>160</v>
      </c>
      <c r="B55" s="5" t="s">
        <v>123</v>
      </c>
      <c r="C55" s="4" t="s">
        <v>124</v>
      </c>
      <c r="D55" s="5" t="s">
        <v>212</v>
      </c>
      <c r="E55" s="7" t="s">
        <v>131</v>
      </c>
      <c r="F55" s="7" t="s">
        <v>132</v>
      </c>
      <c r="G55" s="7" t="s">
        <v>14</v>
      </c>
      <c r="H55" s="8">
        <v>1</v>
      </c>
      <c r="I55" s="9">
        <v>55000</v>
      </c>
      <c r="J55" s="9">
        <f t="shared" si="4"/>
        <v>55000</v>
      </c>
      <c r="K55" s="6" t="s">
        <v>15</v>
      </c>
      <c r="L55" s="21" t="str">
        <f>+VLOOKUP(E55,mã!$B$2:$F$229,2,0)</f>
        <v>NL300014</v>
      </c>
      <c r="M55" s="22">
        <f>+VLOOKUP(T55,Sheet2!$B$2:$P$372,10,0)</f>
        <v>0.9</v>
      </c>
      <c r="N55" s="23">
        <f>+VLOOKUP(L55,mã!$C$2:$F$229,4,0)</f>
        <v>55000</v>
      </c>
      <c r="O55" s="23">
        <f t="shared" si="5"/>
        <v>49500</v>
      </c>
      <c r="P55" s="23">
        <f t="shared" si="6"/>
        <v>5500</v>
      </c>
      <c r="Q55" s="21" t="str">
        <f t="shared" si="7"/>
        <v>SAI SL NHẬN</v>
      </c>
      <c r="R55" s="14">
        <f>+VLOOKUP(T55,Sheet2!$B$2:$P$372,13,0)</f>
        <v>49500</v>
      </c>
      <c r="S55" s="24">
        <f t="shared" si="8"/>
        <v>0</v>
      </c>
      <c r="T55" t="str">
        <f t="shared" si="9"/>
        <v>02/01/2026NL300014</v>
      </c>
      <c r="U55" s="15">
        <f t="shared" si="10"/>
        <v>9.9999999999999978E-2</v>
      </c>
      <c r="V55" s="25">
        <f t="shared" si="11"/>
        <v>0</v>
      </c>
    </row>
    <row r="56" spans="1:22" x14ac:dyDescent="0.25">
      <c r="A56" s="4" t="s">
        <v>160</v>
      </c>
      <c r="B56" s="5" t="s">
        <v>123</v>
      </c>
      <c r="C56" s="4" t="s">
        <v>124</v>
      </c>
      <c r="D56" s="5" t="s">
        <v>212</v>
      </c>
      <c r="E56" s="7" t="s">
        <v>125</v>
      </c>
      <c r="F56" s="7" t="s">
        <v>126</v>
      </c>
      <c r="G56" s="7" t="s">
        <v>14</v>
      </c>
      <c r="H56" s="8">
        <v>3</v>
      </c>
      <c r="I56" s="9">
        <v>18000</v>
      </c>
      <c r="J56" s="9">
        <f t="shared" si="4"/>
        <v>54000</v>
      </c>
      <c r="K56" s="6" t="s">
        <v>15</v>
      </c>
      <c r="L56" s="21" t="str">
        <f>+VLOOKUP(E56,mã!$B$2:$F$229,2,0)</f>
        <v>NL300027</v>
      </c>
      <c r="M56" s="22">
        <f>+VLOOKUP(T56,Sheet2!$B$2:$P$372,10,0)</f>
        <v>2.8</v>
      </c>
      <c r="N56" s="23">
        <f>+VLOOKUP(L56,mã!$C$2:$F$229,4,0)</f>
        <v>18000</v>
      </c>
      <c r="O56" s="23">
        <f t="shared" si="5"/>
        <v>50400</v>
      </c>
      <c r="P56" s="23">
        <f t="shared" si="6"/>
        <v>3600</v>
      </c>
      <c r="Q56" s="21" t="str">
        <f t="shared" si="7"/>
        <v>SAI SL NHẬN</v>
      </c>
      <c r="R56" s="14">
        <f>+VLOOKUP(T56,Sheet2!$B$2:$P$372,13,0)</f>
        <v>50400</v>
      </c>
      <c r="S56" s="24">
        <f t="shared" si="8"/>
        <v>0</v>
      </c>
      <c r="T56" t="str">
        <f t="shared" si="9"/>
        <v>02/01/2026NL300027</v>
      </c>
      <c r="U56" s="15">
        <f t="shared" si="10"/>
        <v>0.20000000000000018</v>
      </c>
      <c r="V56" s="25">
        <f t="shared" si="11"/>
        <v>0</v>
      </c>
    </row>
    <row r="57" spans="1:22" x14ac:dyDescent="0.25">
      <c r="A57" s="4" t="s">
        <v>160</v>
      </c>
      <c r="B57" s="5" t="s">
        <v>123</v>
      </c>
      <c r="C57" s="4" t="s">
        <v>124</v>
      </c>
      <c r="D57" s="5" t="s">
        <v>212</v>
      </c>
      <c r="E57" s="7" t="s">
        <v>133</v>
      </c>
      <c r="F57" s="7" t="s">
        <v>134</v>
      </c>
      <c r="G57" s="7" t="s">
        <v>14</v>
      </c>
      <c r="H57" s="8">
        <v>0.1</v>
      </c>
      <c r="I57" s="9">
        <v>80000</v>
      </c>
      <c r="J57" s="9">
        <f t="shared" si="4"/>
        <v>8000</v>
      </c>
      <c r="K57" s="6" t="s">
        <v>15</v>
      </c>
      <c r="L57" s="21" t="str">
        <f>+VLOOKUP(E57,mã!$B$2:$F$229,2,0)</f>
        <v>NL300230</v>
      </c>
      <c r="M57" s="22">
        <f>+VLOOKUP(T57,Sheet2!$B$2:$P$372,10,0)</f>
        <v>0.1</v>
      </c>
      <c r="N57" s="23">
        <f>+VLOOKUP(L57,mã!$C$2:$F$229,4,0)</f>
        <v>80000</v>
      </c>
      <c r="O57" s="23">
        <f t="shared" si="5"/>
        <v>8000</v>
      </c>
      <c r="P57" s="23">
        <f t="shared" si="6"/>
        <v>0</v>
      </c>
      <c r="Q57" s="21" t="str">
        <f t="shared" si="7"/>
        <v xml:space="preserve"> </v>
      </c>
      <c r="R57" s="14">
        <f>+VLOOKUP(T57,Sheet2!$B$2:$P$372,13,0)</f>
        <v>8000</v>
      </c>
      <c r="S57" s="24">
        <f t="shared" si="8"/>
        <v>0</v>
      </c>
      <c r="T57" t="str">
        <f t="shared" si="9"/>
        <v>02/01/2026NL300230</v>
      </c>
      <c r="U57" s="15">
        <f t="shared" si="10"/>
        <v>0</v>
      </c>
      <c r="V57" s="25">
        <f t="shared" si="11"/>
        <v>0</v>
      </c>
    </row>
    <row r="58" spans="1:22" x14ac:dyDescent="0.25">
      <c r="A58" s="4" t="s">
        <v>160</v>
      </c>
      <c r="B58" s="5" t="s">
        <v>123</v>
      </c>
      <c r="C58" s="4" t="s">
        <v>124</v>
      </c>
      <c r="D58" s="5" t="s">
        <v>212</v>
      </c>
      <c r="E58" s="7" t="s">
        <v>33</v>
      </c>
      <c r="F58" s="7" t="s">
        <v>34</v>
      </c>
      <c r="G58" s="7" t="s">
        <v>14</v>
      </c>
      <c r="H58" s="8">
        <v>1</v>
      </c>
      <c r="I58" s="9">
        <v>22000</v>
      </c>
      <c r="J58" s="9">
        <f t="shared" si="4"/>
        <v>22000</v>
      </c>
      <c r="K58" s="6" t="s">
        <v>15</v>
      </c>
      <c r="L58" s="21" t="str">
        <f>+VLOOKUP(E58,mã!$B$2:$F$229,2,0)</f>
        <v>NL300029</v>
      </c>
      <c r="M58" s="22">
        <f>+VLOOKUP(T58,Sheet2!$B$2:$P$372,10,0)</f>
        <v>1</v>
      </c>
      <c r="N58" s="23">
        <f>+VLOOKUP(L58,mã!$C$2:$F$229,4,0)</f>
        <v>22000</v>
      </c>
      <c r="O58" s="23">
        <f t="shared" si="5"/>
        <v>22000</v>
      </c>
      <c r="P58" s="23">
        <f t="shared" si="6"/>
        <v>0</v>
      </c>
      <c r="Q58" s="21" t="str">
        <f t="shared" si="7"/>
        <v xml:space="preserve"> </v>
      </c>
      <c r="R58" s="14">
        <f>+VLOOKUP(T58,Sheet2!$B$2:$P$372,13,0)</f>
        <v>22000</v>
      </c>
      <c r="S58" s="24">
        <f t="shared" si="8"/>
        <v>0</v>
      </c>
      <c r="T58" t="str">
        <f t="shared" si="9"/>
        <v>02/01/2026NL300029</v>
      </c>
      <c r="U58" s="15">
        <f t="shared" si="10"/>
        <v>0</v>
      </c>
      <c r="V58" s="25">
        <f t="shared" si="11"/>
        <v>0</v>
      </c>
    </row>
    <row r="59" spans="1:22" x14ac:dyDescent="0.25">
      <c r="A59" s="4" t="s">
        <v>160</v>
      </c>
      <c r="B59" s="5" t="s">
        <v>123</v>
      </c>
      <c r="C59" s="4" t="s">
        <v>124</v>
      </c>
      <c r="D59" s="5" t="s">
        <v>212</v>
      </c>
      <c r="E59" s="7" t="s">
        <v>93</v>
      </c>
      <c r="F59" s="7" t="s">
        <v>92</v>
      </c>
      <c r="G59" s="7" t="s">
        <v>14</v>
      </c>
      <c r="H59" s="8">
        <v>0.3</v>
      </c>
      <c r="I59" s="9">
        <v>95000</v>
      </c>
      <c r="J59" s="9">
        <f t="shared" si="4"/>
        <v>28500</v>
      </c>
      <c r="K59" s="6" t="s">
        <v>15</v>
      </c>
      <c r="L59" s="21" t="str">
        <f>+VLOOKUP(E59,mã!$B$2:$F$229,2,0)</f>
        <v>NL600068</v>
      </c>
      <c r="M59" s="22">
        <f>+VLOOKUP(T59,Sheet2!$B$2:$P$372,10,0)</f>
        <v>0.3</v>
      </c>
      <c r="N59" s="23">
        <f>+VLOOKUP(L59,mã!$C$2:$F$229,4,0)</f>
        <v>95000</v>
      </c>
      <c r="O59" s="23">
        <f t="shared" si="5"/>
        <v>28500</v>
      </c>
      <c r="P59" s="23">
        <f t="shared" si="6"/>
        <v>0</v>
      </c>
      <c r="Q59" s="21" t="str">
        <f t="shared" si="7"/>
        <v xml:space="preserve"> </v>
      </c>
      <c r="R59" s="14">
        <f>+VLOOKUP(T59,Sheet2!$B$2:$P$372,13,0)</f>
        <v>28500</v>
      </c>
      <c r="S59" s="24">
        <f t="shared" si="8"/>
        <v>0</v>
      </c>
      <c r="T59" t="str">
        <f t="shared" si="9"/>
        <v>02/01/2026NL600068</v>
      </c>
      <c r="U59" s="15">
        <f t="shared" si="10"/>
        <v>0</v>
      </c>
      <c r="V59" s="25">
        <f t="shared" si="11"/>
        <v>0</v>
      </c>
    </row>
    <row r="60" spans="1:22" x14ac:dyDescent="0.25">
      <c r="A60" s="4" t="s">
        <v>160</v>
      </c>
      <c r="B60" s="5" t="s">
        <v>123</v>
      </c>
      <c r="C60" s="4" t="s">
        <v>124</v>
      </c>
      <c r="D60" s="5" t="s">
        <v>212</v>
      </c>
      <c r="E60" s="7" t="s">
        <v>135</v>
      </c>
      <c r="F60" s="7" t="s">
        <v>136</v>
      </c>
      <c r="G60" s="7" t="s">
        <v>14</v>
      </c>
      <c r="H60" s="8">
        <v>0.2</v>
      </c>
      <c r="I60" s="9">
        <v>40000</v>
      </c>
      <c r="J60" s="9">
        <f t="shared" si="4"/>
        <v>8000</v>
      </c>
      <c r="K60" s="6" t="s">
        <v>15</v>
      </c>
      <c r="L60" s="21" t="str">
        <f>+VLOOKUP(E60,mã!$B$2:$F$229,2,0)</f>
        <v>NL300034</v>
      </c>
      <c r="M60" s="22">
        <f>+VLOOKUP(T60,Sheet2!$B$2:$P$372,10,0)</f>
        <v>0.2</v>
      </c>
      <c r="N60" s="23">
        <f>+VLOOKUP(L60,mã!$C$2:$F$229,4,0)</f>
        <v>40000</v>
      </c>
      <c r="O60" s="23">
        <f t="shared" si="5"/>
        <v>8000</v>
      </c>
      <c r="P60" s="23">
        <f t="shared" si="6"/>
        <v>0</v>
      </c>
      <c r="Q60" s="21" t="str">
        <f t="shared" si="7"/>
        <v xml:space="preserve"> </v>
      </c>
      <c r="R60" s="14">
        <f>+VLOOKUP(T60,Sheet2!$B$2:$P$372,13,0)</f>
        <v>8000</v>
      </c>
      <c r="S60" s="24">
        <f t="shared" si="8"/>
        <v>0</v>
      </c>
      <c r="T60" t="str">
        <f t="shared" si="9"/>
        <v>02/01/2026NL300034</v>
      </c>
      <c r="U60" s="15">
        <f t="shared" si="10"/>
        <v>0</v>
      </c>
      <c r="V60" s="25">
        <f t="shared" si="11"/>
        <v>0</v>
      </c>
    </row>
    <row r="61" spans="1:22" x14ac:dyDescent="0.25">
      <c r="A61" s="4" t="s">
        <v>160</v>
      </c>
      <c r="B61" s="5" t="s">
        <v>123</v>
      </c>
      <c r="C61" s="4" t="s">
        <v>124</v>
      </c>
      <c r="D61" s="5" t="s">
        <v>212</v>
      </c>
      <c r="E61" s="7" t="s">
        <v>127</v>
      </c>
      <c r="F61" s="7" t="s">
        <v>128</v>
      </c>
      <c r="G61" s="7" t="s">
        <v>14</v>
      </c>
      <c r="H61" s="8">
        <v>3.3</v>
      </c>
      <c r="I61" s="9">
        <v>13000</v>
      </c>
      <c r="J61" s="9">
        <f t="shared" si="4"/>
        <v>42900</v>
      </c>
      <c r="K61" s="6" t="s">
        <v>15</v>
      </c>
      <c r="L61" s="21" t="str">
        <f>+VLOOKUP(E61,mã!$B$2:$F$229,2,0)</f>
        <v>NL300033</v>
      </c>
      <c r="M61" s="22">
        <f>+VLOOKUP(T61,Sheet2!$B$2:$P$372,10,0)</f>
        <v>3.1</v>
      </c>
      <c r="N61" s="23">
        <f>+VLOOKUP(L61,mã!$C$2:$F$229,4,0)</f>
        <v>13000</v>
      </c>
      <c r="O61" s="23">
        <f t="shared" si="5"/>
        <v>40300</v>
      </c>
      <c r="P61" s="23">
        <f t="shared" si="6"/>
        <v>2600</v>
      </c>
      <c r="Q61" s="21" t="str">
        <f t="shared" si="7"/>
        <v>SAI SL NHẬN</v>
      </c>
      <c r="R61" s="14">
        <f>+VLOOKUP(T61,Sheet2!$B$2:$P$372,13,0)</f>
        <v>40300</v>
      </c>
      <c r="S61" s="24">
        <f t="shared" si="8"/>
        <v>0</v>
      </c>
      <c r="T61" t="str">
        <f t="shared" si="9"/>
        <v>02/01/2026NL300033</v>
      </c>
      <c r="U61" s="15">
        <f t="shared" si="10"/>
        <v>0.19999999999999973</v>
      </c>
      <c r="V61" s="25">
        <f t="shared" si="11"/>
        <v>0</v>
      </c>
    </row>
    <row r="62" spans="1:22" x14ac:dyDescent="0.25">
      <c r="A62" s="4" t="s">
        <v>160</v>
      </c>
      <c r="B62" s="5" t="s">
        <v>123</v>
      </c>
      <c r="C62" s="4" t="s">
        <v>124</v>
      </c>
      <c r="D62" s="5" t="s">
        <v>212</v>
      </c>
      <c r="E62" s="7" t="s">
        <v>19</v>
      </c>
      <c r="F62" s="7" t="s">
        <v>20</v>
      </c>
      <c r="G62" s="7" t="s">
        <v>14</v>
      </c>
      <c r="H62" s="8">
        <v>3</v>
      </c>
      <c r="I62" s="9">
        <v>32000</v>
      </c>
      <c r="J62" s="9">
        <f t="shared" si="4"/>
        <v>96000</v>
      </c>
      <c r="K62" s="6" t="s">
        <v>15</v>
      </c>
      <c r="L62" s="21" t="str">
        <f>+VLOOKUP(E62,mã!$B$2:$F$229,2,0)</f>
        <v>NL300038</v>
      </c>
      <c r="M62" s="22">
        <f>+VLOOKUP(T62,Sheet2!$B$2:$P$372,10,0)</f>
        <v>2.8</v>
      </c>
      <c r="N62" s="23">
        <f>+VLOOKUP(L62,mã!$C$2:$F$229,4,0)</f>
        <v>32000</v>
      </c>
      <c r="O62" s="23">
        <f t="shared" si="5"/>
        <v>89600</v>
      </c>
      <c r="P62" s="23">
        <f t="shared" si="6"/>
        <v>6400</v>
      </c>
      <c r="Q62" s="21" t="str">
        <f t="shared" si="7"/>
        <v>SAI SL NHẬN</v>
      </c>
      <c r="R62" s="14">
        <f>+VLOOKUP(T62,Sheet2!$B$2:$P$372,13,0)</f>
        <v>89600</v>
      </c>
      <c r="S62" s="24">
        <f t="shared" si="8"/>
        <v>0</v>
      </c>
      <c r="T62" t="str">
        <f t="shared" si="9"/>
        <v>02/01/2026NL300038</v>
      </c>
      <c r="U62" s="15">
        <f t="shared" si="10"/>
        <v>0.20000000000000018</v>
      </c>
      <c r="V62" s="25">
        <f t="shared" si="11"/>
        <v>0</v>
      </c>
    </row>
    <row r="63" spans="1:22" ht="28.5" x14ac:dyDescent="0.25">
      <c r="A63" s="4" t="s">
        <v>160</v>
      </c>
      <c r="B63" s="5" t="s">
        <v>123</v>
      </c>
      <c r="C63" s="4" t="s">
        <v>124</v>
      </c>
      <c r="D63" s="5" t="s">
        <v>212</v>
      </c>
      <c r="E63" s="7" t="s">
        <v>89</v>
      </c>
      <c r="F63" s="7" t="s">
        <v>88</v>
      </c>
      <c r="G63" s="7" t="s">
        <v>87</v>
      </c>
      <c r="H63" s="8">
        <v>6</v>
      </c>
      <c r="I63" s="9">
        <v>15000</v>
      </c>
      <c r="J63" s="9">
        <f t="shared" si="4"/>
        <v>90000</v>
      </c>
      <c r="K63" s="6" t="s">
        <v>15</v>
      </c>
      <c r="L63" s="21" t="str">
        <f>+VLOOKUP(E63,mã!$B$2:$F$229,2,0)</f>
        <v>NL300041</v>
      </c>
      <c r="M63" s="22">
        <f>+VLOOKUP(T63,Sheet2!$B$2:$P$372,10,0)</f>
        <v>6</v>
      </c>
      <c r="N63" s="23">
        <f>+VLOOKUP(L63,mã!$C$2:$F$229,4,0)</f>
        <v>15000</v>
      </c>
      <c r="O63" s="23">
        <f t="shared" si="5"/>
        <v>90000</v>
      </c>
      <c r="P63" s="23">
        <f t="shared" si="6"/>
        <v>0</v>
      </c>
      <c r="Q63" s="21" t="str">
        <f t="shared" si="7"/>
        <v xml:space="preserve"> </v>
      </c>
      <c r="R63" s="14">
        <f>+VLOOKUP(T63,Sheet2!$B$2:$P$372,13,0)</f>
        <v>90000</v>
      </c>
      <c r="S63" s="24">
        <f t="shared" si="8"/>
        <v>0</v>
      </c>
      <c r="T63" t="str">
        <f t="shared" si="9"/>
        <v>02/01/2026NL300041</v>
      </c>
      <c r="U63" s="15">
        <f t="shared" si="10"/>
        <v>0</v>
      </c>
      <c r="V63" s="25">
        <f t="shared" si="11"/>
        <v>0</v>
      </c>
    </row>
    <row r="64" spans="1:22" x14ac:dyDescent="0.25">
      <c r="A64" s="4" t="s">
        <v>160</v>
      </c>
      <c r="B64" s="5" t="s">
        <v>123</v>
      </c>
      <c r="C64" s="4" t="s">
        <v>124</v>
      </c>
      <c r="D64" s="5" t="s">
        <v>212</v>
      </c>
      <c r="E64" s="7" t="s">
        <v>51</v>
      </c>
      <c r="F64" s="7" t="s">
        <v>52</v>
      </c>
      <c r="G64" s="7" t="s">
        <v>14</v>
      </c>
      <c r="H64" s="8">
        <v>26</v>
      </c>
      <c r="I64" s="9">
        <v>18000</v>
      </c>
      <c r="J64" s="9">
        <f t="shared" si="4"/>
        <v>468000</v>
      </c>
      <c r="K64" s="6" t="s">
        <v>15</v>
      </c>
      <c r="L64" s="21" t="str">
        <f>+VLOOKUP(E64,mã!$B$2:$F$229,2,0)</f>
        <v>NL600004</v>
      </c>
      <c r="M64" s="22">
        <f>+VLOOKUP(T64,Sheet2!$B$2:$P$372,10,0)</f>
        <v>26</v>
      </c>
      <c r="N64" s="23">
        <f>+VLOOKUP(L64,mã!$C$2:$F$229,4,0)</f>
        <v>18000</v>
      </c>
      <c r="O64" s="23">
        <f t="shared" si="5"/>
        <v>468000</v>
      </c>
      <c r="P64" s="23">
        <f t="shared" si="6"/>
        <v>0</v>
      </c>
      <c r="Q64" s="21" t="str">
        <f t="shared" si="7"/>
        <v xml:space="preserve"> </v>
      </c>
      <c r="R64" s="14">
        <f>+VLOOKUP(T64,Sheet2!$B$2:$P$372,13,0)</f>
        <v>468000</v>
      </c>
      <c r="S64" s="24">
        <f t="shared" si="8"/>
        <v>0</v>
      </c>
      <c r="T64" t="str">
        <f t="shared" si="9"/>
        <v>02/01/2026NL600004</v>
      </c>
      <c r="U64" s="15">
        <f t="shared" si="10"/>
        <v>0</v>
      </c>
      <c r="V64" s="25">
        <f t="shared" si="11"/>
        <v>0</v>
      </c>
    </row>
    <row r="65" spans="1:22" x14ac:dyDescent="0.25">
      <c r="A65" s="4" t="s">
        <v>160</v>
      </c>
      <c r="B65" s="5" t="s">
        <v>123</v>
      </c>
      <c r="C65" s="4" t="s">
        <v>124</v>
      </c>
      <c r="D65" s="5" t="s">
        <v>212</v>
      </c>
      <c r="E65" s="7" t="s">
        <v>129</v>
      </c>
      <c r="F65" s="7" t="s">
        <v>130</v>
      </c>
      <c r="G65" s="7" t="s">
        <v>14</v>
      </c>
      <c r="H65" s="8">
        <v>3</v>
      </c>
      <c r="I65" s="9">
        <v>18000</v>
      </c>
      <c r="J65" s="9">
        <f t="shared" si="4"/>
        <v>54000</v>
      </c>
      <c r="K65" s="6" t="s">
        <v>15</v>
      </c>
      <c r="L65" s="21" t="str">
        <f>+VLOOKUP(E65,mã!$B$2:$F$229,2,0)</f>
        <v>NL300048</v>
      </c>
      <c r="M65" s="22">
        <f>+VLOOKUP(T65,Sheet2!$B$2:$P$372,10,0)</f>
        <v>2.5</v>
      </c>
      <c r="N65" s="23">
        <f>+VLOOKUP(L65,mã!$C$2:$F$229,4,0)</f>
        <v>18000</v>
      </c>
      <c r="O65" s="23">
        <f t="shared" si="5"/>
        <v>45000</v>
      </c>
      <c r="P65" s="23">
        <f t="shared" si="6"/>
        <v>9000</v>
      </c>
      <c r="Q65" s="21" t="str">
        <f t="shared" si="7"/>
        <v>SAI SL NHẬN</v>
      </c>
      <c r="R65" s="14">
        <f>+VLOOKUP(T65,Sheet2!$B$2:$P$372,13,0)</f>
        <v>45000</v>
      </c>
      <c r="S65" s="24">
        <f t="shared" si="8"/>
        <v>0</v>
      </c>
      <c r="T65" t="str">
        <f t="shared" si="9"/>
        <v>02/01/2026NL300048</v>
      </c>
      <c r="U65" s="15">
        <f t="shared" si="10"/>
        <v>0.5</v>
      </c>
      <c r="V65" s="25">
        <f t="shared" si="11"/>
        <v>0</v>
      </c>
    </row>
    <row r="66" spans="1:22" x14ac:dyDescent="0.25">
      <c r="A66" s="4" t="s">
        <v>160</v>
      </c>
      <c r="B66" s="5" t="s">
        <v>123</v>
      </c>
      <c r="C66" s="4" t="s">
        <v>124</v>
      </c>
      <c r="D66" s="5" t="s">
        <v>212</v>
      </c>
      <c r="E66" s="7" t="s">
        <v>139</v>
      </c>
      <c r="F66" s="7" t="s">
        <v>140</v>
      </c>
      <c r="G66" s="7" t="s">
        <v>14</v>
      </c>
      <c r="H66" s="8">
        <v>0.5</v>
      </c>
      <c r="I66" s="9">
        <v>30000</v>
      </c>
      <c r="J66" s="9">
        <f t="shared" si="4"/>
        <v>15000</v>
      </c>
      <c r="K66" s="6" t="s">
        <v>15</v>
      </c>
      <c r="L66" s="21" t="str">
        <f>+VLOOKUP(E66,mã!$B$2:$F$229,2,0)</f>
        <v>NL300053</v>
      </c>
      <c r="M66" s="22">
        <f>+VLOOKUP(T66,Sheet2!$B$2:$P$372,10,0)</f>
        <v>0.5</v>
      </c>
      <c r="N66" s="23">
        <f>+VLOOKUP(L66,mã!$C$2:$F$229,4,0)</f>
        <v>30000</v>
      </c>
      <c r="O66" s="23">
        <f t="shared" si="5"/>
        <v>15000</v>
      </c>
      <c r="P66" s="23">
        <f t="shared" si="6"/>
        <v>0</v>
      </c>
      <c r="Q66" s="21" t="str">
        <f t="shared" si="7"/>
        <v xml:space="preserve"> </v>
      </c>
      <c r="R66" s="14">
        <f>+VLOOKUP(T66,Sheet2!$B$2:$P$372,13,0)</f>
        <v>15000</v>
      </c>
      <c r="S66" s="24">
        <f t="shared" si="8"/>
        <v>0</v>
      </c>
      <c r="T66" t="str">
        <f t="shared" si="9"/>
        <v>02/01/2026NL300053</v>
      </c>
      <c r="U66" s="15">
        <f t="shared" si="10"/>
        <v>0</v>
      </c>
      <c r="V66" s="25">
        <f t="shared" si="11"/>
        <v>0</v>
      </c>
    </row>
    <row r="67" spans="1:22" x14ac:dyDescent="0.25">
      <c r="A67" s="4" t="s">
        <v>160</v>
      </c>
      <c r="B67" s="5" t="s">
        <v>123</v>
      </c>
      <c r="C67" s="4" t="s">
        <v>124</v>
      </c>
      <c r="D67" s="5" t="s">
        <v>212</v>
      </c>
      <c r="E67" s="7" t="s">
        <v>21</v>
      </c>
      <c r="F67" s="7" t="s">
        <v>22</v>
      </c>
      <c r="G67" s="7" t="s">
        <v>14</v>
      </c>
      <c r="H67" s="8">
        <v>0.3</v>
      </c>
      <c r="I67" s="9">
        <v>55000</v>
      </c>
      <c r="J67" s="9">
        <f t="shared" si="4"/>
        <v>16500</v>
      </c>
      <c r="K67" s="6" t="s">
        <v>15</v>
      </c>
      <c r="L67" s="21" t="str">
        <f>+VLOOKUP(E67,mã!$B$2:$F$229,2,0)</f>
        <v>NL300058</v>
      </c>
      <c r="M67" s="22">
        <f>+VLOOKUP(T67,Sheet2!$B$2:$P$372,10,0)</f>
        <v>0.3</v>
      </c>
      <c r="N67" s="23">
        <f>+VLOOKUP(L67,mã!$C$2:$F$229,4,0)</f>
        <v>55000</v>
      </c>
      <c r="O67" s="23">
        <f t="shared" si="5"/>
        <v>16500</v>
      </c>
      <c r="P67" s="23">
        <f t="shared" si="6"/>
        <v>0</v>
      </c>
      <c r="Q67" s="21" t="str">
        <f t="shared" si="7"/>
        <v xml:space="preserve"> </v>
      </c>
      <c r="R67" s="14">
        <f>+VLOOKUP(T67,Sheet2!$B$2:$P$372,13,0)</f>
        <v>16500</v>
      </c>
      <c r="S67" s="24">
        <f t="shared" si="8"/>
        <v>0</v>
      </c>
      <c r="T67" t="str">
        <f t="shared" si="9"/>
        <v>02/01/2026NL300058</v>
      </c>
      <c r="U67" s="15">
        <f t="shared" si="10"/>
        <v>0</v>
      </c>
      <c r="V67" s="25">
        <f t="shared" si="11"/>
        <v>0</v>
      </c>
    </row>
    <row r="68" spans="1:22" x14ac:dyDescent="0.25">
      <c r="A68" s="4" t="s">
        <v>160</v>
      </c>
      <c r="B68" s="5" t="s">
        <v>123</v>
      </c>
      <c r="C68" s="4" t="s">
        <v>124</v>
      </c>
      <c r="D68" s="5" t="s">
        <v>212</v>
      </c>
      <c r="E68" s="7" t="s">
        <v>86</v>
      </c>
      <c r="F68" s="7" t="s">
        <v>85</v>
      </c>
      <c r="G68" s="7" t="s">
        <v>14</v>
      </c>
      <c r="H68" s="8">
        <v>0.8</v>
      </c>
      <c r="I68" s="9">
        <v>38000</v>
      </c>
      <c r="J68" s="9">
        <f t="shared" si="4"/>
        <v>30400</v>
      </c>
      <c r="K68" s="6" t="s">
        <v>15</v>
      </c>
      <c r="L68" s="21" t="str">
        <f>+VLOOKUP(E68,mã!$B$2:$F$229,2,0)</f>
        <v>NL300061</v>
      </c>
      <c r="M68" s="22">
        <f>+VLOOKUP(T68,Sheet2!$B$2:$P$372,10,0)</f>
        <v>0.6</v>
      </c>
      <c r="N68" s="23">
        <f>+VLOOKUP(L68,mã!$C$2:$F$229,4,0)</f>
        <v>38000</v>
      </c>
      <c r="O68" s="23">
        <f t="shared" si="5"/>
        <v>22800</v>
      </c>
      <c r="P68" s="23">
        <f t="shared" si="6"/>
        <v>7600</v>
      </c>
      <c r="Q68" s="21" t="str">
        <f t="shared" si="7"/>
        <v>SAI SL NHẬN</v>
      </c>
      <c r="R68" s="14">
        <f>+VLOOKUP(T68,Sheet2!$B$2:$P$372,13,0)</f>
        <v>22800</v>
      </c>
      <c r="S68" s="24">
        <f t="shared" si="8"/>
        <v>0</v>
      </c>
      <c r="T68" t="str">
        <f t="shared" si="9"/>
        <v>02/01/2026NL300061</v>
      </c>
      <c r="U68" s="15">
        <f t="shared" si="10"/>
        <v>0.20000000000000007</v>
      </c>
      <c r="V68" s="25">
        <f t="shared" si="11"/>
        <v>0</v>
      </c>
    </row>
    <row r="69" spans="1:22" x14ac:dyDescent="0.25">
      <c r="A69" s="4" t="s">
        <v>160</v>
      </c>
      <c r="B69" s="5" t="s">
        <v>123</v>
      </c>
      <c r="C69" s="4" t="s">
        <v>124</v>
      </c>
      <c r="D69" s="5" t="s">
        <v>212</v>
      </c>
      <c r="E69" s="7" t="s">
        <v>23</v>
      </c>
      <c r="F69" s="7" t="s">
        <v>24</v>
      </c>
      <c r="G69" s="7" t="s">
        <v>14</v>
      </c>
      <c r="H69" s="8">
        <v>3</v>
      </c>
      <c r="I69" s="9">
        <v>13000</v>
      </c>
      <c r="J69" s="9">
        <f t="shared" si="4"/>
        <v>39000</v>
      </c>
      <c r="K69" s="6" t="s">
        <v>15</v>
      </c>
      <c r="L69" s="21" t="str">
        <f>+VLOOKUP(E69,mã!$B$2:$F$229,2,0)</f>
        <v>NL300059</v>
      </c>
      <c r="M69" s="22">
        <f>+VLOOKUP(T69,Sheet2!$B$2:$P$372,10,0)</f>
        <v>2.8</v>
      </c>
      <c r="N69" s="23">
        <f>+VLOOKUP(L69,mã!$C$2:$F$229,4,0)</f>
        <v>13000</v>
      </c>
      <c r="O69" s="23">
        <f t="shared" si="5"/>
        <v>36400</v>
      </c>
      <c r="P69" s="23">
        <f t="shared" si="6"/>
        <v>2600</v>
      </c>
      <c r="Q69" s="21" t="str">
        <f t="shared" si="7"/>
        <v>SAI SL NHẬN</v>
      </c>
      <c r="R69" s="14">
        <f>+VLOOKUP(T69,Sheet2!$B$2:$P$372,13,0)</f>
        <v>36400</v>
      </c>
      <c r="S69" s="24">
        <f t="shared" si="8"/>
        <v>0</v>
      </c>
      <c r="T69" t="str">
        <f t="shared" si="9"/>
        <v>02/01/2026NL300059</v>
      </c>
      <c r="U69" s="15">
        <f t="shared" si="10"/>
        <v>0.20000000000000018</v>
      </c>
      <c r="V69" s="25">
        <f t="shared" si="11"/>
        <v>0</v>
      </c>
    </row>
    <row r="70" spans="1:22" x14ac:dyDescent="0.25">
      <c r="A70" s="4" t="s">
        <v>160</v>
      </c>
      <c r="B70" s="5" t="s">
        <v>123</v>
      </c>
      <c r="C70" s="4" t="s">
        <v>124</v>
      </c>
      <c r="D70" s="5" t="s">
        <v>212</v>
      </c>
      <c r="E70" s="7" t="s">
        <v>84</v>
      </c>
      <c r="F70" s="7" t="s">
        <v>83</v>
      </c>
      <c r="G70" s="7" t="s">
        <v>14</v>
      </c>
      <c r="H70" s="8">
        <v>2.7</v>
      </c>
      <c r="I70" s="9">
        <v>23000</v>
      </c>
      <c r="J70" s="9">
        <f t="shared" si="4"/>
        <v>62100.000000000007</v>
      </c>
      <c r="K70" s="6" t="s">
        <v>15</v>
      </c>
      <c r="L70" s="21" t="str">
        <f>+VLOOKUP(E70,mã!$B$2:$F$229,2,0)</f>
        <v>NL300070</v>
      </c>
      <c r="M70" s="22">
        <f>+VLOOKUP(T70,Sheet2!$B$2:$P$372,10,0)</f>
        <v>0.9</v>
      </c>
      <c r="N70" s="23">
        <f>+VLOOKUP(L70,mã!$C$2:$F$229,4,0)</f>
        <v>23000</v>
      </c>
      <c r="O70" s="23">
        <f t="shared" si="5"/>
        <v>20700</v>
      </c>
      <c r="P70" s="23">
        <f t="shared" si="6"/>
        <v>41400.000000000007</v>
      </c>
      <c r="Q70" s="21" t="str">
        <f t="shared" si="7"/>
        <v>SAI SL NHẬN</v>
      </c>
      <c r="R70" s="14">
        <f>+VLOOKUP(T70,Sheet2!$B$2:$P$372,13,0)</f>
        <v>20700</v>
      </c>
      <c r="S70" s="24">
        <f t="shared" si="8"/>
        <v>0</v>
      </c>
      <c r="T70" t="str">
        <f t="shared" si="9"/>
        <v>02/01/2026NL300070</v>
      </c>
      <c r="U70" s="15">
        <f t="shared" si="10"/>
        <v>1.8000000000000003</v>
      </c>
      <c r="V70" s="25">
        <f t="shared" si="11"/>
        <v>0</v>
      </c>
    </row>
    <row r="71" spans="1:22" x14ac:dyDescent="0.25">
      <c r="A71" s="4" t="s">
        <v>160</v>
      </c>
      <c r="B71" s="5" t="s">
        <v>123</v>
      </c>
      <c r="C71" s="4" t="s">
        <v>124</v>
      </c>
      <c r="D71" s="5" t="s">
        <v>212</v>
      </c>
      <c r="E71" s="7" t="s">
        <v>152</v>
      </c>
      <c r="F71" s="7" t="s">
        <v>153</v>
      </c>
      <c r="G71" s="7" t="s">
        <v>14</v>
      </c>
      <c r="H71" s="8">
        <v>2.1</v>
      </c>
      <c r="I71" s="9">
        <v>20000</v>
      </c>
      <c r="J71" s="9">
        <f t="shared" si="4"/>
        <v>42000</v>
      </c>
      <c r="K71" s="6" t="s">
        <v>15</v>
      </c>
      <c r="L71" s="21" t="str">
        <f>+VLOOKUP(E71,mã!$B$2:$F$229,2,0)</f>
        <v>NL300071</v>
      </c>
      <c r="M71" s="22">
        <f>+VLOOKUP(T71,Sheet2!$B$2:$P$372,10,0)</f>
        <v>0</v>
      </c>
      <c r="N71" s="23">
        <f>+VLOOKUP(L71,mã!$C$2:$F$229,4,0)</f>
        <v>20000</v>
      </c>
      <c r="O71" s="23">
        <f t="shared" si="5"/>
        <v>0</v>
      </c>
      <c r="P71" s="23">
        <f t="shared" si="6"/>
        <v>42000</v>
      </c>
      <c r="Q71" s="21" t="str">
        <f t="shared" si="7"/>
        <v>SAI SL NHẬN</v>
      </c>
      <c r="R71" s="14">
        <f>+VLOOKUP(T71,Sheet2!$B$2:$P$372,13,0)</f>
        <v>0</v>
      </c>
      <c r="S71" s="24">
        <f t="shared" si="8"/>
        <v>0</v>
      </c>
      <c r="T71" t="str">
        <f t="shared" si="9"/>
        <v>02/01/2026NL300071</v>
      </c>
      <c r="U71" s="15">
        <f t="shared" si="10"/>
        <v>2.1</v>
      </c>
      <c r="V71" s="25">
        <f t="shared" si="11"/>
        <v>0</v>
      </c>
    </row>
    <row r="72" spans="1:22" x14ac:dyDescent="0.25">
      <c r="A72" s="4" t="s">
        <v>160</v>
      </c>
      <c r="B72" s="5" t="s">
        <v>123</v>
      </c>
      <c r="C72" s="4" t="s">
        <v>124</v>
      </c>
      <c r="D72" s="5" t="s">
        <v>212</v>
      </c>
      <c r="E72" s="7" t="s">
        <v>141</v>
      </c>
      <c r="F72" s="7" t="s">
        <v>142</v>
      </c>
      <c r="G72" s="7" t="s">
        <v>14</v>
      </c>
      <c r="H72" s="8">
        <v>3</v>
      </c>
      <c r="I72" s="9">
        <v>95000</v>
      </c>
      <c r="J72" s="9">
        <f t="shared" si="4"/>
        <v>285000</v>
      </c>
      <c r="K72" s="6" t="s">
        <v>15</v>
      </c>
      <c r="L72" s="21" t="str">
        <f>+VLOOKUP(E72,mã!$B$2:$F$229,2,0)</f>
        <v>NL300080</v>
      </c>
      <c r="M72" s="22">
        <f>+VLOOKUP(T72,Sheet2!$B$2:$P$372,10,0)</f>
        <v>2.7</v>
      </c>
      <c r="N72" s="23">
        <f>+VLOOKUP(L72,mã!$C$2:$F$229,4,0)</f>
        <v>95000</v>
      </c>
      <c r="O72" s="23">
        <f t="shared" si="5"/>
        <v>256500.00000000003</v>
      </c>
      <c r="P72" s="23">
        <f t="shared" si="6"/>
        <v>28499.999999999971</v>
      </c>
      <c r="Q72" s="21" t="str">
        <f t="shared" si="7"/>
        <v>SAI SL NHẬN</v>
      </c>
      <c r="R72" s="14">
        <f>+VLOOKUP(T72,Sheet2!$B$2:$P$372,13,0)</f>
        <v>256500.00000000003</v>
      </c>
      <c r="S72" s="24">
        <f t="shared" si="8"/>
        <v>0</v>
      </c>
      <c r="T72" t="str">
        <f t="shared" si="9"/>
        <v>02/01/2026NL300080</v>
      </c>
      <c r="U72" s="15">
        <f t="shared" si="10"/>
        <v>0.29999999999999982</v>
      </c>
      <c r="V72" s="25">
        <f t="shared" si="11"/>
        <v>0</v>
      </c>
    </row>
    <row r="73" spans="1:22" x14ac:dyDescent="0.25">
      <c r="A73" s="4" t="s">
        <v>160</v>
      </c>
      <c r="B73" s="5" t="s">
        <v>123</v>
      </c>
      <c r="C73" s="4" t="s">
        <v>124</v>
      </c>
      <c r="D73" s="5" t="s">
        <v>212</v>
      </c>
      <c r="E73" s="7" t="s">
        <v>82</v>
      </c>
      <c r="F73" s="7" t="s">
        <v>81</v>
      </c>
      <c r="G73" s="7" t="s">
        <v>14</v>
      </c>
      <c r="H73" s="8">
        <v>0.3</v>
      </c>
      <c r="I73" s="9">
        <v>18000</v>
      </c>
      <c r="J73" s="9">
        <f t="shared" si="4"/>
        <v>5400</v>
      </c>
      <c r="K73" s="6" t="s">
        <v>15</v>
      </c>
      <c r="L73" s="21" t="str">
        <f>+VLOOKUP(E73,mã!$B$2:$F$229,2,0)</f>
        <v>NL300184</v>
      </c>
      <c r="M73" s="22">
        <f>+VLOOKUP(T73,Sheet2!$B$2:$P$372,10,0)</f>
        <v>0.3</v>
      </c>
      <c r="N73" s="23">
        <f>+VLOOKUP(L73,mã!$C$2:$F$229,4,0)</f>
        <v>18000</v>
      </c>
      <c r="O73" s="23">
        <f t="shared" si="5"/>
        <v>5400</v>
      </c>
      <c r="P73" s="23">
        <f t="shared" si="6"/>
        <v>0</v>
      </c>
      <c r="Q73" s="21" t="str">
        <f t="shared" si="7"/>
        <v xml:space="preserve"> </v>
      </c>
      <c r="R73" s="14">
        <f>+VLOOKUP(T73,Sheet2!$B$2:$P$372,13,0)</f>
        <v>5400</v>
      </c>
      <c r="S73" s="24">
        <f t="shared" si="8"/>
        <v>0</v>
      </c>
      <c r="T73" t="str">
        <f t="shared" si="9"/>
        <v>02/01/2026NL300184</v>
      </c>
      <c r="U73" s="15">
        <f t="shared" si="10"/>
        <v>0</v>
      </c>
      <c r="V73" s="25">
        <f t="shared" si="11"/>
        <v>0</v>
      </c>
    </row>
    <row r="74" spans="1:22" x14ac:dyDescent="0.25">
      <c r="A74" s="4" t="s">
        <v>160</v>
      </c>
      <c r="B74" s="5" t="s">
        <v>123</v>
      </c>
      <c r="C74" s="4" t="s">
        <v>124</v>
      </c>
      <c r="D74" s="5" t="s">
        <v>212</v>
      </c>
      <c r="E74" s="7" t="s">
        <v>39</v>
      </c>
      <c r="F74" s="7" t="s">
        <v>40</v>
      </c>
      <c r="G74" s="7" t="s">
        <v>14</v>
      </c>
      <c r="H74" s="8">
        <v>3</v>
      </c>
      <c r="I74" s="9">
        <v>145000</v>
      </c>
      <c r="J74" s="9">
        <f t="shared" si="4"/>
        <v>435000</v>
      </c>
      <c r="K74" s="6" t="s">
        <v>15</v>
      </c>
      <c r="L74" s="21" t="str">
        <f>+VLOOKUP(E74,mã!$B$2:$F$229,2,0)</f>
        <v>NL300090</v>
      </c>
      <c r="M74" s="22">
        <f>+VLOOKUP(T74,Sheet2!$B$2:$P$372,10,0)</f>
        <v>3</v>
      </c>
      <c r="N74" s="23">
        <f>+VLOOKUP(L74,mã!$C$2:$F$229,4,0)</f>
        <v>145000</v>
      </c>
      <c r="O74" s="23">
        <f t="shared" si="5"/>
        <v>435000</v>
      </c>
      <c r="P74" s="23">
        <f t="shared" si="6"/>
        <v>0</v>
      </c>
      <c r="Q74" s="21" t="str">
        <f t="shared" si="7"/>
        <v xml:space="preserve"> </v>
      </c>
      <c r="R74" s="14">
        <f>+VLOOKUP(T74,Sheet2!$B$2:$P$372,13,0)</f>
        <v>435000</v>
      </c>
      <c r="S74" s="24">
        <f t="shared" si="8"/>
        <v>0</v>
      </c>
      <c r="T74" t="str">
        <f t="shared" si="9"/>
        <v>02/01/2026NL300090</v>
      </c>
      <c r="U74" s="15">
        <f t="shared" si="10"/>
        <v>0</v>
      </c>
      <c r="V74" s="25">
        <f t="shared" si="11"/>
        <v>0</v>
      </c>
    </row>
    <row r="75" spans="1:22" x14ac:dyDescent="0.25">
      <c r="A75" s="4" t="s">
        <v>160</v>
      </c>
      <c r="B75" s="5" t="s">
        <v>123</v>
      </c>
      <c r="C75" s="4" t="s">
        <v>124</v>
      </c>
      <c r="D75" s="5" t="s">
        <v>212</v>
      </c>
      <c r="E75" s="7" t="s">
        <v>53</v>
      </c>
      <c r="F75" s="7" t="s">
        <v>54</v>
      </c>
      <c r="G75" s="7" t="s">
        <v>14</v>
      </c>
      <c r="H75" s="8">
        <v>2</v>
      </c>
      <c r="I75" s="9">
        <v>47000</v>
      </c>
      <c r="J75" s="9">
        <f t="shared" si="4"/>
        <v>94000</v>
      </c>
      <c r="K75" s="6" t="s">
        <v>15</v>
      </c>
      <c r="L75" s="21" t="str">
        <f>+VLOOKUP(E75,mã!$B$2:$F$229,2,0)</f>
        <v>NL300091</v>
      </c>
      <c r="M75" s="22">
        <f>+VLOOKUP(T75,Sheet2!$B$2:$P$372,10,0)</f>
        <v>0</v>
      </c>
      <c r="N75" s="23">
        <f>+VLOOKUP(L75,mã!$C$2:$F$229,4,0)</f>
        <v>47000</v>
      </c>
      <c r="O75" s="23">
        <f t="shared" si="5"/>
        <v>0</v>
      </c>
      <c r="P75" s="23">
        <f t="shared" si="6"/>
        <v>94000</v>
      </c>
      <c r="Q75" s="21" t="str">
        <f t="shared" si="7"/>
        <v>SAI SL NHẬN</v>
      </c>
      <c r="R75" s="14">
        <f>+VLOOKUP(T75,Sheet2!$B$2:$P$372,13,0)</f>
        <v>0</v>
      </c>
      <c r="S75" s="24">
        <f t="shared" si="8"/>
        <v>0</v>
      </c>
      <c r="T75" t="str">
        <f t="shared" si="9"/>
        <v>02/01/2026NL300091</v>
      </c>
      <c r="U75" s="15">
        <f t="shared" si="10"/>
        <v>2</v>
      </c>
      <c r="V75" s="25">
        <f t="shared" si="11"/>
        <v>0</v>
      </c>
    </row>
    <row r="76" spans="1:22" x14ac:dyDescent="0.25">
      <c r="A76" s="4" t="s">
        <v>160</v>
      </c>
      <c r="B76" s="5" t="s">
        <v>123</v>
      </c>
      <c r="C76" s="4" t="s">
        <v>124</v>
      </c>
      <c r="D76" s="5" t="s">
        <v>212</v>
      </c>
      <c r="E76" s="7" t="s">
        <v>29</v>
      </c>
      <c r="F76" s="7" t="s">
        <v>30</v>
      </c>
      <c r="G76" s="7" t="s">
        <v>14</v>
      </c>
      <c r="H76" s="8">
        <v>1</v>
      </c>
      <c r="I76" s="9">
        <v>45000</v>
      </c>
      <c r="J76" s="9">
        <f t="shared" si="4"/>
        <v>45000</v>
      </c>
      <c r="K76" s="6" t="s">
        <v>15</v>
      </c>
      <c r="L76" s="21" t="str">
        <f>+VLOOKUP(E76,mã!$B$2:$F$229,2,0)</f>
        <v>NL300096</v>
      </c>
      <c r="M76" s="22">
        <f>+VLOOKUP(T76,Sheet2!$B$2:$P$372,10,0)</f>
        <v>1</v>
      </c>
      <c r="N76" s="23">
        <f>+VLOOKUP(L76,mã!$C$2:$F$229,4,0)</f>
        <v>45000</v>
      </c>
      <c r="O76" s="23">
        <f t="shared" si="5"/>
        <v>45000</v>
      </c>
      <c r="P76" s="23">
        <f t="shared" si="6"/>
        <v>0</v>
      </c>
      <c r="Q76" s="21" t="str">
        <f t="shared" si="7"/>
        <v xml:space="preserve"> </v>
      </c>
      <c r="R76" s="14">
        <f>+VLOOKUP(T76,Sheet2!$B$2:$P$372,13,0)</f>
        <v>45000</v>
      </c>
      <c r="S76" s="24">
        <f t="shared" si="8"/>
        <v>0</v>
      </c>
      <c r="T76" t="str">
        <f t="shared" si="9"/>
        <v>02/01/2026NL300096</v>
      </c>
      <c r="U76" s="15">
        <f t="shared" si="10"/>
        <v>0</v>
      </c>
      <c r="V76" s="25">
        <f t="shared" si="11"/>
        <v>0</v>
      </c>
    </row>
    <row r="77" spans="1:22" x14ac:dyDescent="0.25">
      <c r="A77" s="4" t="s">
        <v>160</v>
      </c>
      <c r="B77" s="5" t="s">
        <v>123</v>
      </c>
      <c r="C77" s="4" t="s">
        <v>124</v>
      </c>
      <c r="D77" s="5" t="s">
        <v>212</v>
      </c>
      <c r="E77" s="7" t="s">
        <v>63</v>
      </c>
      <c r="F77" s="7" t="s">
        <v>64</v>
      </c>
      <c r="G77" s="7" t="s">
        <v>14</v>
      </c>
      <c r="H77" s="8">
        <v>0.1</v>
      </c>
      <c r="I77" s="9">
        <v>45000</v>
      </c>
      <c r="J77" s="9">
        <f t="shared" si="4"/>
        <v>4500</v>
      </c>
      <c r="K77" s="6" t="s">
        <v>15</v>
      </c>
      <c r="L77" s="21" t="str">
        <f>+VLOOKUP(E77,mã!$B$2:$F$229,2,0)</f>
        <v>NL300085</v>
      </c>
      <c r="M77" s="22">
        <f>+VLOOKUP(T77,Sheet2!$B$2:$P$372,10,0)</f>
        <v>0.1</v>
      </c>
      <c r="N77" s="23">
        <f>+VLOOKUP(L77,mã!$C$2:$F$229,4,0)</f>
        <v>45000</v>
      </c>
      <c r="O77" s="23">
        <f t="shared" si="5"/>
        <v>4500</v>
      </c>
      <c r="P77" s="23">
        <f t="shared" si="6"/>
        <v>0</v>
      </c>
      <c r="Q77" s="21" t="str">
        <f t="shared" si="7"/>
        <v xml:space="preserve"> </v>
      </c>
      <c r="R77" s="14">
        <f>+VLOOKUP(T77,Sheet2!$B$2:$P$372,13,0)</f>
        <v>4500</v>
      </c>
      <c r="S77" s="24">
        <f t="shared" si="8"/>
        <v>0</v>
      </c>
      <c r="T77" t="str">
        <f t="shared" si="9"/>
        <v>02/01/2026NL300085</v>
      </c>
      <c r="U77" s="15">
        <f t="shared" si="10"/>
        <v>0</v>
      </c>
      <c r="V77" s="25">
        <f t="shared" si="11"/>
        <v>0</v>
      </c>
    </row>
    <row r="78" spans="1:22" x14ac:dyDescent="0.25">
      <c r="A78" s="4" t="s">
        <v>160</v>
      </c>
      <c r="B78" s="5" t="s">
        <v>123</v>
      </c>
      <c r="C78" s="4" t="s">
        <v>124</v>
      </c>
      <c r="D78" s="5" t="s">
        <v>212</v>
      </c>
      <c r="E78" s="7" t="s">
        <v>55</v>
      </c>
      <c r="F78" s="7" t="s">
        <v>56</v>
      </c>
      <c r="G78" s="7" t="s">
        <v>14</v>
      </c>
      <c r="H78" s="8">
        <v>1</v>
      </c>
      <c r="I78" s="9">
        <v>70000</v>
      </c>
      <c r="J78" s="9">
        <f t="shared" si="4"/>
        <v>70000</v>
      </c>
      <c r="K78" s="6" t="s">
        <v>15</v>
      </c>
      <c r="L78" s="21" t="str">
        <f>+VLOOKUP(E78,mã!$B$2:$F$229,2,0)</f>
        <v>NL300126</v>
      </c>
      <c r="M78" s="22">
        <f>+VLOOKUP(T78,Sheet2!$B$2:$P$372,10,0)</f>
        <v>0.8</v>
      </c>
      <c r="N78" s="23">
        <f>+VLOOKUP(L78,mã!$C$2:$F$229,4,0)</f>
        <v>70000</v>
      </c>
      <c r="O78" s="23">
        <f t="shared" si="5"/>
        <v>56000</v>
      </c>
      <c r="P78" s="23">
        <f t="shared" si="6"/>
        <v>14000</v>
      </c>
      <c r="Q78" s="21" t="str">
        <f t="shared" si="7"/>
        <v>SAI SL NHẬN</v>
      </c>
      <c r="R78" s="14">
        <f>+VLOOKUP(T78,Sheet2!$B$2:$P$372,13,0)</f>
        <v>56000</v>
      </c>
      <c r="S78" s="24">
        <f t="shared" si="8"/>
        <v>0</v>
      </c>
      <c r="T78" t="str">
        <f t="shared" si="9"/>
        <v>02/01/2026NL300126</v>
      </c>
      <c r="U78" s="15">
        <f t="shared" si="10"/>
        <v>0.19999999999999996</v>
      </c>
      <c r="V78" s="25">
        <f t="shared" si="11"/>
        <v>0</v>
      </c>
    </row>
    <row r="79" spans="1:22" x14ac:dyDescent="0.25">
      <c r="A79" s="4" t="s">
        <v>160</v>
      </c>
      <c r="B79" s="5" t="s">
        <v>123</v>
      </c>
      <c r="C79" s="4" t="s">
        <v>124</v>
      </c>
      <c r="D79" s="5" t="s">
        <v>212</v>
      </c>
      <c r="E79" s="7" t="s">
        <v>41</v>
      </c>
      <c r="F79" s="7" t="s">
        <v>42</v>
      </c>
      <c r="G79" s="7" t="s">
        <v>14</v>
      </c>
      <c r="H79" s="8">
        <v>1</v>
      </c>
      <c r="I79" s="9">
        <v>145000</v>
      </c>
      <c r="J79" s="9">
        <f t="shared" si="4"/>
        <v>145000</v>
      </c>
      <c r="K79" s="6" t="s">
        <v>15</v>
      </c>
      <c r="L79" s="21" t="str">
        <f>+VLOOKUP(E79,mã!$B$2:$F$229,2,0)</f>
        <v>NL300113</v>
      </c>
      <c r="M79" s="22">
        <f>+VLOOKUP(T79,Sheet2!$B$2:$P$372,10,0)</f>
        <v>0.8</v>
      </c>
      <c r="N79" s="23">
        <f>+VLOOKUP(L79,mã!$C$2:$F$229,4,0)</f>
        <v>145000</v>
      </c>
      <c r="O79" s="23">
        <f t="shared" si="5"/>
        <v>116000</v>
      </c>
      <c r="P79" s="23">
        <f t="shared" si="6"/>
        <v>29000</v>
      </c>
      <c r="Q79" s="21" t="str">
        <f t="shared" si="7"/>
        <v>SAI SL NHẬN</v>
      </c>
      <c r="R79" s="14">
        <f>+VLOOKUP(T79,Sheet2!$B$2:$P$372,13,0)</f>
        <v>116000</v>
      </c>
      <c r="S79" s="24">
        <f t="shared" si="8"/>
        <v>0</v>
      </c>
      <c r="T79" t="str">
        <f t="shared" si="9"/>
        <v>02/01/2026NL300113</v>
      </c>
      <c r="U79" s="15">
        <f t="shared" si="10"/>
        <v>0.19999999999999996</v>
      </c>
      <c r="V79" s="25">
        <f t="shared" si="11"/>
        <v>0</v>
      </c>
    </row>
    <row r="80" spans="1:22" x14ac:dyDescent="0.25">
      <c r="A80" s="4" t="s">
        <v>160</v>
      </c>
      <c r="B80" s="5" t="s">
        <v>123</v>
      </c>
      <c r="C80" s="4" t="s">
        <v>124</v>
      </c>
      <c r="D80" s="5" t="s">
        <v>212</v>
      </c>
      <c r="E80" s="7" t="s">
        <v>47</v>
      </c>
      <c r="F80" s="7" t="s">
        <v>48</v>
      </c>
      <c r="G80" s="7" t="s">
        <v>14</v>
      </c>
      <c r="H80" s="8">
        <v>2</v>
      </c>
      <c r="I80" s="9">
        <v>21000</v>
      </c>
      <c r="J80" s="9">
        <f t="shared" ref="J80:J143" si="12">H80*I80</f>
        <v>42000</v>
      </c>
      <c r="K80" s="6" t="s">
        <v>15</v>
      </c>
      <c r="L80" s="21" t="str">
        <f>+VLOOKUP(E80,mã!$B$2:$F$229,2,0)</f>
        <v>NL300119</v>
      </c>
      <c r="M80" s="22">
        <f>+VLOOKUP(T80,Sheet2!$B$2:$P$372,10,0)</f>
        <v>0</v>
      </c>
      <c r="N80" s="23">
        <f>+VLOOKUP(L80,mã!$C$2:$F$229,4,0)</f>
        <v>21000</v>
      </c>
      <c r="O80" s="23">
        <f t="shared" ref="O80:O143" si="13">M80*N80</f>
        <v>0</v>
      </c>
      <c r="P80" s="23">
        <f t="shared" ref="P80:P143" si="14">J80-O80</f>
        <v>42000</v>
      </c>
      <c r="Q80" s="21" t="str">
        <f t="shared" ref="Q80:Q143" si="15">IF(U80=0," ","SAI SL NHẬN")</f>
        <v>SAI SL NHẬN</v>
      </c>
      <c r="R80" s="14">
        <f>+VLOOKUP(T80,Sheet2!$B$2:$P$372,13,0)</f>
        <v>0</v>
      </c>
      <c r="S80" s="24">
        <f t="shared" ref="S80:S143" si="16">O80-R80</f>
        <v>0</v>
      </c>
      <c r="T80" t="str">
        <f t="shared" ref="T80:T143" si="17">A80&amp;L80</f>
        <v>02/01/2026NL300119</v>
      </c>
      <c r="U80" s="15">
        <f t="shared" ref="U80:U143" si="18">H80-M80</f>
        <v>2</v>
      </c>
      <c r="V80" s="25">
        <f t="shared" ref="V80:V143" si="19">I80-N80</f>
        <v>0</v>
      </c>
    </row>
    <row r="81" spans="1:22" x14ac:dyDescent="0.25">
      <c r="A81" s="4" t="s">
        <v>160</v>
      </c>
      <c r="B81" s="5" t="s">
        <v>123</v>
      </c>
      <c r="C81" s="4" t="s">
        <v>124</v>
      </c>
      <c r="D81" s="5" t="s">
        <v>212</v>
      </c>
      <c r="E81" s="7" t="s">
        <v>27</v>
      </c>
      <c r="F81" s="7" t="s">
        <v>28</v>
      </c>
      <c r="G81" s="7" t="s">
        <v>14</v>
      </c>
      <c r="H81" s="8">
        <v>0.5</v>
      </c>
      <c r="I81" s="9">
        <v>50000</v>
      </c>
      <c r="J81" s="9">
        <f t="shared" si="12"/>
        <v>25000</v>
      </c>
      <c r="K81" s="6" t="s">
        <v>15</v>
      </c>
      <c r="L81" s="21" t="str">
        <f>+VLOOKUP(E81,mã!$B$2:$F$229,2,0)</f>
        <v>NL300142</v>
      </c>
      <c r="M81" s="22">
        <f>+VLOOKUP(T81,Sheet2!$B$2:$P$372,10,0)</f>
        <v>0.4</v>
      </c>
      <c r="N81" s="23">
        <f>+VLOOKUP(L81,mã!$C$2:$F$229,4,0)</f>
        <v>50000</v>
      </c>
      <c r="O81" s="23">
        <f t="shared" si="13"/>
        <v>20000</v>
      </c>
      <c r="P81" s="23">
        <f t="shared" si="14"/>
        <v>5000</v>
      </c>
      <c r="Q81" s="21" t="str">
        <f t="shared" si="15"/>
        <v>SAI SL NHẬN</v>
      </c>
      <c r="R81" s="14">
        <f>+VLOOKUP(T81,Sheet2!$B$2:$P$372,13,0)</f>
        <v>20000</v>
      </c>
      <c r="S81" s="24">
        <f t="shared" si="16"/>
        <v>0</v>
      </c>
      <c r="T81" t="str">
        <f t="shared" si="17"/>
        <v>02/01/2026NL300142</v>
      </c>
      <c r="U81" s="15">
        <f t="shared" si="18"/>
        <v>9.9999999999999978E-2</v>
      </c>
      <c r="V81" s="25">
        <f t="shared" si="19"/>
        <v>0</v>
      </c>
    </row>
    <row r="82" spans="1:22" x14ac:dyDescent="0.25">
      <c r="A82" s="4" t="s">
        <v>160</v>
      </c>
      <c r="B82" s="5" t="s">
        <v>123</v>
      </c>
      <c r="C82" s="4" t="s">
        <v>124</v>
      </c>
      <c r="D82" s="5" t="s">
        <v>212</v>
      </c>
      <c r="E82" s="7" t="s">
        <v>143</v>
      </c>
      <c r="F82" s="7" t="s">
        <v>144</v>
      </c>
      <c r="G82" s="7" t="s">
        <v>14</v>
      </c>
      <c r="H82" s="8">
        <v>1.3</v>
      </c>
      <c r="I82" s="9">
        <v>65000</v>
      </c>
      <c r="J82" s="9">
        <f t="shared" si="12"/>
        <v>84500</v>
      </c>
      <c r="K82" s="6" t="s">
        <v>15</v>
      </c>
      <c r="L82" s="21" t="str">
        <f>+VLOOKUP(E82,mã!$B$2:$F$229,2,0)</f>
        <v>NL300146</v>
      </c>
      <c r="M82" s="22">
        <f>+VLOOKUP(T82,Sheet2!$B$2:$P$372,10,0)</f>
        <v>1</v>
      </c>
      <c r="N82" s="23">
        <f>+VLOOKUP(L82,mã!$C$2:$F$229,4,0)</f>
        <v>65000</v>
      </c>
      <c r="O82" s="23">
        <f t="shared" si="13"/>
        <v>65000</v>
      </c>
      <c r="P82" s="23">
        <f t="shared" si="14"/>
        <v>19500</v>
      </c>
      <c r="Q82" s="21" t="str">
        <f t="shared" si="15"/>
        <v>SAI SL NHẬN</v>
      </c>
      <c r="R82" s="14">
        <f>+VLOOKUP(T82,Sheet2!$B$2:$P$372,13,0)</f>
        <v>65000</v>
      </c>
      <c r="S82" s="24">
        <f t="shared" si="16"/>
        <v>0</v>
      </c>
      <c r="T82" t="str">
        <f t="shared" si="17"/>
        <v>02/01/2026NL300146</v>
      </c>
      <c r="U82" s="15">
        <f t="shared" si="18"/>
        <v>0.30000000000000004</v>
      </c>
      <c r="V82" s="25">
        <f t="shared" si="19"/>
        <v>0</v>
      </c>
    </row>
    <row r="83" spans="1:22" x14ac:dyDescent="0.25">
      <c r="A83" s="4" t="s">
        <v>160</v>
      </c>
      <c r="B83" s="5" t="s">
        <v>123</v>
      </c>
      <c r="C83" s="4" t="s">
        <v>124</v>
      </c>
      <c r="D83" s="5" t="s">
        <v>212</v>
      </c>
      <c r="E83" s="7" t="s">
        <v>210</v>
      </c>
      <c r="F83" s="7" t="s">
        <v>211</v>
      </c>
      <c r="G83" s="7" t="s">
        <v>14</v>
      </c>
      <c r="H83" s="8">
        <v>1</v>
      </c>
      <c r="I83" s="9">
        <v>68000</v>
      </c>
      <c r="J83" s="9">
        <f t="shared" si="12"/>
        <v>68000</v>
      </c>
      <c r="K83" s="6" t="s">
        <v>15</v>
      </c>
      <c r="L83" s="21" t="s">
        <v>846</v>
      </c>
      <c r="M83" s="22">
        <f>+VLOOKUP(T83,Sheet2!$B$2:$P$372,10,0)</f>
        <v>0.8</v>
      </c>
      <c r="N83" s="23">
        <f>+VLOOKUP(L83,mã!$C$2:$F$229,4,0)</f>
        <v>68000</v>
      </c>
      <c r="O83" s="23">
        <f t="shared" si="13"/>
        <v>54400</v>
      </c>
      <c r="P83" s="23">
        <f t="shared" si="14"/>
        <v>13600</v>
      </c>
      <c r="Q83" s="21" t="str">
        <f t="shared" si="15"/>
        <v>SAI SL NHẬN</v>
      </c>
      <c r="R83" s="14">
        <f>+VLOOKUP(T83,Sheet2!$B$2:$P$372,13,0)</f>
        <v>54400</v>
      </c>
      <c r="S83" s="24">
        <f t="shared" si="16"/>
        <v>0</v>
      </c>
      <c r="T83" t="str">
        <f t="shared" si="17"/>
        <v>02/01/2026NL300232</v>
      </c>
      <c r="U83" s="15">
        <f t="shared" si="18"/>
        <v>0.19999999999999996</v>
      </c>
      <c r="V83" s="25">
        <f t="shared" si="19"/>
        <v>0</v>
      </c>
    </row>
    <row r="84" spans="1:22" x14ac:dyDescent="0.25">
      <c r="A84" s="4" t="s">
        <v>160</v>
      </c>
      <c r="B84" s="5" t="s">
        <v>123</v>
      </c>
      <c r="C84" s="4" t="s">
        <v>124</v>
      </c>
      <c r="D84" s="5" t="s">
        <v>212</v>
      </c>
      <c r="E84" s="7" t="s">
        <v>145</v>
      </c>
      <c r="F84" s="7" t="s">
        <v>146</v>
      </c>
      <c r="G84" s="7" t="s">
        <v>14</v>
      </c>
      <c r="H84" s="8">
        <v>15</v>
      </c>
      <c r="I84" s="9">
        <v>38000</v>
      </c>
      <c r="J84" s="9">
        <f t="shared" si="12"/>
        <v>570000</v>
      </c>
      <c r="K84" s="6" t="s">
        <v>15</v>
      </c>
      <c r="L84" s="21" t="str">
        <f>+VLOOKUP(E84,mã!$B$2:$F$229,2,0)</f>
        <v>NL300145</v>
      </c>
      <c r="M84" s="22">
        <f>+VLOOKUP(T84,Sheet2!$B$2:$P$372,10,0)</f>
        <v>8</v>
      </c>
      <c r="N84" s="23">
        <f>+VLOOKUP(L84,mã!$C$2:$F$229,4,0)</f>
        <v>38000</v>
      </c>
      <c r="O84" s="23">
        <f t="shared" si="13"/>
        <v>304000</v>
      </c>
      <c r="P84" s="23">
        <f t="shared" si="14"/>
        <v>266000</v>
      </c>
      <c r="Q84" s="21" t="str">
        <f t="shared" si="15"/>
        <v>SAI SL NHẬN</v>
      </c>
      <c r="R84" s="14">
        <f>+VLOOKUP(T84,Sheet2!$B$2:$P$372,13,0)</f>
        <v>304000</v>
      </c>
      <c r="S84" s="24">
        <f t="shared" si="16"/>
        <v>0</v>
      </c>
      <c r="T84" t="str">
        <f t="shared" si="17"/>
        <v>02/01/2026NL300145</v>
      </c>
      <c r="U84" s="15">
        <f t="shared" si="18"/>
        <v>7</v>
      </c>
      <c r="V84" s="25">
        <f t="shared" si="19"/>
        <v>0</v>
      </c>
    </row>
    <row r="85" spans="1:22" x14ac:dyDescent="0.25">
      <c r="A85" s="4" t="s">
        <v>160</v>
      </c>
      <c r="B85" s="5" t="s">
        <v>123</v>
      </c>
      <c r="C85" s="4" t="s">
        <v>124</v>
      </c>
      <c r="D85" s="5" t="s">
        <v>212</v>
      </c>
      <c r="E85" s="7" t="s">
        <v>66</v>
      </c>
      <c r="F85" s="7" t="s">
        <v>65</v>
      </c>
      <c r="G85" s="7" t="s">
        <v>14</v>
      </c>
      <c r="H85" s="8">
        <v>1</v>
      </c>
      <c r="I85" s="9">
        <v>62000</v>
      </c>
      <c r="J85" s="9">
        <f t="shared" si="12"/>
        <v>62000</v>
      </c>
      <c r="K85" s="6" t="s">
        <v>15</v>
      </c>
      <c r="L85" s="21" t="str">
        <f>+VLOOKUP(E85,mã!$B$2:$F$229,2,0)</f>
        <v>NL300147</v>
      </c>
      <c r="M85" s="22">
        <f>+VLOOKUP(T85,Sheet2!$B$2:$P$372,10,0)</f>
        <v>1</v>
      </c>
      <c r="N85" s="23">
        <f>+VLOOKUP(L85,mã!$C$2:$F$229,4,0)</f>
        <v>62000</v>
      </c>
      <c r="O85" s="23">
        <f t="shared" si="13"/>
        <v>62000</v>
      </c>
      <c r="P85" s="23">
        <f t="shared" si="14"/>
        <v>0</v>
      </c>
      <c r="Q85" s="21" t="str">
        <f t="shared" si="15"/>
        <v xml:space="preserve"> </v>
      </c>
      <c r="R85" s="14">
        <f>+VLOOKUP(T85,Sheet2!$B$2:$P$372,13,0)</f>
        <v>62000</v>
      </c>
      <c r="S85" s="24">
        <f t="shared" si="16"/>
        <v>0</v>
      </c>
      <c r="T85" t="str">
        <f t="shared" si="17"/>
        <v>02/01/2026NL300147</v>
      </c>
      <c r="U85" s="15">
        <f t="shared" si="18"/>
        <v>0</v>
      </c>
      <c r="V85" s="25">
        <f t="shared" si="19"/>
        <v>0</v>
      </c>
    </row>
    <row r="86" spans="1:22" x14ac:dyDescent="0.25">
      <c r="A86" s="4" t="s">
        <v>163</v>
      </c>
      <c r="B86" s="5" t="s">
        <v>123</v>
      </c>
      <c r="C86" s="4" t="s">
        <v>124</v>
      </c>
      <c r="D86" s="5" t="s">
        <v>213</v>
      </c>
      <c r="E86" s="7" t="s">
        <v>12</v>
      </c>
      <c r="F86" s="7" t="s">
        <v>13</v>
      </c>
      <c r="G86" s="7" t="s">
        <v>14</v>
      </c>
      <c r="H86" s="8">
        <v>4.8</v>
      </c>
      <c r="I86" s="9">
        <v>19000</v>
      </c>
      <c r="J86" s="9">
        <f t="shared" si="12"/>
        <v>91200</v>
      </c>
      <c r="K86" s="6" t="s">
        <v>15</v>
      </c>
      <c r="L86" s="21" t="str">
        <f>+VLOOKUP(E86,mã!$B$2:$F$229,2,0)</f>
        <v>NL300004</v>
      </c>
      <c r="M86" s="22">
        <v>0</v>
      </c>
      <c r="N86" s="23">
        <f>+VLOOKUP(L86,mã!$C$2:$F$229,4,0)</f>
        <v>19000</v>
      </c>
      <c r="O86" s="23">
        <f t="shared" si="13"/>
        <v>0</v>
      </c>
      <c r="P86" s="23">
        <f t="shared" si="14"/>
        <v>91200</v>
      </c>
      <c r="Q86" s="21" t="str">
        <f t="shared" si="15"/>
        <v>SAI SL NHẬN</v>
      </c>
      <c r="R86" s="14">
        <v>0</v>
      </c>
      <c r="S86" s="24">
        <f t="shared" si="16"/>
        <v>0</v>
      </c>
      <c r="T86" t="str">
        <f t="shared" si="17"/>
        <v>03/01/2026NL300004</v>
      </c>
      <c r="U86" s="15">
        <f t="shared" si="18"/>
        <v>4.8</v>
      </c>
      <c r="V86" s="25">
        <f t="shared" si="19"/>
        <v>0</v>
      </c>
    </row>
    <row r="87" spans="1:22" x14ac:dyDescent="0.25">
      <c r="A87" s="4" t="s">
        <v>163</v>
      </c>
      <c r="B87" s="5" t="s">
        <v>123</v>
      </c>
      <c r="C87" s="4" t="s">
        <v>124</v>
      </c>
      <c r="D87" s="5" t="s">
        <v>213</v>
      </c>
      <c r="E87" s="7" t="s">
        <v>16</v>
      </c>
      <c r="F87" s="7" t="s">
        <v>17</v>
      </c>
      <c r="G87" s="7" t="s">
        <v>18</v>
      </c>
      <c r="H87" s="8">
        <v>15</v>
      </c>
      <c r="I87" s="9">
        <v>8500</v>
      </c>
      <c r="J87" s="9">
        <f t="shared" si="12"/>
        <v>127500</v>
      </c>
      <c r="K87" s="6" t="s">
        <v>15</v>
      </c>
      <c r="L87" s="21" t="str">
        <f>+VLOOKUP(E87,mã!$B$2:$F$229,2,0)</f>
        <v>NL300107</v>
      </c>
      <c r="M87" s="22">
        <f>+VLOOKUP(T87,Sheet2!$B$2:$P$372,10,0)</f>
        <v>15</v>
      </c>
      <c r="N87" s="23">
        <f>+VLOOKUP(L87,mã!$C$2:$F$229,4,0)</f>
        <v>8500</v>
      </c>
      <c r="O87" s="23">
        <f t="shared" si="13"/>
        <v>127500</v>
      </c>
      <c r="P87" s="23">
        <f t="shared" si="14"/>
        <v>0</v>
      </c>
      <c r="Q87" s="21" t="str">
        <f t="shared" si="15"/>
        <v xml:space="preserve"> </v>
      </c>
      <c r="R87" s="14">
        <f>+VLOOKUP(T87,Sheet2!$B$2:$P$372,13,0)</f>
        <v>127500</v>
      </c>
      <c r="S87" s="24">
        <f t="shared" si="16"/>
        <v>0</v>
      </c>
      <c r="T87" t="str">
        <f t="shared" si="17"/>
        <v>03/01/2026NL300107</v>
      </c>
      <c r="U87" s="15">
        <f t="shared" si="18"/>
        <v>0</v>
      </c>
      <c r="V87" s="25">
        <f t="shared" si="19"/>
        <v>0</v>
      </c>
    </row>
    <row r="88" spans="1:22" x14ac:dyDescent="0.25">
      <c r="A88" s="4" t="s">
        <v>163</v>
      </c>
      <c r="B88" s="5" t="s">
        <v>123</v>
      </c>
      <c r="C88" s="4" t="s">
        <v>124</v>
      </c>
      <c r="D88" s="5" t="s">
        <v>213</v>
      </c>
      <c r="E88" s="7" t="s">
        <v>59</v>
      </c>
      <c r="F88" s="7" t="s">
        <v>60</v>
      </c>
      <c r="G88" s="7" t="s">
        <v>14</v>
      </c>
      <c r="H88" s="8">
        <v>3.1</v>
      </c>
      <c r="I88" s="9">
        <v>30000</v>
      </c>
      <c r="J88" s="9">
        <f t="shared" si="12"/>
        <v>93000</v>
      </c>
      <c r="K88" s="6" t="s">
        <v>15</v>
      </c>
      <c r="L88" s="21" t="str">
        <f>+VLOOKUP(E88,mã!$B$2:$F$229,2,0)</f>
        <v>NL300007</v>
      </c>
      <c r="M88" s="22">
        <f>+VLOOKUP(T88,Sheet2!$B$2:$P$372,10,0)</f>
        <v>3.1</v>
      </c>
      <c r="N88" s="23">
        <f>+VLOOKUP(L88,mã!$C$2:$F$229,4,0)</f>
        <v>30000</v>
      </c>
      <c r="O88" s="23">
        <f t="shared" si="13"/>
        <v>93000</v>
      </c>
      <c r="P88" s="23">
        <f t="shared" si="14"/>
        <v>0</v>
      </c>
      <c r="Q88" s="21" t="str">
        <f t="shared" si="15"/>
        <v xml:space="preserve"> </v>
      </c>
      <c r="R88" s="14">
        <f>+VLOOKUP(T88,Sheet2!$B$2:$P$372,13,0)</f>
        <v>93000</v>
      </c>
      <c r="S88" s="24">
        <f t="shared" si="16"/>
        <v>0</v>
      </c>
      <c r="T88" t="str">
        <f t="shared" si="17"/>
        <v>03/01/2026NL300007</v>
      </c>
      <c r="U88" s="15">
        <f t="shared" si="18"/>
        <v>0</v>
      </c>
      <c r="V88" s="25">
        <f t="shared" si="19"/>
        <v>0</v>
      </c>
    </row>
    <row r="89" spans="1:22" x14ac:dyDescent="0.25">
      <c r="A89" s="4" t="s">
        <v>163</v>
      </c>
      <c r="B89" s="5" t="s">
        <v>123</v>
      </c>
      <c r="C89" s="4" t="s">
        <v>124</v>
      </c>
      <c r="D89" s="5" t="s">
        <v>213</v>
      </c>
      <c r="E89" s="7" t="s">
        <v>101</v>
      </c>
      <c r="F89" s="7" t="s">
        <v>100</v>
      </c>
      <c r="G89" s="7" t="s">
        <v>14</v>
      </c>
      <c r="H89" s="8">
        <v>2.2999999999999998</v>
      </c>
      <c r="I89" s="9">
        <v>40000</v>
      </c>
      <c r="J89" s="9">
        <f t="shared" si="12"/>
        <v>92000</v>
      </c>
      <c r="K89" s="6" t="s">
        <v>15</v>
      </c>
      <c r="L89" s="21" t="str">
        <f>+VLOOKUP(E89,mã!$B$2:$F$229,2,0)</f>
        <v>NL300008</v>
      </c>
      <c r="M89" s="22">
        <f>+VLOOKUP(T89,Sheet2!$B$2:$P$372,10,0)</f>
        <v>2.2999999999999998</v>
      </c>
      <c r="N89" s="23">
        <f>+VLOOKUP(L89,mã!$C$2:$F$229,4,0)</f>
        <v>40000</v>
      </c>
      <c r="O89" s="23">
        <f t="shared" si="13"/>
        <v>92000</v>
      </c>
      <c r="P89" s="23">
        <f t="shared" si="14"/>
        <v>0</v>
      </c>
      <c r="Q89" s="21" t="str">
        <f t="shared" si="15"/>
        <v xml:space="preserve"> </v>
      </c>
      <c r="R89" s="14">
        <f>+VLOOKUP(T89,Sheet2!$B$2:$P$372,13,0)</f>
        <v>92000</v>
      </c>
      <c r="S89" s="24">
        <f t="shared" si="16"/>
        <v>0</v>
      </c>
      <c r="T89" t="str">
        <f t="shared" si="17"/>
        <v>03/01/2026NL300008</v>
      </c>
      <c r="U89" s="15">
        <f t="shared" si="18"/>
        <v>0</v>
      </c>
      <c r="V89" s="25">
        <f t="shared" si="19"/>
        <v>0</v>
      </c>
    </row>
    <row r="90" spans="1:22" x14ac:dyDescent="0.25">
      <c r="A90" s="4" t="s">
        <v>163</v>
      </c>
      <c r="B90" s="5" t="s">
        <v>123</v>
      </c>
      <c r="C90" s="4" t="s">
        <v>124</v>
      </c>
      <c r="D90" s="5" t="s">
        <v>213</v>
      </c>
      <c r="E90" s="7" t="s">
        <v>131</v>
      </c>
      <c r="F90" s="7" t="s">
        <v>132</v>
      </c>
      <c r="G90" s="7" t="s">
        <v>14</v>
      </c>
      <c r="H90" s="8">
        <v>0.5</v>
      </c>
      <c r="I90" s="9">
        <v>55000</v>
      </c>
      <c r="J90" s="9">
        <f t="shared" si="12"/>
        <v>27500</v>
      </c>
      <c r="K90" s="6" t="s">
        <v>15</v>
      </c>
      <c r="L90" s="21" t="str">
        <f>+VLOOKUP(E90,mã!$B$2:$F$229,2,0)</f>
        <v>NL300014</v>
      </c>
      <c r="M90" s="22">
        <f>+VLOOKUP(T90,Sheet2!$B$2:$P$372,10,0)</f>
        <v>0.5</v>
      </c>
      <c r="N90" s="23">
        <f>+VLOOKUP(L90,mã!$C$2:$F$229,4,0)</f>
        <v>55000</v>
      </c>
      <c r="O90" s="23">
        <f t="shared" si="13"/>
        <v>27500</v>
      </c>
      <c r="P90" s="23">
        <f t="shared" si="14"/>
        <v>0</v>
      </c>
      <c r="Q90" s="21" t="str">
        <f t="shared" si="15"/>
        <v xml:space="preserve"> </v>
      </c>
      <c r="R90" s="14">
        <f>+VLOOKUP(T90,Sheet2!$B$2:$P$372,13,0)</f>
        <v>27500</v>
      </c>
      <c r="S90" s="24">
        <f t="shared" si="16"/>
        <v>0</v>
      </c>
      <c r="T90" t="str">
        <f t="shared" si="17"/>
        <v>03/01/2026NL300014</v>
      </c>
      <c r="U90" s="15">
        <f t="shared" si="18"/>
        <v>0</v>
      </c>
      <c r="V90" s="25">
        <f t="shared" si="19"/>
        <v>0</v>
      </c>
    </row>
    <row r="91" spans="1:22" x14ac:dyDescent="0.25">
      <c r="A91" s="4" t="s">
        <v>163</v>
      </c>
      <c r="B91" s="5" t="s">
        <v>123</v>
      </c>
      <c r="C91" s="4" t="s">
        <v>124</v>
      </c>
      <c r="D91" s="5" t="s">
        <v>213</v>
      </c>
      <c r="E91" s="7" t="s">
        <v>125</v>
      </c>
      <c r="F91" s="7" t="s">
        <v>126</v>
      </c>
      <c r="G91" s="7" t="s">
        <v>14</v>
      </c>
      <c r="H91" s="8">
        <v>4</v>
      </c>
      <c r="I91" s="9">
        <v>18000</v>
      </c>
      <c r="J91" s="9">
        <f t="shared" si="12"/>
        <v>72000</v>
      </c>
      <c r="K91" s="6" t="s">
        <v>15</v>
      </c>
      <c r="L91" s="21" t="str">
        <f>+VLOOKUP(E91,mã!$B$2:$F$229,2,0)</f>
        <v>NL300027</v>
      </c>
      <c r="M91" s="22">
        <f>+VLOOKUP(T91,Sheet2!$B$2:$P$372,10,0)</f>
        <v>4</v>
      </c>
      <c r="N91" s="23">
        <f>+VLOOKUP(L91,mã!$C$2:$F$229,4,0)</f>
        <v>18000</v>
      </c>
      <c r="O91" s="23">
        <f t="shared" si="13"/>
        <v>72000</v>
      </c>
      <c r="P91" s="23">
        <f t="shared" si="14"/>
        <v>0</v>
      </c>
      <c r="Q91" s="21" t="str">
        <f t="shared" si="15"/>
        <v xml:space="preserve"> </v>
      </c>
      <c r="R91" s="14">
        <f>+VLOOKUP(T91,Sheet2!$B$2:$P$372,13,0)</f>
        <v>72000</v>
      </c>
      <c r="S91" s="24">
        <f t="shared" si="16"/>
        <v>0</v>
      </c>
      <c r="T91" t="str">
        <f t="shared" si="17"/>
        <v>03/01/2026NL300027</v>
      </c>
      <c r="U91" s="15">
        <f t="shared" si="18"/>
        <v>0</v>
      </c>
      <c r="V91" s="25">
        <f t="shared" si="19"/>
        <v>0</v>
      </c>
    </row>
    <row r="92" spans="1:22" x14ac:dyDescent="0.25">
      <c r="A92" s="4" t="s">
        <v>163</v>
      </c>
      <c r="B92" s="5" t="s">
        <v>123</v>
      </c>
      <c r="C92" s="4" t="s">
        <v>124</v>
      </c>
      <c r="D92" s="5" t="s">
        <v>213</v>
      </c>
      <c r="E92" s="7" t="s">
        <v>133</v>
      </c>
      <c r="F92" s="7" t="s">
        <v>134</v>
      </c>
      <c r="G92" s="7" t="s">
        <v>14</v>
      </c>
      <c r="H92" s="8">
        <v>0.1</v>
      </c>
      <c r="I92" s="9">
        <v>80000</v>
      </c>
      <c r="J92" s="9">
        <f t="shared" si="12"/>
        <v>8000</v>
      </c>
      <c r="K92" s="6" t="s">
        <v>15</v>
      </c>
      <c r="L92" s="21" t="str">
        <f>+VLOOKUP(E92,mã!$B$2:$F$229,2,0)</f>
        <v>NL300230</v>
      </c>
      <c r="M92" s="22">
        <f>+VLOOKUP(T92,Sheet2!$B$2:$P$372,10,0)</f>
        <v>0.1</v>
      </c>
      <c r="N92" s="23">
        <f>+VLOOKUP(L92,mã!$C$2:$F$229,4,0)</f>
        <v>80000</v>
      </c>
      <c r="O92" s="23">
        <f t="shared" si="13"/>
        <v>8000</v>
      </c>
      <c r="P92" s="23">
        <f t="shared" si="14"/>
        <v>0</v>
      </c>
      <c r="Q92" s="21" t="str">
        <f t="shared" si="15"/>
        <v xml:space="preserve"> </v>
      </c>
      <c r="R92" s="14">
        <f>+VLOOKUP(T92,Sheet2!$B$2:$P$372,13,0)</f>
        <v>8000</v>
      </c>
      <c r="S92" s="24">
        <f t="shared" si="16"/>
        <v>0</v>
      </c>
      <c r="T92" t="str">
        <f t="shared" si="17"/>
        <v>03/01/2026NL300230</v>
      </c>
      <c r="U92" s="15">
        <f t="shared" si="18"/>
        <v>0</v>
      </c>
      <c r="V92" s="25">
        <f t="shared" si="19"/>
        <v>0</v>
      </c>
    </row>
    <row r="93" spans="1:22" x14ac:dyDescent="0.25">
      <c r="A93" s="4" t="s">
        <v>163</v>
      </c>
      <c r="B93" s="5" t="s">
        <v>123</v>
      </c>
      <c r="C93" s="4" t="s">
        <v>124</v>
      </c>
      <c r="D93" s="5" t="s">
        <v>213</v>
      </c>
      <c r="E93" s="7" t="s">
        <v>33</v>
      </c>
      <c r="F93" s="7" t="s">
        <v>34</v>
      </c>
      <c r="G93" s="7" t="s">
        <v>14</v>
      </c>
      <c r="H93" s="8">
        <v>2</v>
      </c>
      <c r="I93" s="9">
        <v>22000</v>
      </c>
      <c r="J93" s="9">
        <f t="shared" si="12"/>
        <v>44000</v>
      </c>
      <c r="K93" s="6" t="s">
        <v>15</v>
      </c>
      <c r="L93" s="21" t="str">
        <f>+VLOOKUP(E93,mã!$B$2:$F$229,2,0)</f>
        <v>NL300029</v>
      </c>
      <c r="M93" s="22">
        <f>+VLOOKUP(T93,Sheet2!$B$2:$P$372,10,0)</f>
        <v>2</v>
      </c>
      <c r="N93" s="23">
        <f>+VLOOKUP(L93,mã!$C$2:$F$229,4,0)</f>
        <v>22000</v>
      </c>
      <c r="O93" s="23">
        <f t="shared" si="13"/>
        <v>44000</v>
      </c>
      <c r="P93" s="23">
        <f t="shared" si="14"/>
        <v>0</v>
      </c>
      <c r="Q93" s="21" t="str">
        <f t="shared" si="15"/>
        <v xml:space="preserve"> </v>
      </c>
      <c r="R93" s="14">
        <f>+VLOOKUP(T93,Sheet2!$B$2:$P$372,13,0)</f>
        <v>44000</v>
      </c>
      <c r="S93" s="24">
        <f t="shared" si="16"/>
        <v>0</v>
      </c>
      <c r="T93" t="str">
        <f t="shared" si="17"/>
        <v>03/01/2026NL300029</v>
      </c>
      <c r="U93" s="15">
        <f t="shared" si="18"/>
        <v>0</v>
      </c>
      <c r="V93" s="25">
        <f t="shared" si="19"/>
        <v>0</v>
      </c>
    </row>
    <row r="94" spans="1:22" x14ac:dyDescent="0.25">
      <c r="A94" s="4" t="s">
        <v>163</v>
      </c>
      <c r="B94" s="5" t="s">
        <v>123</v>
      </c>
      <c r="C94" s="4" t="s">
        <v>124</v>
      </c>
      <c r="D94" s="5" t="s">
        <v>213</v>
      </c>
      <c r="E94" s="7" t="s">
        <v>135</v>
      </c>
      <c r="F94" s="7" t="s">
        <v>136</v>
      </c>
      <c r="G94" s="7" t="s">
        <v>14</v>
      </c>
      <c r="H94" s="8">
        <v>0.1</v>
      </c>
      <c r="I94" s="9">
        <v>40000</v>
      </c>
      <c r="J94" s="9">
        <f t="shared" si="12"/>
        <v>4000</v>
      </c>
      <c r="K94" s="6" t="s">
        <v>15</v>
      </c>
      <c r="L94" s="21" t="str">
        <f>+VLOOKUP(E94,mã!$B$2:$F$229,2,0)</f>
        <v>NL300034</v>
      </c>
      <c r="M94" s="22">
        <f>+VLOOKUP(T94,Sheet2!$B$2:$P$372,10,0)</f>
        <v>0.1</v>
      </c>
      <c r="N94" s="23">
        <f>+VLOOKUP(L94,mã!$C$2:$F$229,4,0)</f>
        <v>40000</v>
      </c>
      <c r="O94" s="23">
        <f t="shared" si="13"/>
        <v>4000</v>
      </c>
      <c r="P94" s="23">
        <f t="shared" si="14"/>
        <v>0</v>
      </c>
      <c r="Q94" s="21" t="str">
        <f t="shared" si="15"/>
        <v xml:space="preserve"> </v>
      </c>
      <c r="R94" s="14">
        <f>+VLOOKUP(T94,Sheet2!$B$2:$P$372,13,0)</f>
        <v>4000</v>
      </c>
      <c r="S94" s="24">
        <f t="shared" si="16"/>
        <v>0</v>
      </c>
      <c r="T94" t="str">
        <f t="shared" si="17"/>
        <v>03/01/2026NL300034</v>
      </c>
      <c r="U94" s="15">
        <f t="shared" si="18"/>
        <v>0</v>
      </c>
      <c r="V94" s="25">
        <f t="shared" si="19"/>
        <v>0</v>
      </c>
    </row>
    <row r="95" spans="1:22" x14ac:dyDescent="0.25">
      <c r="A95" s="4" t="s">
        <v>163</v>
      </c>
      <c r="B95" s="5" t="s">
        <v>123</v>
      </c>
      <c r="C95" s="4" t="s">
        <v>124</v>
      </c>
      <c r="D95" s="5" t="s">
        <v>213</v>
      </c>
      <c r="E95" s="7" t="s">
        <v>127</v>
      </c>
      <c r="F95" s="7" t="s">
        <v>128</v>
      </c>
      <c r="G95" s="7" t="s">
        <v>14</v>
      </c>
      <c r="H95" s="8">
        <v>1.9</v>
      </c>
      <c r="I95" s="9">
        <v>13000</v>
      </c>
      <c r="J95" s="9">
        <f t="shared" si="12"/>
        <v>24700</v>
      </c>
      <c r="K95" s="6" t="s">
        <v>15</v>
      </c>
      <c r="L95" s="21" t="str">
        <f>+VLOOKUP(E95,mã!$B$2:$F$229,2,0)</f>
        <v>NL300033</v>
      </c>
      <c r="M95" s="22">
        <f>+VLOOKUP(T95,Sheet2!$B$2:$P$372,10,0)</f>
        <v>1.9</v>
      </c>
      <c r="N95" s="23">
        <f>+VLOOKUP(L95,mã!$C$2:$F$229,4,0)</f>
        <v>13000</v>
      </c>
      <c r="O95" s="23">
        <f t="shared" si="13"/>
        <v>24700</v>
      </c>
      <c r="P95" s="23">
        <f t="shared" si="14"/>
        <v>0</v>
      </c>
      <c r="Q95" s="21" t="str">
        <f t="shared" si="15"/>
        <v xml:space="preserve"> </v>
      </c>
      <c r="R95" s="14">
        <f>+VLOOKUP(T95,Sheet2!$B$2:$P$372,13,0)</f>
        <v>24700</v>
      </c>
      <c r="S95" s="24">
        <f t="shared" si="16"/>
        <v>0</v>
      </c>
      <c r="T95" t="str">
        <f t="shared" si="17"/>
        <v>03/01/2026NL300033</v>
      </c>
      <c r="U95" s="15">
        <f t="shared" si="18"/>
        <v>0</v>
      </c>
      <c r="V95" s="25">
        <f t="shared" si="19"/>
        <v>0</v>
      </c>
    </row>
    <row r="96" spans="1:22" x14ac:dyDescent="0.25">
      <c r="A96" s="4" t="s">
        <v>163</v>
      </c>
      <c r="B96" s="5" t="s">
        <v>123</v>
      </c>
      <c r="C96" s="4" t="s">
        <v>124</v>
      </c>
      <c r="D96" s="5" t="s">
        <v>213</v>
      </c>
      <c r="E96" s="7" t="s">
        <v>19</v>
      </c>
      <c r="F96" s="7" t="s">
        <v>20</v>
      </c>
      <c r="G96" s="7" t="s">
        <v>14</v>
      </c>
      <c r="H96" s="8">
        <v>2</v>
      </c>
      <c r="I96" s="9">
        <v>32000</v>
      </c>
      <c r="J96" s="9">
        <f t="shared" si="12"/>
        <v>64000</v>
      </c>
      <c r="K96" s="6" t="s">
        <v>15</v>
      </c>
      <c r="L96" s="21" t="str">
        <f>+VLOOKUP(E96,mã!$B$2:$F$229,2,0)</f>
        <v>NL300038</v>
      </c>
      <c r="M96" s="22">
        <f>+VLOOKUP(T96,Sheet2!$B$2:$P$372,10,0)</f>
        <v>2</v>
      </c>
      <c r="N96" s="23">
        <f>+VLOOKUP(L96,mã!$C$2:$F$229,4,0)</f>
        <v>32000</v>
      </c>
      <c r="O96" s="23">
        <f t="shared" si="13"/>
        <v>64000</v>
      </c>
      <c r="P96" s="23">
        <f t="shared" si="14"/>
        <v>0</v>
      </c>
      <c r="Q96" s="21" t="str">
        <f t="shared" si="15"/>
        <v xml:space="preserve"> </v>
      </c>
      <c r="R96" s="14">
        <f>+VLOOKUP(T96,Sheet2!$B$2:$P$372,13,0)</f>
        <v>64000</v>
      </c>
      <c r="S96" s="24">
        <f t="shared" si="16"/>
        <v>0</v>
      </c>
      <c r="T96" t="str">
        <f t="shared" si="17"/>
        <v>03/01/2026NL300038</v>
      </c>
      <c r="U96" s="15">
        <f t="shared" si="18"/>
        <v>0</v>
      </c>
      <c r="V96" s="25">
        <f t="shared" si="19"/>
        <v>0</v>
      </c>
    </row>
    <row r="97" spans="1:22" x14ac:dyDescent="0.25">
      <c r="A97" s="4" t="s">
        <v>163</v>
      </c>
      <c r="B97" s="5" t="s">
        <v>123</v>
      </c>
      <c r="C97" s="4" t="s">
        <v>124</v>
      </c>
      <c r="D97" s="5" t="s">
        <v>213</v>
      </c>
      <c r="E97" s="7" t="s">
        <v>51</v>
      </c>
      <c r="F97" s="7" t="s">
        <v>52</v>
      </c>
      <c r="G97" s="7" t="s">
        <v>14</v>
      </c>
      <c r="H97" s="8">
        <v>28.5</v>
      </c>
      <c r="I97" s="9">
        <v>18000</v>
      </c>
      <c r="J97" s="9">
        <f t="shared" si="12"/>
        <v>513000</v>
      </c>
      <c r="K97" s="6" t="s">
        <v>15</v>
      </c>
      <c r="L97" s="21" t="str">
        <f>+VLOOKUP(E97,mã!$B$2:$F$229,2,0)</f>
        <v>NL600004</v>
      </c>
      <c r="M97" s="22">
        <f>+VLOOKUP(T97,Sheet2!$B$2:$P$372,10,0)</f>
        <v>28.5</v>
      </c>
      <c r="N97" s="23">
        <f>+VLOOKUP(L97,mã!$C$2:$F$229,4,0)</f>
        <v>18000</v>
      </c>
      <c r="O97" s="23">
        <f t="shared" si="13"/>
        <v>513000</v>
      </c>
      <c r="P97" s="23">
        <f t="shared" si="14"/>
        <v>0</v>
      </c>
      <c r="Q97" s="21" t="str">
        <f t="shared" si="15"/>
        <v xml:space="preserve"> </v>
      </c>
      <c r="R97" s="14">
        <f>+VLOOKUP(T97,Sheet2!$B$2:$P$372,13,0)</f>
        <v>513000</v>
      </c>
      <c r="S97" s="24">
        <f t="shared" si="16"/>
        <v>0</v>
      </c>
      <c r="T97" t="str">
        <f t="shared" si="17"/>
        <v>03/01/2026NL600004</v>
      </c>
      <c r="U97" s="15">
        <f t="shared" si="18"/>
        <v>0</v>
      </c>
      <c r="V97" s="25">
        <f t="shared" si="19"/>
        <v>0</v>
      </c>
    </row>
    <row r="98" spans="1:22" x14ac:dyDescent="0.25">
      <c r="A98" s="4" t="s">
        <v>163</v>
      </c>
      <c r="B98" s="5" t="s">
        <v>123</v>
      </c>
      <c r="C98" s="4" t="s">
        <v>124</v>
      </c>
      <c r="D98" s="5" t="s">
        <v>213</v>
      </c>
      <c r="E98" s="7" t="s">
        <v>129</v>
      </c>
      <c r="F98" s="7" t="s">
        <v>130</v>
      </c>
      <c r="G98" s="7" t="s">
        <v>14</v>
      </c>
      <c r="H98" s="8">
        <v>3</v>
      </c>
      <c r="I98" s="9">
        <v>18000</v>
      </c>
      <c r="J98" s="9">
        <f t="shared" si="12"/>
        <v>54000</v>
      </c>
      <c r="K98" s="6" t="s">
        <v>15</v>
      </c>
      <c r="L98" s="21" t="str">
        <f>+VLOOKUP(E98,mã!$B$2:$F$229,2,0)</f>
        <v>NL300048</v>
      </c>
      <c r="M98" s="22">
        <f>+VLOOKUP(T98,Sheet2!$B$2:$P$372,10,0)</f>
        <v>3</v>
      </c>
      <c r="N98" s="23">
        <f>+VLOOKUP(L98,mã!$C$2:$F$229,4,0)</f>
        <v>18000</v>
      </c>
      <c r="O98" s="23">
        <f t="shared" si="13"/>
        <v>54000</v>
      </c>
      <c r="P98" s="23">
        <f t="shared" si="14"/>
        <v>0</v>
      </c>
      <c r="Q98" s="21" t="str">
        <f t="shared" si="15"/>
        <v xml:space="preserve"> </v>
      </c>
      <c r="R98" s="14">
        <f>+VLOOKUP(T98,Sheet2!$B$2:$P$372,13,0)</f>
        <v>54000</v>
      </c>
      <c r="S98" s="24">
        <f t="shared" si="16"/>
        <v>0</v>
      </c>
      <c r="T98" t="str">
        <f t="shared" si="17"/>
        <v>03/01/2026NL300048</v>
      </c>
      <c r="U98" s="15">
        <f t="shared" si="18"/>
        <v>0</v>
      </c>
      <c r="V98" s="25">
        <f t="shared" si="19"/>
        <v>0</v>
      </c>
    </row>
    <row r="99" spans="1:22" x14ac:dyDescent="0.25">
      <c r="A99" s="4" t="s">
        <v>163</v>
      </c>
      <c r="B99" s="5" t="s">
        <v>123</v>
      </c>
      <c r="C99" s="4" t="s">
        <v>124</v>
      </c>
      <c r="D99" s="5" t="s">
        <v>213</v>
      </c>
      <c r="E99" s="7" t="s">
        <v>137</v>
      </c>
      <c r="F99" s="7" t="s">
        <v>138</v>
      </c>
      <c r="G99" s="7" t="s">
        <v>14</v>
      </c>
      <c r="H99" s="8">
        <v>0.3</v>
      </c>
      <c r="I99" s="9">
        <v>9000</v>
      </c>
      <c r="J99" s="9">
        <f t="shared" si="12"/>
        <v>2700</v>
      </c>
      <c r="K99" s="6" t="s">
        <v>15</v>
      </c>
      <c r="L99" s="21" t="str">
        <f>+VLOOKUP(E99,mã!$B$2:$F$229,2,0)</f>
        <v>NL300050</v>
      </c>
      <c r="M99" s="22">
        <f>+VLOOKUP(T99,Sheet2!$B$2:$P$372,10,0)</f>
        <v>0.3</v>
      </c>
      <c r="N99" s="23">
        <f>+VLOOKUP(L99,mã!$C$2:$F$229,4,0)</f>
        <v>9000</v>
      </c>
      <c r="O99" s="23">
        <f t="shared" si="13"/>
        <v>2700</v>
      </c>
      <c r="P99" s="23">
        <f t="shared" si="14"/>
        <v>0</v>
      </c>
      <c r="Q99" s="21" t="str">
        <f t="shared" si="15"/>
        <v xml:space="preserve"> </v>
      </c>
      <c r="R99" s="14">
        <f>+VLOOKUP(T99,Sheet2!$B$2:$P$372,13,0)</f>
        <v>2700</v>
      </c>
      <c r="S99" s="24">
        <f t="shared" si="16"/>
        <v>0</v>
      </c>
      <c r="T99" t="str">
        <f t="shared" si="17"/>
        <v>03/01/2026NL300050</v>
      </c>
      <c r="U99" s="15">
        <f t="shared" si="18"/>
        <v>0</v>
      </c>
      <c r="V99" s="25">
        <f t="shared" si="19"/>
        <v>0</v>
      </c>
    </row>
    <row r="100" spans="1:22" x14ac:dyDescent="0.25">
      <c r="A100" s="4" t="s">
        <v>163</v>
      </c>
      <c r="B100" s="5" t="s">
        <v>123</v>
      </c>
      <c r="C100" s="4" t="s">
        <v>124</v>
      </c>
      <c r="D100" s="5" t="s">
        <v>213</v>
      </c>
      <c r="E100" s="7" t="s">
        <v>139</v>
      </c>
      <c r="F100" s="7" t="s">
        <v>140</v>
      </c>
      <c r="G100" s="7" t="s">
        <v>14</v>
      </c>
      <c r="H100" s="8">
        <v>0.3</v>
      </c>
      <c r="I100" s="9">
        <v>30000</v>
      </c>
      <c r="J100" s="9">
        <f t="shared" si="12"/>
        <v>9000</v>
      </c>
      <c r="K100" s="6" t="s">
        <v>15</v>
      </c>
      <c r="L100" s="21" t="str">
        <f>+VLOOKUP(E100,mã!$B$2:$F$229,2,0)</f>
        <v>NL300053</v>
      </c>
      <c r="M100" s="22">
        <f>+VLOOKUP(T100,Sheet2!$B$2:$P$372,10,0)</f>
        <v>0.3</v>
      </c>
      <c r="N100" s="23">
        <f>+VLOOKUP(L100,mã!$C$2:$F$229,4,0)</f>
        <v>30000</v>
      </c>
      <c r="O100" s="23">
        <f t="shared" si="13"/>
        <v>9000</v>
      </c>
      <c r="P100" s="23">
        <f t="shared" si="14"/>
        <v>0</v>
      </c>
      <c r="Q100" s="21" t="str">
        <f t="shared" si="15"/>
        <v xml:space="preserve"> </v>
      </c>
      <c r="R100" s="14">
        <f>+VLOOKUP(T100,Sheet2!$B$2:$P$372,13,0)</f>
        <v>9000</v>
      </c>
      <c r="S100" s="24">
        <f t="shared" si="16"/>
        <v>0</v>
      </c>
      <c r="T100" t="str">
        <f t="shared" si="17"/>
        <v>03/01/2026NL300053</v>
      </c>
      <c r="U100" s="15">
        <f t="shared" si="18"/>
        <v>0</v>
      </c>
      <c r="V100" s="25">
        <f t="shared" si="19"/>
        <v>0</v>
      </c>
    </row>
    <row r="101" spans="1:22" x14ac:dyDescent="0.25">
      <c r="A101" s="4" t="s">
        <v>163</v>
      </c>
      <c r="B101" s="5" t="s">
        <v>123</v>
      </c>
      <c r="C101" s="4" t="s">
        <v>124</v>
      </c>
      <c r="D101" s="5" t="s">
        <v>213</v>
      </c>
      <c r="E101" s="7" t="s">
        <v>21</v>
      </c>
      <c r="F101" s="7" t="s">
        <v>22</v>
      </c>
      <c r="G101" s="7" t="s">
        <v>14</v>
      </c>
      <c r="H101" s="8">
        <v>0.2</v>
      </c>
      <c r="I101" s="9">
        <v>55000</v>
      </c>
      <c r="J101" s="9">
        <f t="shared" si="12"/>
        <v>11000</v>
      </c>
      <c r="K101" s="6" t="s">
        <v>15</v>
      </c>
      <c r="L101" s="21" t="str">
        <f>+VLOOKUP(E101,mã!$B$2:$F$229,2,0)</f>
        <v>NL300058</v>
      </c>
      <c r="M101" s="22">
        <f>+VLOOKUP(T101,Sheet2!$B$2:$P$372,10,0)</f>
        <v>0.2</v>
      </c>
      <c r="N101" s="23">
        <f>+VLOOKUP(L101,mã!$C$2:$F$229,4,0)</f>
        <v>55000</v>
      </c>
      <c r="O101" s="23">
        <f t="shared" si="13"/>
        <v>11000</v>
      </c>
      <c r="P101" s="23">
        <f t="shared" si="14"/>
        <v>0</v>
      </c>
      <c r="Q101" s="21" t="str">
        <f t="shared" si="15"/>
        <v xml:space="preserve"> </v>
      </c>
      <c r="R101" s="14">
        <f>+VLOOKUP(T101,Sheet2!$B$2:$P$372,13,0)</f>
        <v>11000</v>
      </c>
      <c r="S101" s="24">
        <f t="shared" si="16"/>
        <v>0</v>
      </c>
      <c r="T101" t="str">
        <f t="shared" si="17"/>
        <v>03/01/2026NL300058</v>
      </c>
      <c r="U101" s="15">
        <f t="shared" si="18"/>
        <v>0</v>
      </c>
      <c r="V101" s="25">
        <f t="shared" si="19"/>
        <v>0</v>
      </c>
    </row>
    <row r="102" spans="1:22" x14ac:dyDescent="0.25">
      <c r="A102" s="4" t="s">
        <v>163</v>
      </c>
      <c r="B102" s="5" t="s">
        <v>123</v>
      </c>
      <c r="C102" s="4" t="s">
        <v>124</v>
      </c>
      <c r="D102" s="5" t="s">
        <v>213</v>
      </c>
      <c r="E102" s="7" t="s">
        <v>86</v>
      </c>
      <c r="F102" s="7" t="s">
        <v>85</v>
      </c>
      <c r="G102" s="7" t="s">
        <v>14</v>
      </c>
      <c r="H102" s="8">
        <v>1</v>
      </c>
      <c r="I102" s="9">
        <v>38000</v>
      </c>
      <c r="J102" s="9">
        <f t="shared" si="12"/>
        <v>38000</v>
      </c>
      <c r="K102" s="6" t="s">
        <v>15</v>
      </c>
      <c r="L102" s="21" t="str">
        <f>+VLOOKUP(E102,mã!$B$2:$F$229,2,0)</f>
        <v>NL300061</v>
      </c>
      <c r="M102" s="22">
        <f>+VLOOKUP(T102,Sheet2!$B$2:$P$372,10,0)</f>
        <v>1</v>
      </c>
      <c r="N102" s="23">
        <f>+VLOOKUP(L102,mã!$C$2:$F$229,4,0)</f>
        <v>38000</v>
      </c>
      <c r="O102" s="23">
        <f t="shared" si="13"/>
        <v>38000</v>
      </c>
      <c r="P102" s="23">
        <f t="shared" si="14"/>
        <v>0</v>
      </c>
      <c r="Q102" s="21" t="str">
        <f t="shared" si="15"/>
        <v xml:space="preserve"> </v>
      </c>
      <c r="R102" s="14">
        <f>+VLOOKUP(T102,Sheet2!$B$2:$P$372,13,0)</f>
        <v>38000</v>
      </c>
      <c r="S102" s="24">
        <f t="shared" si="16"/>
        <v>0</v>
      </c>
      <c r="T102" t="str">
        <f t="shared" si="17"/>
        <v>03/01/2026NL300061</v>
      </c>
      <c r="U102" s="15">
        <f t="shared" si="18"/>
        <v>0</v>
      </c>
      <c r="V102" s="25">
        <f t="shared" si="19"/>
        <v>0</v>
      </c>
    </row>
    <row r="103" spans="1:22" x14ac:dyDescent="0.25">
      <c r="A103" s="4" t="s">
        <v>163</v>
      </c>
      <c r="B103" s="5" t="s">
        <v>123</v>
      </c>
      <c r="C103" s="4" t="s">
        <v>124</v>
      </c>
      <c r="D103" s="5" t="s">
        <v>213</v>
      </c>
      <c r="E103" s="7" t="s">
        <v>23</v>
      </c>
      <c r="F103" s="7" t="s">
        <v>24</v>
      </c>
      <c r="G103" s="7" t="s">
        <v>14</v>
      </c>
      <c r="H103" s="8">
        <v>2</v>
      </c>
      <c r="I103" s="9">
        <v>13000</v>
      </c>
      <c r="J103" s="9">
        <f t="shared" si="12"/>
        <v>26000</v>
      </c>
      <c r="K103" s="6" t="s">
        <v>15</v>
      </c>
      <c r="L103" s="21" t="str">
        <f>+VLOOKUP(E103,mã!$B$2:$F$229,2,0)</f>
        <v>NL300059</v>
      </c>
      <c r="M103" s="22">
        <f>+VLOOKUP(T103,Sheet2!$B$2:$P$372,10,0)</f>
        <v>2</v>
      </c>
      <c r="N103" s="23">
        <f>+VLOOKUP(L103,mã!$C$2:$F$229,4,0)</f>
        <v>13000</v>
      </c>
      <c r="O103" s="23">
        <f t="shared" si="13"/>
        <v>26000</v>
      </c>
      <c r="P103" s="23">
        <f t="shared" si="14"/>
        <v>0</v>
      </c>
      <c r="Q103" s="21" t="str">
        <f t="shared" si="15"/>
        <v xml:space="preserve"> </v>
      </c>
      <c r="R103" s="14">
        <f>+VLOOKUP(T103,Sheet2!$B$2:$P$372,13,0)</f>
        <v>26000</v>
      </c>
      <c r="S103" s="24">
        <f t="shared" si="16"/>
        <v>0</v>
      </c>
      <c r="T103" t="str">
        <f t="shared" si="17"/>
        <v>03/01/2026NL300059</v>
      </c>
      <c r="U103" s="15">
        <f t="shared" si="18"/>
        <v>0</v>
      </c>
      <c r="V103" s="25">
        <f t="shared" si="19"/>
        <v>0</v>
      </c>
    </row>
    <row r="104" spans="1:22" x14ac:dyDescent="0.25">
      <c r="A104" s="4" t="s">
        <v>163</v>
      </c>
      <c r="B104" s="5" t="s">
        <v>123</v>
      </c>
      <c r="C104" s="4" t="s">
        <v>124</v>
      </c>
      <c r="D104" s="5" t="s">
        <v>213</v>
      </c>
      <c r="E104" s="7" t="s">
        <v>84</v>
      </c>
      <c r="F104" s="7" t="s">
        <v>83</v>
      </c>
      <c r="G104" s="7" t="s">
        <v>14</v>
      </c>
      <c r="H104" s="8">
        <v>2.8</v>
      </c>
      <c r="I104" s="9">
        <v>23000</v>
      </c>
      <c r="J104" s="9">
        <f t="shared" si="12"/>
        <v>64399.999999999993</v>
      </c>
      <c r="K104" s="6" t="s">
        <v>15</v>
      </c>
      <c r="L104" s="21" t="str">
        <f>+VLOOKUP(E104,mã!$B$2:$F$229,2,0)</f>
        <v>NL300070</v>
      </c>
      <c r="M104" s="22">
        <f>+VLOOKUP(T104,Sheet2!$B$2:$P$372,10,0)</f>
        <v>1.8</v>
      </c>
      <c r="N104" s="23">
        <f>+VLOOKUP(L104,mã!$C$2:$F$229,4,0)</f>
        <v>23000</v>
      </c>
      <c r="O104" s="23">
        <f t="shared" si="13"/>
        <v>41400</v>
      </c>
      <c r="P104" s="23">
        <f t="shared" si="14"/>
        <v>22999.999999999993</v>
      </c>
      <c r="Q104" s="21" t="str">
        <f t="shared" si="15"/>
        <v>SAI SL NHẬN</v>
      </c>
      <c r="R104" s="14">
        <f>+VLOOKUP(T104,Sheet2!$B$2:$P$372,13,0)</f>
        <v>41400</v>
      </c>
      <c r="S104" s="24">
        <f t="shared" si="16"/>
        <v>0</v>
      </c>
      <c r="T104" t="str">
        <f t="shared" si="17"/>
        <v>03/01/2026NL300070</v>
      </c>
      <c r="U104" s="15">
        <f t="shared" si="18"/>
        <v>0.99999999999999978</v>
      </c>
      <c r="V104" s="25">
        <f t="shared" si="19"/>
        <v>0</v>
      </c>
    </row>
    <row r="105" spans="1:22" x14ac:dyDescent="0.25">
      <c r="A105" s="4" t="s">
        <v>163</v>
      </c>
      <c r="B105" s="5" t="s">
        <v>123</v>
      </c>
      <c r="C105" s="4" t="s">
        <v>124</v>
      </c>
      <c r="D105" s="5" t="s">
        <v>213</v>
      </c>
      <c r="E105" s="7" t="s">
        <v>152</v>
      </c>
      <c r="F105" s="7" t="s">
        <v>153</v>
      </c>
      <c r="G105" s="7" t="s">
        <v>14</v>
      </c>
      <c r="H105" s="8">
        <v>2.1</v>
      </c>
      <c r="I105" s="9">
        <v>20000</v>
      </c>
      <c r="J105" s="9">
        <f t="shared" si="12"/>
        <v>42000</v>
      </c>
      <c r="K105" s="6" t="s">
        <v>15</v>
      </c>
      <c r="L105" s="21" t="str">
        <f>+VLOOKUP(E105,mã!$B$2:$F$229,2,0)</f>
        <v>NL300071</v>
      </c>
      <c r="M105" s="22">
        <f>+VLOOKUP(T105,Sheet2!$B$2:$P$372,10,0)</f>
        <v>0.4</v>
      </c>
      <c r="N105" s="23">
        <f>+VLOOKUP(L105,mã!$C$2:$F$229,4,0)</f>
        <v>20000</v>
      </c>
      <c r="O105" s="23">
        <f t="shared" si="13"/>
        <v>8000</v>
      </c>
      <c r="P105" s="23">
        <f t="shared" si="14"/>
        <v>34000</v>
      </c>
      <c r="Q105" s="21" t="str">
        <f t="shared" si="15"/>
        <v>SAI SL NHẬN</v>
      </c>
      <c r="R105" s="14">
        <f>+VLOOKUP(T105,Sheet2!$B$2:$P$372,13,0)</f>
        <v>8000</v>
      </c>
      <c r="S105" s="24">
        <f t="shared" si="16"/>
        <v>0</v>
      </c>
      <c r="T105" t="str">
        <f t="shared" si="17"/>
        <v>03/01/2026NL300071</v>
      </c>
      <c r="U105" s="15">
        <f t="shared" si="18"/>
        <v>1.7000000000000002</v>
      </c>
      <c r="V105" s="25">
        <f t="shared" si="19"/>
        <v>0</v>
      </c>
    </row>
    <row r="106" spans="1:22" x14ac:dyDescent="0.25">
      <c r="A106" s="4" t="s">
        <v>163</v>
      </c>
      <c r="B106" s="5" t="s">
        <v>123</v>
      </c>
      <c r="C106" s="4" t="s">
        <v>124</v>
      </c>
      <c r="D106" s="5" t="s">
        <v>213</v>
      </c>
      <c r="E106" s="7" t="s">
        <v>141</v>
      </c>
      <c r="F106" s="7" t="s">
        <v>142</v>
      </c>
      <c r="G106" s="7" t="s">
        <v>14</v>
      </c>
      <c r="H106" s="8">
        <v>1</v>
      </c>
      <c r="I106" s="9">
        <v>95000</v>
      </c>
      <c r="J106" s="9">
        <f t="shared" si="12"/>
        <v>95000</v>
      </c>
      <c r="K106" s="6" t="s">
        <v>15</v>
      </c>
      <c r="L106" s="21" t="str">
        <f>+VLOOKUP(E106,mã!$B$2:$F$229,2,0)</f>
        <v>NL300080</v>
      </c>
      <c r="M106" s="22">
        <f>+VLOOKUP(T106,Sheet2!$B$2:$P$372,10,0)</f>
        <v>1</v>
      </c>
      <c r="N106" s="23">
        <f>+VLOOKUP(L106,mã!$C$2:$F$229,4,0)</f>
        <v>95000</v>
      </c>
      <c r="O106" s="23">
        <f t="shared" si="13"/>
        <v>95000</v>
      </c>
      <c r="P106" s="23">
        <f t="shared" si="14"/>
        <v>0</v>
      </c>
      <c r="Q106" s="21" t="str">
        <f t="shared" si="15"/>
        <v xml:space="preserve"> </v>
      </c>
      <c r="R106" s="14">
        <f>+VLOOKUP(T106,Sheet2!$B$2:$P$372,13,0)</f>
        <v>95000</v>
      </c>
      <c r="S106" s="24">
        <f t="shared" si="16"/>
        <v>0</v>
      </c>
      <c r="T106" t="str">
        <f t="shared" si="17"/>
        <v>03/01/2026NL300080</v>
      </c>
      <c r="U106" s="15">
        <f t="shared" si="18"/>
        <v>0</v>
      </c>
      <c r="V106" s="25">
        <f t="shared" si="19"/>
        <v>0</v>
      </c>
    </row>
    <row r="107" spans="1:22" x14ac:dyDescent="0.25">
      <c r="A107" s="4" t="s">
        <v>163</v>
      </c>
      <c r="B107" s="5" t="s">
        <v>123</v>
      </c>
      <c r="C107" s="4" t="s">
        <v>124</v>
      </c>
      <c r="D107" s="5" t="s">
        <v>213</v>
      </c>
      <c r="E107" s="7" t="s">
        <v>82</v>
      </c>
      <c r="F107" s="7" t="s">
        <v>81</v>
      </c>
      <c r="G107" s="7" t="s">
        <v>14</v>
      </c>
      <c r="H107" s="8">
        <v>0.3</v>
      </c>
      <c r="I107" s="9">
        <v>18000</v>
      </c>
      <c r="J107" s="9">
        <f t="shared" si="12"/>
        <v>5400</v>
      </c>
      <c r="K107" s="6" t="s">
        <v>15</v>
      </c>
      <c r="L107" s="21" t="str">
        <f>+VLOOKUP(E107,mã!$B$2:$F$229,2,0)</f>
        <v>NL300184</v>
      </c>
      <c r="M107" s="22">
        <f>+VLOOKUP(T107,Sheet2!$B$2:$P$372,10,0)</f>
        <v>0.3</v>
      </c>
      <c r="N107" s="23">
        <f>+VLOOKUP(L107,mã!$C$2:$F$229,4,0)</f>
        <v>18000</v>
      </c>
      <c r="O107" s="23">
        <f t="shared" si="13"/>
        <v>5400</v>
      </c>
      <c r="P107" s="23">
        <f t="shared" si="14"/>
        <v>0</v>
      </c>
      <c r="Q107" s="21" t="str">
        <f t="shared" si="15"/>
        <v xml:space="preserve"> </v>
      </c>
      <c r="R107" s="14">
        <f>+VLOOKUP(T107,Sheet2!$B$2:$P$372,13,0)</f>
        <v>5400</v>
      </c>
      <c r="S107" s="24">
        <f t="shared" si="16"/>
        <v>0</v>
      </c>
      <c r="T107" t="str">
        <f t="shared" si="17"/>
        <v>03/01/2026NL300184</v>
      </c>
      <c r="U107" s="15">
        <f t="shared" si="18"/>
        <v>0</v>
      </c>
      <c r="V107" s="25">
        <f t="shared" si="19"/>
        <v>0</v>
      </c>
    </row>
    <row r="108" spans="1:22" x14ac:dyDescent="0.25">
      <c r="A108" s="4" t="s">
        <v>163</v>
      </c>
      <c r="B108" s="5" t="s">
        <v>123</v>
      </c>
      <c r="C108" s="4" t="s">
        <v>124</v>
      </c>
      <c r="D108" s="5" t="s">
        <v>213</v>
      </c>
      <c r="E108" s="7" t="s">
        <v>39</v>
      </c>
      <c r="F108" s="7" t="s">
        <v>40</v>
      </c>
      <c r="G108" s="7" t="s">
        <v>14</v>
      </c>
      <c r="H108" s="8">
        <v>2</v>
      </c>
      <c r="I108" s="9">
        <v>145000</v>
      </c>
      <c r="J108" s="9">
        <f t="shared" si="12"/>
        <v>290000</v>
      </c>
      <c r="K108" s="6" t="s">
        <v>15</v>
      </c>
      <c r="L108" s="21" t="str">
        <f>+VLOOKUP(E108,mã!$B$2:$F$229,2,0)</f>
        <v>NL300090</v>
      </c>
      <c r="M108" s="22">
        <f>+VLOOKUP(T108,Sheet2!$B$2:$P$372,10,0)</f>
        <v>2</v>
      </c>
      <c r="N108" s="23">
        <f>+VLOOKUP(L108,mã!$C$2:$F$229,4,0)</f>
        <v>145000</v>
      </c>
      <c r="O108" s="23">
        <f t="shared" si="13"/>
        <v>290000</v>
      </c>
      <c r="P108" s="23">
        <f t="shared" si="14"/>
        <v>0</v>
      </c>
      <c r="Q108" s="21" t="str">
        <f t="shared" si="15"/>
        <v xml:space="preserve"> </v>
      </c>
      <c r="R108" s="14">
        <f>+VLOOKUP(T108,Sheet2!$B$2:$P$372,13,0)</f>
        <v>290000</v>
      </c>
      <c r="S108" s="24">
        <f t="shared" si="16"/>
        <v>0</v>
      </c>
      <c r="T108" t="str">
        <f t="shared" si="17"/>
        <v>03/01/2026NL300090</v>
      </c>
      <c r="U108" s="15">
        <f t="shared" si="18"/>
        <v>0</v>
      </c>
      <c r="V108" s="25">
        <f t="shared" si="19"/>
        <v>0</v>
      </c>
    </row>
    <row r="109" spans="1:22" x14ac:dyDescent="0.25">
      <c r="A109" s="4" t="s">
        <v>163</v>
      </c>
      <c r="B109" s="5" t="s">
        <v>123</v>
      </c>
      <c r="C109" s="4" t="s">
        <v>124</v>
      </c>
      <c r="D109" s="5" t="s">
        <v>213</v>
      </c>
      <c r="E109" s="7" t="s">
        <v>29</v>
      </c>
      <c r="F109" s="7" t="s">
        <v>30</v>
      </c>
      <c r="G109" s="7" t="s">
        <v>14</v>
      </c>
      <c r="H109" s="8">
        <v>1</v>
      </c>
      <c r="I109" s="9">
        <v>45000</v>
      </c>
      <c r="J109" s="9">
        <f t="shared" si="12"/>
        <v>45000</v>
      </c>
      <c r="K109" s="6" t="s">
        <v>15</v>
      </c>
      <c r="L109" s="21" t="str">
        <f>+VLOOKUP(E109,mã!$B$2:$F$229,2,0)</f>
        <v>NL300096</v>
      </c>
      <c r="M109" s="22">
        <f>+VLOOKUP(T109,Sheet2!$B$2:$P$372,10,0)</f>
        <v>1</v>
      </c>
      <c r="N109" s="23">
        <f>+VLOOKUP(L109,mã!$C$2:$F$229,4,0)</f>
        <v>45000</v>
      </c>
      <c r="O109" s="23">
        <f t="shared" si="13"/>
        <v>45000</v>
      </c>
      <c r="P109" s="23">
        <f t="shared" si="14"/>
        <v>0</v>
      </c>
      <c r="Q109" s="21" t="str">
        <f t="shared" si="15"/>
        <v xml:space="preserve"> </v>
      </c>
      <c r="R109" s="14">
        <f>+VLOOKUP(T109,Sheet2!$B$2:$P$372,13,0)</f>
        <v>45000</v>
      </c>
      <c r="S109" s="24">
        <f t="shared" si="16"/>
        <v>0</v>
      </c>
      <c r="T109" t="str">
        <f t="shared" si="17"/>
        <v>03/01/2026NL300096</v>
      </c>
      <c r="U109" s="15">
        <f t="shared" si="18"/>
        <v>0</v>
      </c>
      <c r="V109" s="25">
        <f t="shared" si="19"/>
        <v>0</v>
      </c>
    </row>
    <row r="110" spans="1:22" x14ac:dyDescent="0.25">
      <c r="A110" s="4" t="s">
        <v>163</v>
      </c>
      <c r="B110" s="5" t="s">
        <v>123</v>
      </c>
      <c r="C110" s="4" t="s">
        <v>124</v>
      </c>
      <c r="D110" s="5" t="s">
        <v>213</v>
      </c>
      <c r="E110" s="7" t="s">
        <v>63</v>
      </c>
      <c r="F110" s="7" t="s">
        <v>64</v>
      </c>
      <c r="G110" s="7" t="s">
        <v>14</v>
      </c>
      <c r="H110" s="8">
        <v>0.1</v>
      </c>
      <c r="I110" s="9">
        <v>45000</v>
      </c>
      <c r="J110" s="9">
        <f t="shared" si="12"/>
        <v>4500</v>
      </c>
      <c r="K110" s="6" t="s">
        <v>15</v>
      </c>
      <c r="L110" s="21" t="str">
        <f>+VLOOKUP(E110,mã!$B$2:$F$229,2,0)</f>
        <v>NL300085</v>
      </c>
      <c r="M110" s="22">
        <f>+VLOOKUP(T110,Sheet2!$B$2:$P$372,10,0)</f>
        <v>0.1</v>
      </c>
      <c r="N110" s="23">
        <f>+VLOOKUP(L110,mã!$C$2:$F$229,4,0)</f>
        <v>45000</v>
      </c>
      <c r="O110" s="23">
        <f t="shared" si="13"/>
        <v>4500</v>
      </c>
      <c r="P110" s="23">
        <f t="shared" si="14"/>
        <v>0</v>
      </c>
      <c r="Q110" s="21" t="str">
        <f t="shared" si="15"/>
        <v xml:space="preserve"> </v>
      </c>
      <c r="R110" s="14">
        <f>+VLOOKUP(T110,Sheet2!$B$2:$P$372,13,0)</f>
        <v>4500</v>
      </c>
      <c r="S110" s="24">
        <f t="shared" si="16"/>
        <v>0</v>
      </c>
      <c r="T110" t="str">
        <f t="shared" si="17"/>
        <v>03/01/2026NL300085</v>
      </c>
      <c r="U110" s="15">
        <f t="shared" si="18"/>
        <v>0</v>
      </c>
      <c r="V110" s="25">
        <f t="shared" si="19"/>
        <v>0</v>
      </c>
    </row>
    <row r="111" spans="1:22" x14ac:dyDescent="0.25">
      <c r="A111" s="4" t="s">
        <v>163</v>
      </c>
      <c r="B111" s="5" t="s">
        <v>123</v>
      </c>
      <c r="C111" s="4" t="s">
        <v>124</v>
      </c>
      <c r="D111" s="5" t="s">
        <v>213</v>
      </c>
      <c r="E111" s="7" t="s">
        <v>55</v>
      </c>
      <c r="F111" s="7" t="s">
        <v>56</v>
      </c>
      <c r="G111" s="7" t="s">
        <v>14</v>
      </c>
      <c r="H111" s="8">
        <v>0.3</v>
      </c>
      <c r="I111" s="9">
        <v>70000</v>
      </c>
      <c r="J111" s="9">
        <f t="shared" si="12"/>
        <v>21000</v>
      </c>
      <c r="K111" s="6" t="s">
        <v>15</v>
      </c>
      <c r="L111" s="21" t="str">
        <f>+VLOOKUP(E111,mã!$B$2:$F$229,2,0)</f>
        <v>NL300126</v>
      </c>
      <c r="M111" s="22">
        <f>+VLOOKUP(T111,Sheet2!$B$2:$P$372,10,0)</f>
        <v>0.3</v>
      </c>
      <c r="N111" s="23">
        <f>+VLOOKUP(L111,mã!$C$2:$F$229,4,0)</f>
        <v>70000</v>
      </c>
      <c r="O111" s="23">
        <f t="shared" si="13"/>
        <v>21000</v>
      </c>
      <c r="P111" s="23">
        <f t="shared" si="14"/>
        <v>0</v>
      </c>
      <c r="Q111" s="21" t="str">
        <f t="shared" si="15"/>
        <v xml:space="preserve"> </v>
      </c>
      <c r="R111" s="14">
        <f>+VLOOKUP(T111,Sheet2!$B$2:$P$372,13,0)</f>
        <v>21000</v>
      </c>
      <c r="S111" s="24">
        <f t="shared" si="16"/>
        <v>0</v>
      </c>
      <c r="T111" t="str">
        <f t="shared" si="17"/>
        <v>03/01/2026NL300126</v>
      </c>
      <c r="U111" s="15">
        <f t="shared" si="18"/>
        <v>0</v>
      </c>
      <c r="V111" s="25">
        <f t="shared" si="19"/>
        <v>0</v>
      </c>
    </row>
    <row r="112" spans="1:22" x14ac:dyDescent="0.25">
      <c r="A112" s="4" t="s">
        <v>163</v>
      </c>
      <c r="B112" s="5" t="s">
        <v>123</v>
      </c>
      <c r="C112" s="4" t="s">
        <v>124</v>
      </c>
      <c r="D112" s="5" t="s">
        <v>213</v>
      </c>
      <c r="E112" s="7" t="s">
        <v>57</v>
      </c>
      <c r="F112" s="7" t="s">
        <v>58</v>
      </c>
      <c r="G112" s="7" t="s">
        <v>14</v>
      </c>
      <c r="H112" s="8">
        <v>0.1</v>
      </c>
      <c r="I112" s="9">
        <v>148000</v>
      </c>
      <c r="J112" s="9">
        <f t="shared" si="12"/>
        <v>14800</v>
      </c>
      <c r="K112" s="6" t="s">
        <v>15</v>
      </c>
      <c r="L112" s="21" t="s">
        <v>664</v>
      </c>
      <c r="M112" s="22">
        <f>+VLOOKUP(T112,Sheet2!$B$2:$P$372,10,0)</f>
        <v>0.1</v>
      </c>
      <c r="N112" s="23">
        <f>+VLOOKUP(L112,mã!$C$2:$F$229,4,0)</f>
        <v>148000</v>
      </c>
      <c r="O112" s="23">
        <f t="shared" si="13"/>
        <v>14800</v>
      </c>
      <c r="P112" s="23">
        <f t="shared" si="14"/>
        <v>0</v>
      </c>
      <c r="Q112" s="21" t="str">
        <f t="shared" si="15"/>
        <v xml:space="preserve"> </v>
      </c>
      <c r="R112" s="14">
        <f>+VLOOKUP(T112,Sheet2!$B$2:$P$372,13,0)</f>
        <v>14800</v>
      </c>
      <c r="S112" s="24">
        <f t="shared" si="16"/>
        <v>0</v>
      </c>
      <c r="T112" t="str">
        <f t="shared" si="17"/>
        <v>03/01/2026NL300116</v>
      </c>
      <c r="U112" s="15">
        <f t="shared" si="18"/>
        <v>0</v>
      </c>
      <c r="V112" s="25">
        <f t="shared" si="19"/>
        <v>0</v>
      </c>
    </row>
    <row r="113" spans="1:22" x14ac:dyDescent="0.25">
      <c r="A113" s="4" t="s">
        <v>163</v>
      </c>
      <c r="B113" s="5" t="s">
        <v>123</v>
      </c>
      <c r="C113" s="4" t="s">
        <v>124</v>
      </c>
      <c r="D113" s="5" t="s">
        <v>213</v>
      </c>
      <c r="E113" s="7" t="s">
        <v>47</v>
      </c>
      <c r="F113" s="7" t="s">
        <v>48</v>
      </c>
      <c r="G113" s="7" t="s">
        <v>14</v>
      </c>
      <c r="H113" s="8">
        <v>1.5</v>
      </c>
      <c r="I113" s="9">
        <v>21000</v>
      </c>
      <c r="J113" s="9">
        <f t="shared" si="12"/>
        <v>31500</v>
      </c>
      <c r="K113" s="6" t="s">
        <v>15</v>
      </c>
      <c r="L113" s="21" t="str">
        <f>+VLOOKUP(E113,mã!$B$2:$F$229,2,0)</f>
        <v>NL300119</v>
      </c>
      <c r="M113" s="22">
        <f>+VLOOKUP(T113,Sheet2!$B$2:$P$372,10,0)</f>
        <v>0</v>
      </c>
      <c r="N113" s="23">
        <f>+VLOOKUP(L113,mã!$C$2:$F$229,4,0)</f>
        <v>21000</v>
      </c>
      <c r="O113" s="23">
        <f t="shared" si="13"/>
        <v>0</v>
      </c>
      <c r="P113" s="23">
        <f t="shared" si="14"/>
        <v>31500</v>
      </c>
      <c r="Q113" s="21" t="str">
        <f t="shared" si="15"/>
        <v>SAI SL NHẬN</v>
      </c>
      <c r="R113" s="14">
        <f>+VLOOKUP(T113,Sheet2!$B$2:$P$372,13,0)</f>
        <v>0</v>
      </c>
      <c r="S113" s="24">
        <f t="shared" si="16"/>
        <v>0</v>
      </c>
      <c r="T113" t="str">
        <f t="shared" si="17"/>
        <v>03/01/2026NL300119</v>
      </c>
      <c r="U113" s="15">
        <f t="shared" si="18"/>
        <v>1.5</v>
      </c>
      <c r="V113" s="25">
        <f t="shared" si="19"/>
        <v>0</v>
      </c>
    </row>
    <row r="114" spans="1:22" x14ac:dyDescent="0.25">
      <c r="A114" s="4" t="s">
        <v>163</v>
      </c>
      <c r="B114" s="5" t="s">
        <v>123</v>
      </c>
      <c r="C114" s="4" t="s">
        <v>124</v>
      </c>
      <c r="D114" s="5" t="s">
        <v>213</v>
      </c>
      <c r="E114" s="7" t="s">
        <v>210</v>
      </c>
      <c r="F114" s="7" t="s">
        <v>211</v>
      </c>
      <c r="G114" s="7" t="s">
        <v>14</v>
      </c>
      <c r="H114" s="8">
        <v>1.3</v>
      </c>
      <c r="I114" s="9">
        <v>68000</v>
      </c>
      <c r="J114" s="9">
        <f t="shared" si="12"/>
        <v>88400</v>
      </c>
      <c r="K114" s="6" t="s">
        <v>15</v>
      </c>
      <c r="L114" s="21" t="s">
        <v>846</v>
      </c>
      <c r="M114" s="22">
        <f>+VLOOKUP(T114,Sheet2!$B$2:$P$372,10,0)</f>
        <v>1.2</v>
      </c>
      <c r="N114" s="23">
        <f>+VLOOKUP(L114,mã!$C$2:$F$229,4,0)</f>
        <v>68000</v>
      </c>
      <c r="O114" s="23">
        <f t="shared" si="13"/>
        <v>81600</v>
      </c>
      <c r="P114" s="23">
        <f t="shared" si="14"/>
        <v>6800</v>
      </c>
      <c r="Q114" s="21" t="str">
        <f t="shared" si="15"/>
        <v>SAI SL NHẬN</v>
      </c>
      <c r="R114" s="14">
        <f>+VLOOKUP(T114,Sheet2!$B$2:$P$372,13,0)</f>
        <v>81600</v>
      </c>
      <c r="S114" s="24">
        <f t="shared" si="16"/>
        <v>0</v>
      </c>
      <c r="T114" t="str">
        <f t="shared" si="17"/>
        <v>03/01/2026NL300232</v>
      </c>
      <c r="U114" s="15">
        <f t="shared" si="18"/>
        <v>0.10000000000000009</v>
      </c>
      <c r="V114" s="25">
        <f t="shared" si="19"/>
        <v>0</v>
      </c>
    </row>
    <row r="115" spans="1:22" x14ac:dyDescent="0.25">
      <c r="A115" s="4" t="s">
        <v>163</v>
      </c>
      <c r="B115" s="5" t="s">
        <v>123</v>
      </c>
      <c r="C115" s="4" t="s">
        <v>124</v>
      </c>
      <c r="D115" s="5" t="s">
        <v>213</v>
      </c>
      <c r="E115" s="7" t="s">
        <v>145</v>
      </c>
      <c r="F115" s="7" t="s">
        <v>146</v>
      </c>
      <c r="G115" s="7" t="s">
        <v>14</v>
      </c>
      <c r="H115" s="8">
        <v>8</v>
      </c>
      <c r="I115" s="9">
        <v>38000</v>
      </c>
      <c r="J115" s="9">
        <f t="shared" si="12"/>
        <v>304000</v>
      </c>
      <c r="K115" s="6" t="s">
        <v>15</v>
      </c>
      <c r="L115" s="21" t="str">
        <f>+VLOOKUP(E115,mã!$B$2:$F$229,2,0)</f>
        <v>NL300145</v>
      </c>
      <c r="M115" s="22">
        <f>+VLOOKUP(T115,Sheet2!$B$2:$P$372,10,0)</f>
        <v>6</v>
      </c>
      <c r="N115" s="23">
        <f>+VLOOKUP(L115,mã!$C$2:$F$229,4,0)</f>
        <v>38000</v>
      </c>
      <c r="O115" s="23">
        <f t="shared" si="13"/>
        <v>228000</v>
      </c>
      <c r="P115" s="23">
        <f t="shared" si="14"/>
        <v>76000</v>
      </c>
      <c r="Q115" s="21" t="str">
        <f t="shared" si="15"/>
        <v>SAI SL NHẬN</v>
      </c>
      <c r="R115" s="14">
        <f>+VLOOKUP(T115,Sheet2!$B$2:$P$372,13,0)</f>
        <v>228000</v>
      </c>
      <c r="S115" s="24">
        <f t="shared" si="16"/>
        <v>0</v>
      </c>
      <c r="T115" t="str">
        <f t="shared" si="17"/>
        <v>03/01/2026NL300145</v>
      </c>
      <c r="U115" s="15">
        <f t="shared" si="18"/>
        <v>2</v>
      </c>
      <c r="V115" s="25">
        <f t="shared" si="19"/>
        <v>0</v>
      </c>
    </row>
    <row r="116" spans="1:22" x14ac:dyDescent="0.25">
      <c r="A116" s="4" t="s">
        <v>163</v>
      </c>
      <c r="B116" s="5" t="s">
        <v>123</v>
      </c>
      <c r="C116" s="4" t="s">
        <v>124</v>
      </c>
      <c r="D116" s="5" t="s">
        <v>213</v>
      </c>
      <c r="E116" s="7" t="s">
        <v>66</v>
      </c>
      <c r="F116" s="7" t="s">
        <v>65</v>
      </c>
      <c r="G116" s="7" t="s">
        <v>14</v>
      </c>
      <c r="H116" s="8">
        <v>1</v>
      </c>
      <c r="I116" s="9">
        <v>62000</v>
      </c>
      <c r="J116" s="9">
        <f t="shared" si="12"/>
        <v>62000</v>
      </c>
      <c r="K116" s="6" t="s">
        <v>15</v>
      </c>
      <c r="L116" s="21" t="str">
        <f>+VLOOKUP(E116,mã!$B$2:$F$229,2,0)</f>
        <v>NL300147</v>
      </c>
      <c r="M116" s="22">
        <f>+VLOOKUP(T116,Sheet2!$B$2:$P$372,10,0)</f>
        <v>1</v>
      </c>
      <c r="N116" s="23">
        <f>+VLOOKUP(L116,mã!$C$2:$F$229,4,0)</f>
        <v>62000</v>
      </c>
      <c r="O116" s="23">
        <f t="shared" si="13"/>
        <v>62000</v>
      </c>
      <c r="P116" s="23">
        <f t="shared" si="14"/>
        <v>0</v>
      </c>
      <c r="Q116" s="21" t="str">
        <f t="shared" si="15"/>
        <v xml:space="preserve"> </v>
      </c>
      <c r="R116" s="14">
        <f>+VLOOKUP(T116,Sheet2!$B$2:$P$372,13,0)</f>
        <v>62000</v>
      </c>
      <c r="S116" s="24">
        <f t="shared" si="16"/>
        <v>0</v>
      </c>
      <c r="T116" t="str">
        <f t="shared" si="17"/>
        <v>03/01/2026NL300147</v>
      </c>
      <c r="U116" s="15">
        <f t="shared" si="18"/>
        <v>0</v>
      </c>
      <c r="V116" s="25">
        <f t="shared" si="19"/>
        <v>0</v>
      </c>
    </row>
    <row r="117" spans="1:22" x14ac:dyDescent="0.25">
      <c r="A117" s="4" t="s">
        <v>168</v>
      </c>
      <c r="B117" s="5" t="s">
        <v>123</v>
      </c>
      <c r="C117" s="4" t="s">
        <v>124</v>
      </c>
      <c r="D117" s="5" t="s">
        <v>214</v>
      </c>
      <c r="E117" s="7" t="s">
        <v>16</v>
      </c>
      <c r="F117" s="7" t="s">
        <v>17</v>
      </c>
      <c r="G117" s="7" t="s">
        <v>18</v>
      </c>
      <c r="H117" s="8">
        <v>5</v>
      </c>
      <c r="I117" s="9">
        <v>8500</v>
      </c>
      <c r="J117" s="9">
        <f t="shared" si="12"/>
        <v>42500</v>
      </c>
      <c r="K117" s="6" t="s">
        <v>15</v>
      </c>
      <c r="L117" s="21" t="str">
        <f>+VLOOKUP(E117,mã!$B$2:$F$229,2,0)</f>
        <v>NL300107</v>
      </c>
      <c r="M117" s="22">
        <f>+VLOOKUP(T117,Sheet2!$B$2:$P$372,10,0)</f>
        <v>5</v>
      </c>
      <c r="N117" s="23">
        <f>+VLOOKUP(L117,mã!$C$2:$F$229,4,0)</f>
        <v>8500</v>
      </c>
      <c r="O117" s="23">
        <f t="shared" si="13"/>
        <v>42500</v>
      </c>
      <c r="P117" s="23">
        <f t="shared" si="14"/>
        <v>0</v>
      </c>
      <c r="Q117" s="21" t="str">
        <f t="shared" si="15"/>
        <v xml:space="preserve"> </v>
      </c>
      <c r="R117" s="14">
        <f>+VLOOKUP(T117,Sheet2!$B$2:$P$372,13,0)</f>
        <v>42500</v>
      </c>
      <c r="S117" s="24">
        <f t="shared" si="16"/>
        <v>0</v>
      </c>
      <c r="T117" t="str">
        <f t="shared" si="17"/>
        <v>04/01/2026NL300107</v>
      </c>
      <c r="U117" s="15">
        <f t="shared" si="18"/>
        <v>0</v>
      </c>
      <c r="V117" s="25">
        <f t="shared" si="19"/>
        <v>0</v>
      </c>
    </row>
    <row r="118" spans="1:22" x14ac:dyDescent="0.25">
      <c r="A118" s="4" t="s">
        <v>168</v>
      </c>
      <c r="B118" s="5" t="s">
        <v>123</v>
      </c>
      <c r="C118" s="4" t="s">
        <v>124</v>
      </c>
      <c r="D118" s="5" t="s">
        <v>214</v>
      </c>
      <c r="E118" s="7" t="s">
        <v>101</v>
      </c>
      <c r="F118" s="7" t="s">
        <v>100</v>
      </c>
      <c r="G118" s="7" t="s">
        <v>14</v>
      </c>
      <c r="H118" s="8">
        <v>0.9</v>
      </c>
      <c r="I118" s="9">
        <v>40000</v>
      </c>
      <c r="J118" s="9">
        <f t="shared" si="12"/>
        <v>36000</v>
      </c>
      <c r="K118" s="6" t="s">
        <v>15</v>
      </c>
      <c r="L118" s="21" t="str">
        <f>+VLOOKUP(E118,mã!$B$2:$F$229,2,0)</f>
        <v>NL300008</v>
      </c>
      <c r="M118" s="22">
        <f>+VLOOKUP(T118,Sheet2!$B$2:$P$372,10,0)</f>
        <v>0.7</v>
      </c>
      <c r="N118" s="23">
        <f>+VLOOKUP(L118,mã!$C$2:$F$229,4,0)</f>
        <v>40000</v>
      </c>
      <c r="O118" s="23">
        <f t="shared" si="13"/>
        <v>28000</v>
      </c>
      <c r="P118" s="23">
        <f t="shared" si="14"/>
        <v>8000</v>
      </c>
      <c r="Q118" s="21" t="str">
        <f t="shared" si="15"/>
        <v>SAI SL NHẬN</v>
      </c>
      <c r="R118" s="14">
        <v>28000</v>
      </c>
      <c r="S118" s="24">
        <f t="shared" si="16"/>
        <v>0</v>
      </c>
      <c r="T118" t="str">
        <f t="shared" si="17"/>
        <v>04/01/2026NL300008</v>
      </c>
      <c r="U118" s="15">
        <f t="shared" si="18"/>
        <v>0.20000000000000007</v>
      </c>
      <c r="V118" s="25">
        <f t="shared" si="19"/>
        <v>0</v>
      </c>
    </row>
    <row r="119" spans="1:22" x14ac:dyDescent="0.25">
      <c r="A119" s="4" t="s">
        <v>168</v>
      </c>
      <c r="B119" s="5" t="s">
        <v>123</v>
      </c>
      <c r="C119" s="4" t="s">
        <v>124</v>
      </c>
      <c r="D119" s="5" t="s">
        <v>214</v>
      </c>
      <c r="E119" s="7" t="s">
        <v>125</v>
      </c>
      <c r="F119" s="7" t="s">
        <v>126</v>
      </c>
      <c r="G119" s="7" t="s">
        <v>14</v>
      </c>
      <c r="H119" s="8">
        <v>2.2000000000000002</v>
      </c>
      <c r="I119" s="9">
        <v>18000</v>
      </c>
      <c r="J119" s="9">
        <f t="shared" si="12"/>
        <v>39600</v>
      </c>
      <c r="K119" s="6" t="s">
        <v>15</v>
      </c>
      <c r="L119" s="21" t="str">
        <f>+VLOOKUP(E119,mã!$B$2:$F$229,2,0)</f>
        <v>NL300027</v>
      </c>
      <c r="M119" s="22">
        <v>1.45</v>
      </c>
      <c r="N119" s="23">
        <f>+VLOOKUP(L119,mã!$C$2:$F$229,4,0)</f>
        <v>18000</v>
      </c>
      <c r="O119" s="23">
        <f t="shared" si="13"/>
        <v>26100</v>
      </c>
      <c r="P119" s="23">
        <f t="shared" si="14"/>
        <v>13500</v>
      </c>
      <c r="Q119" s="21" t="str">
        <f t="shared" si="15"/>
        <v>SAI SL NHẬN</v>
      </c>
      <c r="R119" s="14">
        <v>26100</v>
      </c>
      <c r="S119" s="24">
        <f t="shared" si="16"/>
        <v>0</v>
      </c>
      <c r="T119" t="str">
        <f t="shared" si="17"/>
        <v>04/01/2026NL300027</v>
      </c>
      <c r="U119" s="15">
        <f t="shared" si="18"/>
        <v>0.75000000000000022</v>
      </c>
      <c r="V119" s="25">
        <f t="shared" si="19"/>
        <v>0</v>
      </c>
    </row>
    <row r="120" spans="1:22" x14ac:dyDescent="0.25">
      <c r="A120" s="4" t="s">
        <v>168</v>
      </c>
      <c r="B120" s="5" t="s">
        <v>123</v>
      </c>
      <c r="C120" s="4" t="s">
        <v>124</v>
      </c>
      <c r="D120" s="5" t="s">
        <v>214</v>
      </c>
      <c r="E120" s="7" t="s">
        <v>127</v>
      </c>
      <c r="F120" s="7" t="s">
        <v>128</v>
      </c>
      <c r="G120" s="7" t="s">
        <v>14</v>
      </c>
      <c r="H120" s="8">
        <v>1.2</v>
      </c>
      <c r="I120" s="9">
        <v>13000</v>
      </c>
      <c r="J120" s="9">
        <f t="shared" si="12"/>
        <v>15600</v>
      </c>
      <c r="K120" s="6" t="s">
        <v>15</v>
      </c>
      <c r="L120" s="21" t="str">
        <f>+VLOOKUP(E120,mã!$B$2:$F$229,2,0)</f>
        <v>NL300033</v>
      </c>
      <c r="M120" s="22">
        <f>+VLOOKUP(T120,Sheet2!$B$2:$P$372,10,0)</f>
        <v>0.9</v>
      </c>
      <c r="N120" s="23">
        <f>+VLOOKUP(L120,mã!$C$2:$F$229,4,0)</f>
        <v>13000</v>
      </c>
      <c r="O120" s="23">
        <f t="shared" si="13"/>
        <v>11700</v>
      </c>
      <c r="P120" s="23">
        <f t="shared" si="14"/>
        <v>3900</v>
      </c>
      <c r="Q120" s="21" t="str">
        <f t="shared" si="15"/>
        <v>SAI SL NHẬN</v>
      </c>
      <c r="R120" s="14">
        <v>11700</v>
      </c>
      <c r="S120" s="24">
        <f t="shared" si="16"/>
        <v>0</v>
      </c>
      <c r="T120" t="str">
        <f t="shared" si="17"/>
        <v>04/01/2026NL300033</v>
      </c>
      <c r="U120" s="15">
        <f t="shared" si="18"/>
        <v>0.29999999999999993</v>
      </c>
      <c r="V120" s="25">
        <f t="shared" si="19"/>
        <v>0</v>
      </c>
    </row>
    <row r="121" spans="1:22" x14ac:dyDescent="0.25">
      <c r="A121" s="4" t="s">
        <v>168</v>
      </c>
      <c r="B121" s="5" t="s">
        <v>123</v>
      </c>
      <c r="C121" s="4" t="s">
        <v>124</v>
      </c>
      <c r="D121" s="5" t="s">
        <v>214</v>
      </c>
      <c r="E121" s="7" t="s">
        <v>51</v>
      </c>
      <c r="F121" s="7" t="s">
        <v>52</v>
      </c>
      <c r="G121" s="7" t="s">
        <v>14</v>
      </c>
      <c r="H121" s="8">
        <v>24.5</v>
      </c>
      <c r="I121" s="9">
        <v>18000</v>
      </c>
      <c r="J121" s="9">
        <f t="shared" si="12"/>
        <v>441000</v>
      </c>
      <c r="K121" s="6" t="s">
        <v>15</v>
      </c>
      <c r="L121" s="21" t="str">
        <f>+VLOOKUP(E121,mã!$B$2:$F$229,2,0)</f>
        <v>NL600004</v>
      </c>
      <c r="M121" s="22">
        <f>+VLOOKUP(T121,Sheet2!$B$2:$P$372,10,0)</f>
        <v>24.5</v>
      </c>
      <c r="N121" s="23">
        <f>+VLOOKUP(L121,mã!$C$2:$F$229,4,0)</f>
        <v>18000</v>
      </c>
      <c r="O121" s="23">
        <f t="shared" si="13"/>
        <v>441000</v>
      </c>
      <c r="P121" s="23">
        <f t="shared" si="14"/>
        <v>0</v>
      </c>
      <c r="Q121" s="21" t="str">
        <f t="shared" si="15"/>
        <v xml:space="preserve"> </v>
      </c>
      <c r="R121" s="14">
        <v>441000</v>
      </c>
      <c r="S121" s="24">
        <f t="shared" si="16"/>
        <v>0</v>
      </c>
      <c r="T121" t="str">
        <f t="shared" si="17"/>
        <v>04/01/2026NL600004</v>
      </c>
      <c r="U121" s="15">
        <f t="shared" si="18"/>
        <v>0</v>
      </c>
      <c r="V121" s="25">
        <f t="shared" si="19"/>
        <v>0</v>
      </c>
    </row>
    <row r="122" spans="1:22" x14ac:dyDescent="0.25">
      <c r="A122" s="4" t="s">
        <v>168</v>
      </c>
      <c r="B122" s="5" t="s">
        <v>123</v>
      </c>
      <c r="C122" s="4" t="s">
        <v>124</v>
      </c>
      <c r="D122" s="5" t="s">
        <v>214</v>
      </c>
      <c r="E122" s="7" t="s">
        <v>137</v>
      </c>
      <c r="F122" s="7" t="s">
        <v>138</v>
      </c>
      <c r="G122" s="7" t="s">
        <v>14</v>
      </c>
      <c r="H122" s="8">
        <v>0.3</v>
      </c>
      <c r="I122" s="9">
        <v>9000</v>
      </c>
      <c r="J122" s="9">
        <f t="shared" si="12"/>
        <v>2700</v>
      </c>
      <c r="K122" s="6" t="s">
        <v>15</v>
      </c>
      <c r="L122" s="21" t="str">
        <f>+VLOOKUP(E122,mã!$B$2:$F$229,2,0)</f>
        <v>NL300050</v>
      </c>
      <c r="M122" s="22">
        <f>+VLOOKUP(T122,Sheet2!$B$2:$P$372,10,0)</f>
        <v>0.3</v>
      </c>
      <c r="N122" s="23">
        <f>+VLOOKUP(L122,mã!$C$2:$F$229,4,0)</f>
        <v>9000</v>
      </c>
      <c r="O122" s="23">
        <f t="shared" si="13"/>
        <v>2700</v>
      </c>
      <c r="P122" s="23">
        <f t="shared" si="14"/>
        <v>0</v>
      </c>
      <c r="Q122" s="21" t="str">
        <f t="shared" si="15"/>
        <v xml:space="preserve"> </v>
      </c>
      <c r="R122" s="14">
        <f>+VLOOKUP(T122,Sheet2!$B$2:$P$372,13,0)</f>
        <v>2700</v>
      </c>
      <c r="S122" s="24">
        <f t="shared" si="16"/>
        <v>0</v>
      </c>
      <c r="T122" t="str">
        <f t="shared" si="17"/>
        <v>04/01/2026NL300050</v>
      </c>
      <c r="U122" s="15">
        <f t="shared" si="18"/>
        <v>0</v>
      </c>
      <c r="V122" s="25">
        <f t="shared" si="19"/>
        <v>0</v>
      </c>
    </row>
    <row r="123" spans="1:22" x14ac:dyDescent="0.25">
      <c r="A123" s="4" t="s">
        <v>168</v>
      </c>
      <c r="B123" s="5" t="s">
        <v>123</v>
      </c>
      <c r="C123" s="4" t="s">
        <v>124</v>
      </c>
      <c r="D123" s="5" t="s">
        <v>214</v>
      </c>
      <c r="E123" s="7" t="s">
        <v>21</v>
      </c>
      <c r="F123" s="7" t="s">
        <v>22</v>
      </c>
      <c r="G123" s="7" t="s">
        <v>14</v>
      </c>
      <c r="H123" s="8">
        <v>0.2</v>
      </c>
      <c r="I123" s="9">
        <v>55000</v>
      </c>
      <c r="J123" s="9">
        <f t="shared" si="12"/>
        <v>11000</v>
      </c>
      <c r="K123" s="6" t="s">
        <v>15</v>
      </c>
      <c r="L123" s="21" t="str">
        <f>+VLOOKUP(E123,mã!$B$2:$F$229,2,0)</f>
        <v>NL300058</v>
      </c>
      <c r="M123" s="22">
        <f>+VLOOKUP(T123,Sheet2!$B$2:$P$372,10,0)</f>
        <v>0.2</v>
      </c>
      <c r="N123" s="23">
        <f>+VLOOKUP(L123,mã!$C$2:$F$229,4,0)</f>
        <v>55000</v>
      </c>
      <c r="O123" s="23">
        <f t="shared" si="13"/>
        <v>11000</v>
      </c>
      <c r="P123" s="23">
        <f t="shared" si="14"/>
        <v>0</v>
      </c>
      <c r="Q123" s="21" t="str">
        <f t="shared" si="15"/>
        <v xml:space="preserve"> </v>
      </c>
      <c r="R123" s="14">
        <f>+VLOOKUP(T123,Sheet2!$B$2:$P$372,13,0)</f>
        <v>11000</v>
      </c>
      <c r="S123" s="24">
        <f t="shared" si="16"/>
        <v>0</v>
      </c>
      <c r="T123" t="str">
        <f t="shared" si="17"/>
        <v>04/01/2026NL300058</v>
      </c>
      <c r="U123" s="15">
        <f t="shared" si="18"/>
        <v>0</v>
      </c>
      <c r="V123" s="25">
        <f t="shared" si="19"/>
        <v>0</v>
      </c>
    </row>
    <row r="124" spans="1:22" x14ac:dyDescent="0.25">
      <c r="A124" s="4" t="s">
        <v>168</v>
      </c>
      <c r="B124" s="5" t="s">
        <v>123</v>
      </c>
      <c r="C124" s="4" t="s">
        <v>124</v>
      </c>
      <c r="D124" s="5" t="s">
        <v>214</v>
      </c>
      <c r="E124" s="7" t="s">
        <v>86</v>
      </c>
      <c r="F124" s="7" t="s">
        <v>85</v>
      </c>
      <c r="G124" s="7" t="s">
        <v>14</v>
      </c>
      <c r="H124" s="8">
        <v>0.6</v>
      </c>
      <c r="I124" s="9">
        <v>38000</v>
      </c>
      <c r="J124" s="9">
        <f t="shared" si="12"/>
        <v>22800</v>
      </c>
      <c r="K124" s="6" t="s">
        <v>15</v>
      </c>
      <c r="L124" s="21" t="str">
        <f>+VLOOKUP(E124,mã!$B$2:$F$229,2,0)</f>
        <v>NL300061</v>
      </c>
      <c r="M124" s="22">
        <f>+VLOOKUP(T124,Sheet2!$B$2:$P$372,10,0)</f>
        <v>0.5</v>
      </c>
      <c r="N124" s="23">
        <f>+VLOOKUP(L124,mã!$C$2:$F$229,4,0)</f>
        <v>38000</v>
      </c>
      <c r="O124" s="23">
        <f t="shared" si="13"/>
        <v>19000</v>
      </c>
      <c r="P124" s="23">
        <f t="shared" si="14"/>
        <v>3800</v>
      </c>
      <c r="Q124" s="21" t="str">
        <f t="shared" si="15"/>
        <v>SAI SL NHẬN</v>
      </c>
      <c r="R124" s="14">
        <f>+VLOOKUP(T124,Sheet2!$B$2:$P$372,13,0)</f>
        <v>19000</v>
      </c>
      <c r="S124" s="24">
        <f t="shared" si="16"/>
        <v>0</v>
      </c>
      <c r="T124" t="str">
        <f t="shared" si="17"/>
        <v>04/01/2026NL300061</v>
      </c>
      <c r="U124" s="15">
        <f t="shared" si="18"/>
        <v>9.9999999999999978E-2</v>
      </c>
      <c r="V124" s="25">
        <f t="shared" si="19"/>
        <v>0</v>
      </c>
    </row>
    <row r="125" spans="1:22" x14ac:dyDescent="0.25">
      <c r="A125" s="4" t="s">
        <v>168</v>
      </c>
      <c r="B125" s="5" t="s">
        <v>123</v>
      </c>
      <c r="C125" s="4" t="s">
        <v>124</v>
      </c>
      <c r="D125" s="5" t="s">
        <v>214</v>
      </c>
      <c r="E125" s="7" t="s">
        <v>84</v>
      </c>
      <c r="F125" s="7" t="s">
        <v>83</v>
      </c>
      <c r="G125" s="7" t="s">
        <v>14</v>
      </c>
      <c r="H125" s="8">
        <v>1.8</v>
      </c>
      <c r="I125" s="9">
        <v>23000</v>
      </c>
      <c r="J125" s="9">
        <f t="shared" si="12"/>
        <v>41400</v>
      </c>
      <c r="K125" s="6" t="s">
        <v>15</v>
      </c>
      <c r="L125" s="21" t="str">
        <f>+VLOOKUP(E125,mã!$B$2:$F$229,2,0)</f>
        <v>NL300070</v>
      </c>
      <c r="M125" s="22">
        <f>+VLOOKUP(T125,Sheet2!$B$2:$P$372,10,0)</f>
        <v>1.6</v>
      </c>
      <c r="N125" s="23">
        <f>+VLOOKUP(L125,mã!$C$2:$F$229,4,0)</f>
        <v>23000</v>
      </c>
      <c r="O125" s="23">
        <f t="shared" si="13"/>
        <v>36800</v>
      </c>
      <c r="P125" s="23">
        <f t="shared" si="14"/>
        <v>4600</v>
      </c>
      <c r="Q125" s="21" t="str">
        <f t="shared" si="15"/>
        <v>SAI SL NHẬN</v>
      </c>
      <c r="R125" s="14">
        <f>+VLOOKUP(T125,Sheet2!$B$2:$P$372,13,0)</f>
        <v>36800</v>
      </c>
      <c r="S125" s="24">
        <f t="shared" si="16"/>
        <v>0</v>
      </c>
      <c r="T125" t="str">
        <f t="shared" si="17"/>
        <v>04/01/2026NL300070</v>
      </c>
      <c r="U125" s="15">
        <f t="shared" si="18"/>
        <v>0.19999999999999996</v>
      </c>
      <c r="V125" s="25">
        <f t="shared" si="19"/>
        <v>0</v>
      </c>
    </row>
    <row r="126" spans="1:22" x14ac:dyDescent="0.25">
      <c r="A126" s="4" t="s">
        <v>168</v>
      </c>
      <c r="B126" s="5" t="s">
        <v>123</v>
      </c>
      <c r="C126" s="4" t="s">
        <v>124</v>
      </c>
      <c r="D126" s="5" t="s">
        <v>214</v>
      </c>
      <c r="E126" s="7" t="s">
        <v>152</v>
      </c>
      <c r="F126" s="7" t="s">
        <v>153</v>
      </c>
      <c r="G126" s="7" t="s">
        <v>14</v>
      </c>
      <c r="H126" s="8">
        <v>5.7</v>
      </c>
      <c r="I126" s="9">
        <v>20000</v>
      </c>
      <c r="J126" s="9">
        <f t="shared" si="12"/>
        <v>114000</v>
      </c>
      <c r="K126" s="6" t="s">
        <v>15</v>
      </c>
      <c r="L126" s="21" t="str">
        <f>+VLOOKUP(E126,mã!$B$2:$F$229,2,0)</f>
        <v>NL300071</v>
      </c>
      <c r="M126" s="22">
        <f>+VLOOKUP(T126,Sheet2!$B$2:$P$372,10,0)</f>
        <v>6</v>
      </c>
      <c r="N126" s="23">
        <f>+VLOOKUP(L126,mã!$C$2:$F$229,4,0)</f>
        <v>20000</v>
      </c>
      <c r="O126" s="23">
        <f t="shared" si="13"/>
        <v>120000</v>
      </c>
      <c r="P126" s="23">
        <f t="shared" si="14"/>
        <v>-6000</v>
      </c>
      <c r="Q126" s="21" t="str">
        <f t="shared" si="15"/>
        <v>SAI SL NHẬN</v>
      </c>
      <c r="R126" s="14">
        <f>+VLOOKUP(T126,Sheet2!$B$2:$P$372,13,0)</f>
        <v>120000</v>
      </c>
      <c r="S126" s="24">
        <f t="shared" si="16"/>
        <v>0</v>
      </c>
      <c r="T126" t="str">
        <f t="shared" si="17"/>
        <v>04/01/2026NL300071</v>
      </c>
      <c r="U126" s="15">
        <f t="shared" si="18"/>
        <v>-0.29999999999999982</v>
      </c>
      <c r="V126" s="25">
        <f t="shared" si="19"/>
        <v>0</v>
      </c>
    </row>
    <row r="127" spans="1:22" x14ac:dyDescent="0.25">
      <c r="A127" s="4" t="s">
        <v>168</v>
      </c>
      <c r="B127" s="5" t="s">
        <v>123</v>
      </c>
      <c r="C127" s="4" t="s">
        <v>124</v>
      </c>
      <c r="D127" s="5" t="s">
        <v>214</v>
      </c>
      <c r="E127" s="7" t="s">
        <v>141</v>
      </c>
      <c r="F127" s="7" t="s">
        <v>142</v>
      </c>
      <c r="G127" s="7" t="s">
        <v>14</v>
      </c>
      <c r="H127" s="8">
        <v>2</v>
      </c>
      <c r="I127" s="9">
        <v>95000</v>
      </c>
      <c r="J127" s="9">
        <f t="shared" si="12"/>
        <v>190000</v>
      </c>
      <c r="K127" s="6" t="s">
        <v>15</v>
      </c>
      <c r="L127" s="21" t="str">
        <f>+VLOOKUP(E127,mã!$B$2:$F$229,2,0)</f>
        <v>NL300080</v>
      </c>
      <c r="M127" s="22">
        <f>+VLOOKUP(T127,Sheet2!$B$2:$P$372,10,0)</f>
        <v>1.7</v>
      </c>
      <c r="N127" s="23">
        <f>+VLOOKUP(L127,mã!$C$2:$F$229,4,0)</f>
        <v>95000</v>
      </c>
      <c r="O127" s="23">
        <f t="shared" si="13"/>
        <v>161500</v>
      </c>
      <c r="P127" s="23">
        <f t="shared" si="14"/>
        <v>28500</v>
      </c>
      <c r="Q127" s="21" t="str">
        <f t="shared" si="15"/>
        <v>SAI SL NHẬN</v>
      </c>
      <c r="R127" s="14">
        <f>+VLOOKUP(T127,Sheet2!$B$2:$P$372,13,0)</f>
        <v>161500</v>
      </c>
      <c r="S127" s="24">
        <f t="shared" si="16"/>
        <v>0</v>
      </c>
      <c r="T127" t="str">
        <f t="shared" si="17"/>
        <v>04/01/2026NL300080</v>
      </c>
      <c r="U127" s="15">
        <f t="shared" si="18"/>
        <v>0.30000000000000004</v>
      </c>
      <c r="V127" s="25">
        <f t="shared" si="19"/>
        <v>0</v>
      </c>
    </row>
    <row r="128" spans="1:22" x14ac:dyDescent="0.25">
      <c r="A128" s="4" t="s">
        <v>168</v>
      </c>
      <c r="B128" s="5" t="s">
        <v>123</v>
      </c>
      <c r="C128" s="4" t="s">
        <v>124</v>
      </c>
      <c r="D128" s="5" t="s">
        <v>214</v>
      </c>
      <c r="E128" s="7" t="s">
        <v>47</v>
      </c>
      <c r="F128" s="7" t="s">
        <v>48</v>
      </c>
      <c r="G128" s="7" t="s">
        <v>14</v>
      </c>
      <c r="H128" s="8">
        <v>1.5</v>
      </c>
      <c r="I128" s="9">
        <v>21000</v>
      </c>
      <c r="J128" s="9">
        <f t="shared" si="12"/>
        <v>31500</v>
      </c>
      <c r="K128" s="6" t="s">
        <v>15</v>
      </c>
      <c r="L128" s="21" t="str">
        <f>+VLOOKUP(E128,mã!$B$2:$F$229,2,0)</f>
        <v>NL300119</v>
      </c>
      <c r="M128" s="22">
        <f>+VLOOKUP(T128,Sheet2!$B$2:$P$372,10,0)</f>
        <v>1</v>
      </c>
      <c r="N128" s="23">
        <f>+VLOOKUP(L128,mã!$C$2:$F$229,4,0)</f>
        <v>21000</v>
      </c>
      <c r="O128" s="23">
        <f t="shared" si="13"/>
        <v>21000</v>
      </c>
      <c r="P128" s="23">
        <f t="shared" si="14"/>
        <v>10500</v>
      </c>
      <c r="Q128" s="21" t="str">
        <f t="shared" si="15"/>
        <v>SAI SL NHẬN</v>
      </c>
      <c r="R128" s="14">
        <f>+VLOOKUP(T128,Sheet2!$B$2:$P$372,13,0)</f>
        <v>21000</v>
      </c>
      <c r="S128" s="24">
        <f t="shared" si="16"/>
        <v>0</v>
      </c>
      <c r="T128" t="str">
        <f t="shared" si="17"/>
        <v>04/01/2026NL300119</v>
      </c>
      <c r="U128" s="15">
        <f t="shared" si="18"/>
        <v>0.5</v>
      </c>
      <c r="V128" s="25">
        <f t="shared" si="19"/>
        <v>0</v>
      </c>
    </row>
    <row r="129" spans="1:22" x14ac:dyDescent="0.25">
      <c r="A129" s="4" t="s">
        <v>168</v>
      </c>
      <c r="B129" s="5" t="s">
        <v>123</v>
      </c>
      <c r="C129" s="4" t="s">
        <v>124</v>
      </c>
      <c r="D129" s="5" t="s">
        <v>214</v>
      </c>
      <c r="E129" s="7" t="s">
        <v>27</v>
      </c>
      <c r="F129" s="7" t="s">
        <v>28</v>
      </c>
      <c r="G129" s="7" t="s">
        <v>14</v>
      </c>
      <c r="H129" s="8">
        <v>0.3</v>
      </c>
      <c r="I129" s="9">
        <v>50000</v>
      </c>
      <c r="J129" s="9">
        <f t="shared" si="12"/>
        <v>15000</v>
      </c>
      <c r="K129" s="6" t="s">
        <v>15</v>
      </c>
      <c r="L129" s="21" t="str">
        <f>+VLOOKUP(E129,mã!$B$2:$F$229,2,0)</f>
        <v>NL300142</v>
      </c>
      <c r="M129" s="22">
        <f>+VLOOKUP(T129,Sheet2!$B$2:$P$372,10,0)</f>
        <v>0.3</v>
      </c>
      <c r="N129" s="23">
        <f>+VLOOKUP(L129,mã!$C$2:$F$229,4,0)</f>
        <v>50000</v>
      </c>
      <c r="O129" s="23">
        <f t="shared" si="13"/>
        <v>15000</v>
      </c>
      <c r="P129" s="23">
        <f t="shared" si="14"/>
        <v>0</v>
      </c>
      <c r="Q129" s="21" t="str">
        <f t="shared" si="15"/>
        <v xml:space="preserve"> </v>
      </c>
      <c r="R129" s="14">
        <f>+VLOOKUP(T129,Sheet2!$B$2:$P$372,13,0)</f>
        <v>15000</v>
      </c>
      <c r="S129" s="24">
        <f t="shared" si="16"/>
        <v>0</v>
      </c>
      <c r="T129" t="str">
        <f t="shared" si="17"/>
        <v>04/01/2026NL300142</v>
      </c>
      <c r="U129" s="15">
        <f t="shared" si="18"/>
        <v>0</v>
      </c>
      <c r="V129" s="25">
        <f t="shared" si="19"/>
        <v>0</v>
      </c>
    </row>
    <row r="130" spans="1:22" x14ac:dyDescent="0.25">
      <c r="A130" s="4" t="s">
        <v>168</v>
      </c>
      <c r="B130" s="5" t="s">
        <v>123</v>
      </c>
      <c r="C130" s="4" t="s">
        <v>124</v>
      </c>
      <c r="D130" s="5" t="s">
        <v>214</v>
      </c>
      <c r="E130" s="7" t="s">
        <v>145</v>
      </c>
      <c r="F130" s="7" t="s">
        <v>146</v>
      </c>
      <c r="G130" s="7" t="s">
        <v>14</v>
      </c>
      <c r="H130" s="8">
        <v>5</v>
      </c>
      <c r="I130" s="9">
        <v>38000</v>
      </c>
      <c r="J130" s="9">
        <f t="shared" si="12"/>
        <v>190000</v>
      </c>
      <c r="K130" s="6" t="s">
        <v>15</v>
      </c>
      <c r="L130" s="21" t="str">
        <f>+VLOOKUP(E130,mã!$B$2:$F$229,2,0)</f>
        <v>NL300145</v>
      </c>
      <c r="M130" s="22">
        <f>+VLOOKUP(T130,Sheet2!$B$2:$P$372,10,0)</f>
        <v>2.5</v>
      </c>
      <c r="N130" s="23">
        <f>+VLOOKUP(L130,mã!$C$2:$F$229,4,0)</f>
        <v>38000</v>
      </c>
      <c r="O130" s="23">
        <f t="shared" si="13"/>
        <v>95000</v>
      </c>
      <c r="P130" s="23">
        <f t="shared" si="14"/>
        <v>95000</v>
      </c>
      <c r="Q130" s="21" t="str">
        <f t="shared" si="15"/>
        <v>SAI SL NHẬN</v>
      </c>
      <c r="R130" s="14">
        <f>+VLOOKUP(T130,Sheet2!$B$2:$P$372,13,0)</f>
        <v>95000</v>
      </c>
      <c r="S130" s="24">
        <f t="shared" si="16"/>
        <v>0</v>
      </c>
      <c r="T130" t="str">
        <f t="shared" si="17"/>
        <v>04/01/2026NL300145</v>
      </c>
      <c r="U130" s="15">
        <f t="shared" si="18"/>
        <v>2.5</v>
      </c>
      <c r="V130" s="25">
        <f t="shared" si="19"/>
        <v>0</v>
      </c>
    </row>
    <row r="131" spans="1:22" x14ac:dyDescent="0.25">
      <c r="A131" s="4" t="s">
        <v>168</v>
      </c>
      <c r="B131" s="5" t="s">
        <v>123</v>
      </c>
      <c r="C131" s="4" t="s">
        <v>124</v>
      </c>
      <c r="D131" s="5" t="s">
        <v>215</v>
      </c>
      <c r="E131" s="7" t="s">
        <v>125</v>
      </c>
      <c r="F131" s="7" t="s">
        <v>126</v>
      </c>
      <c r="G131" s="7" t="s">
        <v>14</v>
      </c>
      <c r="H131" s="8">
        <v>0.6</v>
      </c>
      <c r="I131" s="9">
        <v>18000</v>
      </c>
      <c r="J131" s="9">
        <f t="shared" si="12"/>
        <v>10800</v>
      </c>
      <c r="K131" s="6" t="s">
        <v>15</v>
      </c>
      <c r="L131" s="21" t="str">
        <f>+VLOOKUP(E131,mã!$B$2:$F$229,2,0)</f>
        <v>NL300027</v>
      </c>
      <c r="M131" s="22">
        <v>0.6</v>
      </c>
      <c r="N131" s="23">
        <f>+VLOOKUP(L131,mã!$C$2:$F$229,4,0)</f>
        <v>18000</v>
      </c>
      <c r="O131" s="23">
        <f t="shared" si="13"/>
        <v>10800</v>
      </c>
      <c r="P131" s="23">
        <f t="shared" si="14"/>
        <v>0</v>
      </c>
      <c r="Q131" s="21" t="str">
        <f t="shared" si="15"/>
        <v xml:space="preserve"> </v>
      </c>
      <c r="R131" s="14">
        <v>10800</v>
      </c>
      <c r="S131" s="24">
        <f t="shared" si="16"/>
        <v>0</v>
      </c>
      <c r="T131" t="str">
        <f t="shared" si="17"/>
        <v>04/01/2026NL300027</v>
      </c>
      <c r="U131" s="15">
        <f t="shared" si="18"/>
        <v>0</v>
      </c>
      <c r="V131" s="25">
        <f t="shared" si="19"/>
        <v>0</v>
      </c>
    </row>
    <row r="132" spans="1:22" x14ac:dyDescent="0.25">
      <c r="A132" s="4" t="s">
        <v>168</v>
      </c>
      <c r="B132" s="5" t="s">
        <v>123</v>
      </c>
      <c r="C132" s="4" t="s">
        <v>124</v>
      </c>
      <c r="D132" s="5" t="s">
        <v>215</v>
      </c>
      <c r="E132" s="7" t="s">
        <v>152</v>
      </c>
      <c r="F132" s="7" t="s">
        <v>153</v>
      </c>
      <c r="G132" s="7" t="s">
        <v>14</v>
      </c>
      <c r="H132" s="8">
        <v>6</v>
      </c>
      <c r="I132" s="9">
        <v>20000</v>
      </c>
      <c r="J132" s="9">
        <f t="shared" si="12"/>
        <v>120000</v>
      </c>
      <c r="K132" s="6" t="s">
        <v>15</v>
      </c>
      <c r="L132" s="21" t="str">
        <f>+VLOOKUP(E132,mã!$B$2:$F$229,2,0)</f>
        <v>NL300071</v>
      </c>
      <c r="M132" s="22">
        <v>0</v>
      </c>
      <c r="N132" s="23">
        <f>+VLOOKUP(L132,mã!$C$2:$F$229,4,0)</f>
        <v>20000</v>
      </c>
      <c r="O132" s="23">
        <f t="shared" si="13"/>
        <v>0</v>
      </c>
      <c r="P132" s="23">
        <f t="shared" si="14"/>
        <v>120000</v>
      </c>
      <c r="Q132" s="21" t="str">
        <f t="shared" si="15"/>
        <v>SAI SL NHẬN</v>
      </c>
      <c r="R132" s="14">
        <f>+VLOOKUP(T132,Sheet2!$B$2:$P$372,13,0)</f>
        <v>120000</v>
      </c>
      <c r="S132" s="24">
        <f t="shared" si="16"/>
        <v>-120000</v>
      </c>
      <c r="T132" t="str">
        <f t="shared" si="17"/>
        <v>04/01/2026NL300071</v>
      </c>
      <c r="U132" s="15">
        <f t="shared" si="18"/>
        <v>6</v>
      </c>
      <c r="V132" s="25">
        <f t="shared" si="19"/>
        <v>0</v>
      </c>
    </row>
    <row r="133" spans="1:22" x14ac:dyDescent="0.25">
      <c r="A133" s="4" t="s">
        <v>168</v>
      </c>
      <c r="B133" s="5" t="s">
        <v>123</v>
      </c>
      <c r="C133" s="4" t="s">
        <v>124</v>
      </c>
      <c r="D133" s="5" t="s">
        <v>215</v>
      </c>
      <c r="E133" s="7" t="s">
        <v>47</v>
      </c>
      <c r="F133" s="7" t="s">
        <v>48</v>
      </c>
      <c r="G133" s="7" t="s">
        <v>14</v>
      </c>
      <c r="H133" s="8">
        <v>1</v>
      </c>
      <c r="I133" s="9">
        <v>21000</v>
      </c>
      <c r="J133" s="9">
        <f t="shared" si="12"/>
        <v>21000</v>
      </c>
      <c r="K133" s="6" t="s">
        <v>15</v>
      </c>
      <c r="L133" s="21" t="str">
        <f>+VLOOKUP(E133,mã!$B$2:$F$229,2,0)</f>
        <v>NL300119</v>
      </c>
      <c r="M133" s="22">
        <v>0</v>
      </c>
      <c r="N133" s="23">
        <f>+VLOOKUP(L133,mã!$C$2:$F$229,4,0)</f>
        <v>21000</v>
      </c>
      <c r="O133" s="23">
        <f t="shared" si="13"/>
        <v>0</v>
      </c>
      <c r="P133" s="23">
        <f t="shared" si="14"/>
        <v>21000</v>
      </c>
      <c r="Q133" s="21" t="str">
        <f t="shared" si="15"/>
        <v>SAI SL NHẬN</v>
      </c>
      <c r="R133" s="14">
        <f>+VLOOKUP(T133,Sheet2!$B$2:$P$372,13,0)</f>
        <v>21000</v>
      </c>
      <c r="S133" s="24">
        <f t="shared" si="16"/>
        <v>-21000</v>
      </c>
      <c r="T133" t="str">
        <f t="shared" si="17"/>
        <v>04/01/2026NL300119</v>
      </c>
      <c r="U133" s="15">
        <f t="shared" si="18"/>
        <v>1</v>
      </c>
      <c r="V133" s="25">
        <f t="shared" si="19"/>
        <v>0</v>
      </c>
    </row>
    <row r="134" spans="1:22" x14ac:dyDescent="0.25">
      <c r="A134" s="4" t="s">
        <v>171</v>
      </c>
      <c r="B134" s="5" t="s">
        <v>123</v>
      </c>
      <c r="C134" s="4" t="s">
        <v>124</v>
      </c>
      <c r="D134" s="5" t="s">
        <v>216</v>
      </c>
      <c r="E134" s="7" t="s">
        <v>16</v>
      </c>
      <c r="F134" s="7" t="s">
        <v>17</v>
      </c>
      <c r="G134" s="7" t="s">
        <v>18</v>
      </c>
      <c r="H134" s="8">
        <v>5</v>
      </c>
      <c r="I134" s="9">
        <v>8500</v>
      </c>
      <c r="J134" s="9">
        <f t="shared" si="12"/>
        <v>42500</v>
      </c>
      <c r="K134" s="6" t="s">
        <v>15</v>
      </c>
      <c r="L134" s="21" t="str">
        <f>+VLOOKUP(E134,mã!$B$2:$F$229,2,0)</f>
        <v>NL300107</v>
      </c>
      <c r="M134" s="22">
        <f>+VLOOKUP(T134,Sheet2!$B$2:$P$372,10,0)</f>
        <v>0</v>
      </c>
      <c r="N134" s="23">
        <f>+VLOOKUP(L134,mã!$C$2:$F$229,4,0)</f>
        <v>8500</v>
      </c>
      <c r="O134" s="23">
        <f t="shared" si="13"/>
        <v>0</v>
      </c>
      <c r="P134" s="23">
        <f t="shared" si="14"/>
        <v>42500</v>
      </c>
      <c r="Q134" s="21" t="str">
        <f t="shared" si="15"/>
        <v>SAI SL NHẬN</v>
      </c>
      <c r="R134" s="14">
        <f>+VLOOKUP(T134,Sheet2!$B$2:$P$372,13,0)</f>
        <v>0</v>
      </c>
      <c r="S134" s="24">
        <f t="shared" si="16"/>
        <v>0</v>
      </c>
      <c r="T134" t="str">
        <f t="shared" si="17"/>
        <v>05/01/2026NL300107</v>
      </c>
      <c r="U134" s="15">
        <f t="shared" si="18"/>
        <v>5</v>
      </c>
      <c r="V134" s="25">
        <f t="shared" si="19"/>
        <v>0</v>
      </c>
    </row>
    <row r="135" spans="1:22" x14ac:dyDescent="0.25">
      <c r="A135" s="4" t="s">
        <v>171</v>
      </c>
      <c r="B135" s="5" t="s">
        <v>123</v>
      </c>
      <c r="C135" s="4" t="s">
        <v>124</v>
      </c>
      <c r="D135" s="5" t="s">
        <v>216</v>
      </c>
      <c r="E135" s="7" t="s">
        <v>101</v>
      </c>
      <c r="F135" s="7" t="s">
        <v>100</v>
      </c>
      <c r="G135" s="7" t="s">
        <v>14</v>
      </c>
      <c r="H135" s="8">
        <v>1.8</v>
      </c>
      <c r="I135" s="9">
        <v>40000</v>
      </c>
      <c r="J135" s="9">
        <f t="shared" si="12"/>
        <v>72000</v>
      </c>
      <c r="K135" s="6" t="s">
        <v>15</v>
      </c>
      <c r="L135" s="21" t="str">
        <f>+VLOOKUP(E135,mã!$B$2:$F$229,2,0)</f>
        <v>NL300008</v>
      </c>
      <c r="M135" s="22">
        <f>+VLOOKUP(T135,Sheet2!$B$2:$P$372,10,0)</f>
        <v>1.8</v>
      </c>
      <c r="N135" s="23">
        <f>+VLOOKUP(L135,mã!$C$2:$F$229,4,0)</f>
        <v>40000</v>
      </c>
      <c r="O135" s="23">
        <f t="shared" si="13"/>
        <v>72000</v>
      </c>
      <c r="P135" s="23">
        <f t="shared" si="14"/>
        <v>0</v>
      </c>
      <c r="Q135" s="21" t="str">
        <f t="shared" si="15"/>
        <v xml:space="preserve"> </v>
      </c>
      <c r="R135" s="14">
        <f>+VLOOKUP(T135,Sheet2!$B$2:$P$372,13,0)</f>
        <v>72000</v>
      </c>
      <c r="S135" s="24">
        <f t="shared" si="16"/>
        <v>0</v>
      </c>
      <c r="T135" t="str">
        <f t="shared" si="17"/>
        <v>05/01/2026NL300008</v>
      </c>
      <c r="U135" s="15">
        <f t="shared" si="18"/>
        <v>0</v>
      </c>
      <c r="V135" s="25">
        <f t="shared" si="19"/>
        <v>0</v>
      </c>
    </row>
    <row r="136" spans="1:22" x14ac:dyDescent="0.25">
      <c r="A136" s="4" t="s">
        <v>171</v>
      </c>
      <c r="B136" s="5" t="s">
        <v>123</v>
      </c>
      <c r="C136" s="4" t="s">
        <v>124</v>
      </c>
      <c r="D136" s="5" t="s">
        <v>216</v>
      </c>
      <c r="E136" s="7" t="s">
        <v>125</v>
      </c>
      <c r="F136" s="7" t="s">
        <v>126</v>
      </c>
      <c r="G136" s="7" t="s">
        <v>14</v>
      </c>
      <c r="H136" s="8">
        <v>1.8</v>
      </c>
      <c r="I136" s="9">
        <v>18000</v>
      </c>
      <c r="J136" s="9">
        <f t="shared" si="12"/>
        <v>32400</v>
      </c>
      <c r="K136" s="6" t="s">
        <v>15</v>
      </c>
      <c r="L136" s="21" t="str">
        <f>+VLOOKUP(E136,mã!$B$2:$F$229,2,0)</f>
        <v>NL300027</v>
      </c>
      <c r="M136" s="22">
        <f>+VLOOKUP(T136,Sheet2!$B$2:$P$372,10,0)</f>
        <v>1.8</v>
      </c>
      <c r="N136" s="23">
        <f>+VLOOKUP(L136,mã!$C$2:$F$229,4,0)</f>
        <v>18000</v>
      </c>
      <c r="O136" s="23">
        <f t="shared" si="13"/>
        <v>32400</v>
      </c>
      <c r="P136" s="23">
        <f t="shared" si="14"/>
        <v>0</v>
      </c>
      <c r="Q136" s="21" t="str">
        <f t="shared" si="15"/>
        <v xml:space="preserve"> </v>
      </c>
      <c r="R136" s="14">
        <f>+VLOOKUP(T136,Sheet2!$B$2:$P$372,13,0)</f>
        <v>32400</v>
      </c>
      <c r="S136" s="24">
        <f t="shared" si="16"/>
        <v>0</v>
      </c>
      <c r="T136" t="str">
        <f t="shared" si="17"/>
        <v>05/01/2026NL300027</v>
      </c>
      <c r="U136" s="15">
        <f t="shared" si="18"/>
        <v>0</v>
      </c>
      <c r="V136" s="25">
        <f t="shared" si="19"/>
        <v>0</v>
      </c>
    </row>
    <row r="137" spans="1:22" x14ac:dyDescent="0.25">
      <c r="A137" s="4" t="s">
        <v>171</v>
      </c>
      <c r="B137" s="5" t="s">
        <v>123</v>
      </c>
      <c r="C137" s="4" t="s">
        <v>124</v>
      </c>
      <c r="D137" s="5" t="s">
        <v>216</v>
      </c>
      <c r="E137" s="7" t="s">
        <v>127</v>
      </c>
      <c r="F137" s="7" t="s">
        <v>128</v>
      </c>
      <c r="G137" s="7" t="s">
        <v>14</v>
      </c>
      <c r="H137" s="8">
        <v>0.9</v>
      </c>
      <c r="I137" s="9">
        <v>13000</v>
      </c>
      <c r="J137" s="9">
        <f t="shared" si="12"/>
        <v>11700</v>
      </c>
      <c r="K137" s="6" t="s">
        <v>15</v>
      </c>
      <c r="L137" s="21" t="str">
        <f>+VLOOKUP(E137,mã!$B$2:$F$229,2,0)</f>
        <v>NL300033</v>
      </c>
      <c r="M137" s="22">
        <f>+VLOOKUP(T137,Sheet2!$B$2:$P$372,10,0)</f>
        <v>0.9</v>
      </c>
      <c r="N137" s="23">
        <f>+VLOOKUP(L137,mã!$C$2:$F$229,4,0)</f>
        <v>13000</v>
      </c>
      <c r="O137" s="23">
        <f t="shared" si="13"/>
        <v>11700</v>
      </c>
      <c r="P137" s="23">
        <f t="shared" si="14"/>
        <v>0</v>
      </c>
      <c r="Q137" s="21" t="str">
        <f t="shared" si="15"/>
        <v xml:space="preserve"> </v>
      </c>
      <c r="R137" s="14">
        <f>+VLOOKUP(T137,Sheet2!$B$2:$P$372,13,0)</f>
        <v>11700</v>
      </c>
      <c r="S137" s="24">
        <f t="shared" si="16"/>
        <v>0</v>
      </c>
      <c r="T137" t="str">
        <f t="shared" si="17"/>
        <v>05/01/2026NL300033</v>
      </c>
      <c r="U137" s="15">
        <f t="shared" si="18"/>
        <v>0</v>
      </c>
      <c r="V137" s="25">
        <f t="shared" si="19"/>
        <v>0</v>
      </c>
    </row>
    <row r="138" spans="1:22" x14ac:dyDescent="0.25">
      <c r="A138" s="4" t="s">
        <v>171</v>
      </c>
      <c r="B138" s="5" t="s">
        <v>123</v>
      </c>
      <c r="C138" s="4" t="s">
        <v>124</v>
      </c>
      <c r="D138" s="5" t="s">
        <v>216</v>
      </c>
      <c r="E138" s="7" t="s">
        <v>19</v>
      </c>
      <c r="F138" s="7" t="s">
        <v>20</v>
      </c>
      <c r="G138" s="7" t="s">
        <v>14</v>
      </c>
      <c r="H138" s="8">
        <v>1.8</v>
      </c>
      <c r="I138" s="9">
        <v>32000</v>
      </c>
      <c r="J138" s="9">
        <f t="shared" si="12"/>
        <v>57600</v>
      </c>
      <c r="K138" s="6" t="s">
        <v>15</v>
      </c>
      <c r="L138" s="21" t="str">
        <f>+VLOOKUP(E138,mã!$B$2:$F$229,2,0)</f>
        <v>NL300038</v>
      </c>
      <c r="M138" s="22">
        <f>+VLOOKUP(T138,Sheet2!$B$2:$P$372,10,0)</f>
        <v>1.8</v>
      </c>
      <c r="N138" s="23">
        <f>+VLOOKUP(L138,mã!$C$2:$F$229,4,0)</f>
        <v>32000</v>
      </c>
      <c r="O138" s="23">
        <f t="shared" si="13"/>
        <v>57600</v>
      </c>
      <c r="P138" s="23">
        <f t="shared" si="14"/>
        <v>0</v>
      </c>
      <c r="Q138" s="21" t="str">
        <f t="shared" si="15"/>
        <v xml:space="preserve"> </v>
      </c>
      <c r="R138" s="14">
        <f>+VLOOKUP(T138,Sheet2!$B$2:$P$372,13,0)</f>
        <v>57600</v>
      </c>
      <c r="S138" s="24">
        <f t="shared" si="16"/>
        <v>0</v>
      </c>
      <c r="T138" t="str">
        <f t="shared" si="17"/>
        <v>05/01/2026NL300038</v>
      </c>
      <c r="U138" s="15">
        <f t="shared" si="18"/>
        <v>0</v>
      </c>
      <c r="V138" s="25">
        <f t="shared" si="19"/>
        <v>0</v>
      </c>
    </row>
    <row r="139" spans="1:22" x14ac:dyDescent="0.25">
      <c r="A139" s="4" t="s">
        <v>171</v>
      </c>
      <c r="B139" s="5" t="s">
        <v>123</v>
      </c>
      <c r="C139" s="4" t="s">
        <v>124</v>
      </c>
      <c r="D139" s="5" t="s">
        <v>216</v>
      </c>
      <c r="E139" s="7" t="s">
        <v>51</v>
      </c>
      <c r="F139" s="7" t="s">
        <v>52</v>
      </c>
      <c r="G139" s="7" t="s">
        <v>14</v>
      </c>
      <c r="H139" s="8">
        <v>18.3</v>
      </c>
      <c r="I139" s="9">
        <v>18000</v>
      </c>
      <c r="J139" s="9">
        <f t="shared" si="12"/>
        <v>329400</v>
      </c>
      <c r="K139" s="6" t="s">
        <v>15</v>
      </c>
      <c r="L139" s="21" t="str">
        <f>+VLOOKUP(E139,mã!$B$2:$F$229,2,0)</f>
        <v>NL600004</v>
      </c>
      <c r="M139" s="22">
        <f>+VLOOKUP(T139,Sheet2!$B$2:$P$372,10,0)</f>
        <v>18.3</v>
      </c>
      <c r="N139" s="23">
        <f>+VLOOKUP(L139,mã!$C$2:$F$229,4,0)</f>
        <v>18000</v>
      </c>
      <c r="O139" s="23">
        <f t="shared" si="13"/>
        <v>329400</v>
      </c>
      <c r="P139" s="23">
        <f t="shared" si="14"/>
        <v>0</v>
      </c>
      <c r="Q139" s="21" t="str">
        <f t="shared" si="15"/>
        <v xml:space="preserve"> </v>
      </c>
      <c r="R139" s="14">
        <f>+VLOOKUP(T139,Sheet2!$B$2:$P$372,13,0)</f>
        <v>329400</v>
      </c>
      <c r="S139" s="24">
        <f t="shared" si="16"/>
        <v>0</v>
      </c>
      <c r="T139" t="str">
        <f t="shared" si="17"/>
        <v>05/01/2026NL600004</v>
      </c>
      <c r="U139" s="15">
        <f t="shared" si="18"/>
        <v>0</v>
      </c>
      <c r="V139" s="25">
        <f t="shared" si="19"/>
        <v>0</v>
      </c>
    </row>
    <row r="140" spans="1:22" x14ac:dyDescent="0.25">
      <c r="A140" s="4" t="s">
        <v>171</v>
      </c>
      <c r="B140" s="5" t="s">
        <v>123</v>
      </c>
      <c r="C140" s="4" t="s">
        <v>124</v>
      </c>
      <c r="D140" s="5" t="s">
        <v>216</v>
      </c>
      <c r="E140" s="7" t="s">
        <v>129</v>
      </c>
      <c r="F140" s="7" t="s">
        <v>130</v>
      </c>
      <c r="G140" s="7" t="s">
        <v>14</v>
      </c>
      <c r="H140" s="8">
        <v>1.5</v>
      </c>
      <c r="I140" s="9">
        <v>18000</v>
      </c>
      <c r="J140" s="9">
        <f t="shared" si="12"/>
        <v>27000</v>
      </c>
      <c r="K140" s="6" t="s">
        <v>15</v>
      </c>
      <c r="L140" s="21" t="str">
        <f>+VLOOKUP(E140,mã!$B$2:$F$229,2,0)</f>
        <v>NL300048</v>
      </c>
      <c r="M140" s="22">
        <f>+VLOOKUP(T140,Sheet2!$B$2:$P$372,10,0)</f>
        <v>1.5</v>
      </c>
      <c r="N140" s="23">
        <f>+VLOOKUP(L140,mã!$C$2:$F$229,4,0)</f>
        <v>18000</v>
      </c>
      <c r="O140" s="23">
        <f t="shared" si="13"/>
        <v>27000</v>
      </c>
      <c r="P140" s="23">
        <f t="shared" si="14"/>
        <v>0</v>
      </c>
      <c r="Q140" s="21" t="str">
        <f t="shared" si="15"/>
        <v xml:space="preserve"> </v>
      </c>
      <c r="R140" s="14">
        <f>+VLOOKUP(T140,Sheet2!$B$2:$P$372,13,0)</f>
        <v>27000</v>
      </c>
      <c r="S140" s="24">
        <f t="shared" si="16"/>
        <v>0</v>
      </c>
      <c r="T140" t="str">
        <f t="shared" si="17"/>
        <v>05/01/2026NL300048</v>
      </c>
      <c r="U140" s="15">
        <f t="shared" si="18"/>
        <v>0</v>
      </c>
      <c r="V140" s="25">
        <f t="shared" si="19"/>
        <v>0</v>
      </c>
    </row>
    <row r="141" spans="1:22" x14ac:dyDescent="0.25">
      <c r="A141" s="4" t="s">
        <v>171</v>
      </c>
      <c r="B141" s="5" t="s">
        <v>123</v>
      </c>
      <c r="C141" s="4" t="s">
        <v>124</v>
      </c>
      <c r="D141" s="5" t="s">
        <v>216</v>
      </c>
      <c r="E141" s="7" t="s">
        <v>137</v>
      </c>
      <c r="F141" s="7" t="s">
        <v>138</v>
      </c>
      <c r="G141" s="7" t="s">
        <v>14</v>
      </c>
      <c r="H141" s="8">
        <v>0.3</v>
      </c>
      <c r="I141" s="9">
        <v>9000</v>
      </c>
      <c r="J141" s="9">
        <f t="shared" si="12"/>
        <v>2700</v>
      </c>
      <c r="K141" s="6" t="s">
        <v>15</v>
      </c>
      <c r="L141" s="21" t="str">
        <f>+VLOOKUP(E141,mã!$B$2:$F$229,2,0)</f>
        <v>NL300050</v>
      </c>
      <c r="M141" s="22">
        <f>+VLOOKUP(T141,Sheet2!$B$2:$P$372,10,0)</f>
        <v>0.3</v>
      </c>
      <c r="N141" s="23">
        <f>+VLOOKUP(L141,mã!$C$2:$F$229,4,0)</f>
        <v>9000</v>
      </c>
      <c r="O141" s="23">
        <f t="shared" si="13"/>
        <v>2700</v>
      </c>
      <c r="P141" s="23">
        <f t="shared" si="14"/>
        <v>0</v>
      </c>
      <c r="Q141" s="21" t="str">
        <f t="shared" si="15"/>
        <v xml:space="preserve"> </v>
      </c>
      <c r="R141" s="14">
        <f>+VLOOKUP(T141,Sheet2!$B$2:$P$372,13,0)</f>
        <v>2700</v>
      </c>
      <c r="S141" s="24">
        <f t="shared" si="16"/>
        <v>0</v>
      </c>
      <c r="T141" t="str">
        <f t="shared" si="17"/>
        <v>05/01/2026NL300050</v>
      </c>
      <c r="U141" s="15">
        <f t="shared" si="18"/>
        <v>0</v>
      </c>
      <c r="V141" s="25">
        <f t="shared" si="19"/>
        <v>0</v>
      </c>
    </row>
    <row r="142" spans="1:22" x14ac:dyDescent="0.25">
      <c r="A142" s="4" t="s">
        <v>171</v>
      </c>
      <c r="B142" s="5" t="s">
        <v>123</v>
      </c>
      <c r="C142" s="4" t="s">
        <v>124</v>
      </c>
      <c r="D142" s="5" t="s">
        <v>216</v>
      </c>
      <c r="E142" s="7" t="s">
        <v>21</v>
      </c>
      <c r="F142" s="7" t="s">
        <v>22</v>
      </c>
      <c r="G142" s="7" t="s">
        <v>14</v>
      </c>
      <c r="H142" s="8">
        <v>0.2</v>
      </c>
      <c r="I142" s="9">
        <v>55000</v>
      </c>
      <c r="J142" s="9">
        <f t="shared" si="12"/>
        <v>11000</v>
      </c>
      <c r="K142" s="6" t="s">
        <v>15</v>
      </c>
      <c r="L142" s="21" t="str">
        <f>+VLOOKUP(E142,mã!$B$2:$F$229,2,0)</f>
        <v>NL300058</v>
      </c>
      <c r="M142" s="22">
        <f>+VLOOKUP(T142,Sheet2!$B$2:$P$372,10,0)</f>
        <v>0.2</v>
      </c>
      <c r="N142" s="23">
        <f>+VLOOKUP(L142,mã!$C$2:$F$229,4,0)</f>
        <v>55000</v>
      </c>
      <c r="O142" s="23">
        <f t="shared" si="13"/>
        <v>11000</v>
      </c>
      <c r="P142" s="23">
        <f t="shared" si="14"/>
        <v>0</v>
      </c>
      <c r="Q142" s="21" t="str">
        <f t="shared" si="15"/>
        <v xml:space="preserve"> </v>
      </c>
      <c r="R142" s="14">
        <f>+VLOOKUP(T142,Sheet2!$B$2:$P$372,13,0)</f>
        <v>11000</v>
      </c>
      <c r="S142" s="24">
        <f t="shared" si="16"/>
        <v>0</v>
      </c>
      <c r="T142" t="str">
        <f t="shared" si="17"/>
        <v>05/01/2026NL300058</v>
      </c>
      <c r="U142" s="15">
        <f t="shared" si="18"/>
        <v>0</v>
      </c>
      <c r="V142" s="25">
        <f t="shared" si="19"/>
        <v>0</v>
      </c>
    </row>
    <row r="143" spans="1:22" x14ac:dyDescent="0.25">
      <c r="A143" s="4" t="s">
        <v>171</v>
      </c>
      <c r="B143" s="5" t="s">
        <v>123</v>
      </c>
      <c r="C143" s="4" t="s">
        <v>124</v>
      </c>
      <c r="D143" s="5" t="s">
        <v>216</v>
      </c>
      <c r="E143" s="7" t="s">
        <v>86</v>
      </c>
      <c r="F143" s="7" t="s">
        <v>85</v>
      </c>
      <c r="G143" s="7" t="s">
        <v>14</v>
      </c>
      <c r="H143" s="8">
        <v>0.2</v>
      </c>
      <c r="I143" s="9">
        <v>38000</v>
      </c>
      <c r="J143" s="9">
        <f t="shared" si="12"/>
        <v>7600</v>
      </c>
      <c r="K143" s="6" t="s">
        <v>15</v>
      </c>
      <c r="L143" s="21" t="str">
        <f>+VLOOKUP(E143,mã!$B$2:$F$229,2,0)</f>
        <v>NL300061</v>
      </c>
      <c r="M143" s="22">
        <f>+VLOOKUP(T143,Sheet2!$B$2:$P$372,10,0)</f>
        <v>0.2</v>
      </c>
      <c r="N143" s="23">
        <f>+VLOOKUP(L143,mã!$C$2:$F$229,4,0)</f>
        <v>38000</v>
      </c>
      <c r="O143" s="23">
        <f t="shared" si="13"/>
        <v>7600</v>
      </c>
      <c r="P143" s="23">
        <f t="shared" si="14"/>
        <v>0</v>
      </c>
      <c r="Q143" s="21" t="str">
        <f t="shared" si="15"/>
        <v xml:space="preserve"> </v>
      </c>
      <c r="R143" s="14">
        <f>+VLOOKUP(T143,Sheet2!$B$2:$P$372,13,0)</f>
        <v>7600</v>
      </c>
      <c r="S143" s="24">
        <f t="shared" si="16"/>
        <v>0</v>
      </c>
      <c r="T143" t="str">
        <f t="shared" si="17"/>
        <v>05/01/2026NL300061</v>
      </c>
      <c r="U143" s="15">
        <f t="shared" si="18"/>
        <v>0</v>
      </c>
      <c r="V143" s="25">
        <f t="shared" si="19"/>
        <v>0</v>
      </c>
    </row>
    <row r="144" spans="1:22" x14ac:dyDescent="0.25">
      <c r="A144" s="4" t="s">
        <v>171</v>
      </c>
      <c r="B144" s="5" t="s">
        <v>123</v>
      </c>
      <c r="C144" s="4" t="s">
        <v>124</v>
      </c>
      <c r="D144" s="5" t="s">
        <v>216</v>
      </c>
      <c r="E144" s="7" t="s">
        <v>23</v>
      </c>
      <c r="F144" s="7" t="s">
        <v>24</v>
      </c>
      <c r="G144" s="7" t="s">
        <v>14</v>
      </c>
      <c r="H144" s="8">
        <v>0.8</v>
      </c>
      <c r="I144" s="9">
        <v>13000</v>
      </c>
      <c r="J144" s="9">
        <f t="shared" ref="J144:J207" si="20">H144*I144</f>
        <v>10400</v>
      </c>
      <c r="K144" s="6" t="s">
        <v>15</v>
      </c>
      <c r="L144" s="21" t="str">
        <f>+VLOOKUP(E144,mã!$B$2:$F$229,2,0)</f>
        <v>NL300059</v>
      </c>
      <c r="M144" s="22">
        <f>+VLOOKUP(T144,Sheet2!$B$2:$P$372,10,0)</f>
        <v>0.8</v>
      </c>
      <c r="N144" s="23">
        <f>+VLOOKUP(L144,mã!$C$2:$F$229,4,0)</f>
        <v>13000</v>
      </c>
      <c r="O144" s="23">
        <f t="shared" ref="O144:O207" si="21">M144*N144</f>
        <v>10400</v>
      </c>
      <c r="P144" s="23">
        <f t="shared" ref="P144:P207" si="22">J144-O144</f>
        <v>0</v>
      </c>
      <c r="Q144" s="21" t="str">
        <f t="shared" ref="Q144:Q207" si="23">IF(U144=0," ","SAI SL NHẬN")</f>
        <v xml:space="preserve"> </v>
      </c>
      <c r="R144" s="14">
        <f>+VLOOKUP(T144,Sheet2!$B$2:$P$372,13,0)</f>
        <v>10400</v>
      </c>
      <c r="S144" s="24">
        <f t="shared" ref="S144:S207" si="24">O144-R144</f>
        <v>0</v>
      </c>
      <c r="T144" t="str">
        <f t="shared" ref="T144:T207" si="25">A144&amp;L144</f>
        <v>05/01/2026NL300059</v>
      </c>
      <c r="U144" s="15">
        <f t="shared" ref="U144:U207" si="26">H144-M144</f>
        <v>0</v>
      </c>
      <c r="V144" s="25">
        <f t="shared" ref="V144:V207" si="27">I144-N144</f>
        <v>0</v>
      </c>
    </row>
    <row r="145" spans="1:22" x14ac:dyDescent="0.25">
      <c r="A145" s="4" t="s">
        <v>171</v>
      </c>
      <c r="B145" s="5" t="s">
        <v>123</v>
      </c>
      <c r="C145" s="4" t="s">
        <v>124</v>
      </c>
      <c r="D145" s="5" t="s">
        <v>216</v>
      </c>
      <c r="E145" s="7" t="s">
        <v>145</v>
      </c>
      <c r="F145" s="7" t="s">
        <v>146</v>
      </c>
      <c r="G145" s="7" t="s">
        <v>14</v>
      </c>
      <c r="H145" s="8">
        <v>5</v>
      </c>
      <c r="I145" s="9">
        <v>38000</v>
      </c>
      <c r="J145" s="9">
        <f t="shared" si="20"/>
        <v>190000</v>
      </c>
      <c r="K145" s="6" t="s">
        <v>15</v>
      </c>
      <c r="L145" s="21" t="str">
        <f>+VLOOKUP(E145,mã!$B$2:$F$229,2,0)</f>
        <v>NL300145</v>
      </c>
      <c r="M145" s="22">
        <f>+VLOOKUP(T145,Sheet2!$B$2:$P$372,10,0)</f>
        <v>5</v>
      </c>
      <c r="N145" s="23">
        <f>+VLOOKUP(L145,mã!$C$2:$F$229,4,0)</f>
        <v>38000</v>
      </c>
      <c r="O145" s="23">
        <f t="shared" si="21"/>
        <v>190000</v>
      </c>
      <c r="P145" s="23">
        <f t="shared" si="22"/>
        <v>0</v>
      </c>
      <c r="Q145" s="21" t="str">
        <f t="shared" si="23"/>
        <v xml:space="preserve"> </v>
      </c>
      <c r="R145" s="14">
        <f>+VLOOKUP(T145,Sheet2!$B$2:$P$372,13,0)</f>
        <v>190000</v>
      </c>
      <c r="S145" s="24">
        <f t="shared" si="24"/>
        <v>0</v>
      </c>
      <c r="T145" t="str">
        <f t="shared" si="25"/>
        <v>05/01/2026NL300145</v>
      </c>
      <c r="U145" s="15">
        <f t="shared" si="26"/>
        <v>0</v>
      </c>
      <c r="V145" s="25">
        <f t="shared" si="27"/>
        <v>0</v>
      </c>
    </row>
    <row r="146" spans="1:22" x14ac:dyDescent="0.25">
      <c r="A146" s="4" t="s">
        <v>174</v>
      </c>
      <c r="B146" s="5" t="s">
        <v>123</v>
      </c>
      <c r="C146" s="4" t="s">
        <v>124</v>
      </c>
      <c r="D146" s="5" t="s">
        <v>217</v>
      </c>
      <c r="E146" s="7" t="s">
        <v>12</v>
      </c>
      <c r="F146" s="7" t="s">
        <v>13</v>
      </c>
      <c r="G146" s="7" t="s">
        <v>14</v>
      </c>
      <c r="H146" s="8">
        <v>2.5</v>
      </c>
      <c r="I146" s="9">
        <v>19000</v>
      </c>
      <c r="J146" s="9">
        <f t="shared" si="20"/>
        <v>47500</v>
      </c>
      <c r="K146" s="6" t="s">
        <v>15</v>
      </c>
      <c r="L146" s="21" t="str">
        <f>+VLOOKUP(E146,mã!$B$2:$F$229,2,0)</f>
        <v>NL300004</v>
      </c>
      <c r="M146" s="22">
        <f>+VLOOKUP(T146,Sheet2!$B$2:$P$372,10,0)</f>
        <v>2.5</v>
      </c>
      <c r="N146" s="23">
        <f>+VLOOKUP(L146,mã!$C$2:$F$229,4,0)</f>
        <v>19000</v>
      </c>
      <c r="O146" s="23">
        <f t="shared" si="21"/>
        <v>47500</v>
      </c>
      <c r="P146" s="23">
        <f t="shared" si="22"/>
        <v>0</v>
      </c>
      <c r="Q146" s="21" t="str">
        <f t="shared" si="23"/>
        <v xml:space="preserve"> </v>
      </c>
      <c r="R146" s="14">
        <f>+VLOOKUP(T146,Sheet2!$B$2:$P$372,13,0)</f>
        <v>47500</v>
      </c>
      <c r="S146" s="24">
        <f t="shared" si="24"/>
        <v>0</v>
      </c>
      <c r="T146" t="str">
        <f t="shared" si="25"/>
        <v>06/01/2026NL300004</v>
      </c>
      <c r="U146" s="15">
        <f t="shared" si="26"/>
        <v>0</v>
      </c>
      <c r="V146" s="25">
        <f t="shared" si="27"/>
        <v>0</v>
      </c>
    </row>
    <row r="147" spans="1:22" x14ac:dyDescent="0.25">
      <c r="A147" s="4" t="s">
        <v>174</v>
      </c>
      <c r="B147" s="5" t="s">
        <v>123</v>
      </c>
      <c r="C147" s="4" t="s">
        <v>124</v>
      </c>
      <c r="D147" s="5" t="s">
        <v>217</v>
      </c>
      <c r="E147" s="7" t="s">
        <v>16</v>
      </c>
      <c r="F147" s="7" t="s">
        <v>17</v>
      </c>
      <c r="G147" s="7" t="s">
        <v>18</v>
      </c>
      <c r="H147" s="8">
        <v>7</v>
      </c>
      <c r="I147" s="9">
        <v>8500</v>
      </c>
      <c r="J147" s="9">
        <f t="shared" si="20"/>
        <v>59500</v>
      </c>
      <c r="K147" s="6" t="s">
        <v>15</v>
      </c>
      <c r="L147" s="21" t="str">
        <f>+VLOOKUP(E147,mã!$B$2:$F$229,2,0)</f>
        <v>NL300107</v>
      </c>
      <c r="M147" s="22">
        <f>+VLOOKUP(T147,Sheet2!$B$2:$P$372,10,0)</f>
        <v>7</v>
      </c>
      <c r="N147" s="23">
        <f>+VLOOKUP(L147,mã!$C$2:$F$229,4,0)</f>
        <v>8500</v>
      </c>
      <c r="O147" s="23">
        <f t="shared" si="21"/>
        <v>59500</v>
      </c>
      <c r="P147" s="23">
        <f t="shared" si="22"/>
        <v>0</v>
      </c>
      <c r="Q147" s="21" t="str">
        <f t="shared" si="23"/>
        <v xml:space="preserve"> </v>
      </c>
      <c r="R147" s="14">
        <f>+VLOOKUP(T147,Sheet2!$B$2:$P$372,13,0)</f>
        <v>59500</v>
      </c>
      <c r="S147" s="24">
        <f t="shared" si="24"/>
        <v>0</v>
      </c>
      <c r="T147" t="str">
        <f t="shared" si="25"/>
        <v>06/01/2026NL300107</v>
      </c>
      <c r="U147" s="15">
        <f t="shared" si="26"/>
        <v>0</v>
      </c>
      <c r="V147" s="25">
        <f t="shared" si="27"/>
        <v>0</v>
      </c>
    </row>
    <row r="148" spans="1:22" x14ac:dyDescent="0.25">
      <c r="A148" s="4" t="s">
        <v>174</v>
      </c>
      <c r="B148" s="5" t="s">
        <v>123</v>
      </c>
      <c r="C148" s="4" t="s">
        <v>124</v>
      </c>
      <c r="D148" s="5" t="s">
        <v>217</v>
      </c>
      <c r="E148" s="7" t="s">
        <v>101</v>
      </c>
      <c r="F148" s="7" t="s">
        <v>100</v>
      </c>
      <c r="G148" s="7" t="s">
        <v>14</v>
      </c>
      <c r="H148" s="8">
        <v>1</v>
      </c>
      <c r="I148" s="9">
        <v>40000</v>
      </c>
      <c r="J148" s="9">
        <f t="shared" si="20"/>
        <v>40000</v>
      </c>
      <c r="K148" s="6" t="s">
        <v>15</v>
      </c>
      <c r="L148" s="21" t="str">
        <f>+VLOOKUP(E148,mã!$B$2:$F$229,2,0)</f>
        <v>NL300008</v>
      </c>
      <c r="M148" s="22">
        <f>+VLOOKUP(T148,Sheet2!$B$2:$P$372,10,0)</f>
        <v>1</v>
      </c>
      <c r="N148" s="23">
        <f>+VLOOKUP(L148,mã!$C$2:$F$229,4,0)</f>
        <v>40000</v>
      </c>
      <c r="O148" s="23">
        <f t="shared" si="21"/>
        <v>40000</v>
      </c>
      <c r="P148" s="23">
        <f t="shared" si="22"/>
        <v>0</v>
      </c>
      <c r="Q148" s="21" t="str">
        <f t="shared" si="23"/>
        <v xml:space="preserve"> </v>
      </c>
      <c r="R148" s="14">
        <f>+VLOOKUP(T148,Sheet2!$B$2:$P$372,13,0)</f>
        <v>40000</v>
      </c>
      <c r="S148" s="24">
        <f t="shared" si="24"/>
        <v>0</v>
      </c>
      <c r="T148" t="str">
        <f t="shared" si="25"/>
        <v>06/01/2026NL300008</v>
      </c>
      <c r="U148" s="15">
        <f t="shared" si="26"/>
        <v>0</v>
      </c>
      <c r="V148" s="25">
        <f t="shared" si="27"/>
        <v>0</v>
      </c>
    </row>
    <row r="149" spans="1:22" x14ac:dyDescent="0.25">
      <c r="A149" s="4" t="s">
        <v>174</v>
      </c>
      <c r="B149" s="5" t="s">
        <v>123</v>
      </c>
      <c r="C149" s="4" t="s">
        <v>124</v>
      </c>
      <c r="D149" s="5" t="s">
        <v>217</v>
      </c>
      <c r="E149" s="7" t="s">
        <v>131</v>
      </c>
      <c r="F149" s="7" t="s">
        <v>132</v>
      </c>
      <c r="G149" s="7" t="s">
        <v>14</v>
      </c>
      <c r="H149" s="8">
        <v>0.2</v>
      </c>
      <c r="I149" s="9">
        <v>55000</v>
      </c>
      <c r="J149" s="9">
        <f t="shared" si="20"/>
        <v>11000</v>
      </c>
      <c r="K149" s="6" t="s">
        <v>15</v>
      </c>
      <c r="L149" s="21" t="str">
        <f>+VLOOKUP(E149,mã!$B$2:$F$229,2,0)</f>
        <v>NL300014</v>
      </c>
      <c r="M149" s="22">
        <f>+VLOOKUP(T149,Sheet2!$B$2:$P$372,10,0)</f>
        <v>0.2</v>
      </c>
      <c r="N149" s="23">
        <f>+VLOOKUP(L149,mã!$C$2:$F$229,4,0)</f>
        <v>55000</v>
      </c>
      <c r="O149" s="23">
        <f t="shared" si="21"/>
        <v>11000</v>
      </c>
      <c r="P149" s="23">
        <f t="shared" si="22"/>
        <v>0</v>
      </c>
      <c r="Q149" s="21" t="str">
        <f t="shared" si="23"/>
        <v xml:space="preserve"> </v>
      </c>
      <c r="R149" s="14">
        <f>+VLOOKUP(T149,Sheet2!$B$2:$P$372,13,0)</f>
        <v>11000</v>
      </c>
      <c r="S149" s="24">
        <f t="shared" si="24"/>
        <v>0</v>
      </c>
      <c r="T149" t="str">
        <f t="shared" si="25"/>
        <v>06/01/2026NL300014</v>
      </c>
      <c r="U149" s="15">
        <f t="shared" si="26"/>
        <v>0</v>
      </c>
      <c r="V149" s="25">
        <f t="shared" si="27"/>
        <v>0</v>
      </c>
    </row>
    <row r="150" spans="1:22" x14ac:dyDescent="0.25">
      <c r="A150" s="4" t="s">
        <v>174</v>
      </c>
      <c r="B150" s="5" t="s">
        <v>123</v>
      </c>
      <c r="C150" s="4" t="s">
        <v>124</v>
      </c>
      <c r="D150" s="5" t="s">
        <v>217</v>
      </c>
      <c r="E150" s="7" t="s">
        <v>125</v>
      </c>
      <c r="F150" s="7" t="s">
        <v>126</v>
      </c>
      <c r="G150" s="7" t="s">
        <v>14</v>
      </c>
      <c r="H150" s="8">
        <v>2</v>
      </c>
      <c r="I150" s="9">
        <v>18000</v>
      </c>
      <c r="J150" s="9">
        <f t="shared" si="20"/>
        <v>36000</v>
      </c>
      <c r="K150" s="6" t="s">
        <v>15</v>
      </c>
      <c r="L150" s="21" t="str">
        <f>+VLOOKUP(E150,mã!$B$2:$F$229,2,0)</f>
        <v>NL300027</v>
      </c>
      <c r="M150" s="22">
        <f>+VLOOKUP(T150,Sheet2!$B$2:$P$372,10,0)</f>
        <v>2</v>
      </c>
      <c r="N150" s="23">
        <f>+VLOOKUP(L150,mã!$C$2:$F$229,4,0)</f>
        <v>18000</v>
      </c>
      <c r="O150" s="23">
        <f t="shared" si="21"/>
        <v>36000</v>
      </c>
      <c r="P150" s="23">
        <f t="shared" si="22"/>
        <v>0</v>
      </c>
      <c r="Q150" s="21" t="str">
        <f t="shared" si="23"/>
        <v xml:space="preserve"> </v>
      </c>
      <c r="R150" s="14">
        <f>+VLOOKUP(T150,Sheet2!$B$2:$P$372,13,0)</f>
        <v>36000</v>
      </c>
      <c r="S150" s="24">
        <f t="shared" si="24"/>
        <v>0</v>
      </c>
      <c r="T150" t="str">
        <f t="shared" si="25"/>
        <v>06/01/2026NL300027</v>
      </c>
      <c r="U150" s="15">
        <f t="shared" si="26"/>
        <v>0</v>
      </c>
      <c r="V150" s="25">
        <f t="shared" si="27"/>
        <v>0</v>
      </c>
    </row>
    <row r="151" spans="1:22" x14ac:dyDescent="0.25">
      <c r="A151" s="4" t="s">
        <v>174</v>
      </c>
      <c r="B151" s="5" t="s">
        <v>123</v>
      </c>
      <c r="C151" s="4" t="s">
        <v>124</v>
      </c>
      <c r="D151" s="5" t="s">
        <v>217</v>
      </c>
      <c r="E151" s="7" t="s">
        <v>127</v>
      </c>
      <c r="F151" s="7" t="s">
        <v>128</v>
      </c>
      <c r="G151" s="7" t="s">
        <v>14</v>
      </c>
      <c r="H151" s="8">
        <v>1.3</v>
      </c>
      <c r="I151" s="9">
        <v>13000</v>
      </c>
      <c r="J151" s="9">
        <f t="shared" si="20"/>
        <v>16900</v>
      </c>
      <c r="K151" s="6" t="s">
        <v>15</v>
      </c>
      <c r="L151" s="21" t="str">
        <f>+VLOOKUP(E151,mã!$B$2:$F$229,2,0)</f>
        <v>NL300033</v>
      </c>
      <c r="M151" s="22">
        <f>+VLOOKUP(T151,Sheet2!$B$2:$P$372,10,0)</f>
        <v>1.3</v>
      </c>
      <c r="N151" s="23">
        <f>+VLOOKUP(L151,mã!$C$2:$F$229,4,0)</f>
        <v>13000</v>
      </c>
      <c r="O151" s="23">
        <f t="shared" si="21"/>
        <v>16900</v>
      </c>
      <c r="P151" s="23">
        <f t="shared" si="22"/>
        <v>0</v>
      </c>
      <c r="Q151" s="21" t="str">
        <f t="shared" si="23"/>
        <v xml:space="preserve"> </v>
      </c>
      <c r="R151" s="14">
        <f>+VLOOKUP(T151,Sheet2!$B$2:$P$372,13,0)</f>
        <v>16900</v>
      </c>
      <c r="S151" s="24">
        <f t="shared" si="24"/>
        <v>0</v>
      </c>
      <c r="T151" t="str">
        <f t="shared" si="25"/>
        <v>06/01/2026NL300033</v>
      </c>
      <c r="U151" s="15">
        <f t="shared" si="26"/>
        <v>0</v>
      </c>
      <c r="V151" s="25">
        <f t="shared" si="27"/>
        <v>0</v>
      </c>
    </row>
    <row r="152" spans="1:22" x14ac:dyDescent="0.25">
      <c r="A152" s="4" t="s">
        <v>174</v>
      </c>
      <c r="B152" s="5" t="s">
        <v>123</v>
      </c>
      <c r="C152" s="4" t="s">
        <v>124</v>
      </c>
      <c r="D152" s="5" t="s">
        <v>217</v>
      </c>
      <c r="E152" s="7" t="s">
        <v>19</v>
      </c>
      <c r="F152" s="7" t="s">
        <v>20</v>
      </c>
      <c r="G152" s="7" t="s">
        <v>14</v>
      </c>
      <c r="H152" s="8">
        <v>1</v>
      </c>
      <c r="I152" s="9">
        <v>32000</v>
      </c>
      <c r="J152" s="9">
        <f t="shared" si="20"/>
        <v>32000</v>
      </c>
      <c r="K152" s="6" t="s">
        <v>15</v>
      </c>
      <c r="L152" s="21" t="str">
        <f>+VLOOKUP(E152,mã!$B$2:$F$229,2,0)</f>
        <v>NL300038</v>
      </c>
      <c r="M152" s="22">
        <f>+VLOOKUP(T152,Sheet2!$B$2:$P$372,10,0)</f>
        <v>1</v>
      </c>
      <c r="N152" s="23">
        <f>+VLOOKUP(L152,mã!$C$2:$F$229,4,0)</f>
        <v>32000</v>
      </c>
      <c r="O152" s="23">
        <f t="shared" si="21"/>
        <v>32000</v>
      </c>
      <c r="P152" s="23">
        <f t="shared" si="22"/>
        <v>0</v>
      </c>
      <c r="Q152" s="21" t="str">
        <f t="shared" si="23"/>
        <v xml:space="preserve"> </v>
      </c>
      <c r="R152" s="14">
        <f>+VLOOKUP(T152,Sheet2!$B$2:$P$372,13,0)</f>
        <v>32000</v>
      </c>
      <c r="S152" s="24">
        <f t="shared" si="24"/>
        <v>0</v>
      </c>
      <c r="T152" t="str">
        <f t="shared" si="25"/>
        <v>06/01/2026NL300038</v>
      </c>
      <c r="U152" s="15">
        <f t="shared" si="26"/>
        <v>0</v>
      </c>
      <c r="V152" s="25">
        <f t="shared" si="27"/>
        <v>0</v>
      </c>
    </row>
    <row r="153" spans="1:22" ht="28.5" x14ac:dyDescent="0.25">
      <c r="A153" s="4" t="s">
        <v>174</v>
      </c>
      <c r="B153" s="5" t="s">
        <v>123</v>
      </c>
      <c r="C153" s="4" t="s">
        <v>124</v>
      </c>
      <c r="D153" s="5" t="s">
        <v>217</v>
      </c>
      <c r="E153" s="7" t="s">
        <v>89</v>
      </c>
      <c r="F153" s="7" t="s">
        <v>88</v>
      </c>
      <c r="G153" s="7" t="s">
        <v>87</v>
      </c>
      <c r="H153" s="8">
        <v>3</v>
      </c>
      <c r="I153" s="9">
        <v>15000</v>
      </c>
      <c r="J153" s="9">
        <f t="shared" si="20"/>
        <v>45000</v>
      </c>
      <c r="K153" s="6" t="s">
        <v>15</v>
      </c>
      <c r="L153" s="21" t="str">
        <f>+VLOOKUP(E153,mã!$B$2:$F$229,2,0)</f>
        <v>NL300041</v>
      </c>
      <c r="M153" s="22">
        <f>+VLOOKUP(T153,Sheet2!$B$2:$P$372,10,0)</f>
        <v>3</v>
      </c>
      <c r="N153" s="23">
        <f>+VLOOKUP(L153,mã!$C$2:$F$229,4,0)</f>
        <v>15000</v>
      </c>
      <c r="O153" s="23">
        <f t="shared" si="21"/>
        <v>45000</v>
      </c>
      <c r="P153" s="23">
        <f t="shared" si="22"/>
        <v>0</v>
      </c>
      <c r="Q153" s="21" t="str">
        <f t="shared" si="23"/>
        <v xml:space="preserve"> </v>
      </c>
      <c r="R153" s="14">
        <f>+VLOOKUP(T153,Sheet2!$B$2:$P$372,13,0)</f>
        <v>45000</v>
      </c>
      <c r="S153" s="24">
        <f t="shared" si="24"/>
        <v>0</v>
      </c>
      <c r="T153" t="str">
        <f t="shared" si="25"/>
        <v>06/01/2026NL300041</v>
      </c>
      <c r="U153" s="15">
        <f t="shared" si="26"/>
        <v>0</v>
      </c>
      <c r="V153" s="25">
        <f t="shared" si="27"/>
        <v>0</v>
      </c>
    </row>
    <row r="154" spans="1:22" x14ac:dyDescent="0.25">
      <c r="A154" s="4" t="s">
        <v>174</v>
      </c>
      <c r="B154" s="5" t="s">
        <v>123</v>
      </c>
      <c r="C154" s="4" t="s">
        <v>124</v>
      </c>
      <c r="D154" s="5" t="s">
        <v>217</v>
      </c>
      <c r="E154" s="7" t="s">
        <v>51</v>
      </c>
      <c r="F154" s="7" t="s">
        <v>52</v>
      </c>
      <c r="G154" s="7" t="s">
        <v>14</v>
      </c>
      <c r="H154" s="8">
        <v>10.199999999999999</v>
      </c>
      <c r="I154" s="9">
        <v>18000</v>
      </c>
      <c r="J154" s="9">
        <f t="shared" si="20"/>
        <v>183600</v>
      </c>
      <c r="K154" s="6" t="s">
        <v>15</v>
      </c>
      <c r="L154" s="21" t="str">
        <f>+VLOOKUP(E154,mã!$B$2:$F$229,2,0)</f>
        <v>NL600004</v>
      </c>
      <c r="M154" s="22">
        <f>+VLOOKUP(T154,Sheet2!$B$2:$P$372,10,0)</f>
        <v>10.199999999999999</v>
      </c>
      <c r="N154" s="23">
        <f>+VLOOKUP(L154,mã!$C$2:$F$229,4,0)</f>
        <v>18000</v>
      </c>
      <c r="O154" s="23">
        <f t="shared" si="21"/>
        <v>183600</v>
      </c>
      <c r="P154" s="23">
        <f t="shared" si="22"/>
        <v>0</v>
      </c>
      <c r="Q154" s="21" t="str">
        <f t="shared" si="23"/>
        <v xml:space="preserve"> </v>
      </c>
      <c r="R154" s="14">
        <f>+VLOOKUP(T154,Sheet2!$B$2:$P$372,13,0)</f>
        <v>183600</v>
      </c>
      <c r="S154" s="24">
        <f t="shared" si="24"/>
        <v>0</v>
      </c>
      <c r="T154" t="str">
        <f t="shared" si="25"/>
        <v>06/01/2026NL600004</v>
      </c>
      <c r="U154" s="15">
        <f t="shared" si="26"/>
        <v>0</v>
      </c>
      <c r="V154" s="25">
        <f t="shared" si="27"/>
        <v>0</v>
      </c>
    </row>
    <row r="155" spans="1:22" x14ac:dyDescent="0.25">
      <c r="A155" s="4" t="s">
        <v>174</v>
      </c>
      <c r="B155" s="5" t="s">
        <v>123</v>
      </c>
      <c r="C155" s="4" t="s">
        <v>124</v>
      </c>
      <c r="D155" s="5" t="s">
        <v>217</v>
      </c>
      <c r="E155" s="7" t="s">
        <v>129</v>
      </c>
      <c r="F155" s="7" t="s">
        <v>130</v>
      </c>
      <c r="G155" s="7" t="s">
        <v>14</v>
      </c>
      <c r="H155" s="8">
        <v>2</v>
      </c>
      <c r="I155" s="9">
        <v>18000</v>
      </c>
      <c r="J155" s="9">
        <f t="shared" si="20"/>
        <v>36000</v>
      </c>
      <c r="K155" s="6" t="s">
        <v>15</v>
      </c>
      <c r="L155" s="21" t="str">
        <f>+VLOOKUP(E155,mã!$B$2:$F$229,2,0)</f>
        <v>NL300048</v>
      </c>
      <c r="M155" s="22">
        <f>+VLOOKUP(T155,Sheet2!$B$2:$P$372,10,0)</f>
        <v>2</v>
      </c>
      <c r="N155" s="23">
        <f>+VLOOKUP(L155,mã!$C$2:$F$229,4,0)</f>
        <v>18000</v>
      </c>
      <c r="O155" s="23">
        <f t="shared" si="21"/>
        <v>36000</v>
      </c>
      <c r="P155" s="23">
        <f t="shared" si="22"/>
        <v>0</v>
      </c>
      <c r="Q155" s="21" t="str">
        <f t="shared" si="23"/>
        <v xml:space="preserve"> </v>
      </c>
      <c r="R155" s="14">
        <f>+VLOOKUP(T155,Sheet2!$B$2:$P$372,13,0)</f>
        <v>36000</v>
      </c>
      <c r="S155" s="24">
        <f t="shared" si="24"/>
        <v>0</v>
      </c>
      <c r="T155" t="str">
        <f t="shared" si="25"/>
        <v>06/01/2026NL300048</v>
      </c>
      <c r="U155" s="15">
        <f t="shared" si="26"/>
        <v>0</v>
      </c>
      <c r="V155" s="25">
        <f t="shared" si="27"/>
        <v>0</v>
      </c>
    </row>
    <row r="156" spans="1:22" x14ac:dyDescent="0.25">
      <c r="A156" s="4" t="s">
        <v>174</v>
      </c>
      <c r="B156" s="5" t="s">
        <v>123</v>
      </c>
      <c r="C156" s="4" t="s">
        <v>124</v>
      </c>
      <c r="D156" s="5" t="s">
        <v>217</v>
      </c>
      <c r="E156" s="7" t="s">
        <v>139</v>
      </c>
      <c r="F156" s="7" t="s">
        <v>140</v>
      </c>
      <c r="G156" s="7" t="s">
        <v>14</v>
      </c>
      <c r="H156" s="8">
        <v>0.3</v>
      </c>
      <c r="I156" s="9">
        <v>30000</v>
      </c>
      <c r="J156" s="9">
        <f t="shared" si="20"/>
        <v>9000</v>
      </c>
      <c r="K156" s="6" t="s">
        <v>15</v>
      </c>
      <c r="L156" s="21" t="str">
        <f>+VLOOKUP(E156,mã!$B$2:$F$229,2,0)</f>
        <v>NL300053</v>
      </c>
      <c r="M156" s="22">
        <f>+VLOOKUP(T156,Sheet2!$B$2:$P$372,10,0)</f>
        <v>0.3</v>
      </c>
      <c r="N156" s="23">
        <f>+VLOOKUP(L156,mã!$C$2:$F$229,4,0)</f>
        <v>30000</v>
      </c>
      <c r="O156" s="23">
        <f t="shared" si="21"/>
        <v>9000</v>
      </c>
      <c r="P156" s="23">
        <f t="shared" si="22"/>
        <v>0</v>
      </c>
      <c r="Q156" s="21" t="str">
        <f t="shared" si="23"/>
        <v xml:space="preserve"> </v>
      </c>
      <c r="R156" s="14">
        <f>+VLOOKUP(T156,Sheet2!$B$2:$P$372,13,0)</f>
        <v>9000</v>
      </c>
      <c r="S156" s="24">
        <f t="shared" si="24"/>
        <v>0</v>
      </c>
      <c r="T156" t="str">
        <f t="shared" si="25"/>
        <v>06/01/2026NL300053</v>
      </c>
      <c r="U156" s="15">
        <f t="shared" si="26"/>
        <v>0</v>
      </c>
      <c r="V156" s="25">
        <f t="shared" si="27"/>
        <v>0</v>
      </c>
    </row>
    <row r="157" spans="1:22" x14ac:dyDescent="0.25">
      <c r="A157" s="4" t="s">
        <v>174</v>
      </c>
      <c r="B157" s="5" t="s">
        <v>123</v>
      </c>
      <c r="C157" s="4" t="s">
        <v>124</v>
      </c>
      <c r="D157" s="5" t="s">
        <v>217</v>
      </c>
      <c r="E157" s="7" t="s">
        <v>21</v>
      </c>
      <c r="F157" s="7" t="s">
        <v>22</v>
      </c>
      <c r="G157" s="7" t="s">
        <v>14</v>
      </c>
      <c r="H157" s="8">
        <v>0.2</v>
      </c>
      <c r="I157" s="9">
        <v>55000</v>
      </c>
      <c r="J157" s="9">
        <f t="shared" si="20"/>
        <v>11000</v>
      </c>
      <c r="K157" s="6" t="s">
        <v>15</v>
      </c>
      <c r="L157" s="21" t="str">
        <f>+VLOOKUP(E157,mã!$B$2:$F$229,2,0)</f>
        <v>NL300058</v>
      </c>
      <c r="M157" s="22">
        <f>+VLOOKUP(T157,Sheet2!$B$2:$P$372,10,0)</f>
        <v>0.2</v>
      </c>
      <c r="N157" s="23">
        <f>+VLOOKUP(L157,mã!$C$2:$F$229,4,0)</f>
        <v>55000</v>
      </c>
      <c r="O157" s="23">
        <f t="shared" si="21"/>
        <v>11000</v>
      </c>
      <c r="P157" s="23">
        <f t="shared" si="22"/>
        <v>0</v>
      </c>
      <c r="Q157" s="21" t="str">
        <f t="shared" si="23"/>
        <v xml:space="preserve"> </v>
      </c>
      <c r="R157" s="14">
        <f>+VLOOKUP(T157,Sheet2!$B$2:$P$372,13,0)</f>
        <v>11000</v>
      </c>
      <c r="S157" s="24">
        <f t="shared" si="24"/>
        <v>0</v>
      </c>
      <c r="T157" t="str">
        <f t="shared" si="25"/>
        <v>06/01/2026NL300058</v>
      </c>
      <c r="U157" s="15">
        <f t="shared" si="26"/>
        <v>0</v>
      </c>
      <c r="V157" s="25">
        <f t="shared" si="27"/>
        <v>0</v>
      </c>
    </row>
    <row r="158" spans="1:22" x14ac:dyDescent="0.25">
      <c r="A158" s="4" t="s">
        <v>174</v>
      </c>
      <c r="B158" s="5" t="s">
        <v>123</v>
      </c>
      <c r="C158" s="4" t="s">
        <v>124</v>
      </c>
      <c r="D158" s="5" t="s">
        <v>217</v>
      </c>
      <c r="E158" s="7" t="s">
        <v>23</v>
      </c>
      <c r="F158" s="7" t="s">
        <v>24</v>
      </c>
      <c r="G158" s="7" t="s">
        <v>14</v>
      </c>
      <c r="H158" s="8">
        <v>1.4</v>
      </c>
      <c r="I158" s="9">
        <v>13000</v>
      </c>
      <c r="J158" s="9">
        <f t="shared" si="20"/>
        <v>18200</v>
      </c>
      <c r="K158" s="6" t="s">
        <v>15</v>
      </c>
      <c r="L158" s="21" t="str">
        <f>+VLOOKUP(E158,mã!$B$2:$F$229,2,0)</f>
        <v>NL300059</v>
      </c>
      <c r="M158" s="22">
        <f>+VLOOKUP(T158,Sheet2!$B$2:$P$372,10,0)</f>
        <v>1.4</v>
      </c>
      <c r="N158" s="23">
        <f>+VLOOKUP(L158,mã!$C$2:$F$229,4,0)</f>
        <v>13000</v>
      </c>
      <c r="O158" s="23">
        <f t="shared" si="21"/>
        <v>18200</v>
      </c>
      <c r="P158" s="23">
        <f t="shared" si="22"/>
        <v>0</v>
      </c>
      <c r="Q158" s="21" t="str">
        <f t="shared" si="23"/>
        <v xml:space="preserve"> </v>
      </c>
      <c r="R158" s="14">
        <f>+VLOOKUP(T158,Sheet2!$B$2:$P$372,13,0)</f>
        <v>18200</v>
      </c>
      <c r="S158" s="24">
        <f t="shared" si="24"/>
        <v>0</v>
      </c>
      <c r="T158" t="str">
        <f t="shared" si="25"/>
        <v>06/01/2026NL300059</v>
      </c>
      <c r="U158" s="15">
        <f t="shared" si="26"/>
        <v>0</v>
      </c>
      <c r="V158" s="25">
        <f t="shared" si="27"/>
        <v>0</v>
      </c>
    </row>
    <row r="159" spans="1:22" x14ac:dyDescent="0.25">
      <c r="A159" s="4" t="s">
        <v>174</v>
      </c>
      <c r="B159" s="5" t="s">
        <v>123</v>
      </c>
      <c r="C159" s="4" t="s">
        <v>124</v>
      </c>
      <c r="D159" s="5" t="s">
        <v>217</v>
      </c>
      <c r="E159" s="7" t="s">
        <v>84</v>
      </c>
      <c r="F159" s="7" t="s">
        <v>83</v>
      </c>
      <c r="G159" s="7" t="s">
        <v>14</v>
      </c>
      <c r="H159" s="8">
        <v>1.9</v>
      </c>
      <c r="I159" s="9">
        <v>23000</v>
      </c>
      <c r="J159" s="9">
        <f t="shared" si="20"/>
        <v>43700</v>
      </c>
      <c r="K159" s="6" t="s">
        <v>15</v>
      </c>
      <c r="L159" s="21" t="str">
        <f>+VLOOKUP(E159,mã!$B$2:$F$229,2,0)</f>
        <v>NL300070</v>
      </c>
      <c r="M159" s="22">
        <f>+VLOOKUP(T159,Sheet2!$B$2:$P$372,10,0)</f>
        <v>1.9</v>
      </c>
      <c r="N159" s="23">
        <f>+VLOOKUP(L159,mã!$C$2:$F$229,4,0)</f>
        <v>23000</v>
      </c>
      <c r="O159" s="23">
        <f t="shared" si="21"/>
        <v>43700</v>
      </c>
      <c r="P159" s="23">
        <f t="shared" si="22"/>
        <v>0</v>
      </c>
      <c r="Q159" s="21" t="str">
        <f t="shared" si="23"/>
        <v xml:space="preserve"> </v>
      </c>
      <c r="R159" s="14">
        <f>+VLOOKUP(T159,Sheet2!$B$2:$P$372,13,0)</f>
        <v>43700</v>
      </c>
      <c r="S159" s="24">
        <f t="shared" si="24"/>
        <v>0</v>
      </c>
      <c r="T159" t="str">
        <f t="shared" si="25"/>
        <v>06/01/2026NL300070</v>
      </c>
      <c r="U159" s="15">
        <f t="shared" si="26"/>
        <v>0</v>
      </c>
      <c r="V159" s="25">
        <f t="shared" si="27"/>
        <v>0</v>
      </c>
    </row>
    <row r="160" spans="1:22" x14ac:dyDescent="0.25">
      <c r="A160" s="4" t="s">
        <v>174</v>
      </c>
      <c r="B160" s="5" t="s">
        <v>123</v>
      </c>
      <c r="C160" s="4" t="s">
        <v>124</v>
      </c>
      <c r="D160" s="5" t="s">
        <v>217</v>
      </c>
      <c r="E160" s="7" t="s">
        <v>152</v>
      </c>
      <c r="F160" s="7" t="s">
        <v>153</v>
      </c>
      <c r="G160" s="7" t="s">
        <v>14</v>
      </c>
      <c r="H160" s="8">
        <v>2</v>
      </c>
      <c r="I160" s="9">
        <v>20000</v>
      </c>
      <c r="J160" s="9">
        <f t="shared" si="20"/>
        <v>40000</v>
      </c>
      <c r="K160" s="6" t="s">
        <v>15</v>
      </c>
      <c r="L160" s="21" t="str">
        <f>+VLOOKUP(E160,mã!$B$2:$F$229,2,0)</f>
        <v>NL300071</v>
      </c>
      <c r="M160" s="22">
        <f>+VLOOKUP(T160,Sheet2!$B$2:$P$372,10,0)</f>
        <v>2</v>
      </c>
      <c r="N160" s="23">
        <f>+VLOOKUP(L160,mã!$C$2:$F$229,4,0)</f>
        <v>20000</v>
      </c>
      <c r="O160" s="23">
        <f t="shared" si="21"/>
        <v>40000</v>
      </c>
      <c r="P160" s="23">
        <f t="shared" si="22"/>
        <v>0</v>
      </c>
      <c r="Q160" s="21" t="str">
        <f t="shared" si="23"/>
        <v xml:space="preserve"> </v>
      </c>
      <c r="R160" s="14">
        <f>+VLOOKUP(T160,Sheet2!$B$2:$P$372,13,0)</f>
        <v>40000</v>
      </c>
      <c r="S160" s="24">
        <f t="shared" si="24"/>
        <v>0</v>
      </c>
      <c r="T160" t="str">
        <f t="shared" si="25"/>
        <v>06/01/2026NL300071</v>
      </c>
      <c r="U160" s="15">
        <f t="shared" si="26"/>
        <v>0</v>
      </c>
      <c r="V160" s="25">
        <f t="shared" si="27"/>
        <v>0</v>
      </c>
    </row>
    <row r="161" spans="1:22" x14ac:dyDescent="0.25">
      <c r="A161" s="4" t="s">
        <v>174</v>
      </c>
      <c r="B161" s="5" t="s">
        <v>123</v>
      </c>
      <c r="C161" s="4" t="s">
        <v>124</v>
      </c>
      <c r="D161" s="5" t="s">
        <v>217</v>
      </c>
      <c r="E161" s="7" t="s">
        <v>141</v>
      </c>
      <c r="F161" s="7" t="s">
        <v>142</v>
      </c>
      <c r="G161" s="7" t="s">
        <v>14</v>
      </c>
      <c r="H161" s="8">
        <v>1</v>
      </c>
      <c r="I161" s="9">
        <v>95000</v>
      </c>
      <c r="J161" s="9">
        <f t="shared" si="20"/>
        <v>95000</v>
      </c>
      <c r="K161" s="6" t="s">
        <v>15</v>
      </c>
      <c r="L161" s="21" t="str">
        <f>+VLOOKUP(E161,mã!$B$2:$F$229,2,0)</f>
        <v>NL300080</v>
      </c>
      <c r="M161" s="22">
        <f>+VLOOKUP(T161,Sheet2!$B$2:$P$372,10,0)</f>
        <v>1</v>
      </c>
      <c r="N161" s="23">
        <f>+VLOOKUP(L161,mã!$C$2:$F$229,4,0)</f>
        <v>95000</v>
      </c>
      <c r="O161" s="23">
        <f t="shared" si="21"/>
        <v>95000</v>
      </c>
      <c r="P161" s="23">
        <f t="shared" si="22"/>
        <v>0</v>
      </c>
      <c r="Q161" s="21" t="str">
        <f t="shared" si="23"/>
        <v xml:space="preserve"> </v>
      </c>
      <c r="R161" s="14">
        <f>+VLOOKUP(T161,Sheet2!$B$2:$P$372,13,0)</f>
        <v>95000</v>
      </c>
      <c r="S161" s="24">
        <f t="shared" si="24"/>
        <v>0</v>
      </c>
      <c r="T161" t="str">
        <f t="shared" si="25"/>
        <v>06/01/2026NL300080</v>
      </c>
      <c r="U161" s="15">
        <f t="shared" si="26"/>
        <v>0</v>
      </c>
      <c r="V161" s="25">
        <f t="shared" si="27"/>
        <v>0</v>
      </c>
    </row>
    <row r="162" spans="1:22" x14ac:dyDescent="0.25">
      <c r="A162" s="4" t="s">
        <v>174</v>
      </c>
      <c r="B162" s="5" t="s">
        <v>123</v>
      </c>
      <c r="C162" s="4" t="s">
        <v>124</v>
      </c>
      <c r="D162" s="5" t="s">
        <v>217</v>
      </c>
      <c r="E162" s="7" t="s">
        <v>39</v>
      </c>
      <c r="F162" s="7" t="s">
        <v>40</v>
      </c>
      <c r="G162" s="7" t="s">
        <v>14</v>
      </c>
      <c r="H162" s="8">
        <v>2</v>
      </c>
      <c r="I162" s="9">
        <v>145000</v>
      </c>
      <c r="J162" s="9">
        <f t="shared" si="20"/>
        <v>290000</v>
      </c>
      <c r="K162" s="6" t="s">
        <v>15</v>
      </c>
      <c r="L162" s="21" t="str">
        <f>+VLOOKUP(E162,mã!$B$2:$F$229,2,0)</f>
        <v>NL300090</v>
      </c>
      <c r="M162" s="22">
        <f>+VLOOKUP(T162,Sheet2!$B$2:$P$372,10,0)</f>
        <v>2</v>
      </c>
      <c r="N162" s="23">
        <f>+VLOOKUP(L162,mã!$C$2:$F$229,4,0)</f>
        <v>145000</v>
      </c>
      <c r="O162" s="23">
        <f t="shared" si="21"/>
        <v>290000</v>
      </c>
      <c r="P162" s="23">
        <f t="shared" si="22"/>
        <v>0</v>
      </c>
      <c r="Q162" s="21" t="str">
        <f t="shared" si="23"/>
        <v xml:space="preserve"> </v>
      </c>
      <c r="R162" s="14">
        <f>+VLOOKUP(T162,Sheet2!$B$2:$P$372,13,0)</f>
        <v>290000</v>
      </c>
      <c r="S162" s="24">
        <f t="shared" si="24"/>
        <v>0</v>
      </c>
      <c r="T162" t="str">
        <f t="shared" si="25"/>
        <v>06/01/2026NL300090</v>
      </c>
      <c r="U162" s="15">
        <f t="shared" si="26"/>
        <v>0</v>
      </c>
      <c r="V162" s="25">
        <f t="shared" si="27"/>
        <v>0</v>
      </c>
    </row>
    <row r="163" spans="1:22" x14ac:dyDescent="0.25">
      <c r="A163" s="4" t="s">
        <v>174</v>
      </c>
      <c r="B163" s="5" t="s">
        <v>123</v>
      </c>
      <c r="C163" s="4" t="s">
        <v>124</v>
      </c>
      <c r="D163" s="5" t="s">
        <v>217</v>
      </c>
      <c r="E163" s="7" t="s">
        <v>63</v>
      </c>
      <c r="F163" s="7" t="s">
        <v>64</v>
      </c>
      <c r="G163" s="7" t="s">
        <v>14</v>
      </c>
      <c r="H163" s="8">
        <v>0.1</v>
      </c>
      <c r="I163" s="9">
        <v>45000</v>
      </c>
      <c r="J163" s="9">
        <f t="shared" si="20"/>
        <v>4500</v>
      </c>
      <c r="K163" s="6" t="s">
        <v>15</v>
      </c>
      <c r="L163" s="21" t="str">
        <f>+VLOOKUP(E163,mã!$B$2:$F$229,2,0)</f>
        <v>NL300085</v>
      </c>
      <c r="M163" s="22">
        <f>+VLOOKUP(T163,Sheet2!$B$2:$P$372,10,0)</f>
        <v>0.1</v>
      </c>
      <c r="N163" s="23">
        <f>+VLOOKUP(L163,mã!$C$2:$F$229,4,0)</f>
        <v>45000</v>
      </c>
      <c r="O163" s="23">
        <f t="shared" si="21"/>
        <v>4500</v>
      </c>
      <c r="P163" s="23">
        <f t="shared" si="22"/>
        <v>0</v>
      </c>
      <c r="Q163" s="21" t="str">
        <f t="shared" si="23"/>
        <v xml:space="preserve"> </v>
      </c>
      <c r="R163" s="14">
        <f>+VLOOKUP(T163,Sheet2!$B$2:$P$372,13,0)</f>
        <v>4500</v>
      </c>
      <c r="S163" s="24">
        <f t="shared" si="24"/>
        <v>0</v>
      </c>
      <c r="T163" t="str">
        <f t="shared" si="25"/>
        <v>06/01/2026NL300085</v>
      </c>
      <c r="U163" s="15">
        <f t="shared" si="26"/>
        <v>0</v>
      </c>
      <c r="V163" s="25">
        <f t="shared" si="27"/>
        <v>0</v>
      </c>
    </row>
    <row r="164" spans="1:22" x14ac:dyDescent="0.25">
      <c r="A164" s="4" t="s">
        <v>174</v>
      </c>
      <c r="B164" s="5" t="s">
        <v>123</v>
      </c>
      <c r="C164" s="4" t="s">
        <v>124</v>
      </c>
      <c r="D164" s="5" t="s">
        <v>217</v>
      </c>
      <c r="E164" s="7" t="s">
        <v>55</v>
      </c>
      <c r="F164" s="7" t="s">
        <v>56</v>
      </c>
      <c r="G164" s="7" t="s">
        <v>14</v>
      </c>
      <c r="H164" s="8">
        <v>0.2</v>
      </c>
      <c r="I164" s="9">
        <v>70000</v>
      </c>
      <c r="J164" s="9">
        <f t="shared" si="20"/>
        <v>14000</v>
      </c>
      <c r="K164" s="6" t="s">
        <v>15</v>
      </c>
      <c r="L164" s="21" t="str">
        <f>+VLOOKUP(E164,mã!$B$2:$F$229,2,0)</f>
        <v>NL300126</v>
      </c>
      <c r="M164" s="22">
        <f>+VLOOKUP(T164,Sheet2!$B$2:$P$372,10,0)</f>
        <v>0.2</v>
      </c>
      <c r="N164" s="23">
        <f>+VLOOKUP(L164,mã!$C$2:$F$229,4,0)</f>
        <v>70000</v>
      </c>
      <c r="O164" s="23">
        <f t="shared" si="21"/>
        <v>14000</v>
      </c>
      <c r="P164" s="23">
        <f t="shared" si="22"/>
        <v>0</v>
      </c>
      <c r="Q164" s="21" t="str">
        <f t="shared" si="23"/>
        <v xml:space="preserve"> </v>
      </c>
      <c r="R164" s="14">
        <f>+VLOOKUP(T164,Sheet2!$B$2:$P$372,13,0)</f>
        <v>14000</v>
      </c>
      <c r="S164" s="24">
        <f t="shared" si="24"/>
        <v>0</v>
      </c>
      <c r="T164" t="str">
        <f t="shared" si="25"/>
        <v>06/01/2026NL300126</v>
      </c>
      <c r="U164" s="15">
        <f t="shared" si="26"/>
        <v>0</v>
      </c>
      <c r="V164" s="25">
        <f t="shared" si="27"/>
        <v>0</v>
      </c>
    </row>
    <row r="165" spans="1:22" x14ac:dyDescent="0.25">
      <c r="A165" s="4" t="s">
        <v>174</v>
      </c>
      <c r="B165" s="5" t="s">
        <v>123</v>
      </c>
      <c r="C165" s="4" t="s">
        <v>124</v>
      </c>
      <c r="D165" s="5" t="s">
        <v>217</v>
      </c>
      <c r="E165" s="7" t="s">
        <v>47</v>
      </c>
      <c r="F165" s="7" t="s">
        <v>48</v>
      </c>
      <c r="G165" s="7" t="s">
        <v>14</v>
      </c>
      <c r="H165" s="8">
        <v>0.5</v>
      </c>
      <c r="I165" s="9">
        <v>21000</v>
      </c>
      <c r="J165" s="9">
        <f t="shared" si="20"/>
        <v>10500</v>
      </c>
      <c r="K165" s="6" t="s">
        <v>15</v>
      </c>
      <c r="L165" s="21" t="str">
        <f>+VLOOKUP(E165,mã!$B$2:$F$229,2,0)</f>
        <v>NL300119</v>
      </c>
      <c r="M165" s="22">
        <f>+VLOOKUP(T165,Sheet2!$B$2:$P$372,10,0)</f>
        <v>0.3</v>
      </c>
      <c r="N165" s="23">
        <f>+VLOOKUP(L165,mã!$C$2:$F$229,4,0)</f>
        <v>21000</v>
      </c>
      <c r="O165" s="23">
        <f t="shared" si="21"/>
        <v>6300</v>
      </c>
      <c r="P165" s="23">
        <f t="shared" si="22"/>
        <v>4200</v>
      </c>
      <c r="Q165" s="21" t="str">
        <f t="shared" si="23"/>
        <v>SAI SL NHẬN</v>
      </c>
      <c r="R165" s="14">
        <f>+VLOOKUP(T165,Sheet2!$B$2:$P$372,13,0)</f>
        <v>6300</v>
      </c>
      <c r="S165" s="24">
        <f t="shared" si="24"/>
        <v>0</v>
      </c>
      <c r="T165" t="str">
        <f t="shared" si="25"/>
        <v>06/01/2026NL300119</v>
      </c>
      <c r="U165" s="15">
        <f t="shared" si="26"/>
        <v>0.2</v>
      </c>
      <c r="V165" s="25">
        <f t="shared" si="27"/>
        <v>0</v>
      </c>
    </row>
    <row r="166" spans="1:22" x14ac:dyDescent="0.25">
      <c r="A166" s="4" t="s">
        <v>174</v>
      </c>
      <c r="B166" s="5" t="s">
        <v>123</v>
      </c>
      <c r="C166" s="4" t="s">
        <v>124</v>
      </c>
      <c r="D166" s="5" t="s">
        <v>217</v>
      </c>
      <c r="E166" s="7" t="s">
        <v>145</v>
      </c>
      <c r="F166" s="7" t="s">
        <v>146</v>
      </c>
      <c r="G166" s="7" t="s">
        <v>14</v>
      </c>
      <c r="H166" s="8">
        <v>5</v>
      </c>
      <c r="I166" s="9">
        <v>38000</v>
      </c>
      <c r="J166" s="9">
        <f t="shared" si="20"/>
        <v>190000</v>
      </c>
      <c r="K166" s="6" t="s">
        <v>15</v>
      </c>
      <c r="L166" s="21" t="str">
        <f>+VLOOKUP(E166,mã!$B$2:$F$229,2,0)</f>
        <v>NL300145</v>
      </c>
      <c r="M166" s="22">
        <f>+VLOOKUP(T166,Sheet2!$B$2:$P$372,10,0)</f>
        <v>4</v>
      </c>
      <c r="N166" s="23">
        <f>+VLOOKUP(L166,mã!$C$2:$F$229,4,0)</f>
        <v>38000</v>
      </c>
      <c r="O166" s="23">
        <f t="shared" si="21"/>
        <v>152000</v>
      </c>
      <c r="P166" s="23">
        <f t="shared" si="22"/>
        <v>38000</v>
      </c>
      <c r="Q166" s="21" t="str">
        <f t="shared" si="23"/>
        <v>SAI SL NHẬN</v>
      </c>
      <c r="R166" s="14">
        <f>+VLOOKUP(T166,Sheet2!$B$2:$P$372,13,0)</f>
        <v>152000</v>
      </c>
      <c r="S166" s="24">
        <f t="shared" si="24"/>
        <v>0</v>
      </c>
      <c r="T166" t="str">
        <f t="shared" si="25"/>
        <v>06/01/2026NL300145</v>
      </c>
      <c r="U166" s="15">
        <f t="shared" si="26"/>
        <v>1</v>
      </c>
      <c r="V166" s="25">
        <f t="shared" si="27"/>
        <v>0</v>
      </c>
    </row>
    <row r="167" spans="1:22" x14ac:dyDescent="0.25">
      <c r="A167" s="4" t="s">
        <v>177</v>
      </c>
      <c r="B167" s="5" t="s">
        <v>123</v>
      </c>
      <c r="C167" s="4" t="s">
        <v>124</v>
      </c>
      <c r="D167" s="5" t="s">
        <v>218</v>
      </c>
      <c r="E167" s="7" t="s">
        <v>12</v>
      </c>
      <c r="F167" s="7" t="s">
        <v>13</v>
      </c>
      <c r="G167" s="7" t="s">
        <v>14</v>
      </c>
      <c r="H167" s="8">
        <v>3.8</v>
      </c>
      <c r="I167" s="9">
        <v>19000</v>
      </c>
      <c r="J167" s="9">
        <f t="shared" si="20"/>
        <v>72200</v>
      </c>
      <c r="K167" s="6" t="s">
        <v>15</v>
      </c>
      <c r="L167" s="21" t="str">
        <f>+VLOOKUP(E167,mã!$B$2:$F$229,2,0)</f>
        <v>NL300004</v>
      </c>
      <c r="M167" s="22">
        <f>+VLOOKUP(T167,Sheet2!$B$2:$P$372,10,0)</f>
        <v>3.7</v>
      </c>
      <c r="N167" s="23">
        <f>+VLOOKUP(L167,mã!$C$2:$F$229,4,0)</f>
        <v>19000</v>
      </c>
      <c r="O167" s="23">
        <f t="shared" si="21"/>
        <v>70300</v>
      </c>
      <c r="P167" s="23">
        <f t="shared" si="22"/>
        <v>1900</v>
      </c>
      <c r="Q167" s="21" t="str">
        <f t="shared" si="23"/>
        <v>SAI SL NHẬN</v>
      </c>
      <c r="R167" s="14">
        <f>+VLOOKUP(T167,Sheet2!$B$2:$P$372,13,0)</f>
        <v>70300</v>
      </c>
      <c r="S167" s="24">
        <f t="shared" si="24"/>
        <v>0</v>
      </c>
      <c r="T167" t="str">
        <f t="shared" si="25"/>
        <v>07/01/2026NL300004</v>
      </c>
      <c r="U167" s="15">
        <f t="shared" si="26"/>
        <v>9.9999999999999645E-2</v>
      </c>
      <c r="V167" s="25">
        <f t="shared" si="27"/>
        <v>0</v>
      </c>
    </row>
    <row r="168" spans="1:22" x14ac:dyDescent="0.25">
      <c r="A168" s="4" t="s">
        <v>177</v>
      </c>
      <c r="B168" s="5" t="s">
        <v>123</v>
      </c>
      <c r="C168" s="4" t="s">
        <v>124</v>
      </c>
      <c r="D168" s="5" t="s">
        <v>218</v>
      </c>
      <c r="E168" s="7" t="s">
        <v>16</v>
      </c>
      <c r="F168" s="7" t="s">
        <v>17</v>
      </c>
      <c r="G168" s="7" t="s">
        <v>18</v>
      </c>
      <c r="H168" s="8">
        <v>12</v>
      </c>
      <c r="I168" s="9">
        <v>8500</v>
      </c>
      <c r="J168" s="9">
        <f t="shared" si="20"/>
        <v>102000</v>
      </c>
      <c r="K168" s="6" t="s">
        <v>15</v>
      </c>
      <c r="L168" s="21" t="str">
        <f>+VLOOKUP(E168,mã!$B$2:$F$229,2,0)</f>
        <v>NL300107</v>
      </c>
      <c r="M168" s="22">
        <f>+VLOOKUP(T168,Sheet2!$B$2:$P$372,10,0)</f>
        <v>11</v>
      </c>
      <c r="N168" s="23">
        <f>+VLOOKUP(L168,mã!$C$2:$F$229,4,0)</f>
        <v>8500</v>
      </c>
      <c r="O168" s="23">
        <f t="shared" si="21"/>
        <v>93500</v>
      </c>
      <c r="P168" s="23">
        <f t="shared" si="22"/>
        <v>8500</v>
      </c>
      <c r="Q168" s="21" t="str">
        <f t="shared" si="23"/>
        <v>SAI SL NHẬN</v>
      </c>
      <c r="R168" s="14">
        <f>+VLOOKUP(T168,Sheet2!$B$2:$P$372,13,0)</f>
        <v>93500</v>
      </c>
      <c r="S168" s="24">
        <f t="shared" si="24"/>
        <v>0</v>
      </c>
      <c r="T168" t="str">
        <f t="shared" si="25"/>
        <v>07/01/2026NL300107</v>
      </c>
      <c r="U168" s="15">
        <f t="shared" si="26"/>
        <v>1</v>
      </c>
      <c r="V168" s="25">
        <f t="shared" si="27"/>
        <v>0</v>
      </c>
    </row>
    <row r="169" spans="1:22" x14ac:dyDescent="0.25">
      <c r="A169" s="4" t="s">
        <v>177</v>
      </c>
      <c r="B169" s="5" t="s">
        <v>123</v>
      </c>
      <c r="C169" s="4" t="s">
        <v>124</v>
      </c>
      <c r="D169" s="5" t="s">
        <v>218</v>
      </c>
      <c r="E169" s="7" t="s">
        <v>101</v>
      </c>
      <c r="F169" s="7" t="s">
        <v>100</v>
      </c>
      <c r="G169" s="7" t="s">
        <v>14</v>
      </c>
      <c r="H169" s="8">
        <v>1.3</v>
      </c>
      <c r="I169" s="9">
        <v>40000</v>
      </c>
      <c r="J169" s="9">
        <f t="shared" si="20"/>
        <v>52000</v>
      </c>
      <c r="K169" s="6" t="s">
        <v>15</v>
      </c>
      <c r="L169" s="21" t="str">
        <f>+VLOOKUP(E169,mã!$B$2:$F$229,2,0)</f>
        <v>NL300008</v>
      </c>
      <c r="M169" s="22">
        <f>+VLOOKUP(T169,Sheet2!$B$2:$P$372,10,0)</f>
        <v>1.3</v>
      </c>
      <c r="N169" s="23">
        <f>+VLOOKUP(L169,mã!$C$2:$F$229,4,0)</f>
        <v>40000</v>
      </c>
      <c r="O169" s="23">
        <f t="shared" si="21"/>
        <v>52000</v>
      </c>
      <c r="P169" s="23">
        <f t="shared" si="22"/>
        <v>0</v>
      </c>
      <c r="Q169" s="21" t="str">
        <f t="shared" si="23"/>
        <v xml:space="preserve"> </v>
      </c>
      <c r="R169" s="14">
        <f>+VLOOKUP(T169,Sheet2!$B$2:$P$372,13,0)</f>
        <v>52000</v>
      </c>
      <c r="S169" s="24">
        <f t="shared" si="24"/>
        <v>0</v>
      </c>
      <c r="T169" t="str">
        <f t="shared" si="25"/>
        <v>07/01/2026NL300008</v>
      </c>
      <c r="U169" s="15">
        <f t="shared" si="26"/>
        <v>0</v>
      </c>
      <c r="V169" s="25">
        <f t="shared" si="27"/>
        <v>0</v>
      </c>
    </row>
    <row r="170" spans="1:22" x14ac:dyDescent="0.25">
      <c r="A170" s="4" t="s">
        <v>177</v>
      </c>
      <c r="B170" s="5" t="s">
        <v>123</v>
      </c>
      <c r="C170" s="4" t="s">
        <v>124</v>
      </c>
      <c r="D170" s="5" t="s">
        <v>218</v>
      </c>
      <c r="E170" s="7" t="s">
        <v>131</v>
      </c>
      <c r="F170" s="7" t="s">
        <v>132</v>
      </c>
      <c r="G170" s="7" t="s">
        <v>14</v>
      </c>
      <c r="H170" s="8">
        <v>0.2</v>
      </c>
      <c r="I170" s="9">
        <v>55000</v>
      </c>
      <c r="J170" s="9">
        <f t="shared" si="20"/>
        <v>11000</v>
      </c>
      <c r="K170" s="6" t="s">
        <v>15</v>
      </c>
      <c r="L170" s="21" t="str">
        <f>+VLOOKUP(E170,mã!$B$2:$F$229,2,0)</f>
        <v>NL300014</v>
      </c>
      <c r="M170" s="22">
        <f>+VLOOKUP(T170,Sheet2!$B$2:$P$372,10,0)</f>
        <v>0.2</v>
      </c>
      <c r="N170" s="23">
        <f>+VLOOKUP(L170,mã!$C$2:$F$229,4,0)</f>
        <v>55000</v>
      </c>
      <c r="O170" s="23">
        <f t="shared" si="21"/>
        <v>11000</v>
      </c>
      <c r="P170" s="23">
        <f t="shared" si="22"/>
        <v>0</v>
      </c>
      <c r="Q170" s="21" t="str">
        <f t="shared" si="23"/>
        <v xml:space="preserve"> </v>
      </c>
      <c r="R170" s="14">
        <f>+VLOOKUP(T170,Sheet2!$B$2:$P$372,13,0)</f>
        <v>11000</v>
      </c>
      <c r="S170" s="24">
        <f t="shared" si="24"/>
        <v>0</v>
      </c>
      <c r="T170" t="str">
        <f t="shared" si="25"/>
        <v>07/01/2026NL300014</v>
      </c>
      <c r="U170" s="15">
        <f t="shared" si="26"/>
        <v>0</v>
      </c>
      <c r="V170" s="25">
        <f t="shared" si="27"/>
        <v>0</v>
      </c>
    </row>
    <row r="171" spans="1:22" x14ac:dyDescent="0.25">
      <c r="A171" s="4" t="s">
        <v>177</v>
      </c>
      <c r="B171" s="5" t="s">
        <v>123</v>
      </c>
      <c r="C171" s="4" t="s">
        <v>124</v>
      </c>
      <c r="D171" s="5" t="s">
        <v>218</v>
      </c>
      <c r="E171" s="7" t="s">
        <v>125</v>
      </c>
      <c r="F171" s="7" t="s">
        <v>126</v>
      </c>
      <c r="G171" s="7" t="s">
        <v>14</v>
      </c>
      <c r="H171" s="8">
        <v>2</v>
      </c>
      <c r="I171" s="9">
        <v>18000</v>
      </c>
      <c r="J171" s="9">
        <f t="shared" si="20"/>
        <v>36000</v>
      </c>
      <c r="K171" s="6" t="s">
        <v>15</v>
      </c>
      <c r="L171" s="21" t="str">
        <f>+VLOOKUP(E171,mã!$B$2:$F$229,2,0)</f>
        <v>NL300027</v>
      </c>
      <c r="M171" s="22">
        <f>+VLOOKUP(T171,Sheet2!$B$2:$P$372,10,0)</f>
        <v>2</v>
      </c>
      <c r="N171" s="23">
        <f>+VLOOKUP(L171,mã!$C$2:$F$229,4,0)</f>
        <v>18000</v>
      </c>
      <c r="O171" s="23">
        <f t="shared" si="21"/>
        <v>36000</v>
      </c>
      <c r="P171" s="23">
        <f t="shared" si="22"/>
        <v>0</v>
      </c>
      <c r="Q171" s="21" t="str">
        <f t="shared" si="23"/>
        <v xml:space="preserve"> </v>
      </c>
      <c r="R171" s="14">
        <f>+VLOOKUP(T171,Sheet2!$B$2:$P$372,13,0)</f>
        <v>36000</v>
      </c>
      <c r="S171" s="24">
        <f t="shared" si="24"/>
        <v>0</v>
      </c>
      <c r="T171" t="str">
        <f t="shared" si="25"/>
        <v>07/01/2026NL300027</v>
      </c>
      <c r="U171" s="15">
        <f t="shared" si="26"/>
        <v>0</v>
      </c>
      <c r="V171" s="25">
        <f t="shared" si="27"/>
        <v>0</v>
      </c>
    </row>
    <row r="172" spans="1:22" x14ac:dyDescent="0.25">
      <c r="A172" s="4" t="s">
        <v>177</v>
      </c>
      <c r="B172" s="5" t="s">
        <v>123</v>
      </c>
      <c r="C172" s="4" t="s">
        <v>124</v>
      </c>
      <c r="D172" s="5" t="s">
        <v>218</v>
      </c>
      <c r="E172" s="7" t="s">
        <v>93</v>
      </c>
      <c r="F172" s="7" t="s">
        <v>92</v>
      </c>
      <c r="G172" s="7" t="s">
        <v>14</v>
      </c>
      <c r="H172" s="8">
        <v>0.5</v>
      </c>
      <c r="I172" s="9">
        <v>95000</v>
      </c>
      <c r="J172" s="9">
        <f t="shared" si="20"/>
        <v>47500</v>
      </c>
      <c r="K172" s="6" t="s">
        <v>15</v>
      </c>
      <c r="L172" s="21" t="str">
        <f>+VLOOKUP(E172,mã!$B$2:$F$229,2,0)</f>
        <v>NL600068</v>
      </c>
      <c r="M172" s="22">
        <f>+VLOOKUP(T172,Sheet2!$B$2:$P$372,10,0)</f>
        <v>0.5</v>
      </c>
      <c r="N172" s="23">
        <f>+VLOOKUP(L172,mã!$C$2:$F$229,4,0)</f>
        <v>95000</v>
      </c>
      <c r="O172" s="23">
        <f t="shared" si="21"/>
        <v>47500</v>
      </c>
      <c r="P172" s="23">
        <f t="shared" si="22"/>
        <v>0</v>
      </c>
      <c r="Q172" s="21" t="str">
        <f t="shared" si="23"/>
        <v xml:space="preserve"> </v>
      </c>
      <c r="R172" s="14">
        <f>+VLOOKUP(T172,Sheet2!$B$2:$P$372,13,0)</f>
        <v>47500</v>
      </c>
      <c r="S172" s="24">
        <f t="shared" si="24"/>
        <v>0</v>
      </c>
      <c r="T172" t="str">
        <f t="shared" si="25"/>
        <v>07/01/2026NL600068</v>
      </c>
      <c r="U172" s="15">
        <f t="shared" si="26"/>
        <v>0</v>
      </c>
      <c r="V172" s="25">
        <f t="shared" si="27"/>
        <v>0</v>
      </c>
    </row>
    <row r="173" spans="1:22" x14ac:dyDescent="0.25">
      <c r="A173" s="4" t="s">
        <v>177</v>
      </c>
      <c r="B173" s="5" t="s">
        <v>123</v>
      </c>
      <c r="C173" s="4" t="s">
        <v>124</v>
      </c>
      <c r="D173" s="5" t="s">
        <v>218</v>
      </c>
      <c r="E173" s="7" t="s">
        <v>19</v>
      </c>
      <c r="F173" s="7" t="s">
        <v>20</v>
      </c>
      <c r="G173" s="7" t="s">
        <v>14</v>
      </c>
      <c r="H173" s="8">
        <v>2</v>
      </c>
      <c r="I173" s="9">
        <v>32000</v>
      </c>
      <c r="J173" s="9">
        <f t="shared" si="20"/>
        <v>64000</v>
      </c>
      <c r="K173" s="6" t="s">
        <v>15</v>
      </c>
      <c r="L173" s="21" t="str">
        <f>+VLOOKUP(E173,mã!$B$2:$F$229,2,0)</f>
        <v>NL300038</v>
      </c>
      <c r="M173" s="22">
        <f>+VLOOKUP(T173,Sheet2!$B$2:$P$372,10,0)</f>
        <v>1.8</v>
      </c>
      <c r="N173" s="23">
        <f>+VLOOKUP(L173,mã!$C$2:$F$229,4,0)</f>
        <v>32000</v>
      </c>
      <c r="O173" s="23">
        <f t="shared" si="21"/>
        <v>57600</v>
      </c>
      <c r="P173" s="23">
        <f t="shared" si="22"/>
        <v>6400</v>
      </c>
      <c r="Q173" s="21" t="str">
        <f t="shared" si="23"/>
        <v>SAI SL NHẬN</v>
      </c>
      <c r="R173" s="14">
        <f>+VLOOKUP(T173,Sheet2!$B$2:$P$372,13,0)</f>
        <v>57600</v>
      </c>
      <c r="S173" s="24">
        <f t="shared" si="24"/>
        <v>0</v>
      </c>
      <c r="T173" t="str">
        <f t="shared" si="25"/>
        <v>07/01/2026NL300038</v>
      </c>
      <c r="U173" s="15">
        <f t="shared" si="26"/>
        <v>0.19999999999999996</v>
      </c>
      <c r="V173" s="25">
        <f t="shared" si="27"/>
        <v>0</v>
      </c>
    </row>
    <row r="174" spans="1:22" x14ac:dyDescent="0.25">
      <c r="A174" s="4" t="s">
        <v>177</v>
      </c>
      <c r="B174" s="5" t="s">
        <v>123</v>
      </c>
      <c r="C174" s="4" t="s">
        <v>124</v>
      </c>
      <c r="D174" s="5" t="s">
        <v>218</v>
      </c>
      <c r="E174" s="7" t="s">
        <v>137</v>
      </c>
      <c r="F174" s="7" t="s">
        <v>138</v>
      </c>
      <c r="G174" s="7" t="s">
        <v>14</v>
      </c>
      <c r="H174" s="8">
        <v>0.5</v>
      </c>
      <c r="I174" s="9">
        <v>9000</v>
      </c>
      <c r="J174" s="9">
        <f t="shared" si="20"/>
        <v>4500</v>
      </c>
      <c r="K174" s="6" t="s">
        <v>15</v>
      </c>
      <c r="L174" s="21" t="str">
        <f>+VLOOKUP(E174,mã!$B$2:$F$229,2,0)</f>
        <v>NL300050</v>
      </c>
      <c r="M174" s="22">
        <f>+VLOOKUP(T174,Sheet2!$B$2:$P$372,10,0)</f>
        <v>0.5</v>
      </c>
      <c r="N174" s="23">
        <f>+VLOOKUP(L174,mã!$C$2:$F$229,4,0)</f>
        <v>9000</v>
      </c>
      <c r="O174" s="23">
        <f t="shared" si="21"/>
        <v>4500</v>
      </c>
      <c r="P174" s="23">
        <f t="shared" si="22"/>
        <v>0</v>
      </c>
      <c r="Q174" s="21" t="str">
        <f t="shared" si="23"/>
        <v xml:space="preserve"> </v>
      </c>
      <c r="R174" s="14">
        <f>+VLOOKUP(T174,Sheet2!$B$2:$P$372,13,0)</f>
        <v>4500</v>
      </c>
      <c r="S174" s="24">
        <f t="shared" si="24"/>
        <v>0</v>
      </c>
      <c r="T174" t="str">
        <f t="shared" si="25"/>
        <v>07/01/2026NL300050</v>
      </c>
      <c r="U174" s="15">
        <f t="shared" si="26"/>
        <v>0</v>
      </c>
      <c r="V174" s="25">
        <f t="shared" si="27"/>
        <v>0</v>
      </c>
    </row>
    <row r="175" spans="1:22" x14ac:dyDescent="0.25">
      <c r="A175" s="4" t="s">
        <v>177</v>
      </c>
      <c r="B175" s="5" t="s">
        <v>123</v>
      </c>
      <c r="C175" s="4" t="s">
        <v>124</v>
      </c>
      <c r="D175" s="5" t="s">
        <v>218</v>
      </c>
      <c r="E175" s="7" t="s">
        <v>139</v>
      </c>
      <c r="F175" s="7" t="s">
        <v>140</v>
      </c>
      <c r="G175" s="7" t="s">
        <v>14</v>
      </c>
      <c r="H175" s="8">
        <v>1.2</v>
      </c>
      <c r="I175" s="9">
        <v>30000</v>
      </c>
      <c r="J175" s="9">
        <f t="shared" si="20"/>
        <v>36000</v>
      </c>
      <c r="K175" s="6" t="s">
        <v>15</v>
      </c>
      <c r="L175" s="21" t="str">
        <f>+VLOOKUP(E175,mã!$B$2:$F$229,2,0)</f>
        <v>NL300053</v>
      </c>
      <c r="M175" s="22">
        <f>+VLOOKUP(T175,Sheet2!$B$2:$P$372,10,0)</f>
        <v>0</v>
      </c>
      <c r="N175" s="23">
        <f>+VLOOKUP(L175,mã!$C$2:$F$229,4,0)</f>
        <v>30000</v>
      </c>
      <c r="O175" s="23">
        <f t="shared" si="21"/>
        <v>0</v>
      </c>
      <c r="P175" s="23">
        <f t="shared" si="22"/>
        <v>36000</v>
      </c>
      <c r="Q175" s="21" t="str">
        <f t="shared" si="23"/>
        <v>SAI SL NHẬN</v>
      </c>
      <c r="R175" s="14">
        <f>+VLOOKUP(T175,Sheet2!$B$2:$P$372,13,0)</f>
        <v>0</v>
      </c>
      <c r="S175" s="24">
        <f t="shared" si="24"/>
        <v>0</v>
      </c>
      <c r="T175" t="str">
        <f t="shared" si="25"/>
        <v>07/01/2026NL300053</v>
      </c>
      <c r="U175" s="15">
        <f t="shared" si="26"/>
        <v>1.2</v>
      </c>
      <c r="V175" s="25">
        <f t="shared" si="27"/>
        <v>0</v>
      </c>
    </row>
    <row r="176" spans="1:22" x14ac:dyDescent="0.25">
      <c r="A176" s="4" t="s">
        <v>177</v>
      </c>
      <c r="B176" s="5" t="s">
        <v>123</v>
      </c>
      <c r="C176" s="4" t="s">
        <v>124</v>
      </c>
      <c r="D176" s="5" t="s">
        <v>218</v>
      </c>
      <c r="E176" s="7" t="s">
        <v>21</v>
      </c>
      <c r="F176" s="7" t="s">
        <v>22</v>
      </c>
      <c r="G176" s="7" t="s">
        <v>14</v>
      </c>
      <c r="H176" s="8">
        <v>0.2</v>
      </c>
      <c r="I176" s="9">
        <v>55000</v>
      </c>
      <c r="J176" s="9">
        <f t="shared" si="20"/>
        <v>11000</v>
      </c>
      <c r="K176" s="6" t="s">
        <v>15</v>
      </c>
      <c r="L176" s="21" t="str">
        <f>+VLOOKUP(E176,mã!$B$2:$F$229,2,0)</f>
        <v>NL300058</v>
      </c>
      <c r="M176" s="22">
        <f>+VLOOKUP(T176,Sheet2!$B$2:$P$372,10,0)</f>
        <v>0.2</v>
      </c>
      <c r="N176" s="23">
        <f>+VLOOKUP(L176,mã!$C$2:$F$229,4,0)</f>
        <v>55000</v>
      </c>
      <c r="O176" s="23">
        <f t="shared" si="21"/>
        <v>11000</v>
      </c>
      <c r="P176" s="23">
        <f t="shared" si="22"/>
        <v>0</v>
      </c>
      <c r="Q176" s="21" t="str">
        <f t="shared" si="23"/>
        <v xml:space="preserve"> </v>
      </c>
      <c r="R176" s="14">
        <f>+VLOOKUP(T176,Sheet2!$B$2:$P$372,13,0)</f>
        <v>11000</v>
      </c>
      <c r="S176" s="24">
        <f t="shared" si="24"/>
        <v>0</v>
      </c>
      <c r="T176" t="str">
        <f t="shared" si="25"/>
        <v>07/01/2026NL300058</v>
      </c>
      <c r="U176" s="15">
        <f t="shared" si="26"/>
        <v>0</v>
      </c>
      <c r="V176" s="25">
        <f t="shared" si="27"/>
        <v>0</v>
      </c>
    </row>
    <row r="177" spans="1:22" x14ac:dyDescent="0.25">
      <c r="A177" s="4" t="s">
        <v>177</v>
      </c>
      <c r="B177" s="5" t="s">
        <v>123</v>
      </c>
      <c r="C177" s="4" t="s">
        <v>124</v>
      </c>
      <c r="D177" s="5" t="s">
        <v>218</v>
      </c>
      <c r="E177" s="7" t="s">
        <v>86</v>
      </c>
      <c r="F177" s="7" t="s">
        <v>85</v>
      </c>
      <c r="G177" s="7" t="s">
        <v>14</v>
      </c>
      <c r="H177" s="8">
        <v>1</v>
      </c>
      <c r="I177" s="9">
        <v>38000</v>
      </c>
      <c r="J177" s="9">
        <f t="shared" si="20"/>
        <v>38000</v>
      </c>
      <c r="K177" s="6" t="s">
        <v>15</v>
      </c>
      <c r="L177" s="21" t="str">
        <f>+VLOOKUP(E177,mã!$B$2:$F$229,2,0)</f>
        <v>NL300061</v>
      </c>
      <c r="M177" s="22">
        <f>+VLOOKUP(T177,Sheet2!$B$2:$P$372,10,0)</f>
        <v>1</v>
      </c>
      <c r="N177" s="23">
        <f>+VLOOKUP(L177,mã!$C$2:$F$229,4,0)</f>
        <v>38000</v>
      </c>
      <c r="O177" s="23">
        <f t="shared" si="21"/>
        <v>38000</v>
      </c>
      <c r="P177" s="23">
        <f t="shared" si="22"/>
        <v>0</v>
      </c>
      <c r="Q177" s="21" t="str">
        <f t="shared" si="23"/>
        <v xml:space="preserve"> </v>
      </c>
      <c r="R177" s="14">
        <f>+VLOOKUP(T177,Sheet2!$B$2:$P$372,13,0)</f>
        <v>38000</v>
      </c>
      <c r="S177" s="24">
        <f t="shared" si="24"/>
        <v>0</v>
      </c>
      <c r="T177" t="str">
        <f t="shared" si="25"/>
        <v>07/01/2026NL300061</v>
      </c>
      <c r="U177" s="15">
        <f t="shared" si="26"/>
        <v>0</v>
      </c>
      <c r="V177" s="25">
        <f t="shared" si="27"/>
        <v>0</v>
      </c>
    </row>
    <row r="178" spans="1:22" x14ac:dyDescent="0.25">
      <c r="A178" s="4" t="s">
        <v>177</v>
      </c>
      <c r="B178" s="5" t="s">
        <v>123</v>
      </c>
      <c r="C178" s="4" t="s">
        <v>124</v>
      </c>
      <c r="D178" s="5" t="s">
        <v>218</v>
      </c>
      <c r="E178" s="7" t="s">
        <v>84</v>
      </c>
      <c r="F178" s="7" t="s">
        <v>83</v>
      </c>
      <c r="G178" s="7" t="s">
        <v>14</v>
      </c>
      <c r="H178" s="8">
        <v>1</v>
      </c>
      <c r="I178" s="9">
        <v>23000</v>
      </c>
      <c r="J178" s="9">
        <f t="shared" si="20"/>
        <v>23000</v>
      </c>
      <c r="K178" s="6" t="s">
        <v>15</v>
      </c>
      <c r="L178" s="21" t="str">
        <f>+VLOOKUP(E178,mã!$B$2:$F$229,2,0)</f>
        <v>NL300070</v>
      </c>
      <c r="M178" s="22">
        <f>+VLOOKUP(T178,Sheet2!$B$2:$P$372,10,0)</f>
        <v>1</v>
      </c>
      <c r="N178" s="23">
        <f>+VLOOKUP(L178,mã!$C$2:$F$229,4,0)</f>
        <v>23000</v>
      </c>
      <c r="O178" s="23">
        <f t="shared" si="21"/>
        <v>23000</v>
      </c>
      <c r="P178" s="23">
        <f t="shared" si="22"/>
        <v>0</v>
      </c>
      <c r="Q178" s="21" t="str">
        <f t="shared" si="23"/>
        <v xml:space="preserve"> </v>
      </c>
      <c r="R178" s="14">
        <f>+VLOOKUP(T178,Sheet2!$B$2:$P$372,13,0)</f>
        <v>23000</v>
      </c>
      <c r="S178" s="24">
        <f t="shared" si="24"/>
        <v>0</v>
      </c>
      <c r="T178" t="str">
        <f t="shared" si="25"/>
        <v>07/01/2026NL300070</v>
      </c>
      <c r="U178" s="15">
        <f t="shared" si="26"/>
        <v>0</v>
      </c>
      <c r="V178" s="25">
        <f t="shared" si="27"/>
        <v>0</v>
      </c>
    </row>
    <row r="179" spans="1:22" x14ac:dyDescent="0.25">
      <c r="A179" s="4" t="s">
        <v>177</v>
      </c>
      <c r="B179" s="5" t="s">
        <v>123</v>
      </c>
      <c r="C179" s="4" t="s">
        <v>124</v>
      </c>
      <c r="D179" s="5" t="s">
        <v>218</v>
      </c>
      <c r="E179" s="7" t="s">
        <v>152</v>
      </c>
      <c r="F179" s="7" t="s">
        <v>153</v>
      </c>
      <c r="G179" s="7" t="s">
        <v>14</v>
      </c>
      <c r="H179" s="8">
        <v>1.1000000000000001</v>
      </c>
      <c r="I179" s="9">
        <v>20000</v>
      </c>
      <c r="J179" s="9">
        <f t="shared" si="20"/>
        <v>22000</v>
      </c>
      <c r="K179" s="6" t="s">
        <v>15</v>
      </c>
      <c r="L179" s="21" t="str">
        <f>+VLOOKUP(E179,mã!$B$2:$F$229,2,0)</f>
        <v>NL300071</v>
      </c>
      <c r="M179" s="22">
        <f>+VLOOKUP(T179,Sheet2!$B$2:$P$372,10,0)</f>
        <v>0</v>
      </c>
      <c r="N179" s="23">
        <f>+VLOOKUP(L179,mã!$C$2:$F$229,4,0)</f>
        <v>20000</v>
      </c>
      <c r="O179" s="23">
        <f t="shared" si="21"/>
        <v>0</v>
      </c>
      <c r="P179" s="23">
        <f t="shared" si="22"/>
        <v>22000</v>
      </c>
      <c r="Q179" s="21" t="str">
        <f t="shared" si="23"/>
        <v>SAI SL NHẬN</v>
      </c>
      <c r="R179" s="14">
        <f>+VLOOKUP(T179,Sheet2!$B$2:$P$372,13,0)</f>
        <v>0</v>
      </c>
      <c r="S179" s="24">
        <f t="shared" si="24"/>
        <v>0</v>
      </c>
      <c r="T179" t="str">
        <f t="shared" si="25"/>
        <v>07/01/2026NL300071</v>
      </c>
      <c r="U179" s="15">
        <f t="shared" si="26"/>
        <v>1.1000000000000001</v>
      </c>
      <c r="V179" s="25">
        <f t="shared" si="27"/>
        <v>0</v>
      </c>
    </row>
    <row r="180" spans="1:22" x14ac:dyDescent="0.25">
      <c r="A180" s="4" t="s">
        <v>177</v>
      </c>
      <c r="B180" s="5" t="s">
        <v>123</v>
      </c>
      <c r="C180" s="4" t="s">
        <v>124</v>
      </c>
      <c r="D180" s="5" t="s">
        <v>218</v>
      </c>
      <c r="E180" s="7" t="s">
        <v>141</v>
      </c>
      <c r="F180" s="7" t="s">
        <v>142</v>
      </c>
      <c r="G180" s="7" t="s">
        <v>14</v>
      </c>
      <c r="H180" s="8">
        <v>0.5</v>
      </c>
      <c r="I180" s="9">
        <v>95000</v>
      </c>
      <c r="J180" s="9">
        <f t="shared" si="20"/>
        <v>47500</v>
      </c>
      <c r="K180" s="6" t="s">
        <v>15</v>
      </c>
      <c r="L180" s="21" t="str">
        <f>+VLOOKUP(E180,mã!$B$2:$F$229,2,0)</f>
        <v>NL300080</v>
      </c>
      <c r="M180" s="22">
        <f>+VLOOKUP(T180,Sheet2!$B$2:$P$372,10,0)</f>
        <v>0.5</v>
      </c>
      <c r="N180" s="23">
        <f>+VLOOKUP(L180,mã!$C$2:$F$229,4,0)</f>
        <v>95000</v>
      </c>
      <c r="O180" s="23">
        <f t="shared" si="21"/>
        <v>47500</v>
      </c>
      <c r="P180" s="23">
        <f t="shared" si="22"/>
        <v>0</v>
      </c>
      <c r="Q180" s="21" t="str">
        <f t="shared" si="23"/>
        <v xml:space="preserve"> </v>
      </c>
      <c r="R180" s="14">
        <f>+VLOOKUP(T180,Sheet2!$B$2:$P$372,13,0)</f>
        <v>47500</v>
      </c>
      <c r="S180" s="24">
        <f t="shared" si="24"/>
        <v>0</v>
      </c>
      <c r="T180" t="str">
        <f t="shared" si="25"/>
        <v>07/01/2026NL300080</v>
      </c>
      <c r="U180" s="15">
        <f t="shared" si="26"/>
        <v>0</v>
      </c>
      <c r="V180" s="25">
        <f t="shared" si="27"/>
        <v>0</v>
      </c>
    </row>
    <row r="181" spans="1:22" x14ac:dyDescent="0.25">
      <c r="A181" s="4" t="s">
        <v>177</v>
      </c>
      <c r="B181" s="5" t="s">
        <v>123</v>
      </c>
      <c r="C181" s="4" t="s">
        <v>124</v>
      </c>
      <c r="D181" s="5" t="s">
        <v>218</v>
      </c>
      <c r="E181" s="7" t="s">
        <v>39</v>
      </c>
      <c r="F181" s="7" t="s">
        <v>40</v>
      </c>
      <c r="G181" s="7" t="s">
        <v>14</v>
      </c>
      <c r="H181" s="8">
        <v>1.5</v>
      </c>
      <c r="I181" s="9">
        <v>145000</v>
      </c>
      <c r="J181" s="9">
        <f t="shared" si="20"/>
        <v>217500</v>
      </c>
      <c r="K181" s="6" t="s">
        <v>15</v>
      </c>
      <c r="L181" s="21" t="str">
        <f>+VLOOKUP(E181,mã!$B$2:$F$229,2,0)</f>
        <v>NL300090</v>
      </c>
      <c r="M181" s="22">
        <f>+VLOOKUP(T181,Sheet2!$B$2:$P$372,10,0)</f>
        <v>1.4</v>
      </c>
      <c r="N181" s="23">
        <f>+VLOOKUP(L181,mã!$C$2:$F$229,4,0)</f>
        <v>145000</v>
      </c>
      <c r="O181" s="23">
        <f t="shared" si="21"/>
        <v>203000</v>
      </c>
      <c r="P181" s="23">
        <f t="shared" si="22"/>
        <v>14500</v>
      </c>
      <c r="Q181" s="21" t="str">
        <f t="shared" si="23"/>
        <v>SAI SL NHẬN</v>
      </c>
      <c r="R181" s="14">
        <f>+VLOOKUP(T181,Sheet2!$B$2:$P$372,13,0)</f>
        <v>203000</v>
      </c>
      <c r="S181" s="24">
        <f t="shared" si="24"/>
        <v>0</v>
      </c>
      <c r="T181" t="str">
        <f t="shared" si="25"/>
        <v>07/01/2026NL300090</v>
      </c>
      <c r="U181" s="15">
        <f t="shared" si="26"/>
        <v>0.10000000000000009</v>
      </c>
      <c r="V181" s="25">
        <f t="shared" si="27"/>
        <v>0</v>
      </c>
    </row>
    <row r="182" spans="1:22" x14ac:dyDescent="0.25">
      <c r="A182" s="4" t="s">
        <v>177</v>
      </c>
      <c r="B182" s="5" t="s">
        <v>123</v>
      </c>
      <c r="C182" s="4" t="s">
        <v>124</v>
      </c>
      <c r="D182" s="5" t="s">
        <v>218</v>
      </c>
      <c r="E182" s="7" t="s">
        <v>53</v>
      </c>
      <c r="F182" s="7" t="s">
        <v>54</v>
      </c>
      <c r="G182" s="7" t="s">
        <v>14</v>
      </c>
      <c r="H182" s="8">
        <v>1</v>
      </c>
      <c r="I182" s="9">
        <v>47000</v>
      </c>
      <c r="J182" s="9">
        <f t="shared" si="20"/>
        <v>47000</v>
      </c>
      <c r="K182" s="6" t="s">
        <v>15</v>
      </c>
      <c r="L182" s="21" t="str">
        <f>+VLOOKUP(E182,mã!$B$2:$F$229,2,0)</f>
        <v>NL300091</v>
      </c>
      <c r="M182" s="22">
        <f>+VLOOKUP(T182,Sheet2!$B$2:$P$372,10,0)</f>
        <v>1</v>
      </c>
      <c r="N182" s="23">
        <f>+VLOOKUP(L182,mã!$C$2:$F$229,4,0)</f>
        <v>47000</v>
      </c>
      <c r="O182" s="23">
        <f t="shared" si="21"/>
        <v>47000</v>
      </c>
      <c r="P182" s="23">
        <f t="shared" si="22"/>
        <v>0</v>
      </c>
      <c r="Q182" s="21" t="str">
        <f t="shared" si="23"/>
        <v xml:space="preserve"> </v>
      </c>
      <c r="R182" s="14">
        <f>+VLOOKUP(T182,Sheet2!$B$2:$P$372,13,0)</f>
        <v>47000</v>
      </c>
      <c r="S182" s="24">
        <f t="shared" si="24"/>
        <v>0</v>
      </c>
      <c r="T182" t="str">
        <f t="shared" si="25"/>
        <v>07/01/2026NL300091</v>
      </c>
      <c r="U182" s="15">
        <f t="shared" si="26"/>
        <v>0</v>
      </c>
      <c r="V182" s="25">
        <f t="shared" si="27"/>
        <v>0</v>
      </c>
    </row>
    <row r="183" spans="1:22" x14ac:dyDescent="0.25">
      <c r="A183" s="4" t="s">
        <v>177</v>
      </c>
      <c r="B183" s="5" t="s">
        <v>123</v>
      </c>
      <c r="C183" s="4" t="s">
        <v>124</v>
      </c>
      <c r="D183" s="5" t="s">
        <v>218</v>
      </c>
      <c r="E183" s="7" t="s">
        <v>29</v>
      </c>
      <c r="F183" s="7" t="s">
        <v>30</v>
      </c>
      <c r="G183" s="7" t="s">
        <v>14</v>
      </c>
      <c r="H183" s="8">
        <v>0.2</v>
      </c>
      <c r="I183" s="9">
        <v>45000</v>
      </c>
      <c r="J183" s="9">
        <f t="shared" si="20"/>
        <v>9000</v>
      </c>
      <c r="K183" s="6" t="s">
        <v>15</v>
      </c>
      <c r="L183" s="21" t="str">
        <f>+VLOOKUP(E183,mã!$B$2:$F$229,2,0)</f>
        <v>NL300096</v>
      </c>
      <c r="M183" s="22">
        <f>+VLOOKUP(T183,Sheet2!$B$2:$P$372,10,0)</f>
        <v>0.2</v>
      </c>
      <c r="N183" s="23">
        <f>+VLOOKUP(L183,mã!$C$2:$F$229,4,0)</f>
        <v>45000</v>
      </c>
      <c r="O183" s="23">
        <f t="shared" si="21"/>
        <v>9000</v>
      </c>
      <c r="P183" s="23">
        <f t="shared" si="22"/>
        <v>0</v>
      </c>
      <c r="Q183" s="21" t="str">
        <f t="shared" si="23"/>
        <v xml:space="preserve"> </v>
      </c>
      <c r="R183" s="14">
        <f>+VLOOKUP(T183,Sheet2!$B$2:$P$372,13,0)</f>
        <v>9000</v>
      </c>
      <c r="S183" s="24">
        <f t="shared" si="24"/>
        <v>0</v>
      </c>
      <c r="T183" t="str">
        <f t="shared" si="25"/>
        <v>07/01/2026NL300096</v>
      </c>
      <c r="U183" s="15">
        <f t="shared" si="26"/>
        <v>0</v>
      </c>
      <c r="V183" s="25">
        <f t="shared" si="27"/>
        <v>0</v>
      </c>
    </row>
    <row r="184" spans="1:22" x14ac:dyDescent="0.25">
      <c r="A184" s="4" t="s">
        <v>177</v>
      </c>
      <c r="B184" s="5" t="s">
        <v>123</v>
      </c>
      <c r="C184" s="4" t="s">
        <v>124</v>
      </c>
      <c r="D184" s="5" t="s">
        <v>218</v>
      </c>
      <c r="E184" s="7" t="s">
        <v>55</v>
      </c>
      <c r="F184" s="7" t="s">
        <v>56</v>
      </c>
      <c r="G184" s="7" t="s">
        <v>14</v>
      </c>
      <c r="H184" s="8">
        <v>0.3</v>
      </c>
      <c r="I184" s="9">
        <v>70000</v>
      </c>
      <c r="J184" s="9">
        <f t="shared" si="20"/>
        <v>21000</v>
      </c>
      <c r="K184" s="6" t="s">
        <v>15</v>
      </c>
      <c r="L184" s="21" t="str">
        <f>+VLOOKUP(E184,mã!$B$2:$F$229,2,0)</f>
        <v>NL300126</v>
      </c>
      <c r="M184" s="22">
        <f>+VLOOKUP(T184,Sheet2!$B$2:$P$372,10,0)</f>
        <v>0.3</v>
      </c>
      <c r="N184" s="23">
        <f>+VLOOKUP(L184,mã!$C$2:$F$229,4,0)</f>
        <v>70000</v>
      </c>
      <c r="O184" s="23">
        <f t="shared" si="21"/>
        <v>21000</v>
      </c>
      <c r="P184" s="23">
        <f t="shared" si="22"/>
        <v>0</v>
      </c>
      <c r="Q184" s="21" t="str">
        <f t="shared" si="23"/>
        <v xml:space="preserve"> </v>
      </c>
      <c r="R184" s="14">
        <f>+VLOOKUP(T184,Sheet2!$B$2:$P$372,13,0)</f>
        <v>21000</v>
      </c>
      <c r="S184" s="24">
        <f t="shared" si="24"/>
        <v>0</v>
      </c>
      <c r="T184" t="str">
        <f t="shared" si="25"/>
        <v>07/01/2026NL300126</v>
      </c>
      <c r="U184" s="15">
        <f t="shared" si="26"/>
        <v>0</v>
      </c>
      <c r="V184" s="25">
        <f t="shared" si="27"/>
        <v>0</v>
      </c>
    </row>
    <row r="185" spans="1:22" x14ac:dyDescent="0.25">
      <c r="A185" s="4" t="s">
        <v>177</v>
      </c>
      <c r="B185" s="5" t="s">
        <v>123</v>
      </c>
      <c r="C185" s="4" t="s">
        <v>124</v>
      </c>
      <c r="D185" s="5" t="s">
        <v>218</v>
      </c>
      <c r="E185" s="7" t="s">
        <v>41</v>
      </c>
      <c r="F185" s="7" t="s">
        <v>42</v>
      </c>
      <c r="G185" s="7" t="s">
        <v>14</v>
      </c>
      <c r="H185" s="8">
        <v>0.3</v>
      </c>
      <c r="I185" s="9">
        <v>145000</v>
      </c>
      <c r="J185" s="9">
        <f t="shared" si="20"/>
        <v>43500</v>
      </c>
      <c r="K185" s="6" t="s">
        <v>15</v>
      </c>
      <c r="L185" s="21" t="str">
        <f>+VLOOKUP(E185,mã!$B$2:$F$229,2,0)</f>
        <v>NL300113</v>
      </c>
      <c r="M185" s="22">
        <f>+VLOOKUP(T185,Sheet2!$B$2:$P$372,10,0)</f>
        <v>0.3</v>
      </c>
      <c r="N185" s="23">
        <f>+VLOOKUP(L185,mã!$C$2:$F$229,4,0)</f>
        <v>145000</v>
      </c>
      <c r="O185" s="23">
        <f t="shared" si="21"/>
        <v>43500</v>
      </c>
      <c r="P185" s="23">
        <f t="shared" si="22"/>
        <v>0</v>
      </c>
      <c r="Q185" s="21" t="str">
        <f t="shared" si="23"/>
        <v xml:space="preserve"> </v>
      </c>
      <c r="R185" s="14">
        <f>+VLOOKUP(T185,Sheet2!$B$2:$P$372,13,0)</f>
        <v>43500</v>
      </c>
      <c r="S185" s="24">
        <f t="shared" si="24"/>
        <v>0</v>
      </c>
      <c r="T185" t="str">
        <f t="shared" si="25"/>
        <v>07/01/2026NL300113</v>
      </c>
      <c r="U185" s="15">
        <f t="shared" si="26"/>
        <v>0</v>
      </c>
      <c r="V185" s="25">
        <f t="shared" si="27"/>
        <v>0</v>
      </c>
    </row>
    <row r="186" spans="1:22" x14ac:dyDescent="0.25">
      <c r="A186" s="4" t="s">
        <v>177</v>
      </c>
      <c r="B186" s="5" t="s">
        <v>123</v>
      </c>
      <c r="C186" s="4" t="s">
        <v>124</v>
      </c>
      <c r="D186" s="5" t="s">
        <v>218</v>
      </c>
      <c r="E186" s="7" t="s">
        <v>57</v>
      </c>
      <c r="F186" s="7" t="s">
        <v>58</v>
      </c>
      <c r="G186" s="7" t="s">
        <v>14</v>
      </c>
      <c r="H186" s="8">
        <v>0.3</v>
      </c>
      <c r="I186" s="9">
        <v>148000</v>
      </c>
      <c r="J186" s="9">
        <f t="shared" si="20"/>
        <v>44400</v>
      </c>
      <c r="K186" s="6" t="s">
        <v>15</v>
      </c>
      <c r="L186" s="21" t="s">
        <v>664</v>
      </c>
      <c r="M186" s="22">
        <f>+VLOOKUP(T186,Sheet2!$B$2:$P$372,10,0)</f>
        <v>0.3</v>
      </c>
      <c r="N186" s="23">
        <f>+VLOOKUP(L186,mã!$C$2:$F$229,4,0)</f>
        <v>148000</v>
      </c>
      <c r="O186" s="23">
        <f t="shared" si="21"/>
        <v>44400</v>
      </c>
      <c r="P186" s="23">
        <f t="shared" si="22"/>
        <v>0</v>
      </c>
      <c r="Q186" s="21" t="str">
        <f t="shared" si="23"/>
        <v xml:space="preserve"> </v>
      </c>
      <c r="R186" s="14">
        <f>+VLOOKUP(T186,Sheet2!$B$2:$P$372,13,0)</f>
        <v>44400</v>
      </c>
      <c r="S186" s="24">
        <f t="shared" si="24"/>
        <v>0</v>
      </c>
      <c r="T186" t="str">
        <f t="shared" si="25"/>
        <v>07/01/2026NL300116</v>
      </c>
      <c r="U186" s="15">
        <f t="shared" si="26"/>
        <v>0</v>
      </c>
      <c r="V186" s="25">
        <f t="shared" si="27"/>
        <v>0</v>
      </c>
    </row>
    <row r="187" spans="1:22" x14ac:dyDescent="0.25">
      <c r="A187" s="4" t="s">
        <v>177</v>
      </c>
      <c r="B187" s="5" t="s">
        <v>123</v>
      </c>
      <c r="C187" s="4" t="s">
        <v>124</v>
      </c>
      <c r="D187" s="5" t="s">
        <v>218</v>
      </c>
      <c r="E187" s="7" t="s">
        <v>47</v>
      </c>
      <c r="F187" s="7" t="s">
        <v>48</v>
      </c>
      <c r="G187" s="7" t="s">
        <v>14</v>
      </c>
      <c r="H187" s="8">
        <v>0.5</v>
      </c>
      <c r="I187" s="9">
        <v>21000</v>
      </c>
      <c r="J187" s="9">
        <f t="shared" si="20"/>
        <v>10500</v>
      </c>
      <c r="K187" s="6" t="s">
        <v>15</v>
      </c>
      <c r="L187" s="21" t="str">
        <f>+VLOOKUP(E187,mã!$B$2:$F$229,2,0)</f>
        <v>NL300119</v>
      </c>
      <c r="M187" s="22">
        <f>+VLOOKUP(T187,Sheet2!$B$2:$P$372,10,0)</f>
        <v>0.2</v>
      </c>
      <c r="N187" s="23">
        <f>+VLOOKUP(L187,mã!$C$2:$F$229,4,0)</f>
        <v>21000</v>
      </c>
      <c r="O187" s="23">
        <f t="shared" si="21"/>
        <v>4200</v>
      </c>
      <c r="P187" s="23">
        <f t="shared" si="22"/>
        <v>6300</v>
      </c>
      <c r="Q187" s="21" t="str">
        <f t="shared" si="23"/>
        <v>SAI SL NHẬN</v>
      </c>
      <c r="R187" s="14">
        <f>+VLOOKUP(T187,Sheet2!$B$2:$P$372,13,0)</f>
        <v>4200</v>
      </c>
      <c r="S187" s="24">
        <f t="shared" si="24"/>
        <v>0</v>
      </c>
      <c r="T187" t="str">
        <f t="shared" si="25"/>
        <v>07/01/2026NL300119</v>
      </c>
      <c r="U187" s="15">
        <f t="shared" si="26"/>
        <v>0.3</v>
      </c>
      <c r="V187" s="25">
        <f t="shared" si="27"/>
        <v>0</v>
      </c>
    </row>
    <row r="188" spans="1:22" x14ac:dyDescent="0.25">
      <c r="A188" s="4" t="s">
        <v>177</v>
      </c>
      <c r="B188" s="5" t="s">
        <v>123</v>
      </c>
      <c r="C188" s="4" t="s">
        <v>124</v>
      </c>
      <c r="D188" s="5" t="s">
        <v>218</v>
      </c>
      <c r="E188" s="7" t="s">
        <v>27</v>
      </c>
      <c r="F188" s="7" t="s">
        <v>28</v>
      </c>
      <c r="G188" s="7" t="s">
        <v>14</v>
      </c>
      <c r="H188" s="8">
        <v>0.3</v>
      </c>
      <c r="I188" s="9">
        <v>50000</v>
      </c>
      <c r="J188" s="9">
        <f t="shared" si="20"/>
        <v>15000</v>
      </c>
      <c r="K188" s="6" t="s">
        <v>15</v>
      </c>
      <c r="L188" s="21" t="str">
        <f>+VLOOKUP(E188,mã!$B$2:$F$229,2,0)</f>
        <v>NL300142</v>
      </c>
      <c r="M188" s="22">
        <f>+VLOOKUP(T188,Sheet2!$B$2:$P$372,10,0)</f>
        <v>0.3</v>
      </c>
      <c r="N188" s="23">
        <f>+VLOOKUP(L188,mã!$C$2:$F$229,4,0)</f>
        <v>50000</v>
      </c>
      <c r="O188" s="23">
        <f t="shared" si="21"/>
        <v>15000</v>
      </c>
      <c r="P188" s="23">
        <f t="shared" si="22"/>
        <v>0</v>
      </c>
      <c r="Q188" s="21" t="str">
        <f t="shared" si="23"/>
        <v xml:space="preserve"> </v>
      </c>
      <c r="R188" s="14">
        <f>+VLOOKUP(T188,Sheet2!$B$2:$P$372,13,0)</f>
        <v>15000</v>
      </c>
      <c r="S188" s="24">
        <f t="shared" si="24"/>
        <v>0</v>
      </c>
      <c r="T188" t="str">
        <f t="shared" si="25"/>
        <v>07/01/2026NL300142</v>
      </c>
      <c r="U188" s="15">
        <f t="shared" si="26"/>
        <v>0</v>
      </c>
      <c r="V188" s="25">
        <f t="shared" si="27"/>
        <v>0</v>
      </c>
    </row>
    <row r="189" spans="1:22" x14ac:dyDescent="0.25">
      <c r="A189" s="4" t="s">
        <v>177</v>
      </c>
      <c r="B189" s="5" t="s">
        <v>123</v>
      </c>
      <c r="C189" s="4" t="s">
        <v>124</v>
      </c>
      <c r="D189" s="5" t="s">
        <v>218</v>
      </c>
      <c r="E189" s="7" t="s">
        <v>145</v>
      </c>
      <c r="F189" s="7" t="s">
        <v>146</v>
      </c>
      <c r="G189" s="7" t="s">
        <v>14</v>
      </c>
      <c r="H189" s="8">
        <v>5</v>
      </c>
      <c r="I189" s="9">
        <v>38000</v>
      </c>
      <c r="J189" s="9">
        <f t="shared" si="20"/>
        <v>190000</v>
      </c>
      <c r="K189" s="6" t="s">
        <v>15</v>
      </c>
      <c r="L189" s="21" t="str">
        <f>+VLOOKUP(E189,mã!$B$2:$F$229,2,0)</f>
        <v>NL300145</v>
      </c>
      <c r="M189" s="22">
        <f>+VLOOKUP(T189,Sheet2!$B$2:$P$372,10,0)</f>
        <v>2.5</v>
      </c>
      <c r="N189" s="23">
        <f>+VLOOKUP(L189,mã!$C$2:$F$229,4,0)</f>
        <v>38000</v>
      </c>
      <c r="O189" s="23">
        <f t="shared" si="21"/>
        <v>95000</v>
      </c>
      <c r="P189" s="23">
        <f t="shared" si="22"/>
        <v>95000</v>
      </c>
      <c r="Q189" s="21" t="str">
        <f t="shared" si="23"/>
        <v>SAI SL NHẬN</v>
      </c>
      <c r="R189" s="14">
        <f>+VLOOKUP(T189,Sheet2!$B$2:$P$372,13,0)</f>
        <v>95000</v>
      </c>
      <c r="S189" s="24">
        <f t="shared" si="24"/>
        <v>0</v>
      </c>
      <c r="T189" t="str">
        <f t="shared" si="25"/>
        <v>07/01/2026NL300145</v>
      </c>
      <c r="U189" s="15">
        <f t="shared" si="26"/>
        <v>2.5</v>
      </c>
      <c r="V189" s="25">
        <f t="shared" si="27"/>
        <v>0</v>
      </c>
    </row>
    <row r="190" spans="1:22" x14ac:dyDescent="0.25">
      <c r="A190" s="4" t="s">
        <v>180</v>
      </c>
      <c r="B190" s="5" t="s">
        <v>123</v>
      </c>
      <c r="C190" s="4" t="s">
        <v>124</v>
      </c>
      <c r="D190" s="5" t="s">
        <v>219</v>
      </c>
      <c r="E190" s="7" t="s">
        <v>12</v>
      </c>
      <c r="F190" s="7" t="s">
        <v>13</v>
      </c>
      <c r="G190" s="7" t="s">
        <v>14</v>
      </c>
      <c r="H190" s="8">
        <v>1.9</v>
      </c>
      <c r="I190" s="9">
        <v>19000</v>
      </c>
      <c r="J190" s="9">
        <f t="shared" si="20"/>
        <v>36100</v>
      </c>
      <c r="K190" s="6" t="s">
        <v>15</v>
      </c>
      <c r="L190" s="21" t="str">
        <f>+VLOOKUP(E190,mã!$B$2:$F$229,2,0)</f>
        <v>NL300004</v>
      </c>
      <c r="M190" s="22">
        <f>+VLOOKUP(T190,Sheet2!$B$2:$P$372,10,0)</f>
        <v>1.5</v>
      </c>
      <c r="N190" s="23">
        <f>+VLOOKUP(L190,mã!$C$2:$F$229,4,0)</f>
        <v>19000</v>
      </c>
      <c r="O190" s="23">
        <f t="shared" si="21"/>
        <v>28500</v>
      </c>
      <c r="P190" s="23">
        <f t="shared" si="22"/>
        <v>7600</v>
      </c>
      <c r="Q190" s="21" t="str">
        <f t="shared" si="23"/>
        <v>SAI SL NHẬN</v>
      </c>
      <c r="R190" s="14">
        <f>+VLOOKUP(T190,Sheet2!$B$2:$P$372,13,0)</f>
        <v>28500</v>
      </c>
      <c r="S190" s="24">
        <f t="shared" si="24"/>
        <v>0</v>
      </c>
      <c r="T190" t="str">
        <f t="shared" si="25"/>
        <v>08/01/2026NL300004</v>
      </c>
      <c r="U190" s="15">
        <f t="shared" si="26"/>
        <v>0.39999999999999991</v>
      </c>
      <c r="V190" s="25">
        <f t="shared" si="27"/>
        <v>0</v>
      </c>
    </row>
    <row r="191" spans="1:22" x14ac:dyDescent="0.25">
      <c r="A191" s="4" t="s">
        <v>180</v>
      </c>
      <c r="B191" s="5" t="s">
        <v>123</v>
      </c>
      <c r="C191" s="4" t="s">
        <v>124</v>
      </c>
      <c r="D191" s="5" t="s">
        <v>219</v>
      </c>
      <c r="E191" s="7" t="s">
        <v>16</v>
      </c>
      <c r="F191" s="7" t="s">
        <v>17</v>
      </c>
      <c r="G191" s="7" t="s">
        <v>18</v>
      </c>
      <c r="H191" s="8">
        <v>5</v>
      </c>
      <c r="I191" s="9">
        <v>8500</v>
      </c>
      <c r="J191" s="9">
        <f t="shared" si="20"/>
        <v>42500</v>
      </c>
      <c r="K191" s="6" t="s">
        <v>15</v>
      </c>
      <c r="L191" s="21" t="str">
        <f>+VLOOKUP(E191,mã!$B$2:$F$229,2,0)</f>
        <v>NL300107</v>
      </c>
      <c r="M191" s="22">
        <f>+VLOOKUP(T191,Sheet2!$B$2:$P$372,10,0)</f>
        <v>4</v>
      </c>
      <c r="N191" s="23">
        <f>+VLOOKUP(L191,mã!$C$2:$F$229,4,0)</f>
        <v>8500</v>
      </c>
      <c r="O191" s="23">
        <f t="shared" si="21"/>
        <v>34000</v>
      </c>
      <c r="P191" s="23">
        <f t="shared" si="22"/>
        <v>8500</v>
      </c>
      <c r="Q191" s="21" t="str">
        <f t="shared" si="23"/>
        <v>SAI SL NHẬN</v>
      </c>
      <c r="R191" s="14">
        <f>+VLOOKUP(T191,Sheet2!$B$2:$P$372,13,0)</f>
        <v>34000</v>
      </c>
      <c r="S191" s="24">
        <f t="shared" si="24"/>
        <v>0</v>
      </c>
      <c r="T191" t="str">
        <f t="shared" si="25"/>
        <v>08/01/2026NL300107</v>
      </c>
      <c r="U191" s="15">
        <f t="shared" si="26"/>
        <v>1</v>
      </c>
      <c r="V191" s="25">
        <f t="shared" si="27"/>
        <v>0</v>
      </c>
    </row>
    <row r="192" spans="1:22" x14ac:dyDescent="0.25">
      <c r="A192" s="4" t="s">
        <v>180</v>
      </c>
      <c r="B192" s="5" t="s">
        <v>123</v>
      </c>
      <c r="C192" s="4" t="s">
        <v>124</v>
      </c>
      <c r="D192" s="5" t="s">
        <v>219</v>
      </c>
      <c r="E192" s="7" t="s">
        <v>101</v>
      </c>
      <c r="F192" s="7" t="s">
        <v>100</v>
      </c>
      <c r="G192" s="7" t="s">
        <v>14</v>
      </c>
      <c r="H192" s="8">
        <v>1</v>
      </c>
      <c r="I192" s="9">
        <v>40000</v>
      </c>
      <c r="J192" s="9">
        <f t="shared" si="20"/>
        <v>40000</v>
      </c>
      <c r="K192" s="6" t="s">
        <v>15</v>
      </c>
      <c r="L192" s="21" t="str">
        <f>+VLOOKUP(E192,mã!$B$2:$F$229,2,0)</f>
        <v>NL300008</v>
      </c>
      <c r="M192" s="22">
        <f>+VLOOKUP(T192,Sheet2!$B$2:$P$372,10,0)</f>
        <v>1</v>
      </c>
      <c r="N192" s="23">
        <f>+VLOOKUP(L192,mã!$C$2:$F$229,4,0)</f>
        <v>40000</v>
      </c>
      <c r="O192" s="23">
        <f t="shared" si="21"/>
        <v>40000</v>
      </c>
      <c r="P192" s="23">
        <f t="shared" si="22"/>
        <v>0</v>
      </c>
      <c r="Q192" s="21" t="str">
        <f t="shared" si="23"/>
        <v xml:space="preserve"> </v>
      </c>
      <c r="R192" s="14">
        <f>+VLOOKUP(T192,Sheet2!$B$2:$P$372,13,0)</f>
        <v>40000</v>
      </c>
      <c r="S192" s="24">
        <f t="shared" si="24"/>
        <v>0</v>
      </c>
      <c r="T192" t="str">
        <f t="shared" si="25"/>
        <v>08/01/2026NL300008</v>
      </c>
      <c r="U192" s="15">
        <f t="shared" si="26"/>
        <v>0</v>
      </c>
      <c r="V192" s="25">
        <f t="shared" si="27"/>
        <v>0</v>
      </c>
    </row>
    <row r="193" spans="1:22" x14ac:dyDescent="0.25">
      <c r="A193" s="4" t="s">
        <v>180</v>
      </c>
      <c r="B193" s="5" t="s">
        <v>123</v>
      </c>
      <c r="C193" s="4" t="s">
        <v>124</v>
      </c>
      <c r="D193" s="5" t="s">
        <v>219</v>
      </c>
      <c r="E193" s="7" t="s">
        <v>131</v>
      </c>
      <c r="F193" s="7" t="s">
        <v>132</v>
      </c>
      <c r="G193" s="7" t="s">
        <v>14</v>
      </c>
      <c r="H193" s="8">
        <v>0.5</v>
      </c>
      <c r="I193" s="9">
        <v>55000</v>
      </c>
      <c r="J193" s="9">
        <f t="shared" si="20"/>
        <v>27500</v>
      </c>
      <c r="K193" s="6" t="s">
        <v>15</v>
      </c>
      <c r="L193" s="21" t="str">
        <f>+VLOOKUP(E193,mã!$B$2:$F$229,2,0)</f>
        <v>NL300014</v>
      </c>
      <c r="M193" s="22">
        <f>+VLOOKUP(T193,Sheet2!$B$2:$P$372,10,0)</f>
        <v>0.5</v>
      </c>
      <c r="N193" s="23">
        <f>+VLOOKUP(L193,mã!$C$2:$F$229,4,0)</f>
        <v>55000</v>
      </c>
      <c r="O193" s="23">
        <f t="shared" si="21"/>
        <v>27500</v>
      </c>
      <c r="P193" s="23">
        <f t="shared" si="22"/>
        <v>0</v>
      </c>
      <c r="Q193" s="21" t="str">
        <f t="shared" si="23"/>
        <v xml:space="preserve"> </v>
      </c>
      <c r="R193" s="14">
        <f>+VLOOKUP(T193,Sheet2!$B$2:$P$372,13,0)</f>
        <v>27500</v>
      </c>
      <c r="S193" s="24">
        <f t="shared" si="24"/>
        <v>0</v>
      </c>
      <c r="T193" t="str">
        <f t="shared" si="25"/>
        <v>08/01/2026NL300014</v>
      </c>
      <c r="U193" s="15">
        <f t="shared" si="26"/>
        <v>0</v>
      </c>
      <c r="V193" s="25">
        <f t="shared" si="27"/>
        <v>0</v>
      </c>
    </row>
    <row r="194" spans="1:22" x14ac:dyDescent="0.25">
      <c r="A194" s="4" t="s">
        <v>180</v>
      </c>
      <c r="B194" s="5" t="s">
        <v>123</v>
      </c>
      <c r="C194" s="4" t="s">
        <v>124</v>
      </c>
      <c r="D194" s="5" t="s">
        <v>219</v>
      </c>
      <c r="E194" s="7" t="s">
        <v>125</v>
      </c>
      <c r="F194" s="7" t="s">
        <v>126</v>
      </c>
      <c r="G194" s="7" t="s">
        <v>14</v>
      </c>
      <c r="H194" s="8">
        <v>2</v>
      </c>
      <c r="I194" s="9">
        <v>18000</v>
      </c>
      <c r="J194" s="9">
        <f t="shared" si="20"/>
        <v>36000</v>
      </c>
      <c r="K194" s="6" t="s">
        <v>15</v>
      </c>
      <c r="L194" s="21" t="str">
        <f>+VLOOKUP(E194,mã!$B$2:$F$229,2,0)</f>
        <v>NL300027</v>
      </c>
      <c r="M194" s="22">
        <f>+VLOOKUP(T194,Sheet2!$B$2:$P$372,10,0)</f>
        <v>2</v>
      </c>
      <c r="N194" s="23">
        <f>+VLOOKUP(L194,mã!$C$2:$F$229,4,0)</f>
        <v>18000</v>
      </c>
      <c r="O194" s="23">
        <f t="shared" si="21"/>
        <v>36000</v>
      </c>
      <c r="P194" s="23">
        <f t="shared" si="22"/>
        <v>0</v>
      </c>
      <c r="Q194" s="21" t="str">
        <f t="shared" si="23"/>
        <v xml:space="preserve"> </v>
      </c>
      <c r="R194" s="14">
        <f>+VLOOKUP(T194,Sheet2!$B$2:$P$372,13,0)</f>
        <v>36000</v>
      </c>
      <c r="S194" s="24">
        <f t="shared" si="24"/>
        <v>0</v>
      </c>
      <c r="T194" t="str">
        <f t="shared" si="25"/>
        <v>08/01/2026NL300027</v>
      </c>
      <c r="U194" s="15">
        <f t="shared" si="26"/>
        <v>0</v>
      </c>
      <c r="V194" s="25">
        <f t="shared" si="27"/>
        <v>0</v>
      </c>
    </row>
    <row r="195" spans="1:22" x14ac:dyDescent="0.25">
      <c r="A195" s="4" t="s">
        <v>180</v>
      </c>
      <c r="B195" s="5" t="s">
        <v>123</v>
      </c>
      <c r="C195" s="4" t="s">
        <v>124</v>
      </c>
      <c r="D195" s="5" t="s">
        <v>219</v>
      </c>
      <c r="E195" s="7" t="s">
        <v>127</v>
      </c>
      <c r="F195" s="7" t="s">
        <v>128</v>
      </c>
      <c r="G195" s="7" t="s">
        <v>14</v>
      </c>
      <c r="H195" s="8">
        <v>2</v>
      </c>
      <c r="I195" s="9">
        <v>13000</v>
      </c>
      <c r="J195" s="9">
        <f t="shared" si="20"/>
        <v>26000</v>
      </c>
      <c r="K195" s="6" t="s">
        <v>15</v>
      </c>
      <c r="L195" s="21" t="str">
        <f>+VLOOKUP(E195,mã!$B$2:$F$229,2,0)</f>
        <v>NL300033</v>
      </c>
      <c r="M195" s="22">
        <f>+VLOOKUP(T195,Sheet2!$B$2:$P$372,10,0)</f>
        <v>2</v>
      </c>
      <c r="N195" s="23">
        <f>+VLOOKUP(L195,mã!$C$2:$F$229,4,0)</f>
        <v>13000</v>
      </c>
      <c r="O195" s="23">
        <f t="shared" si="21"/>
        <v>26000</v>
      </c>
      <c r="P195" s="23">
        <f t="shared" si="22"/>
        <v>0</v>
      </c>
      <c r="Q195" s="21" t="str">
        <f t="shared" si="23"/>
        <v xml:space="preserve"> </v>
      </c>
      <c r="R195" s="14">
        <f>+VLOOKUP(T195,Sheet2!$B$2:$P$372,13,0)</f>
        <v>26000</v>
      </c>
      <c r="S195" s="24">
        <f t="shared" si="24"/>
        <v>0</v>
      </c>
      <c r="T195" t="str">
        <f t="shared" si="25"/>
        <v>08/01/2026NL300033</v>
      </c>
      <c r="U195" s="15">
        <f t="shared" si="26"/>
        <v>0</v>
      </c>
      <c r="V195" s="25">
        <f t="shared" si="27"/>
        <v>0</v>
      </c>
    </row>
    <row r="196" spans="1:22" x14ac:dyDescent="0.25">
      <c r="A196" s="4" t="s">
        <v>180</v>
      </c>
      <c r="B196" s="5" t="s">
        <v>123</v>
      </c>
      <c r="C196" s="4" t="s">
        <v>124</v>
      </c>
      <c r="D196" s="5" t="s">
        <v>219</v>
      </c>
      <c r="E196" s="7" t="s">
        <v>19</v>
      </c>
      <c r="F196" s="7" t="s">
        <v>20</v>
      </c>
      <c r="G196" s="7" t="s">
        <v>14</v>
      </c>
      <c r="H196" s="8">
        <v>1</v>
      </c>
      <c r="I196" s="9">
        <v>32000</v>
      </c>
      <c r="J196" s="9">
        <f t="shared" si="20"/>
        <v>32000</v>
      </c>
      <c r="K196" s="6" t="s">
        <v>15</v>
      </c>
      <c r="L196" s="21" t="str">
        <f>+VLOOKUP(E196,mã!$B$2:$F$229,2,0)</f>
        <v>NL300038</v>
      </c>
      <c r="M196" s="22">
        <f>+VLOOKUP(T196,Sheet2!$B$2:$P$372,10,0)</f>
        <v>1</v>
      </c>
      <c r="N196" s="23">
        <f>+VLOOKUP(L196,mã!$C$2:$F$229,4,0)</f>
        <v>32000</v>
      </c>
      <c r="O196" s="23">
        <f t="shared" si="21"/>
        <v>32000</v>
      </c>
      <c r="P196" s="23">
        <f t="shared" si="22"/>
        <v>0</v>
      </c>
      <c r="Q196" s="21" t="str">
        <f t="shared" si="23"/>
        <v xml:space="preserve"> </v>
      </c>
      <c r="R196" s="14">
        <f>+VLOOKUP(T196,Sheet2!$B$2:$P$372,13,0)</f>
        <v>32000</v>
      </c>
      <c r="S196" s="24">
        <f t="shared" si="24"/>
        <v>0</v>
      </c>
      <c r="T196" t="str">
        <f t="shared" si="25"/>
        <v>08/01/2026NL300038</v>
      </c>
      <c r="U196" s="15">
        <f t="shared" si="26"/>
        <v>0</v>
      </c>
      <c r="V196" s="25">
        <f t="shared" si="27"/>
        <v>0</v>
      </c>
    </row>
    <row r="197" spans="1:22" x14ac:dyDescent="0.25">
      <c r="A197" s="4" t="s">
        <v>180</v>
      </c>
      <c r="B197" s="5" t="s">
        <v>123</v>
      </c>
      <c r="C197" s="4" t="s">
        <v>124</v>
      </c>
      <c r="D197" s="5" t="s">
        <v>219</v>
      </c>
      <c r="E197" s="7" t="s">
        <v>51</v>
      </c>
      <c r="F197" s="7" t="s">
        <v>52</v>
      </c>
      <c r="G197" s="7" t="s">
        <v>14</v>
      </c>
      <c r="H197" s="8">
        <v>5</v>
      </c>
      <c r="I197" s="9">
        <v>18000</v>
      </c>
      <c r="J197" s="9">
        <f t="shared" si="20"/>
        <v>90000</v>
      </c>
      <c r="K197" s="6" t="s">
        <v>15</v>
      </c>
      <c r="L197" s="21" t="str">
        <f>+VLOOKUP(E197,mã!$B$2:$F$229,2,0)</f>
        <v>NL600004</v>
      </c>
      <c r="M197" s="22">
        <f>+VLOOKUP(T197,Sheet2!$B$2:$P$372,10,0)</f>
        <v>5</v>
      </c>
      <c r="N197" s="23">
        <f>+VLOOKUP(L197,mã!$C$2:$F$229,4,0)</f>
        <v>18000</v>
      </c>
      <c r="O197" s="23">
        <f t="shared" si="21"/>
        <v>90000</v>
      </c>
      <c r="P197" s="23">
        <f t="shared" si="22"/>
        <v>0</v>
      </c>
      <c r="Q197" s="21" t="str">
        <f t="shared" si="23"/>
        <v xml:space="preserve"> </v>
      </c>
      <c r="R197" s="14">
        <f>+VLOOKUP(T197,Sheet2!$B$2:$P$372,13,0)</f>
        <v>90000</v>
      </c>
      <c r="S197" s="24">
        <f t="shared" si="24"/>
        <v>0</v>
      </c>
      <c r="T197" t="str">
        <f t="shared" si="25"/>
        <v>08/01/2026NL600004</v>
      </c>
      <c r="U197" s="15">
        <f t="shared" si="26"/>
        <v>0</v>
      </c>
      <c r="V197" s="25">
        <f t="shared" si="27"/>
        <v>0</v>
      </c>
    </row>
    <row r="198" spans="1:22" x14ac:dyDescent="0.25">
      <c r="A198" s="4" t="s">
        <v>180</v>
      </c>
      <c r="B198" s="5" t="s">
        <v>123</v>
      </c>
      <c r="C198" s="4" t="s">
        <v>124</v>
      </c>
      <c r="D198" s="5" t="s">
        <v>219</v>
      </c>
      <c r="E198" s="7" t="s">
        <v>137</v>
      </c>
      <c r="F198" s="7" t="s">
        <v>138</v>
      </c>
      <c r="G198" s="7" t="s">
        <v>14</v>
      </c>
      <c r="H198" s="8">
        <v>0.5</v>
      </c>
      <c r="I198" s="9">
        <v>9000</v>
      </c>
      <c r="J198" s="9">
        <f t="shared" si="20"/>
        <v>4500</v>
      </c>
      <c r="K198" s="6" t="s">
        <v>15</v>
      </c>
      <c r="L198" s="21" t="str">
        <f>+VLOOKUP(E198,mã!$B$2:$F$229,2,0)</f>
        <v>NL300050</v>
      </c>
      <c r="M198" s="22">
        <f>+VLOOKUP(T198,Sheet2!$B$2:$P$372,10,0)</f>
        <v>0.5</v>
      </c>
      <c r="N198" s="23">
        <f>+VLOOKUP(L198,mã!$C$2:$F$229,4,0)</f>
        <v>9000</v>
      </c>
      <c r="O198" s="23">
        <f t="shared" si="21"/>
        <v>4500</v>
      </c>
      <c r="P198" s="23">
        <f t="shared" si="22"/>
        <v>0</v>
      </c>
      <c r="Q198" s="21" t="str">
        <f t="shared" si="23"/>
        <v xml:space="preserve"> </v>
      </c>
      <c r="R198" s="14">
        <f>+VLOOKUP(T198,Sheet2!$B$2:$P$372,13,0)</f>
        <v>4500</v>
      </c>
      <c r="S198" s="24">
        <f t="shared" si="24"/>
        <v>0</v>
      </c>
      <c r="T198" t="str">
        <f t="shared" si="25"/>
        <v>08/01/2026NL300050</v>
      </c>
      <c r="U198" s="15">
        <f t="shared" si="26"/>
        <v>0</v>
      </c>
      <c r="V198" s="25">
        <f t="shared" si="27"/>
        <v>0</v>
      </c>
    </row>
    <row r="199" spans="1:22" x14ac:dyDescent="0.25">
      <c r="A199" s="4" t="s">
        <v>180</v>
      </c>
      <c r="B199" s="5" t="s">
        <v>123</v>
      </c>
      <c r="C199" s="4" t="s">
        <v>124</v>
      </c>
      <c r="D199" s="5" t="s">
        <v>219</v>
      </c>
      <c r="E199" s="7" t="s">
        <v>139</v>
      </c>
      <c r="F199" s="7" t="s">
        <v>140</v>
      </c>
      <c r="G199" s="7" t="s">
        <v>14</v>
      </c>
      <c r="H199" s="8">
        <v>0.3</v>
      </c>
      <c r="I199" s="9">
        <v>30000</v>
      </c>
      <c r="J199" s="9">
        <f t="shared" si="20"/>
        <v>9000</v>
      </c>
      <c r="K199" s="6" t="s">
        <v>15</v>
      </c>
      <c r="L199" s="21" t="str">
        <f>+VLOOKUP(E199,mã!$B$2:$F$229,2,0)</f>
        <v>NL300053</v>
      </c>
      <c r="M199" s="22">
        <f>+VLOOKUP(T199,Sheet2!$B$2:$P$372,10,0)</f>
        <v>0.3</v>
      </c>
      <c r="N199" s="23">
        <f>+VLOOKUP(L199,mã!$C$2:$F$229,4,0)</f>
        <v>30000</v>
      </c>
      <c r="O199" s="23">
        <f t="shared" si="21"/>
        <v>9000</v>
      </c>
      <c r="P199" s="23">
        <f t="shared" si="22"/>
        <v>0</v>
      </c>
      <c r="Q199" s="21" t="str">
        <f t="shared" si="23"/>
        <v xml:space="preserve"> </v>
      </c>
      <c r="R199" s="14">
        <f>+VLOOKUP(T199,Sheet2!$B$2:$P$372,13,0)</f>
        <v>9000</v>
      </c>
      <c r="S199" s="24">
        <f t="shared" si="24"/>
        <v>0</v>
      </c>
      <c r="T199" t="str">
        <f t="shared" si="25"/>
        <v>08/01/2026NL300053</v>
      </c>
      <c r="U199" s="15">
        <f t="shared" si="26"/>
        <v>0</v>
      </c>
      <c r="V199" s="25">
        <f t="shared" si="27"/>
        <v>0</v>
      </c>
    </row>
    <row r="200" spans="1:22" x14ac:dyDescent="0.25">
      <c r="A200" s="4" t="s">
        <v>180</v>
      </c>
      <c r="B200" s="5" t="s">
        <v>123</v>
      </c>
      <c r="C200" s="4" t="s">
        <v>124</v>
      </c>
      <c r="D200" s="5" t="s">
        <v>219</v>
      </c>
      <c r="E200" s="7" t="s">
        <v>21</v>
      </c>
      <c r="F200" s="7" t="s">
        <v>22</v>
      </c>
      <c r="G200" s="7" t="s">
        <v>14</v>
      </c>
      <c r="H200" s="8">
        <v>0.2</v>
      </c>
      <c r="I200" s="9">
        <v>55000</v>
      </c>
      <c r="J200" s="9">
        <f t="shared" si="20"/>
        <v>11000</v>
      </c>
      <c r="K200" s="6" t="s">
        <v>15</v>
      </c>
      <c r="L200" s="21" t="str">
        <f>+VLOOKUP(E200,mã!$B$2:$F$229,2,0)</f>
        <v>NL300058</v>
      </c>
      <c r="M200" s="22">
        <f>+VLOOKUP(T200,Sheet2!$B$2:$P$372,10,0)</f>
        <v>0.2</v>
      </c>
      <c r="N200" s="23">
        <f>+VLOOKUP(L200,mã!$C$2:$F$229,4,0)</f>
        <v>55000</v>
      </c>
      <c r="O200" s="23">
        <f t="shared" si="21"/>
        <v>11000</v>
      </c>
      <c r="P200" s="23">
        <f t="shared" si="22"/>
        <v>0</v>
      </c>
      <c r="Q200" s="21" t="str">
        <f t="shared" si="23"/>
        <v xml:space="preserve"> </v>
      </c>
      <c r="R200" s="14">
        <f>+VLOOKUP(T200,Sheet2!$B$2:$P$372,13,0)</f>
        <v>11000</v>
      </c>
      <c r="S200" s="24">
        <f t="shared" si="24"/>
        <v>0</v>
      </c>
      <c r="T200" t="str">
        <f t="shared" si="25"/>
        <v>08/01/2026NL300058</v>
      </c>
      <c r="U200" s="15">
        <f t="shared" si="26"/>
        <v>0</v>
      </c>
      <c r="V200" s="25">
        <f t="shared" si="27"/>
        <v>0</v>
      </c>
    </row>
    <row r="201" spans="1:22" x14ac:dyDescent="0.25">
      <c r="A201" s="4" t="s">
        <v>180</v>
      </c>
      <c r="B201" s="5" t="s">
        <v>123</v>
      </c>
      <c r="C201" s="4" t="s">
        <v>124</v>
      </c>
      <c r="D201" s="5" t="s">
        <v>219</v>
      </c>
      <c r="E201" s="7" t="s">
        <v>86</v>
      </c>
      <c r="F201" s="7" t="s">
        <v>85</v>
      </c>
      <c r="G201" s="7" t="s">
        <v>14</v>
      </c>
      <c r="H201" s="8">
        <v>0.5</v>
      </c>
      <c r="I201" s="9">
        <v>38000</v>
      </c>
      <c r="J201" s="9">
        <f t="shared" si="20"/>
        <v>19000</v>
      </c>
      <c r="K201" s="6" t="s">
        <v>15</v>
      </c>
      <c r="L201" s="21" t="str">
        <f>+VLOOKUP(E201,mã!$B$2:$F$229,2,0)</f>
        <v>NL300061</v>
      </c>
      <c r="M201" s="22">
        <f>+VLOOKUP(T201,Sheet2!$B$2:$P$372,10,0)</f>
        <v>0.4</v>
      </c>
      <c r="N201" s="23">
        <f>+VLOOKUP(L201,mã!$C$2:$F$229,4,0)</f>
        <v>38000</v>
      </c>
      <c r="O201" s="23">
        <f t="shared" si="21"/>
        <v>15200</v>
      </c>
      <c r="P201" s="23">
        <f t="shared" si="22"/>
        <v>3800</v>
      </c>
      <c r="Q201" s="21" t="str">
        <f t="shared" si="23"/>
        <v>SAI SL NHẬN</v>
      </c>
      <c r="R201" s="14">
        <f>+VLOOKUP(T201,Sheet2!$B$2:$P$372,13,0)</f>
        <v>15200</v>
      </c>
      <c r="S201" s="24">
        <f t="shared" si="24"/>
        <v>0</v>
      </c>
      <c r="T201" t="str">
        <f t="shared" si="25"/>
        <v>08/01/2026NL300061</v>
      </c>
      <c r="U201" s="15">
        <f t="shared" si="26"/>
        <v>9.9999999999999978E-2</v>
      </c>
      <c r="V201" s="25">
        <f t="shared" si="27"/>
        <v>0</v>
      </c>
    </row>
    <row r="202" spans="1:22" x14ac:dyDescent="0.25">
      <c r="A202" s="4" t="s">
        <v>180</v>
      </c>
      <c r="B202" s="5" t="s">
        <v>123</v>
      </c>
      <c r="C202" s="4" t="s">
        <v>124</v>
      </c>
      <c r="D202" s="5" t="s">
        <v>219</v>
      </c>
      <c r="E202" s="7" t="s">
        <v>23</v>
      </c>
      <c r="F202" s="7" t="s">
        <v>24</v>
      </c>
      <c r="G202" s="7" t="s">
        <v>14</v>
      </c>
      <c r="H202" s="8">
        <v>1</v>
      </c>
      <c r="I202" s="9">
        <v>13000</v>
      </c>
      <c r="J202" s="9">
        <f t="shared" si="20"/>
        <v>13000</v>
      </c>
      <c r="K202" s="6" t="s">
        <v>15</v>
      </c>
      <c r="L202" s="21" t="str">
        <f>+VLOOKUP(E202,mã!$B$2:$F$229,2,0)</f>
        <v>NL300059</v>
      </c>
      <c r="M202" s="22">
        <f>+VLOOKUP(T202,Sheet2!$B$2:$P$372,10,0)</f>
        <v>1</v>
      </c>
      <c r="N202" s="23">
        <f>+VLOOKUP(L202,mã!$C$2:$F$229,4,0)</f>
        <v>13000</v>
      </c>
      <c r="O202" s="23">
        <f t="shared" si="21"/>
        <v>13000</v>
      </c>
      <c r="P202" s="23">
        <f t="shared" si="22"/>
        <v>0</v>
      </c>
      <c r="Q202" s="21" t="str">
        <f t="shared" si="23"/>
        <v xml:space="preserve"> </v>
      </c>
      <c r="R202" s="14">
        <f>+VLOOKUP(T202,Sheet2!$B$2:$P$372,13,0)</f>
        <v>13000</v>
      </c>
      <c r="S202" s="24">
        <f t="shared" si="24"/>
        <v>0</v>
      </c>
      <c r="T202" t="str">
        <f t="shared" si="25"/>
        <v>08/01/2026NL300059</v>
      </c>
      <c r="U202" s="15">
        <f t="shared" si="26"/>
        <v>0</v>
      </c>
      <c r="V202" s="25">
        <f t="shared" si="27"/>
        <v>0</v>
      </c>
    </row>
    <row r="203" spans="1:22" x14ac:dyDescent="0.25">
      <c r="A203" s="4" t="s">
        <v>180</v>
      </c>
      <c r="B203" s="5" t="s">
        <v>123</v>
      </c>
      <c r="C203" s="4" t="s">
        <v>124</v>
      </c>
      <c r="D203" s="5" t="s">
        <v>219</v>
      </c>
      <c r="E203" s="7" t="s">
        <v>84</v>
      </c>
      <c r="F203" s="7" t="s">
        <v>83</v>
      </c>
      <c r="G203" s="7" t="s">
        <v>14</v>
      </c>
      <c r="H203" s="8">
        <v>1.1000000000000001</v>
      </c>
      <c r="I203" s="9">
        <v>23000</v>
      </c>
      <c r="J203" s="9">
        <f t="shared" si="20"/>
        <v>25300.000000000004</v>
      </c>
      <c r="K203" s="6" t="s">
        <v>15</v>
      </c>
      <c r="L203" s="21" t="str">
        <f>+VLOOKUP(E203,mã!$B$2:$F$229,2,0)</f>
        <v>NL300070</v>
      </c>
      <c r="M203" s="22">
        <f>+VLOOKUP(T203,Sheet2!$B$2:$P$372,10,0)</f>
        <v>1.1000000000000001</v>
      </c>
      <c r="N203" s="23">
        <f>+VLOOKUP(L203,mã!$C$2:$F$229,4,0)</f>
        <v>23000</v>
      </c>
      <c r="O203" s="23">
        <f t="shared" si="21"/>
        <v>25300.000000000004</v>
      </c>
      <c r="P203" s="23">
        <f t="shared" si="22"/>
        <v>0</v>
      </c>
      <c r="Q203" s="21" t="str">
        <f t="shared" si="23"/>
        <v xml:space="preserve"> </v>
      </c>
      <c r="R203" s="14">
        <f>+VLOOKUP(T203,Sheet2!$B$2:$P$372,13,0)</f>
        <v>25300.000000000004</v>
      </c>
      <c r="S203" s="24">
        <f t="shared" si="24"/>
        <v>0</v>
      </c>
      <c r="T203" t="str">
        <f t="shared" si="25"/>
        <v>08/01/2026NL300070</v>
      </c>
      <c r="U203" s="15">
        <f t="shared" si="26"/>
        <v>0</v>
      </c>
      <c r="V203" s="25">
        <f t="shared" si="27"/>
        <v>0</v>
      </c>
    </row>
    <row r="204" spans="1:22" x14ac:dyDescent="0.25">
      <c r="A204" s="4" t="s">
        <v>180</v>
      </c>
      <c r="B204" s="5" t="s">
        <v>123</v>
      </c>
      <c r="C204" s="4" t="s">
        <v>124</v>
      </c>
      <c r="D204" s="5" t="s">
        <v>219</v>
      </c>
      <c r="E204" s="7" t="s">
        <v>152</v>
      </c>
      <c r="F204" s="7" t="s">
        <v>153</v>
      </c>
      <c r="G204" s="7" t="s">
        <v>14</v>
      </c>
      <c r="H204" s="8">
        <v>1</v>
      </c>
      <c r="I204" s="9">
        <v>20000</v>
      </c>
      <c r="J204" s="9">
        <f t="shared" si="20"/>
        <v>20000</v>
      </c>
      <c r="K204" s="6" t="s">
        <v>15</v>
      </c>
      <c r="L204" s="21" t="str">
        <f>+VLOOKUP(E204,mã!$B$2:$F$229,2,0)</f>
        <v>NL300071</v>
      </c>
      <c r="M204" s="22">
        <f>+VLOOKUP(T204,Sheet2!$B$2:$P$372,10,0)</f>
        <v>1</v>
      </c>
      <c r="N204" s="23">
        <f>+VLOOKUP(L204,mã!$C$2:$F$229,4,0)</f>
        <v>20000</v>
      </c>
      <c r="O204" s="23">
        <f t="shared" si="21"/>
        <v>20000</v>
      </c>
      <c r="P204" s="23">
        <f t="shared" si="22"/>
        <v>0</v>
      </c>
      <c r="Q204" s="21" t="str">
        <f t="shared" si="23"/>
        <v xml:space="preserve"> </v>
      </c>
      <c r="R204" s="14">
        <f>+VLOOKUP(T204,Sheet2!$B$2:$P$372,13,0)</f>
        <v>20000</v>
      </c>
      <c r="S204" s="24">
        <f t="shared" si="24"/>
        <v>0</v>
      </c>
      <c r="T204" t="str">
        <f t="shared" si="25"/>
        <v>08/01/2026NL300071</v>
      </c>
      <c r="U204" s="15">
        <f t="shared" si="26"/>
        <v>0</v>
      </c>
      <c r="V204" s="25">
        <f t="shared" si="27"/>
        <v>0</v>
      </c>
    </row>
    <row r="205" spans="1:22" x14ac:dyDescent="0.25">
      <c r="A205" s="4" t="s">
        <v>180</v>
      </c>
      <c r="B205" s="5" t="s">
        <v>123</v>
      </c>
      <c r="C205" s="4" t="s">
        <v>124</v>
      </c>
      <c r="D205" s="5" t="s">
        <v>219</v>
      </c>
      <c r="E205" s="7" t="s">
        <v>141</v>
      </c>
      <c r="F205" s="7" t="s">
        <v>142</v>
      </c>
      <c r="G205" s="7" t="s">
        <v>14</v>
      </c>
      <c r="H205" s="8">
        <v>0.5</v>
      </c>
      <c r="I205" s="9">
        <v>95000</v>
      </c>
      <c r="J205" s="9">
        <f t="shared" si="20"/>
        <v>47500</v>
      </c>
      <c r="K205" s="6" t="s">
        <v>15</v>
      </c>
      <c r="L205" s="21" t="str">
        <f>+VLOOKUP(E205,mã!$B$2:$F$229,2,0)</f>
        <v>NL300080</v>
      </c>
      <c r="M205" s="22">
        <f>+VLOOKUP(T205,Sheet2!$B$2:$P$372,10,0)</f>
        <v>0.5</v>
      </c>
      <c r="N205" s="23">
        <f>+VLOOKUP(L205,mã!$C$2:$F$229,4,0)</f>
        <v>95000</v>
      </c>
      <c r="O205" s="23">
        <f t="shared" si="21"/>
        <v>47500</v>
      </c>
      <c r="P205" s="23">
        <f t="shared" si="22"/>
        <v>0</v>
      </c>
      <c r="Q205" s="21" t="str">
        <f t="shared" si="23"/>
        <v xml:space="preserve"> </v>
      </c>
      <c r="R205" s="14">
        <f>+VLOOKUP(T205,Sheet2!$B$2:$P$372,13,0)</f>
        <v>47500</v>
      </c>
      <c r="S205" s="24">
        <f t="shared" si="24"/>
        <v>0</v>
      </c>
      <c r="T205" t="str">
        <f t="shared" si="25"/>
        <v>08/01/2026NL300080</v>
      </c>
      <c r="U205" s="15">
        <f t="shared" si="26"/>
        <v>0</v>
      </c>
      <c r="V205" s="25">
        <f t="shared" si="27"/>
        <v>0</v>
      </c>
    </row>
    <row r="206" spans="1:22" x14ac:dyDescent="0.25">
      <c r="A206" s="4" t="s">
        <v>180</v>
      </c>
      <c r="B206" s="5" t="s">
        <v>123</v>
      </c>
      <c r="C206" s="4" t="s">
        <v>124</v>
      </c>
      <c r="D206" s="5" t="s">
        <v>219</v>
      </c>
      <c r="E206" s="7" t="s">
        <v>39</v>
      </c>
      <c r="F206" s="7" t="s">
        <v>40</v>
      </c>
      <c r="G206" s="7" t="s">
        <v>14</v>
      </c>
      <c r="H206" s="8">
        <v>1</v>
      </c>
      <c r="I206" s="9">
        <v>145000</v>
      </c>
      <c r="J206" s="9">
        <f t="shared" si="20"/>
        <v>145000</v>
      </c>
      <c r="K206" s="6" t="s">
        <v>15</v>
      </c>
      <c r="L206" s="21" t="str">
        <f>+VLOOKUP(E206,mã!$B$2:$F$229,2,0)</f>
        <v>NL300090</v>
      </c>
      <c r="M206" s="22">
        <f>+VLOOKUP(T206,Sheet2!$B$2:$P$372,10,0)</f>
        <v>1</v>
      </c>
      <c r="N206" s="23">
        <f>+VLOOKUP(L206,mã!$C$2:$F$229,4,0)</f>
        <v>145000</v>
      </c>
      <c r="O206" s="23">
        <f t="shared" si="21"/>
        <v>145000</v>
      </c>
      <c r="P206" s="23">
        <f t="shared" si="22"/>
        <v>0</v>
      </c>
      <c r="Q206" s="21" t="str">
        <f t="shared" si="23"/>
        <v xml:space="preserve"> </v>
      </c>
      <c r="R206" s="14">
        <f>+VLOOKUP(T206,Sheet2!$B$2:$P$372,13,0)</f>
        <v>145000</v>
      </c>
      <c r="S206" s="24">
        <f t="shared" si="24"/>
        <v>0</v>
      </c>
      <c r="T206" t="str">
        <f t="shared" si="25"/>
        <v>08/01/2026NL300090</v>
      </c>
      <c r="U206" s="15">
        <f t="shared" si="26"/>
        <v>0</v>
      </c>
      <c r="V206" s="25">
        <f t="shared" si="27"/>
        <v>0</v>
      </c>
    </row>
    <row r="207" spans="1:22" x14ac:dyDescent="0.25">
      <c r="A207" s="4" t="s">
        <v>180</v>
      </c>
      <c r="B207" s="5" t="s">
        <v>123</v>
      </c>
      <c r="C207" s="4" t="s">
        <v>124</v>
      </c>
      <c r="D207" s="5" t="s">
        <v>219</v>
      </c>
      <c r="E207" s="7" t="s">
        <v>29</v>
      </c>
      <c r="F207" s="7" t="s">
        <v>30</v>
      </c>
      <c r="G207" s="7" t="s">
        <v>14</v>
      </c>
      <c r="H207" s="8">
        <v>0.4</v>
      </c>
      <c r="I207" s="9">
        <v>45000</v>
      </c>
      <c r="J207" s="9">
        <f t="shared" si="20"/>
        <v>18000</v>
      </c>
      <c r="K207" s="6" t="s">
        <v>15</v>
      </c>
      <c r="L207" s="21" t="str">
        <f>+VLOOKUP(E207,mã!$B$2:$F$229,2,0)</f>
        <v>NL300096</v>
      </c>
      <c r="M207" s="22">
        <f>+VLOOKUP(T207,Sheet2!$B$2:$P$372,10,0)</f>
        <v>0.4</v>
      </c>
      <c r="N207" s="23">
        <f>+VLOOKUP(L207,mã!$C$2:$F$229,4,0)</f>
        <v>45000</v>
      </c>
      <c r="O207" s="23">
        <f t="shared" si="21"/>
        <v>18000</v>
      </c>
      <c r="P207" s="23">
        <f t="shared" si="22"/>
        <v>0</v>
      </c>
      <c r="Q207" s="21" t="str">
        <f t="shared" si="23"/>
        <v xml:space="preserve"> </v>
      </c>
      <c r="R207" s="14">
        <f>+VLOOKUP(T207,Sheet2!$B$2:$P$372,13,0)</f>
        <v>18000</v>
      </c>
      <c r="S207" s="24">
        <f t="shared" si="24"/>
        <v>0</v>
      </c>
      <c r="T207" t="str">
        <f t="shared" si="25"/>
        <v>08/01/2026NL300096</v>
      </c>
      <c r="U207" s="15">
        <f t="shared" si="26"/>
        <v>0</v>
      </c>
      <c r="V207" s="25">
        <f t="shared" si="27"/>
        <v>0</v>
      </c>
    </row>
    <row r="208" spans="1:22" x14ac:dyDescent="0.25">
      <c r="A208" s="4" t="s">
        <v>180</v>
      </c>
      <c r="B208" s="5" t="s">
        <v>123</v>
      </c>
      <c r="C208" s="4" t="s">
        <v>124</v>
      </c>
      <c r="D208" s="5" t="s">
        <v>219</v>
      </c>
      <c r="E208" s="7" t="s">
        <v>55</v>
      </c>
      <c r="F208" s="7" t="s">
        <v>56</v>
      </c>
      <c r="G208" s="7" t="s">
        <v>14</v>
      </c>
      <c r="H208" s="8">
        <v>0.2</v>
      </c>
      <c r="I208" s="9">
        <v>70000</v>
      </c>
      <c r="J208" s="9">
        <f t="shared" ref="J208:J271" si="28">H208*I208</f>
        <v>14000</v>
      </c>
      <c r="K208" s="6" t="s">
        <v>15</v>
      </c>
      <c r="L208" s="21" t="str">
        <f>+VLOOKUP(E208,mã!$B$2:$F$229,2,0)</f>
        <v>NL300126</v>
      </c>
      <c r="M208" s="22">
        <f>+VLOOKUP(T208,Sheet2!$B$2:$P$372,10,0)</f>
        <v>0.2</v>
      </c>
      <c r="N208" s="23">
        <f>+VLOOKUP(L208,mã!$C$2:$F$229,4,0)</f>
        <v>70000</v>
      </c>
      <c r="O208" s="23">
        <f t="shared" ref="O208:O271" si="29">M208*N208</f>
        <v>14000</v>
      </c>
      <c r="P208" s="23">
        <f t="shared" ref="P208:P271" si="30">J208-O208</f>
        <v>0</v>
      </c>
      <c r="Q208" s="21" t="str">
        <f t="shared" ref="Q208:Q271" si="31">IF(U208=0," ","SAI SL NHẬN")</f>
        <v xml:space="preserve"> </v>
      </c>
      <c r="R208" s="14">
        <f>+VLOOKUP(T208,Sheet2!$B$2:$P$372,13,0)</f>
        <v>14000</v>
      </c>
      <c r="S208" s="24">
        <f t="shared" ref="S208:S271" si="32">O208-R208</f>
        <v>0</v>
      </c>
      <c r="T208" t="str">
        <f t="shared" ref="T208:T271" si="33">A208&amp;L208</f>
        <v>08/01/2026NL300126</v>
      </c>
      <c r="U208" s="15">
        <f t="shared" ref="U208:U271" si="34">H208-M208</f>
        <v>0</v>
      </c>
      <c r="V208" s="25">
        <f t="shared" ref="V208:V271" si="35">I208-N208</f>
        <v>0</v>
      </c>
    </row>
    <row r="209" spans="1:22" x14ac:dyDescent="0.25">
      <c r="A209" s="4" t="s">
        <v>180</v>
      </c>
      <c r="B209" s="5" t="s">
        <v>123</v>
      </c>
      <c r="C209" s="4" t="s">
        <v>124</v>
      </c>
      <c r="D209" s="5" t="s">
        <v>219</v>
      </c>
      <c r="E209" s="7" t="s">
        <v>47</v>
      </c>
      <c r="F209" s="7" t="s">
        <v>48</v>
      </c>
      <c r="G209" s="7" t="s">
        <v>14</v>
      </c>
      <c r="H209" s="8">
        <v>0.5</v>
      </c>
      <c r="I209" s="9">
        <v>21000</v>
      </c>
      <c r="J209" s="9">
        <f t="shared" si="28"/>
        <v>10500</v>
      </c>
      <c r="K209" s="6" t="s">
        <v>15</v>
      </c>
      <c r="L209" s="21" t="str">
        <f>+VLOOKUP(E209,mã!$B$2:$F$229,2,0)</f>
        <v>NL300119</v>
      </c>
      <c r="M209" s="22">
        <f>+VLOOKUP(T209,Sheet2!$B$2:$P$372,10,0)</f>
        <v>0.2</v>
      </c>
      <c r="N209" s="23">
        <f>+VLOOKUP(L209,mã!$C$2:$F$229,4,0)</f>
        <v>21000</v>
      </c>
      <c r="O209" s="23">
        <f t="shared" si="29"/>
        <v>4200</v>
      </c>
      <c r="P209" s="23">
        <f t="shared" si="30"/>
        <v>6300</v>
      </c>
      <c r="Q209" s="21" t="str">
        <f t="shared" si="31"/>
        <v>SAI SL NHẬN</v>
      </c>
      <c r="R209" s="14">
        <f>+VLOOKUP(T209,Sheet2!$B$2:$P$372,13,0)</f>
        <v>4200</v>
      </c>
      <c r="S209" s="24">
        <f t="shared" si="32"/>
        <v>0</v>
      </c>
      <c r="T209" t="str">
        <f t="shared" si="33"/>
        <v>08/01/2026NL300119</v>
      </c>
      <c r="U209" s="15">
        <f t="shared" si="34"/>
        <v>0.3</v>
      </c>
      <c r="V209" s="25">
        <f t="shared" si="35"/>
        <v>0</v>
      </c>
    </row>
    <row r="210" spans="1:22" x14ac:dyDescent="0.25">
      <c r="A210" s="4" t="s">
        <v>180</v>
      </c>
      <c r="B210" s="5" t="s">
        <v>123</v>
      </c>
      <c r="C210" s="4" t="s">
        <v>124</v>
      </c>
      <c r="D210" s="5" t="s">
        <v>219</v>
      </c>
      <c r="E210" s="7" t="s">
        <v>210</v>
      </c>
      <c r="F210" s="7" t="s">
        <v>211</v>
      </c>
      <c r="G210" s="7" t="s">
        <v>14</v>
      </c>
      <c r="H210" s="8">
        <v>1.1000000000000001</v>
      </c>
      <c r="I210" s="9">
        <v>68000</v>
      </c>
      <c r="J210" s="9">
        <f t="shared" si="28"/>
        <v>74800</v>
      </c>
      <c r="K210" s="6" t="s">
        <v>15</v>
      </c>
      <c r="L210" s="21" t="s">
        <v>846</v>
      </c>
      <c r="M210" s="22">
        <f>+VLOOKUP(T210,Sheet2!$B$2:$P$372,10,0)</f>
        <v>1</v>
      </c>
      <c r="N210" s="23">
        <f>+VLOOKUP(L210,mã!$C$2:$F$229,4,0)</f>
        <v>68000</v>
      </c>
      <c r="O210" s="23">
        <f t="shared" si="29"/>
        <v>68000</v>
      </c>
      <c r="P210" s="23">
        <f t="shared" si="30"/>
        <v>6800</v>
      </c>
      <c r="Q210" s="21" t="str">
        <f t="shared" si="31"/>
        <v>SAI SL NHẬN</v>
      </c>
      <c r="R210" s="14">
        <f>+VLOOKUP(T210,Sheet2!$B$2:$P$372,13,0)</f>
        <v>68000</v>
      </c>
      <c r="S210" s="24">
        <f t="shared" si="32"/>
        <v>0</v>
      </c>
      <c r="T210" t="str">
        <f t="shared" si="33"/>
        <v>08/01/2026NL300232</v>
      </c>
      <c r="U210" s="15">
        <f t="shared" si="34"/>
        <v>0.10000000000000009</v>
      </c>
      <c r="V210" s="25">
        <f t="shared" si="35"/>
        <v>0</v>
      </c>
    </row>
    <row r="211" spans="1:22" x14ac:dyDescent="0.25">
      <c r="A211" s="4" t="s">
        <v>180</v>
      </c>
      <c r="B211" s="5" t="s">
        <v>123</v>
      </c>
      <c r="C211" s="4" t="s">
        <v>124</v>
      </c>
      <c r="D211" s="5" t="s">
        <v>219</v>
      </c>
      <c r="E211" s="7" t="s">
        <v>145</v>
      </c>
      <c r="F211" s="7" t="s">
        <v>146</v>
      </c>
      <c r="G211" s="7" t="s">
        <v>14</v>
      </c>
      <c r="H211" s="8">
        <v>3</v>
      </c>
      <c r="I211" s="9">
        <v>38000</v>
      </c>
      <c r="J211" s="9">
        <f t="shared" si="28"/>
        <v>114000</v>
      </c>
      <c r="K211" s="6" t="s">
        <v>15</v>
      </c>
      <c r="L211" s="21" t="str">
        <f>+VLOOKUP(E211,mã!$B$2:$F$229,2,0)</f>
        <v>NL300145</v>
      </c>
      <c r="M211" s="22">
        <f>+VLOOKUP(T211,Sheet2!$B$2:$P$372,10,0)</f>
        <v>2.5</v>
      </c>
      <c r="N211" s="23">
        <f>+VLOOKUP(L211,mã!$C$2:$F$229,4,0)</f>
        <v>38000</v>
      </c>
      <c r="O211" s="23">
        <f t="shared" si="29"/>
        <v>95000</v>
      </c>
      <c r="P211" s="23">
        <f t="shared" si="30"/>
        <v>19000</v>
      </c>
      <c r="Q211" s="21" t="str">
        <f t="shared" si="31"/>
        <v>SAI SL NHẬN</v>
      </c>
      <c r="R211" s="14">
        <f>+VLOOKUP(T211,Sheet2!$B$2:$P$372,13,0)</f>
        <v>95000</v>
      </c>
      <c r="S211" s="24">
        <f t="shared" si="32"/>
        <v>0</v>
      </c>
      <c r="T211" t="str">
        <f t="shared" si="33"/>
        <v>08/01/2026NL300145</v>
      </c>
      <c r="U211" s="15">
        <f t="shared" si="34"/>
        <v>0.5</v>
      </c>
      <c r="V211" s="25">
        <f t="shared" si="35"/>
        <v>0</v>
      </c>
    </row>
    <row r="212" spans="1:22" x14ac:dyDescent="0.25">
      <c r="A212" s="4" t="s">
        <v>180</v>
      </c>
      <c r="B212" s="5" t="s">
        <v>123</v>
      </c>
      <c r="C212" s="4" t="s">
        <v>124</v>
      </c>
      <c r="D212" s="5" t="s">
        <v>219</v>
      </c>
      <c r="E212" s="7" t="s">
        <v>66</v>
      </c>
      <c r="F212" s="7" t="s">
        <v>65</v>
      </c>
      <c r="G212" s="7" t="s">
        <v>14</v>
      </c>
      <c r="H212" s="8">
        <v>1</v>
      </c>
      <c r="I212" s="9">
        <v>62000</v>
      </c>
      <c r="J212" s="9">
        <f t="shared" si="28"/>
        <v>62000</v>
      </c>
      <c r="K212" s="6" t="s">
        <v>15</v>
      </c>
      <c r="L212" s="21" t="str">
        <f>+VLOOKUP(E212,mã!$B$2:$F$229,2,0)</f>
        <v>NL300147</v>
      </c>
      <c r="M212" s="22">
        <f>+VLOOKUP(T212,Sheet2!$B$2:$P$372,10,0)</f>
        <v>1</v>
      </c>
      <c r="N212" s="23">
        <f>+VLOOKUP(L212,mã!$C$2:$F$229,4,0)</f>
        <v>62000</v>
      </c>
      <c r="O212" s="23">
        <f t="shared" si="29"/>
        <v>62000</v>
      </c>
      <c r="P212" s="23">
        <f t="shared" si="30"/>
        <v>0</v>
      </c>
      <c r="Q212" s="21" t="str">
        <f t="shared" si="31"/>
        <v xml:space="preserve"> </v>
      </c>
      <c r="R212" s="14">
        <f>+VLOOKUP(T212,Sheet2!$B$2:$P$372,13,0)</f>
        <v>62000</v>
      </c>
      <c r="S212" s="24">
        <f t="shared" si="32"/>
        <v>0</v>
      </c>
      <c r="T212" t="str">
        <f t="shared" si="33"/>
        <v>08/01/2026NL300147</v>
      </c>
      <c r="U212" s="15">
        <f t="shared" si="34"/>
        <v>0</v>
      </c>
      <c r="V212" s="25">
        <f t="shared" si="35"/>
        <v>0</v>
      </c>
    </row>
    <row r="213" spans="1:22" x14ac:dyDescent="0.25">
      <c r="A213" s="4" t="s">
        <v>183</v>
      </c>
      <c r="B213" s="5" t="s">
        <v>123</v>
      </c>
      <c r="C213" s="4" t="s">
        <v>124</v>
      </c>
      <c r="D213" s="5" t="s">
        <v>220</v>
      </c>
      <c r="E213" s="7" t="s">
        <v>12</v>
      </c>
      <c r="F213" s="7" t="s">
        <v>13</v>
      </c>
      <c r="G213" s="7" t="s">
        <v>14</v>
      </c>
      <c r="H213" s="8">
        <v>2.4</v>
      </c>
      <c r="I213" s="9">
        <v>19000</v>
      </c>
      <c r="J213" s="9">
        <f t="shared" si="28"/>
        <v>45600</v>
      </c>
      <c r="K213" s="6" t="s">
        <v>15</v>
      </c>
      <c r="L213" s="21" t="str">
        <f>+VLOOKUP(E213,mã!$B$2:$F$229,2,0)</f>
        <v>NL300004</v>
      </c>
      <c r="M213" s="22">
        <f>+VLOOKUP(T213,Sheet2!$B$2:$P$372,10,0)</f>
        <v>1</v>
      </c>
      <c r="N213" s="23">
        <f>+VLOOKUP(L213,mã!$C$2:$F$229,4,0)</f>
        <v>19000</v>
      </c>
      <c r="O213" s="23">
        <f t="shared" si="29"/>
        <v>19000</v>
      </c>
      <c r="P213" s="23">
        <f t="shared" si="30"/>
        <v>26600</v>
      </c>
      <c r="Q213" s="21" t="str">
        <f t="shared" si="31"/>
        <v>SAI SL NHẬN</v>
      </c>
      <c r="R213" s="14">
        <f>+VLOOKUP(T213,Sheet2!$B$2:$P$372,13,0)</f>
        <v>19000</v>
      </c>
      <c r="S213" s="24">
        <f t="shared" si="32"/>
        <v>0</v>
      </c>
      <c r="T213" t="str">
        <f t="shared" si="33"/>
        <v>09/01/2026NL300004</v>
      </c>
      <c r="U213" s="15">
        <f t="shared" si="34"/>
        <v>1.4</v>
      </c>
      <c r="V213" s="25">
        <f t="shared" si="35"/>
        <v>0</v>
      </c>
    </row>
    <row r="214" spans="1:22" x14ac:dyDescent="0.25">
      <c r="A214" s="4" t="s">
        <v>183</v>
      </c>
      <c r="B214" s="5" t="s">
        <v>123</v>
      </c>
      <c r="C214" s="4" t="s">
        <v>124</v>
      </c>
      <c r="D214" s="5" t="s">
        <v>220</v>
      </c>
      <c r="E214" s="7" t="s">
        <v>16</v>
      </c>
      <c r="F214" s="7" t="s">
        <v>17</v>
      </c>
      <c r="G214" s="7" t="s">
        <v>18</v>
      </c>
      <c r="H214" s="8">
        <v>6</v>
      </c>
      <c r="I214" s="9">
        <v>8500</v>
      </c>
      <c r="J214" s="9">
        <f t="shared" si="28"/>
        <v>51000</v>
      </c>
      <c r="K214" s="6" t="s">
        <v>15</v>
      </c>
      <c r="L214" s="21" t="str">
        <f>+VLOOKUP(E214,mã!$B$2:$F$229,2,0)</f>
        <v>NL300107</v>
      </c>
      <c r="M214" s="22">
        <f>+VLOOKUP(T214,Sheet2!$B$2:$P$372,10,0)</f>
        <v>1</v>
      </c>
      <c r="N214" s="23">
        <f>+VLOOKUP(L214,mã!$C$2:$F$229,4,0)</f>
        <v>8500</v>
      </c>
      <c r="O214" s="23">
        <f t="shared" si="29"/>
        <v>8500</v>
      </c>
      <c r="P214" s="23">
        <f t="shared" si="30"/>
        <v>42500</v>
      </c>
      <c r="Q214" s="21" t="str">
        <f t="shared" si="31"/>
        <v>SAI SL NHẬN</v>
      </c>
      <c r="R214" s="14">
        <f>+VLOOKUP(T214,Sheet2!$B$2:$P$372,13,0)</f>
        <v>8500</v>
      </c>
      <c r="S214" s="24">
        <f t="shared" si="32"/>
        <v>0</v>
      </c>
      <c r="T214" t="str">
        <f t="shared" si="33"/>
        <v>09/01/2026NL300107</v>
      </c>
      <c r="U214" s="15">
        <f t="shared" si="34"/>
        <v>5</v>
      </c>
      <c r="V214" s="25">
        <f t="shared" si="35"/>
        <v>0</v>
      </c>
    </row>
    <row r="215" spans="1:22" x14ac:dyDescent="0.25">
      <c r="A215" s="4" t="s">
        <v>183</v>
      </c>
      <c r="B215" s="5" t="s">
        <v>123</v>
      </c>
      <c r="C215" s="4" t="s">
        <v>124</v>
      </c>
      <c r="D215" s="5" t="s">
        <v>220</v>
      </c>
      <c r="E215" s="7" t="s">
        <v>59</v>
      </c>
      <c r="F215" s="7" t="s">
        <v>60</v>
      </c>
      <c r="G215" s="7" t="s">
        <v>14</v>
      </c>
      <c r="H215" s="8">
        <v>2.1</v>
      </c>
      <c r="I215" s="9">
        <v>30000</v>
      </c>
      <c r="J215" s="9">
        <f t="shared" si="28"/>
        <v>63000</v>
      </c>
      <c r="K215" s="6" t="s">
        <v>15</v>
      </c>
      <c r="L215" s="21" t="str">
        <f>+VLOOKUP(E215,mã!$B$2:$F$229,2,0)</f>
        <v>NL300007</v>
      </c>
      <c r="M215" s="22">
        <f>+VLOOKUP(T215,Sheet2!$B$2:$P$372,10,0)</f>
        <v>1.8</v>
      </c>
      <c r="N215" s="23">
        <f>+VLOOKUP(L215,mã!$C$2:$F$229,4,0)</f>
        <v>30000</v>
      </c>
      <c r="O215" s="23">
        <f t="shared" si="29"/>
        <v>54000</v>
      </c>
      <c r="P215" s="23">
        <f t="shared" si="30"/>
        <v>9000</v>
      </c>
      <c r="Q215" s="21" t="str">
        <f t="shared" si="31"/>
        <v>SAI SL NHẬN</v>
      </c>
      <c r="R215" s="14">
        <f>+VLOOKUP(T215,Sheet2!$B$2:$P$372,13,0)</f>
        <v>54000</v>
      </c>
      <c r="S215" s="24">
        <f t="shared" si="32"/>
        <v>0</v>
      </c>
      <c r="T215" t="str">
        <f t="shared" si="33"/>
        <v>09/01/2026NL300007</v>
      </c>
      <c r="U215" s="15">
        <f t="shared" si="34"/>
        <v>0.30000000000000004</v>
      </c>
      <c r="V215" s="25">
        <f t="shared" si="35"/>
        <v>0</v>
      </c>
    </row>
    <row r="216" spans="1:22" x14ac:dyDescent="0.25">
      <c r="A216" s="4" t="s">
        <v>183</v>
      </c>
      <c r="B216" s="5" t="s">
        <v>123</v>
      </c>
      <c r="C216" s="4" t="s">
        <v>124</v>
      </c>
      <c r="D216" s="5" t="s">
        <v>220</v>
      </c>
      <c r="E216" s="7" t="s">
        <v>131</v>
      </c>
      <c r="F216" s="7" t="s">
        <v>132</v>
      </c>
      <c r="G216" s="7" t="s">
        <v>14</v>
      </c>
      <c r="H216" s="8">
        <v>0.3</v>
      </c>
      <c r="I216" s="9">
        <v>55000</v>
      </c>
      <c r="J216" s="9">
        <f t="shared" si="28"/>
        <v>16500</v>
      </c>
      <c r="K216" s="6" t="s">
        <v>15</v>
      </c>
      <c r="L216" s="21" t="str">
        <f>+VLOOKUP(E216,mã!$B$2:$F$229,2,0)</f>
        <v>NL300014</v>
      </c>
      <c r="M216" s="22">
        <f>+VLOOKUP(T216,Sheet2!$B$2:$P$372,10,0)</f>
        <v>0.2</v>
      </c>
      <c r="N216" s="23">
        <f>+VLOOKUP(L216,mã!$C$2:$F$229,4,0)</f>
        <v>55000</v>
      </c>
      <c r="O216" s="23">
        <f t="shared" si="29"/>
        <v>11000</v>
      </c>
      <c r="P216" s="23">
        <f t="shared" si="30"/>
        <v>5500</v>
      </c>
      <c r="Q216" s="21" t="str">
        <f t="shared" si="31"/>
        <v>SAI SL NHẬN</v>
      </c>
      <c r="R216" s="14">
        <f>+VLOOKUP(T216,Sheet2!$B$2:$P$372,13,0)</f>
        <v>11000</v>
      </c>
      <c r="S216" s="24">
        <f t="shared" si="32"/>
        <v>0</v>
      </c>
      <c r="T216" t="str">
        <f t="shared" si="33"/>
        <v>09/01/2026NL300014</v>
      </c>
      <c r="U216" s="15">
        <f t="shared" si="34"/>
        <v>9.9999999999999978E-2</v>
      </c>
      <c r="V216" s="25">
        <f t="shared" si="35"/>
        <v>0</v>
      </c>
    </row>
    <row r="217" spans="1:22" x14ac:dyDescent="0.25">
      <c r="A217" s="4" t="s">
        <v>183</v>
      </c>
      <c r="B217" s="5" t="s">
        <v>123</v>
      </c>
      <c r="C217" s="4" t="s">
        <v>124</v>
      </c>
      <c r="D217" s="5" t="s">
        <v>220</v>
      </c>
      <c r="E217" s="7" t="s">
        <v>125</v>
      </c>
      <c r="F217" s="7" t="s">
        <v>126</v>
      </c>
      <c r="G217" s="7" t="s">
        <v>14</v>
      </c>
      <c r="H217" s="8">
        <v>1</v>
      </c>
      <c r="I217" s="9">
        <v>18000</v>
      </c>
      <c r="J217" s="9">
        <f t="shared" si="28"/>
        <v>18000</v>
      </c>
      <c r="K217" s="6" t="s">
        <v>15</v>
      </c>
      <c r="L217" s="21" t="str">
        <f>+VLOOKUP(E217,mã!$B$2:$F$229,2,0)</f>
        <v>NL300027</v>
      </c>
      <c r="M217" s="22">
        <f>+VLOOKUP(T217,Sheet2!$B$2:$P$372,10,0)</f>
        <v>0.8</v>
      </c>
      <c r="N217" s="23">
        <f>+VLOOKUP(L217,mã!$C$2:$F$229,4,0)</f>
        <v>18000</v>
      </c>
      <c r="O217" s="23">
        <f t="shared" si="29"/>
        <v>14400</v>
      </c>
      <c r="P217" s="23">
        <f t="shared" si="30"/>
        <v>3600</v>
      </c>
      <c r="Q217" s="21" t="str">
        <f t="shared" si="31"/>
        <v>SAI SL NHẬN</v>
      </c>
      <c r="R217" s="14">
        <f>+VLOOKUP(T217,Sheet2!$B$2:$P$372,13,0)</f>
        <v>14400</v>
      </c>
      <c r="S217" s="24">
        <f t="shared" si="32"/>
        <v>0</v>
      </c>
      <c r="T217" t="str">
        <f t="shared" si="33"/>
        <v>09/01/2026NL300027</v>
      </c>
      <c r="U217" s="15">
        <f t="shared" si="34"/>
        <v>0.19999999999999996</v>
      </c>
      <c r="V217" s="25">
        <f t="shared" si="35"/>
        <v>0</v>
      </c>
    </row>
    <row r="218" spans="1:22" x14ac:dyDescent="0.25">
      <c r="A218" s="4" t="s">
        <v>183</v>
      </c>
      <c r="B218" s="5" t="s">
        <v>123</v>
      </c>
      <c r="C218" s="4" t="s">
        <v>124</v>
      </c>
      <c r="D218" s="5" t="s">
        <v>220</v>
      </c>
      <c r="E218" s="7" t="s">
        <v>19</v>
      </c>
      <c r="F218" s="7" t="s">
        <v>20</v>
      </c>
      <c r="G218" s="7" t="s">
        <v>14</v>
      </c>
      <c r="H218" s="8">
        <v>1</v>
      </c>
      <c r="I218" s="9">
        <v>32000</v>
      </c>
      <c r="J218" s="9">
        <f t="shared" si="28"/>
        <v>32000</v>
      </c>
      <c r="K218" s="6" t="s">
        <v>15</v>
      </c>
      <c r="L218" s="21" t="str">
        <f>+VLOOKUP(E218,mã!$B$2:$F$229,2,0)</f>
        <v>NL300038</v>
      </c>
      <c r="M218" s="22">
        <f>+VLOOKUP(T218,Sheet2!$B$2:$P$372,10,0)</f>
        <v>0.7</v>
      </c>
      <c r="N218" s="23">
        <f>+VLOOKUP(L218,mã!$C$2:$F$229,4,0)</f>
        <v>32000</v>
      </c>
      <c r="O218" s="23">
        <f t="shared" si="29"/>
        <v>22400</v>
      </c>
      <c r="P218" s="23">
        <f t="shared" si="30"/>
        <v>9600</v>
      </c>
      <c r="Q218" s="21" t="str">
        <f t="shared" si="31"/>
        <v>SAI SL NHẬN</v>
      </c>
      <c r="R218" s="14">
        <f>+VLOOKUP(T218,Sheet2!$B$2:$P$372,13,0)</f>
        <v>22400</v>
      </c>
      <c r="S218" s="24">
        <f t="shared" si="32"/>
        <v>0</v>
      </c>
      <c r="T218" t="str">
        <f t="shared" si="33"/>
        <v>09/01/2026NL300038</v>
      </c>
      <c r="U218" s="15">
        <f t="shared" si="34"/>
        <v>0.30000000000000004</v>
      </c>
      <c r="V218" s="25">
        <f t="shared" si="35"/>
        <v>0</v>
      </c>
    </row>
    <row r="219" spans="1:22" x14ac:dyDescent="0.25">
      <c r="A219" s="4" t="s">
        <v>183</v>
      </c>
      <c r="B219" s="5" t="s">
        <v>123</v>
      </c>
      <c r="C219" s="4" t="s">
        <v>124</v>
      </c>
      <c r="D219" s="5" t="s">
        <v>220</v>
      </c>
      <c r="E219" s="7" t="s">
        <v>51</v>
      </c>
      <c r="F219" s="7" t="s">
        <v>52</v>
      </c>
      <c r="G219" s="7" t="s">
        <v>14</v>
      </c>
      <c r="H219" s="8">
        <v>14</v>
      </c>
      <c r="I219" s="9">
        <v>18000</v>
      </c>
      <c r="J219" s="9">
        <f t="shared" si="28"/>
        <v>252000</v>
      </c>
      <c r="K219" s="6" t="s">
        <v>15</v>
      </c>
      <c r="L219" s="21" t="str">
        <f>+VLOOKUP(E219,mã!$B$2:$F$229,2,0)</f>
        <v>NL600004</v>
      </c>
      <c r="M219" s="22">
        <f>+VLOOKUP(T219,Sheet2!$B$2:$P$372,10,0)</f>
        <v>14</v>
      </c>
      <c r="N219" s="23">
        <f>+VLOOKUP(L219,mã!$C$2:$F$229,4,0)</f>
        <v>18000</v>
      </c>
      <c r="O219" s="23">
        <f t="shared" si="29"/>
        <v>252000</v>
      </c>
      <c r="P219" s="23">
        <f t="shared" si="30"/>
        <v>0</v>
      </c>
      <c r="Q219" s="21" t="str">
        <f t="shared" si="31"/>
        <v xml:space="preserve"> </v>
      </c>
      <c r="R219" s="14">
        <f>+VLOOKUP(T219,Sheet2!$B$2:$P$372,13,0)</f>
        <v>252000</v>
      </c>
      <c r="S219" s="24">
        <f t="shared" si="32"/>
        <v>0</v>
      </c>
      <c r="T219" t="str">
        <f t="shared" si="33"/>
        <v>09/01/2026NL600004</v>
      </c>
      <c r="U219" s="15">
        <f t="shared" si="34"/>
        <v>0</v>
      </c>
      <c r="V219" s="25">
        <f t="shared" si="35"/>
        <v>0</v>
      </c>
    </row>
    <row r="220" spans="1:22" x14ac:dyDescent="0.25">
      <c r="A220" s="4" t="s">
        <v>183</v>
      </c>
      <c r="B220" s="5" t="s">
        <v>123</v>
      </c>
      <c r="C220" s="4" t="s">
        <v>124</v>
      </c>
      <c r="D220" s="5" t="s">
        <v>220</v>
      </c>
      <c r="E220" s="7" t="s">
        <v>129</v>
      </c>
      <c r="F220" s="7" t="s">
        <v>130</v>
      </c>
      <c r="G220" s="7" t="s">
        <v>14</v>
      </c>
      <c r="H220" s="8">
        <v>1</v>
      </c>
      <c r="I220" s="9">
        <v>18000</v>
      </c>
      <c r="J220" s="9">
        <f t="shared" si="28"/>
        <v>18000</v>
      </c>
      <c r="K220" s="6" t="s">
        <v>15</v>
      </c>
      <c r="L220" s="21" t="str">
        <f>+VLOOKUP(E220,mã!$B$2:$F$229,2,0)</f>
        <v>NL300048</v>
      </c>
      <c r="M220" s="22">
        <f>+VLOOKUP(T220,Sheet2!$B$2:$P$372,10,0)</f>
        <v>0.6</v>
      </c>
      <c r="N220" s="23">
        <f>+VLOOKUP(L220,mã!$C$2:$F$229,4,0)</f>
        <v>18000</v>
      </c>
      <c r="O220" s="23">
        <f t="shared" si="29"/>
        <v>10800</v>
      </c>
      <c r="P220" s="23">
        <f t="shared" si="30"/>
        <v>7200</v>
      </c>
      <c r="Q220" s="21" t="str">
        <f t="shared" si="31"/>
        <v>SAI SL NHẬN</v>
      </c>
      <c r="R220" s="14">
        <f>+VLOOKUP(T220,Sheet2!$B$2:$P$372,13,0)</f>
        <v>10800</v>
      </c>
      <c r="S220" s="24">
        <f t="shared" si="32"/>
        <v>0</v>
      </c>
      <c r="T220" t="str">
        <f t="shared" si="33"/>
        <v>09/01/2026NL300048</v>
      </c>
      <c r="U220" s="15">
        <f t="shared" si="34"/>
        <v>0.4</v>
      </c>
      <c r="V220" s="25">
        <f t="shared" si="35"/>
        <v>0</v>
      </c>
    </row>
    <row r="221" spans="1:22" x14ac:dyDescent="0.25">
      <c r="A221" s="4" t="s">
        <v>183</v>
      </c>
      <c r="B221" s="5" t="s">
        <v>123</v>
      </c>
      <c r="C221" s="4" t="s">
        <v>124</v>
      </c>
      <c r="D221" s="5" t="s">
        <v>220</v>
      </c>
      <c r="E221" s="7" t="s">
        <v>139</v>
      </c>
      <c r="F221" s="7" t="s">
        <v>140</v>
      </c>
      <c r="G221" s="7" t="s">
        <v>14</v>
      </c>
      <c r="H221" s="8">
        <v>0.4</v>
      </c>
      <c r="I221" s="9">
        <v>30000</v>
      </c>
      <c r="J221" s="9">
        <f t="shared" si="28"/>
        <v>12000</v>
      </c>
      <c r="K221" s="6" t="s">
        <v>15</v>
      </c>
      <c r="L221" s="21" t="str">
        <f>+VLOOKUP(E221,mã!$B$2:$F$229,2,0)</f>
        <v>NL300053</v>
      </c>
      <c r="M221" s="22">
        <f>+VLOOKUP(T221,Sheet2!$B$2:$P$372,10,0)</f>
        <v>0.3</v>
      </c>
      <c r="N221" s="23">
        <f>+VLOOKUP(L221,mã!$C$2:$F$229,4,0)</f>
        <v>30000</v>
      </c>
      <c r="O221" s="23">
        <f t="shared" si="29"/>
        <v>9000</v>
      </c>
      <c r="P221" s="23">
        <f t="shared" si="30"/>
        <v>3000</v>
      </c>
      <c r="Q221" s="21" t="str">
        <f t="shared" si="31"/>
        <v>SAI SL NHẬN</v>
      </c>
      <c r="R221" s="14">
        <f>+VLOOKUP(T221,Sheet2!$B$2:$P$372,13,0)</f>
        <v>9000</v>
      </c>
      <c r="S221" s="24">
        <f t="shared" si="32"/>
        <v>0</v>
      </c>
      <c r="T221" t="str">
        <f t="shared" si="33"/>
        <v>09/01/2026NL300053</v>
      </c>
      <c r="U221" s="15">
        <f t="shared" si="34"/>
        <v>0.10000000000000003</v>
      </c>
      <c r="V221" s="25">
        <f t="shared" si="35"/>
        <v>0</v>
      </c>
    </row>
    <row r="222" spans="1:22" x14ac:dyDescent="0.25">
      <c r="A222" s="4" t="s">
        <v>183</v>
      </c>
      <c r="B222" s="5" t="s">
        <v>123</v>
      </c>
      <c r="C222" s="4" t="s">
        <v>124</v>
      </c>
      <c r="D222" s="5" t="s">
        <v>220</v>
      </c>
      <c r="E222" s="7" t="s">
        <v>21</v>
      </c>
      <c r="F222" s="7" t="s">
        <v>22</v>
      </c>
      <c r="G222" s="7" t="s">
        <v>14</v>
      </c>
      <c r="H222" s="8">
        <v>0.2</v>
      </c>
      <c r="I222" s="9">
        <v>55000</v>
      </c>
      <c r="J222" s="9">
        <f t="shared" si="28"/>
        <v>11000</v>
      </c>
      <c r="K222" s="6" t="s">
        <v>15</v>
      </c>
      <c r="L222" s="21" t="str">
        <f>+VLOOKUP(E222,mã!$B$2:$F$229,2,0)</f>
        <v>NL300058</v>
      </c>
      <c r="M222" s="22">
        <f>+VLOOKUP(T222,Sheet2!$B$2:$P$372,10,0)</f>
        <v>0.2</v>
      </c>
      <c r="N222" s="23">
        <f>+VLOOKUP(L222,mã!$C$2:$F$229,4,0)</f>
        <v>55000</v>
      </c>
      <c r="O222" s="23">
        <f t="shared" si="29"/>
        <v>11000</v>
      </c>
      <c r="P222" s="23">
        <f t="shared" si="30"/>
        <v>0</v>
      </c>
      <c r="Q222" s="21" t="str">
        <f t="shared" si="31"/>
        <v xml:space="preserve"> </v>
      </c>
      <c r="R222" s="14">
        <f>+VLOOKUP(T222,Sheet2!$B$2:$P$372,13,0)</f>
        <v>11000</v>
      </c>
      <c r="S222" s="24">
        <f t="shared" si="32"/>
        <v>0</v>
      </c>
      <c r="T222" t="str">
        <f t="shared" si="33"/>
        <v>09/01/2026NL300058</v>
      </c>
      <c r="U222" s="15">
        <f t="shared" si="34"/>
        <v>0</v>
      </c>
      <c r="V222" s="25">
        <f t="shared" si="35"/>
        <v>0</v>
      </c>
    </row>
    <row r="223" spans="1:22" x14ac:dyDescent="0.25">
      <c r="A223" s="4" t="s">
        <v>183</v>
      </c>
      <c r="B223" s="5" t="s">
        <v>123</v>
      </c>
      <c r="C223" s="4" t="s">
        <v>124</v>
      </c>
      <c r="D223" s="5" t="s">
        <v>220</v>
      </c>
      <c r="E223" s="7" t="s">
        <v>86</v>
      </c>
      <c r="F223" s="7" t="s">
        <v>85</v>
      </c>
      <c r="G223" s="7" t="s">
        <v>14</v>
      </c>
      <c r="H223" s="8">
        <v>0.6</v>
      </c>
      <c r="I223" s="9">
        <v>38000</v>
      </c>
      <c r="J223" s="9">
        <f t="shared" si="28"/>
        <v>22800</v>
      </c>
      <c r="K223" s="6" t="s">
        <v>15</v>
      </c>
      <c r="L223" s="21" t="str">
        <f>+VLOOKUP(E223,mã!$B$2:$F$229,2,0)</f>
        <v>NL300061</v>
      </c>
      <c r="M223" s="22">
        <f>+VLOOKUP(T223,Sheet2!$B$2:$P$372,10,0)</f>
        <v>0.4</v>
      </c>
      <c r="N223" s="23">
        <f>+VLOOKUP(L223,mã!$C$2:$F$229,4,0)</f>
        <v>38000</v>
      </c>
      <c r="O223" s="23">
        <f t="shared" si="29"/>
        <v>15200</v>
      </c>
      <c r="P223" s="23">
        <f t="shared" si="30"/>
        <v>7600</v>
      </c>
      <c r="Q223" s="21" t="str">
        <f t="shared" si="31"/>
        <v>SAI SL NHẬN</v>
      </c>
      <c r="R223" s="14">
        <f>+VLOOKUP(T223,Sheet2!$B$2:$P$372,13,0)</f>
        <v>15200</v>
      </c>
      <c r="S223" s="24">
        <f t="shared" si="32"/>
        <v>0</v>
      </c>
      <c r="T223" t="str">
        <f t="shared" si="33"/>
        <v>09/01/2026NL300061</v>
      </c>
      <c r="U223" s="15">
        <f t="shared" si="34"/>
        <v>0.19999999999999996</v>
      </c>
      <c r="V223" s="25">
        <f t="shared" si="35"/>
        <v>0</v>
      </c>
    </row>
    <row r="224" spans="1:22" x14ac:dyDescent="0.25">
      <c r="A224" s="4" t="s">
        <v>183</v>
      </c>
      <c r="B224" s="5" t="s">
        <v>123</v>
      </c>
      <c r="C224" s="4" t="s">
        <v>124</v>
      </c>
      <c r="D224" s="5" t="s">
        <v>220</v>
      </c>
      <c r="E224" s="7" t="s">
        <v>23</v>
      </c>
      <c r="F224" s="7" t="s">
        <v>24</v>
      </c>
      <c r="G224" s="7" t="s">
        <v>14</v>
      </c>
      <c r="H224" s="8">
        <v>0.9</v>
      </c>
      <c r="I224" s="9">
        <v>13000</v>
      </c>
      <c r="J224" s="9">
        <f t="shared" si="28"/>
        <v>11700</v>
      </c>
      <c r="K224" s="6" t="s">
        <v>15</v>
      </c>
      <c r="L224" s="21" t="str">
        <f>+VLOOKUP(E224,mã!$B$2:$F$229,2,0)</f>
        <v>NL300059</v>
      </c>
      <c r="M224" s="22">
        <f>+VLOOKUP(T224,Sheet2!$B$2:$P$372,10,0)</f>
        <v>0.4</v>
      </c>
      <c r="N224" s="23">
        <f>+VLOOKUP(L224,mã!$C$2:$F$229,4,0)</f>
        <v>13000</v>
      </c>
      <c r="O224" s="23">
        <f t="shared" si="29"/>
        <v>5200</v>
      </c>
      <c r="P224" s="23">
        <f t="shared" si="30"/>
        <v>6500</v>
      </c>
      <c r="Q224" s="21" t="str">
        <f t="shared" si="31"/>
        <v>SAI SL NHẬN</v>
      </c>
      <c r="R224" s="14">
        <f>+VLOOKUP(T224,Sheet2!$B$2:$P$372,13,0)</f>
        <v>5200</v>
      </c>
      <c r="S224" s="24">
        <f t="shared" si="32"/>
        <v>0</v>
      </c>
      <c r="T224" t="str">
        <f t="shared" si="33"/>
        <v>09/01/2026NL300059</v>
      </c>
      <c r="U224" s="15">
        <f t="shared" si="34"/>
        <v>0.5</v>
      </c>
      <c r="V224" s="25">
        <f t="shared" si="35"/>
        <v>0</v>
      </c>
    </row>
    <row r="225" spans="1:22" x14ac:dyDescent="0.25">
      <c r="A225" s="4" t="s">
        <v>183</v>
      </c>
      <c r="B225" s="5" t="s">
        <v>123</v>
      </c>
      <c r="C225" s="4" t="s">
        <v>124</v>
      </c>
      <c r="D225" s="5" t="s">
        <v>220</v>
      </c>
      <c r="E225" s="7" t="s">
        <v>84</v>
      </c>
      <c r="F225" s="7" t="s">
        <v>83</v>
      </c>
      <c r="G225" s="7" t="s">
        <v>14</v>
      </c>
      <c r="H225" s="8">
        <v>2.1</v>
      </c>
      <c r="I225" s="9">
        <v>23000</v>
      </c>
      <c r="J225" s="9">
        <f t="shared" si="28"/>
        <v>48300</v>
      </c>
      <c r="K225" s="6" t="s">
        <v>15</v>
      </c>
      <c r="L225" s="21" t="str">
        <f>+VLOOKUP(E225,mã!$B$2:$F$229,2,0)</f>
        <v>NL300070</v>
      </c>
      <c r="M225" s="22">
        <f>+VLOOKUP(T225,Sheet2!$B$2:$P$372,10,0)</f>
        <v>0</v>
      </c>
      <c r="N225" s="23">
        <f>+VLOOKUP(L225,mã!$C$2:$F$229,4,0)</f>
        <v>23000</v>
      </c>
      <c r="O225" s="23">
        <f t="shared" si="29"/>
        <v>0</v>
      </c>
      <c r="P225" s="23">
        <f t="shared" si="30"/>
        <v>48300</v>
      </c>
      <c r="Q225" s="21" t="str">
        <f t="shared" si="31"/>
        <v>SAI SL NHẬN</v>
      </c>
      <c r="R225" s="14">
        <f>+VLOOKUP(T225,Sheet2!$B$2:$P$372,13,0)</f>
        <v>0</v>
      </c>
      <c r="S225" s="24">
        <f t="shared" si="32"/>
        <v>0</v>
      </c>
      <c r="T225" t="str">
        <f t="shared" si="33"/>
        <v>09/01/2026NL300070</v>
      </c>
      <c r="U225" s="15">
        <f t="shared" si="34"/>
        <v>2.1</v>
      </c>
      <c r="V225" s="25">
        <f t="shared" si="35"/>
        <v>0</v>
      </c>
    </row>
    <row r="226" spans="1:22" x14ac:dyDescent="0.25">
      <c r="A226" s="4" t="s">
        <v>183</v>
      </c>
      <c r="B226" s="5" t="s">
        <v>123</v>
      </c>
      <c r="C226" s="4" t="s">
        <v>124</v>
      </c>
      <c r="D226" s="5" t="s">
        <v>220</v>
      </c>
      <c r="E226" s="7" t="s">
        <v>152</v>
      </c>
      <c r="F226" s="7" t="s">
        <v>153</v>
      </c>
      <c r="G226" s="7" t="s">
        <v>14</v>
      </c>
      <c r="H226" s="8">
        <v>1.1000000000000001</v>
      </c>
      <c r="I226" s="9">
        <v>20000</v>
      </c>
      <c r="J226" s="9">
        <f t="shared" si="28"/>
        <v>22000</v>
      </c>
      <c r="K226" s="6" t="s">
        <v>15</v>
      </c>
      <c r="L226" s="21" t="str">
        <f>+VLOOKUP(E226,mã!$B$2:$F$229,2,0)</f>
        <v>NL300071</v>
      </c>
      <c r="M226" s="22">
        <f>+VLOOKUP(T226,Sheet2!$B$2:$P$372,10,0)</f>
        <v>0</v>
      </c>
      <c r="N226" s="23">
        <f>+VLOOKUP(L226,mã!$C$2:$F$229,4,0)</f>
        <v>20000</v>
      </c>
      <c r="O226" s="23">
        <f t="shared" si="29"/>
        <v>0</v>
      </c>
      <c r="P226" s="23">
        <f t="shared" si="30"/>
        <v>22000</v>
      </c>
      <c r="Q226" s="21" t="str">
        <f t="shared" si="31"/>
        <v>SAI SL NHẬN</v>
      </c>
      <c r="R226" s="14">
        <f>+VLOOKUP(T226,Sheet2!$B$2:$P$372,13,0)</f>
        <v>0</v>
      </c>
      <c r="S226" s="24">
        <f t="shared" si="32"/>
        <v>0</v>
      </c>
      <c r="T226" t="str">
        <f t="shared" si="33"/>
        <v>09/01/2026NL300071</v>
      </c>
      <c r="U226" s="15">
        <f t="shared" si="34"/>
        <v>1.1000000000000001</v>
      </c>
      <c r="V226" s="25">
        <f t="shared" si="35"/>
        <v>0</v>
      </c>
    </row>
    <row r="227" spans="1:22" x14ac:dyDescent="0.25">
      <c r="A227" s="4" t="s">
        <v>183</v>
      </c>
      <c r="B227" s="5" t="s">
        <v>123</v>
      </c>
      <c r="C227" s="4" t="s">
        <v>124</v>
      </c>
      <c r="D227" s="5" t="s">
        <v>220</v>
      </c>
      <c r="E227" s="7" t="s">
        <v>82</v>
      </c>
      <c r="F227" s="7" t="s">
        <v>81</v>
      </c>
      <c r="G227" s="7" t="s">
        <v>14</v>
      </c>
      <c r="H227" s="8">
        <v>0.3</v>
      </c>
      <c r="I227" s="9">
        <v>18000</v>
      </c>
      <c r="J227" s="9">
        <f t="shared" si="28"/>
        <v>5400</v>
      </c>
      <c r="K227" s="6" t="s">
        <v>15</v>
      </c>
      <c r="L227" s="21" t="str">
        <f>+VLOOKUP(E227,mã!$B$2:$F$229,2,0)</f>
        <v>NL300184</v>
      </c>
      <c r="M227" s="22">
        <f>+VLOOKUP(T227,Sheet2!$B$2:$P$372,10,0)</f>
        <v>0.3</v>
      </c>
      <c r="N227" s="23">
        <f>+VLOOKUP(L227,mã!$C$2:$F$229,4,0)</f>
        <v>18000</v>
      </c>
      <c r="O227" s="23">
        <f t="shared" si="29"/>
        <v>5400</v>
      </c>
      <c r="P227" s="23">
        <f t="shared" si="30"/>
        <v>0</v>
      </c>
      <c r="Q227" s="21" t="str">
        <f t="shared" si="31"/>
        <v xml:space="preserve"> </v>
      </c>
      <c r="R227" s="14">
        <f>+VLOOKUP(T227,Sheet2!$B$2:$P$372,13,0)</f>
        <v>5400</v>
      </c>
      <c r="S227" s="24">
        <f t="shared" si="32"/>
        <v>0</v>
      </c>
      <c r="T227" t="str">
        <f t="shared" si="33"/>
        <v>09/01/2026NL300184</v>
      </c>
      <c r="U227" s="15">
        <f t="shared" si="34"/>
        <v>0</v>
      </c>
      <c r="V227" s="25">
        <f t="shared" si="35"/>
        <v>0</v>
      </c>
    </row>
    <row r="228" spans="1:22" x14ac:dyDescent="0.25">
      <c r="A228" s="4" t="s">
        <v>183</v>
      </c>
      <c r="B228" s="5" t="s">
        <v>123</v>
      </c>
      <c r="C228" s="4" t="s">
        <v>124</v>
      </c>
      <c r="D228" s="5" t="s">
        <v>220</v>
      </c>
      <c r="E228" s="7" t="s">
        <v>39</v>
      </c>
      <c r="F228" s="7" t="s">
        <v>40</v>
      </c>
      <c r="G228" s="7" t="s">
        <v>14</v>
      </c>
      <c r="H228" s="8">
        <v>2</v>
      </c>
      <c r="I228" s="9">
        <v>145000</v>
      </c>
      <c r="J228" s="9">
        <f t="shared" si="28"/>
        <v>290000</v>
      </c>
      <c r="K228" s="6" t="s">
        <v>15</v>
      </c>
      <c r="L228" s="21" t="str">
        <f>+VLOOKUP(E228,mã!$B$2:$F$229,2,0)</f>
        <v>NL300090</v>
      </c>
      <c r="M228" s="22">
        <f>+VLOOKUP(T228,Sheet2!$B$2:$P$372,10,0)</f>
        <v>2</v>
      </c>
      <c r="N228" s="23">
        <f>+VLOOKUP(L228,mã!$C$2:$F$229,4,0)</f>
        <v>145000</v>
      </c>
      <c r="O228" s="23">
        <f t="shared" si="29"/>
        <v>290000</v>
      </c>
      <c r="P228" s="23">
        <f t="shared" si="30"/>
        <v>0</v>
      </c>
      <c r="Q228" s="21" t="str">
        <f t="shared" si="31"/>
        <v xml:space="preserve"> </v>
      </c>
      <c r="R228" s="14">
        <f>+VLOOKUP(T228,Sheet2!$B$2:$P$372,13,0)</f>
        <v>290000</v>
      </c>
      <c r="S228" s="24">
        <f t="shared" si="32"/>
        <v>0</v>
      </c>
      <c r="T228" t="str">
        <f t="shared" si="33"/>
        <v>09/01/2026NL300090</v>
      </c>
      <c r="U228" s="15">
        <f t="shared" si="34"/>
        <v>0</v>
      </c>
      <c r="V228" s="25">
        <f t="shared" si="35"/>
        <v>0</v>
      </c>
    </row>
    <row r="229" spans="1:22" x14ac:dyDescent="0.25">
      <c r="A229" s="4" t="s">
        <v>183</v>
      </c>
      <c r="B229" s="5" t="s">
        <v>123</v>
      </c>
      <c r="C229" s="4" t="s">
        <v>124</v>
      </c>
      <c r="D229" s="5" t="s">
        <v>220</v>
      </c>
      <c r="E229" s="7" t="s">
        <v>55</v>
      </c>
      <c r="F229" s="7" t="s">
        <v>56</v>
      </c>
      <c r="G229" s="7" t="s">
        <v>14</v>
      </c>
      <c r="H229" s="8">
        <v>0.2</v>
      </c>
      <c r="I229" s="9">
        <v>70000</v>
      </c>
      <c r="J229" s="9">
        <f t="shared" si="28"/>
        <v>14000</v>
      </c>
      <c r="K229" s="6" t="s">
        <v>15</v>
      </c>
      <c r="L229" s="21" t="str">
        <f>+VLOOKUP(E229,mã!$B$2:$F$229,2,0)</f>
        <v>NL300126</v>
      </c>
      <c r="M229" s="22">
        <f>+VLOOKUP(T229,Sheet2!$B$2:$P$372,10,0)</f>
        <v>0.2</v>
      </c>
      <c r="N229" s="23">
        <f>+VLOOKUP(L229,mã!$C$2:$F$229,4,0)</f>
        <v>70000</v>
      </c>
      <c r="O229" s="23">
        <f t="shared" si="29"/>
        <v>14000</v>
      </c>
      <c r="P229" s="23">
        <f t="shared" si="30"/>
        <v>0</v>
      </c>
      <c r="Q229" s="21" t="str">
        <f t="shared" si="31"/>
        <v xml:space="preserve"> </v>
      </c>
      <c r="R229" s="14">
        <f>+VLOOKUP(T229,Sheet2!$B$2:$P$372,13,0)</f>
        <v>14000</v>
      </c>
      <c r="S229" s="24">
        <f t="shared" si="32"/>
        <v>0</v>
      </c>
      <c r="T229" t="str">
        <f t="shared" si="33"/>
        <v>09/01/2026NL300126</v>
      </c>
      <c r="U229" s="15">
        <f t="shared" si="34"/>
        <v>0</v>
      </c>
      <c r="V229" s="25">
        <f t="shared" si="35"/>
        <v>0</v>
      </c>
    </row>
    <row r="230" spans="1:22" x14ac:dyDescent="0.25">
      <c r="A230" s="4" t="s">
        <v>183</v>
      </c>
      <c r="B230" s="5" t="s">
        <v>123</v>
      </c>
      <c r="C230" s="4" t="s">
        <v>124</v>
      </c>
      <c r="D230" s="5" t="s">
        <v>220</v>
      </c>
      <c r="E230" s="7" t="s">
        <v>47</v>
      </c>
      <c r="F230" s="7" t="s">
        <v>48</v>
      </c>
      <c r="G230" s="7" t="s">
        <v>14</v>
      </c>
      <c r="H230" s="8">
        <v>1</v>
      </c>
      <c r="I230" s="9">
        <v>21000</v>
      </c>
      <c r="J230" s="9">
        <f t="shared" si="28"/>
        <v>21000</v>
      </c>
      <c r="K230" s="6" t="s">
        <v>15</v>
      </c>
      <c r="L230" s="21" t="str">
        <f>+VLOOKUP(E230,mã!$B$2:$F$229,2,0)</f>
        <v>NL300119</v>
      </c>
      <c r="M230" s="22">
        <f>+VLOOKUP(T230,Sheet2!$B$2:$P$372,10,0)</f>
        <v>0.9</v>
      </c>
      <c r="N230" s="23">
        <f>+VLOOKUP(L230,mã!$C$2:$F$229,4,0)</f>
        <v>21000</v>
      </c>
      <c r="O230" s="23">
        <f t="shared" si="29"/>
        <v>18900</v>
      </c>
      <c r="P230" s="23">
        <f t="shared" si="30"/>
        <v>2100</v>
      </c>
      <c r="Q230" s="21" t="str">
        <f t="shared" si="31"/>
        <v>SAI SL NHẬN</v>
      </c>
      <c r="R230" s="14">
        <f>+VLOOKUP(T230,Sheet2!$B$2:$P$372,13,0)</f>
        <v>18900</v>
      </c>
      <c r="S230" s="24">
        <f t="shared" si="32"/>
        <v>0</v>
      </c>
      <c r="T230" t="str">
        <f t="shared" si="33"/>
        <v>09/01/2026NL300119</v>
      </c>
      <c r="U230" s="15">
        <f t="shared" si="34"/>
        <v>9.9999999999999978E-2</v>
      </c>
      <c r="V230" s="25">
        <f t="shared" si="35"/>
        <v>0</v>
      </c>
    </row>
    <row r="231" spans="1:22" x14ac:dyDescent="0.25">
      <c r="A231" s="4" t="s">
        <v>183</v>
      </c>
      <c r="B231" s="5" t="s">
        <v>123</v>
      </c>
      <c r="C231" s="4" t="s">
        <v>124</v>
      </c>
      <c r="D231" s="5" t="s">
        <v>220</v>
      </c>
      <c r="E231" s="7" t="s">
        <v>210</v>
      </c>
      <c r="F231" s="7" t="s">
        <v>211</v>
      </c>
      <c r="G231" s="7" t="s">
        <v>14</v>
      </c>
      <c r="H231" s="8">
        <v>1.1000000000000001</v>
      </c>
      <c r="I231" s="9">
        <v>68000</v>
      </c>
      <c r="J231" s="9">
        <f t="shared" si="28"/>
        <v>74800</v>
      </c>
      <c r="K231" s="6" t="s">
        <v>15</v>
      </c>
      <c r="L231" s="21" t="s">
        <v>846</v>
      </c>
      <c r="M231" s="22">
        <f>+VLOOKUP(T231,Sheet2!$B$2:$P$372,10,0)</f>
        <v>0.8</v>
      </c>
      <c r="N231" s="23">
        <f>+VLOOKUP(L231,mã!$C$2:$F$229,4,0)</f>
        <v>68000</v>
      </c>
      <c r="O231" s="23">
        <f t="shared" si="29"/>
        <v>54400</v>
      </c>
      <c r="P231" s="23">
        <f t="shared" si="30"/>
        <v>20400</v>
      </c>
      <c r="Q231" s="21" t="str">
        <f t="shared" si="31"/>
        <v>SAI SL NHẬN</v>
      </c>
      <c r="R231" s="14">
        <f>+VLOOKUP(T231,Sheet2!$B$2:$P$372,13,0)</f>
        <v>54400</v>
      </c>
      <c r="S231" s="24">
        <f t="shared" si="32"/>
        <v>0</v>
      </c>
      <c r="T231" t="str">
        <f t="shared" si="33"/>
        <v>09/01/2026NL300232</v>
      </c>
      <c r="U231" s="15">
        <f t="shared" si="34"/>
        <v>0.30000000000000004</v>
      </c>
      <c r="V231" s="25">
        <f t="shared" si="35"/>
        <v>0</v>
      </c>
    </row>
    <row r="232" spans="1:22" x14ac:dyDescent="0.25">
      <c r="A232" s="4" t="s">
        <v>183</v>
      </c>
      <c r="B232" s="5" t="s">
        <v>123</v>
      </c>
      <c r="C232" s="4" t="s">
        <v>124</v>
      </c>
      <c r="D232" s="5" t="s">
        <v>220</v>
      </c>
      <c r="E232" s="7" t="s">
        <v>145</v>
      </c>
      <c r="F232" s="7" t="s">
        <v>146</v>
      </c>
      <c r="G232" s="7" t="s">
        <v>14</v>
      </c>
      <c r="H232" s="8">
        <v>5</v>
      </c>
      <c r="I232" s="9">
        <v>38000</v>
      </c>
      <c r="J232" s="9">
        <f t="shared" si="28"/>
        <v>190000</v>
      </c>
      <c r="K232" s="6" t="s">
        <v>15</v>
      </c>
      <c r="L232" s="21" t="str">
        <f>+VLOOKUP(E232,mã!$B$2:$F$229,2,0)</f>
        <v>NL300145</v>
      </c>
      <c r="M232" s="22">
        <f>+VLOOKUP(T232,Sheet2!$B$2:$P$372,10,0)</f>
        <v>2.5</v>
      </c>
      <c r="N232" s="23">
        <f>+VLOOKUP(L232,mã!$C$2:$F$229,4,0)</f>
        <v>38000</v>
      </c>
      <c r="O232" s="23">
        <f t="shared" si="29"/>
        <v>95000</v>
      </c>
      <c r="P232" s="23">
        <f t="shared" si="30"/>
        <v>95000</v>
      </c>
      <c r="Q232" s="21" t="str">
        <f t="shared" si="31"/>
        <v>SAI SL NHẬN</v>
      </c>
      <c r="R232" s="14">
        <f>+VLOOKUP(T232,Sheet2!$B$2:$P$372,13,0)</f>
        <v>95000</v>
      </c>
      <c r="S232" s="24">
        <f t="shared" si="32"/>
        <v>0</v>
      </c>
      <c r="T232" t="str">
        <f t="shared" si="33"/>
        <v>09/01/2026NL300145</v>
      </c>
      <c r="U232" s="15">
        <f t="shared" si="34"/>
        <v>2.5</v>
      </c>
      <c r="V232" s="25">
        <f t="shared" si="35"/>
        <v>0</v>
      </c>
    </row>
    <row r="233" spans="1:22" x14ac:dyDescent="0.25">
      <c r="A233" s="4" t="s">
        <v>183</v>
      </c>
      <c r="B233" s="5" t="s">
        <v>123</v>
      </c>
      <c r="C233" s="4" t="s">
        <v>124</v>
      </c>
      <c r="D233" s="5" t="s">
        <v>220</v>
      </c>
      <c r="E233" s="7" t="s">
        <v>66</v>
      </c>
      <c r="F233" s="7" t="s">
        <v>65</v>
      </c>
      <c r="G233" s="7" t="s">
        <v>14</v>
      </c>
      <c r="H233" s="8">
        <v>1</v>
      </c>
      <c r="I233" s="9">
        <v>62000</v>
      </c>
      <c r="J233" s="9">
        <f t="shared" si="28"/>
        <v>62000</v>
      </c>
      <c r="K233" s="6" t="s">
        <v>15</v>
      </c>
      <c r="L233" s="21" t="str">
        <f>+VLOOKUP(E233,mã!$B$2:$F$229,2,0)</f>
        <v>NL300147</v>
      </c>
      <c r="M233" s="22">
        <f>+VLOOKUP(T233,Sheet2!$B$2:$P$372,10,0)</f>
        <v>0.8</v>
      </c>
      <c r="N233" s="23">
        <f>+VLOOKUP(L233,mã!$C$2:$F$229,4,0)</f>
        <v>62000</v>
      </c>
      <c r="O233" s="23">
        <f t="shared" si="29"/>
        <v>49600</v>
      </c>
      <c r="P233" s="23">
        <f t="shared" si="30"/>
        <v>12400</v>
      </c>
      <c r="Q233" s="21" t="str">
        <f t="shared" si="31"/>
        <v>SAI SL NHẬN</v>
      </c>
      <c r="R233" s="14">
        <f>+VLOOKUP(T233,Sheet2!$B$2:$P$372,13,0)</f>
        <v>49600</v>
      </c>
      <c r="S233" s="24">
        <f t="shared" si="32"/>
        <v>0</v>
      </c>
      <c r="T233" t="str">
        <f t="shared" si="33"/>
        <v>09/01/2026NL300147</v>
      </c>
      <c r="U233" s="15">
        <f t="shared" si="34"/>
        <v>0.19999999999999996</v>
      </c>
      <c r="V233" s="25">
        <f t="shared" si="35"/>
        <v>0</v>
      </c>
    </row>
    <row r="234" spans="1:22" x14ac:dyDescent="0.25">
      <c r="A234" s="4" t="s">
        <v>186</v>
      </c>
      <c r="B234" s="5" t="s">
        <v>123</v>
      </c>
      <c r="C234" s="4" t="s">
        <v>124</v>
      </c>
      <c r="D234" s="5" t="s">
        <v>221</v>
      </c>
      <c r="E234" s="7" t="s">
        <v>12</v>
      </c>
      <c r="F234" s="7" t="s">
        <v>13</v>
      </c>
      <c r="G234" s="7" t="s">
        <v>14</v>
      </c>
      <c r="H234" s="8">
        <v>2.7</v>
      </c>
      <c r="I234" s="9">
        <v>19000</v>
      </c>
      <c r="J234" s="9">
        <f t="shared" si="28"/>
        <v>51300</v>
      </c>
      <c r="K234" s="6" t="s">
        <v>15</v>
      </c>
      <c r="L234" s="21" t="str">
        <f>+VLOOKUP(E234,mã!$B$2:$F$229,2,0)</f>
        <v>NL300004</v>
      </c>
      <c r="M234" s="22">
        <f>+VLOOKUP(T234,Sheet2!$B$2:$P$372,10,0)</f>
        <v>2.7</v>
      </c>
      <c r="N234" s="23">
        <f>+VLOOKUP(L234,mã!$C$2:$F$229,4,0)</f>
        <v>19000</v>
      </c>
      <c r="O234" s="23">
        <f t="shared" si="29"/>
        <v>51300</v>
      </c>
      <c r="P234" s="23">
        <f t="shared" si="30"/>
        <v>0</v>
      </c>
      <c r="Q234" s="21" t="str">
        <f t="shared" si="31"/>
        <v xml:space="preserve"> </v>
      </c>
      <c r="R234" s="14">
        <f>+VLOOKUP(T234,Sheet2!$B$2:$P$372,13,0)</f>
        <v>51300</v>
      </c>
      <c r="S234" s="24">
        <f t="shared" si="32"/>
        <v>0</v>
      </c>
      <c r="T234" t="str">
        <f t="shared" si="33"/>
        <v>10/01/2026NL300004</v>
      </c>
      <c r="U234" s="15">
        <f t="shared" si="34"/>
        <v>0</v>
      </c>
      <c r="V234" s="25">
        <f t="shared" si="35"/>
        <v>0</v>
      </c>
    </row>
    <row r="235" spans="1:22" x14ac:dyDescent="0.25">
      <c r="A235" s="4" t="s">
        <v>186</v>
      </c>
      <c r="B235" s="5" t="s">
        <v>123</v>
      </c>
      <c r="C235" s="4" t="s">
        <v>124</v>
      </c>
      <c r="D235" s="5" t="s">
        <v>221</v>
      </c>
      <c r="E235" s="7" t="s">
        <v>16</v>
      </c>
      <c r="F235" s="7" t="s">
        <v>17</v>
      </c>
      <c r="G235" s="7" t="s">
        <v>18</v>
      </c>
      <c r="H235" s="8">
        <v>12</v>
      </c>
      <c r="I235" s="9">
        <v>8500</v>
      </c>
      <c r="J235" s="9">
        <f t="shared" si="28"/>
        <v>102000</v>
      </c>
      <c r="K235" s="6" t="s">
        <v>15</v>
      </c>
      <c r="L235" s="21" t="str">
        <f>+VLOOKUP(E235,mã!$B$2:$F$229,2,0)</f>
        <v>NL300107</v>
      </c>
      <c r="M235" s="22">
        <f>+VLOOKUP(T235,Sheet2!$B$2:$P$372,10,0)</f>
        <v>12</v>
      </c>
      <c r="N235" s="23">
        <f>+VLOOKUP(L235,mã!$C$2:$F$229,4,0)</f>
        <v>8500</v>
      </c>
      <c r="O235" s="23">
        <f t="shared" si="29"/>
        <v>102000</v>
      </c>
      <c r="P235" s="23">
        <f t="shared" si="30"/>
        <v>0</v>
      </c>
      <c r="Q235" s="21" t="str">
        <f t="shared" si="31"/>
        <v xml:space="preserve"> </v>
      </c>
      <c r="R235" s="14">
        <f>+VLOOKUP(T235,Sheet2!$B$2:$P$372,13,0)</f>
        <v>102000</v>
      </c>
      <c r="S235" s="24">
        <f t="shared" si="32"/>
        <v>0</v>
      </c>
      <c r="T235" t="str">
        <f t="shared" si="33"/>
        <v>10/01/2026NL300107</v>
      </c>
      <c r="U235" s="15">
        <f t="shared" si="34"/>
        <v>0</v>
      </c>
      <c r="V235" s="25">
        <f t="shared" si="35"/>
        <v>0</v>
      </c>
    </row>
    <row r="236" spans="1:22" x14ac:dyDescent="0.25">
      <c r="A236" s="4" t="s">
        <v>186</v>
      </c>
      <c r="B236" s="5" t="s">
        <v>123</v>
      </c>
      <c r="C236" s="4" t="s">
        <v>124</v>
      </c>
      <c r="D236" s="5" t="s">
        <v>221</v>
      </c>
      <c r="E236" s="7" t="s">
        <v>59</v>
      </c>
      <c r="F236" s="7" t="s">
        <v>60</v>
      </c>
      <c r="G236" s="7" t="s">
        <v>14</v>
      </c>
      <c r="H236" s="8">
        <v>3.4</v>
      </c>
      <c r="I236" s="9">
        <v>30000</v>
      </c>
      <c r="J236" s="9">
        <f t="shared" si="28"/>
        <v>102000</v>
      </c>
      <c r="K236" s="6" t="s">
        <v>15</v>
      </c>
      <c r="L236" s="21" t="str">
        <f>+VLOOKUP(E236,mã!$B$2:$F$229,2,0)</f>
        <v>NL300007</v>
      </c>
      <c r="M236" s="22">
        <f>+VLOOKUP(T236,Sheet2!$B$2:$P$372,10,0)</f>
        <v>3.4</v>
      </c>
      <c r="N236" s="23">
        <f>+VLOOKUP(L236,mã!$C$2:$F$229,4,0)</f>
        <v>30000</v>
      </c>
      <c r="O236" s="23">
        <f t="shared" si="29"/>
        <v>102000</v>
      </c>
      <c r="P236" s="23">
        <f t="shared" si="30"/>
        <v>0</v>
      </c>
      <c r="Q236" s="21" t="str">
        <f t="shared" si="31"/>
        <v xml:space="preserve"> </v>
      </c>
      <c r="R236" s="14">
        <f>+VLOOKUP(T236,Sheet2!$B$2:$P$372,13,0)</f>
        <v>102000</v>
      </c>
      <c r="S236" s="24">
        <f t="shared" si="32"/>
        <v>0</v>
      </c>
      <c r="T236" t="str">
        <f t="shared" si="33"/>
        <v>10/01/2026NL300007</v>
      </c>
      <c r="U236" s="15">
        <f t="shared" si="34"/>
        <v>0</v>
      </c>
      <c r="V236" s="25">
        <f t="shared" si="35"/>
        <v>0</v>
      </c>
    </row>
    <row r="237" spans="1:22" x14ac:dyDescent="0.25">
      <c r="A237" s="4" t="s">
        <v>186</v>
      </c>
      <c r="B237" s="5" t="s">
        <v>123</v>
      </c>
      <c r="C237" s="4" t="s">
        <v>124</v>
      </c>
      <c r="D237" s="5" t="s">
        <v>221</v>
      </c>
      <c r="E237" s="7" t="s">
        <v>101</v>
      </c>
      <c r="F237" s="7" t="s">
        <v>100</v>
      </c>
      <c r="G237" s="7" t="s">
        <v>14</v>
      </c>
      <c r="H237" s="8">
        <v>2.1</v>
      </c>
      <c r="I237" s="9">
        <v>40000</v>
      </c>
      <c r="J237" s="9">
        <f t="shared" si="28"/>
        <v>84000</v>
      </c>
      <c r="K237" s="6" t="s">
        <v>15</v>
      </c>
      <c r="L237" s="21" t="str">
        <f>+VLOOKUP(E237,mã!$B$2:$F$229,2,0)</f>
        <v>NL300008</v>
      </c>
      <c r="M237" s="22">
        <f>+VLOOKUP(T237,Sheet2!$B$2:$P$372,10,0)</f>
        <v>2.1</v>
      </c>
      <c r="N237" s="23">
        <f>+VLOOKUP(L237,mã!$C$2:$F$229,4,0)</f>
        <v>40000</v>
      </c>
      <c r="O237" s="23">
        <f t="shared" si="29"/>
        <v>84000</v>
      </c>
      <c r="P237" s="23">
        <f t="shared" si="30"/>
        <v>0</v>
      </c>
      <c r="Q237" s="21" t="str">
        <f t="shared" si="31"/>
        <v xml:space="preserve"> </v>
      </c>
      <c r="R237" s="14">
        <f>+VLOOKUP(T237,Sheet2!$B$2:$P$372,13,0)</f>
        <v>84000</v>
      </c>
      <c r="S237" s="24">
        <f t="shared" si="32"/>
        <v>0</v>
      </c>
      <c r="T237" t="str">
        <f t="shared" si="33"/>
        <v>10/01/2026NL300008</v>
      </c>
      <c r="U237" s="15">
        <f t="shared" si="34"/>
        <v>0</v>
      </c>
      <c r="V237" s="25">
        <f t="shared" si="35"/>
        <v>0</v>
      </c>
    </row>
    <row r="238" spans="1:22" x14ac:dyDescent="0.25">
      <c r="A238" s="4" t="s">
        <v>186</v>
      </c>
      <c r="B238" s="5" t="s">
        <v>123</v>
      </c>
      <c r="C238" s="4" t="s">
        <v>124</v>
      </c>
      <c r="D238" s="5" t="s">
        <v>221</v>
      </c>
      <c r="E238" s="7" t="s">
        <v>150</v>
      </c>
      <c r="F238" s="7" t="s">
        <v>151</v>
      </c>
      <c r="G238" s="7" t="s">
        <v>14</v>
      </c>
      <c r="H238" s="8">
        <v>2</v>
      </c>
      <c r="I238" s="9">
        <v>50000</v>
      </c>
      <c r="J238" s="9">
        <f t="shared" si="28"/>
        <v>100000</v>
      </c>
      <c r="K238" s="6" t="s">
        <v>15</v>
      </c>
      <c r="L238" s="21" t="str">
        <f>+VLOOKUP(E238,mã!$B$2:$F$229,2,0)</f>
        <v>NL300013</v>
      </c>
      <c r="M238" s="22">
        <f>+VLOOKUP(T238,Sheet2!$B$2:$P$372,10,0)</f>
        <v>2</v>
      </c>
      <c r="N238" s="23">
        <f>+VLOOKUP(L238,mã!$C$2:$F$229,4,0)</f>
        <v>50000</v>
      </c>
      <c r="O238" s="23">
        <f t="shared" si="29"/>
        <v>100000</v>
      </c>
      <c r="P238" s="23">
        <f t="shared" si="30"/>
        <v>0</v>
      </c>
      <c r="Q238" s="21" t="str">
        <f t="shared" si="31"/>
        <v xml:space="preserve"> </v>
      </c>
      <c r="R238" s="14">
        <f>+VLOOKUP(T238,Sheet2!$B$2:$P$372,13,0)</f>
        <v>100000</v>
      </c>
      <c r="S238" s="24">
        <f t="shared" si="32"/>
        <v>0</v>
      </c>
      <c r="T238" t="str">
        <f t="shared" si="33"/>
        <v>10/01/2026NL300013</v>
      </c>
      <c r="U238" s="15">
        <f t="shared" si="34"/>
        <v>0</v>
      </c>
      <c r="V238" s="25">
        <f t="shared" si="35"/>
        <v>0</v>
      </c>
    </row>
    <row r="239" spans="1:22" x14ac:dyDescent="0.25">
      <c r="A239" s="4" t="s">
        <v>186</v>
      </c>
      <c r="B239" s="5" t="s">
        <v>123</v>
      </c>
      <c r="C239" s="4" t="s">
        <v>124</v>
      </c>
      <c r="D239" s="5" t="s">
        <v>221</v>
      </c>
      <c r="E239" s="7" t="s">
        <v>131</v>
      </c>
      <c r="F239" s="7" t="s">
        <v>132</v>
      </c>
      <c r="G239" s="7" t="s">
        <v>14</v>
      </c>
      <c r="H239" s="8">
        <v>0.2</v>
      </c>
      <c r="I239" s="9">
        <v>55000</v>
      </c>
      <c r="J239" s="9">
        <f t="shared" si="28"/>
        <v>11000</v>
      </c>
      <c r="K239" s="6" t="s">
        <v>15</v>
      </c>
      <c r="L239" s="21" t="str">
        <f>+VLOOKUP(E239,mã!$B$2:$F$229,2,0)</f>
        <v>NL300014</v>
      </c>
      <c r="M239" s="22">
        <f>+VLOOKUP(T239,Sheet2!$B$2:$P$372,10,0)</f>
        <v>0.2</v>
      </c>
      <c r="N239" s="23">
        <f>+VLOOKUP(L239,mã!$C$2:$F$229,4,0)</f>
        <v>55000</v>
      </c>
      <c r="O239" s="23">
        <f t="shared" si="29"/>
        <v>11000</v>
      </c>
      <c r="P239" s="23">
        <f t="shared" si="30"/>
        <v>0</v>
      </c>
      <c r="Q239" s="21" t="str">
        <f t="shared" si="31"/>
        <v xml:space="preserve"> </v>
      </c>
      <c r="R239" s="14">
        <f>+VLOOKUP(T239,Sheet2!$B$2:$P$372,13,0)</f>
        <v>11000</v>
      </c>
      <c r="S239" s="24">
        <f t="shared" si="32"/>
        <v>0</v>
      </c>
      <c r="T239" t="str">
        <f t="shared" si="33"/>
        <v>10/01/2026NL300014</v>
      </c>
      <c r="U239" s="15">
        <f t="shared" si="34"/>
        <v>0</v>
      </c>
      <c r="V239" s="25">
        <f t="shared" si="35"/>
        <v>0</v>
      </c>
    </row>
    <row r="240" spans="1:22" x14ac:dyDescent="0.25">
      <c r="A240" s="4" t="s">
        <v>186</v>
      </c>
      <c r="B240" s="5" t="s">
        <v>123</v>
      </c>
      <c r="C240" s="4" t="s">
        <v>124</v>
      </c>
      <c r="D240" s="5" t="s">
        <v>221</v>
      </c>
      <c r="E240" s="7" t="s">
        <v>125</v>
      </c>
      <c r="F240" s="7" t="s">
        <v>126</v>
      </c>
      <c r="G240" s="7" t="s">
        <v>14</v>
      </c>
      <c r="H240" s="8">
        <v>2</v>
      </c>
      <c r="I240" s="9">
        <v>18000</v>
      </c>
      <c r="J240" s="9">
        <f t="shared" si="28"/>
        <v>36000</v>
      </c>
      <c r="K240" s="6" t="s">
        <v>15</v>
      </c>
      <c r="L240" s="21" t="str">
        <f>+VLOOKUP(E240,mã!$B$2:$F$229,2,0)</f>
        <v>NL300027</v>
      </c>
      <c r="M240" s="22">
        <f>+VLOOKUP(T240,Sheet2!$B$2:$P$372,10,0)</f>
        <v>2</v>
      </c>
      <c r="N240" s="23">
        <f>+VLOOKUP(L240,mã!$C$2:$F$229,4,0)</f>
        <v>18000</v>
      </c>
      <c r="O240" s="23">
        <f t="shared" si="29"/>
        <v>36000</v>
      </c>
      <c r="P240" s="23">
        <f t="shared" si="30"/>
        <v>0</v>
      </c>
      <c r="Q240" s="21" t="str">
        <f t="shared" si="31"/>
        <v xml:space="preserve"> </v>
      </c>
      <c r="R240" s="14">
        <f>+VLOOKUP(T240,Sheet2!$B$2:$P$372,13,0)</f>
        <v>36000</v>
      </c>
      <c r="S240" s="24">
        <f t="shared" si="32"/>
        <v>0</v>
      </c>
      <c r="T240" t="str">
        <f t="shared" si="33"/>
        <v>10/01/2026NL300027</v>
      </c>
      <c r="U240" s="15">
        <f t="shared" si="34"/>
        <v>0</v>
      </c>
      <c r="V240" s="25">
        <f t="shared" si="35"/>
        <v>0</v>
      </c>
    </row>
    <row r="241" spans="1:22" x14ac:dyDescent="0.25">
      <c r="A241" s="4" t="s">
        <v>186</v>
      </c>
      <c r="B241" s="5" t="s">
        <v>123</v>
      </c>
      <c r="C241" s="4" t="s">
        <v>124</v>
      </c>
      <c r="D241" s="5" t="s">
        <v>221</v>
      </c>
      <c r="E241" s="7" t="s">
        <v>135</v>
      </c>
      <c r="F241" s="7" t="s">
        <v>136</v>
      </c>
      <c r="G241" s="7" t="s">
        <v>14</v>
      </c>
      <c r="H241" s="8">
        <v>0.2</v>
      </c>
      <c r="I241" s="9">
        <v>40000</v>
      </c>
      <c r="J241" s="9">
        <f t="shared" si="28"/>
        <v>8000</v>
      </c>
      <c r="K241" s="6" t="s">
        <v>15</v>
      </c>
      <c r="L241" s="21" t="str">
        <f>+VLOOKUP(E241,mã!$B$2:$F$229,2,0)</f>
        <v>NL300034</v>
      </c>
      <c r="M241" s="22">
        <f>+VLOOKUP(T241,Sheet2!$B$2:$P$372,10,0)</f>
        <v>0.2</v>
      </c>
      <c r="N241" s="23">
        <f>+VLOOKUP(L241,mã!$C$2:$F$229,4,0)</f>
        <v>40000</v>
      </c>
      <c r="O241" s="23">
        <f t="shared" si="29"/>
        <v>8000</v>
      </c>
      <c r="P241" s="23">
        <f t="shared" si="30"/>
        <v>0</v>
      </c>
      <c r="Q241" s="21" t="str">
        <f t="shared" si="31"/>
        <v xml:space="preserve"> </v>
      </c>
      <c r="R241" s="14">
        <f>+VLOOKUP(T241,Sheet2!$B$2:$P$372,13,0)</f>
        <v>8000</v>
      </c>
      <c r="S241" s="24">
        <f t="shared" si="32"/>
        <v>0</v>
      </c>
      <c r="T241" t="str">
        <f t="shared" si="33"/>
        <v>10/01/2026NL300034</v>
      </c>
      <c r="U241" s="15">
        <f t="shared" si="34"/>
        <v>0</v>
      </c>
      <c r="V241" s="25">
        <f t="shared" si="35"/>
        <v>0</v>
      </c>
    </row>
    <row r="242" spans="1:22" x14ac:dyDescent="0.25">
      <c r="A242" s="4" t="s">
        <v>186</v>
      </c>
      <c r="B242" s="5" t="s">
        <v>123</v>
      </c>
      <c r="C242" s="4" t="s">
        <v>124</v>
      </c>
      <c r="D242" s="5" t="s">
        <v>221</v>
      </c>
      <c r="E242" s="7" t="s">
        <v>127</v>
      </c>
      <c r="F242" s="7" t="s">
        <v>128</v>
      </c>
      <c r="G242" s="7" t="s">
        <v>14</v>
      </c>
      <c r="H242" s="8">
        <v>2</v>
      </c>
      <c r="I242" s="9">
        <v>13000</v>
      </c>
      <c r="J242" s="9">
        <f t="shared" si="28"/>
        <v>26000</v>
      </c>
      <c r="K242" s="6" t="s">
        <v>15</v>
      </c>
      <c r="L242" s="21" t="str">
        <f>+VLOOKUP(E242,mã!$B$2:$F$229,2,0)</f>
        <v>NL300033</v>
      </c>
      <c r="M242" s="22">
        <f>+VLOOKUP(T242,Sheet2!$B$2:$P$372,10,0)</f>
        <v>2</v>
      </c>
      <c r="N242" s="23">
        <f>+VLOOKUP(L242,mã!$C$2:$F$229,4,0)</f>
        <v>13000</v>
      </c>
      <c r="O242" s="23">
        <f t="shared" si="29"/>
        <v>26000</v>
      </c>
      <c r="P242" s="23">
        <f t="shared" si="30"/>
        <v>0</v>
      </c>
      <c r="Q242" s="21" t="str">
        <f t="shared" si="31"/>
        <v xml:space="preserve"> </v>
      </c>
      <c r="R242" s="14">
        <f>+VLOOKUP(T242,Sheet2!$B$2:$P$372,13,0)</f>
        <v>26000</v>
      </c>
      <c r="S242" s="24">
        <f t="shared" si="32"/>
        <v>0</v>
      </c>
      <c r="T242" t="str">
        <f t="shared" si="33"/>
        <v>10/01/2026NL300033</v>
      </c>
      <c r="U242" s="15">
        <f t="shared" si="34"/>
        <v>0</v>
      </c>
      <c r="V242" s="25">
        <f t="shared" si="35"/>
        <v>0</v>
      </c>
    </row>
    <row r="243" spans="1:22" x14ac:dyDescent="0.25">
      <c r="A243" s="4" t="s">
        <v>186</v>
      </c>
      <c r="B243" s="5" t="s">
        <v>123</v>
      </c>
      <c r="C243" s="4" t="s">
        <v>124</v>
      </c>
      <c r="D243" s="5" t="s">
        <v>221</v>
      </c>
      <c r="E243" s="7" t="s">
        <v>19</v>
      </c>
      <c r="F243" s="7" t="s">
        <v>20</v>
      </c>
      <c r="G243" s="7" t="s">
        <v>14</v>
      </c>
      <c r="H243" s="8">
        <v>3</v>
      </c>
      <c r="I243" s="9">
        <v>32000</v>
      </c>
      <c r="J243" s="9">
        <f t="shared" si="28"/>
        <v>96000</v>
      </c>
      <c r="K243" s="6" t="s">
        <v>15</v>
      </c>
      <c r="L243" s="21" t="str">
        <f>+VLOOKUP(E243,mã!$B$2:$F$229,2,0)</f>
        <v>NL300038</v>
      </c>
      <c r="M243" s="22">
        <f>+VLOOKUP(T243,Sheet2!$B$2:$P$372,10,0)</f>
        <v>2.5</v>
      </c>
      <c r="N243" s="23">
        <f>+VLOOKUP(L243,mã!$C$2:$F$229,4,0)</f>
        <v>32000</v>
      </c>
      <c r="O243" s="23">
        <f t="shared" si="29"/>
        <v>80000</v>
      </c>
      <c r="P243" s="23">
        <f t="shared" si="30"/>
        <v>16000</v>
      </c>
      <c r="Q243" s="21" t="str">
        <f t="shared" si="31"/>
        <v>SAI SL NHẬN</v>
      </c>
      <c r="R243" s="14">
        <f>+VLOOKUP(T243,Sheet2!$B$2:$P$372,13,0)</f>
        <v>80000</v>
      </c>
      <c r="S243" s="24">
        <f t="shared" si="32"/>
        <v>0</v>
      </c>
      <c r="T243" t="str">
        <f t="shared" si="33"/>
        <v>10/01/2026NL300038</v>
      </c>
      <c r="U243" s="15">
        <f t="shared" si="34"/>
        <v>0.5</v>
      </c>
      <c r="V243" s="25">
        <f t="shared" si="35"/>
        <v>0</v>
      </c>
    </row>
    <row r="244" spans="1:22" ht="28.5" x14ac:dyDescent="0.25">
      <c r="A244" s="4" t="s">
        <v>186</v>
      </c>
      <c r="B244" s="5" t="s">
        <v>123</v>
      </c>
      <c r="C244" s="4" t="s">
        <v>124</v>
      </c>
      <c r="D244" s="5" t="s">
        <v>221</v>
      </c>
      <c r="E244" s="7" t="s">
        <v>89</v>
      </c>
      <c r="F244" s="7" t="s">
        <v>88</v>
      </c>
      <c r="G244" s="7" t="s">
        <v>87</v>
      </c>
      <c r="H244" s="8">
        <v>6</v>
      </c>
      <c r="I244" s="9">
        <v>15000</v>
      </c>
      <c r="J244" s="9">
        <f t="shared" si="28"/>
        <v>90000</v>
      </c>
      <c r="K244" s="6" t="s">
        <v>15</v>
      </c>
      <c r="L244" s="21" t="str">
        <f>+VLOOKUP(E244,mã!$B$2:$F$229,2,0)</f>
        <v>NL300041</v>
      </c>
      <c r="M244" s="22">
        <f>+VLOOKUP(T244,Sheet2!$B$2:$P$372,10,0)</f>
        <v>6</v>
      </c>
      <c r="N244" s="23">
        <f>+VLOOKUP(L244,mã!$C$2:$F$229,4,0)</f>
        <v>15000</v>
      </c>
      <c r="O244" s="23">
        <f t="shared" si="29"/>
        <v>90000</v>
      </c>
      <c r="P244" s="23">
        <f t="shared" si="30"/>
        <v>0</v>
      </c>
      <c r="Q244" s="21" t="str">
        <f t="shared" si="31"/>
        <v xml:space="preserve"> </v>
      </c>
      <c r="R244" s="14">
        <f>+VLOOKUP(T244,Sheet2!$B$2:$P$372,13,0)</f>
        <v>90000</v>
      </c>
      <c r="S244" s="24">
        <f t="shared" si="32"/>
        <v>0</v>
      </c>
      <c r="T244" t="str">
        <f t="shared" si="33"/>
        <v>10/01/2026NL300041</v>
      </c>
      <c r="U244" s="15">
        <f t="shared" si="34"/>
        <v>0</v>
      </c>
      <c r="V244" s="25">
        <f t="shared" si="35"/>
        <v>0</v>
      </c>
    </row>
    <row r="245" spans="1:22" x14ac:dyDescent="0.25">
      <c r="A245" s="4" t="s">
        <v>186</v>
      </c>
      <c r="B245" s="5" t="s">
        <v>123</v>
      </c>
      <c r="C245" s="4" t="s">
        <v>124</v>
      </c>
      <c r="D245" s="5" t="s">
        <v>221</v>
      </c>
      <c r="E245" s="7" t="s">
        <v>51</v>
      </c>
      <c r="F245" s="7" t="s">
        <v>52</v>
      </c>
      <c r="G245" s="7" t="s">
        <v>14</v>
      </c>
      <c r="H245" s="8">
        <v>28.2</v>
      </c>
      <c r="I245" s="9">
        <v>18000</v>
      </c>
      <c r="J245" s="9">
        <f t="shared" si="28"/>
        <v>507600</v>
      </c>
      <c r="K245" s="6" t="s">
        <v>15</v>
      </c>
      <c r="L245" s="21" t="str">
        <f>+VLOOKUP(E245,mã!$B$2:$F$229,2,0)</f>
        <v>NL600004</v>
      </c>
      <c r="M245" s="22">
        <f>+VLOOKUP(T245,Sheet2!$B$2:$P$372,10,0)</f>
        <v>28.2</v>
      </c>
      <c r="N245" s="23">
        <f>+VLOOKUP(L245,mã!$C$2:$F$229,4,0)</f>
        <v>18000</v>
      </c>
      <c r="O245" s="23">
        <f t="shared" si="29"/>
        <v>507600</v>
      </c>
      <c r="P245" s="23">
        <f t="shared" si="30"/>
        <v>0</v>
      </c>
      <c r="Q245" s="21" t="str">
        <f t="shared" si="31"/>
        <v xml:space="preserve"> </v>
      </c>
      <c r="R245" s="14">
        <f>+VLOOKUP(T245,Sheet2!$B$2:$P$372,13,0)</f>
        <v>507600</v>
      </c>
      <c r="S245" s="24">
        <f t="shared" si="32"/>
        <v>0</v>
      </c>
      <c r="T245" t="str">
        <f t="shared" si="33"/>
        <v>10/01/2026NL600004</v>
      </c>
      <c r="U245" s="15">
        <f t="shared" si="34"/>
        <v>0</v>
      </c>
      <c r="V245" s="25">
        <f t="shared" si="35"/>
        <v>0</v>
      </c>
    </row>
    <row r="246" spans="1:22" x14ac:dyDescent="0.25">
      <c r="A246" s="4" t="s">
        <v>186</v>
      </c>
      <c r="B246" s="5" t="s">
        <v>123</v>
      </c>
      <c r="C246" s="4" t="s">
        <v>124</v>
      </c>
      <c r="D246" s="5" t="s">
        <v>221</v>
      </c>
      <c r="E246" s="7" t="s">
        <v>129</v>
      </c>
      <c r="F246" s="7" t="s">
        <v>130</v>
      </c>
      <c r="G246" s="7" t="s">
        <v>14</v>
      </c>
      <c r="H246" s="8">
        <v>2.2999999999999998</v>
      </c>
      <c r="I246" s="9">
        <v>18000</v>
      </c>
      <c r="J246" s="9">
        <f t="shared" si="28"/>
        <v>41400</v>
      </c>
      <c r="K246" s="6" t="s">
        <v>15</v>
      </c>
      <c r="L246" s="21" t="str">
        <f>+VLOOKUP(E246,mã!$B$2:$F$229,2,0)</f>
        <v>NL300048</v>
      </c>
      <c r="M246" s="22">
        <f>+VLOOKUP(T246,Sheet2!$B$2:$P$372,10,0)</f>
        <v>2.2000000000000002</v>
      </c>
      <c r="N246" s="23">
        <f>+VLOOKUP(L246,mã!$C$2:$F$229,4,0)</f>
        <v>18000</v>
      </c>
      <c r="O246" s="23">
        <f t="shared" si="29"/>
        <v>39600</v>
      </c>
      <c r="P246" s="23">
        <f t="shared" si="30"/>
        <v>1800</v>
      </c>
      <c r="Q246" s="21" t="str">
        <f t="shared" si="31"/>
        <v>SAI SL NHẬN</v>
      </c>
      <c r="R246" s="14">
        <f>+VLOOKUP(T246,Sheet2!$B$2:$P$372,13,0)</f>
        <v>39600</v>
      </c>
      <c r="S246" s="24">
        <f t="shared" si="32"/>
        <v>0</v>
      </c>
      <c r="T246" t="str">
        <f t="shared" si="33"/>
        <v>10/01/2026NL300048</v>
      </c>
      <c r="U246" s="15">
        <f t="shared" si="34"/>
        <v>9.9999999999999645E-2</v>
      </c>
      <c r="V246" s="25">
        <f t="shared" si="35"/>
        <v>0</v>
      </c>
    </row>
    <row r="247" spans="1:22" x14ac:dyDescent="0.25">
      <c r="A247" s="4" t="s">
        <v>186</v>
      </c>
      <c r="B247" s="5" t="s">
        <v>123</v>
      </c>
      <c r="C247" s="4" t="s">
        <v>124</v>
      </c>
      <c r="D247" s="5" t="s">
        <v>221</v>
      </c>
      <c r="E247" s="7" t="s">
        <v>137</v>
      </c>
      <c r="F247" s="7" t="s">
        <v>138</v>
      </c>
      <c r="G247" s="7" t="s">
        <v>14</v>
      </c>
      <c r="H247" s="8">
        <v>1</v>
      </c>
      <c r="I247" s="9">
        <v>9000</v>
      </c>
      <c r="J247" s="9">
        <f t="shared" si="28"/>
        <v>9000</v>
      </c>
      <c r="K247" s="6" t="s">
        <v>15</v>
      </c>
      <c r="L247" s="21" t="str">
        <f>+VLOOKUP(E247,mã!$B$2:$F$229,2,0)</f>
        <v>NL300050</v>
      </c>
      <c r="M247" s="22">
        <f>+VLOOKUP(T247,Sheet2!$B$2:$P$372,10,0)</f>
        <v>1</v>
      </c>
      <c r="N247" s="23">
        <f>+VLOOKUP(L247,mã!$C$2:$F$229,4,0)</f>
        <v>9000</v>
      </c>
      <c r="O247" s="23">
        <f t="shared" si="29"/>
        <v>9000</v>
      </c>
      <c r="P247" s="23">
        <f t="shared" si="30"/>
        <v>0</v>
      </c>
      <c r="Q247" s="21" t="str">
        <f t="shared" si="31"/>
        <v xml:space="preserve"> </v>
      </c>
      <c r="R247" s="14">
        <f>+VLOOKUP(T247,Sheet2!$B$2:$P$372,13,0)</f>
        <v>9000</v>
      </c>
      <c r="S247" s="24">
        <f t="shared" si="32"/>
        <v>0</v>
      </c>
      <c r="T247" t="str">
        <f t="shared" si="33"/>
        <v>10/01/2026NL300050</v>
      </c>
      <c r="U247" s="15">
        <f t="shared" si="34"/>
        <v>0</v>
      </c>
      <c r="V247" s="25">
        <f t="shared" si="35"/>
        <v>0</v>
      </c>
    </row>
    <row r="248" spans="1:22" x14ac:dyDescent="0.25">
      <c r="A248" s="4" t="s">
        <v>186</v>
      </c>
      <c r="B248" s="5" t="s">
        <v>123</v>
      </c>
      <c r="C248" s="4" t="s">
        <v>124</v>
      </c>
      <c r="D248" s="5" t="s">
        <v>221</v>
      </c>
      <c r="E248" s="7" t="s">
        <v>139</v>
      </c>
      <c r="F248" s="7" t="s">
        <v>140</v>
      </c>
      <c r="G248" s="7" t="s">
        <v>14</v>
      </c>
      <c r="H248" s="8">
        <v>0.3</v>
      </c>
      <c r="I248" s="9">
        <v>30000</v>
      </c>
      <c r="J248" s="9">
        <f t="shared" si="28"/>
        <v>9000</v>
      </c>
      <c r="K248" s="6" t="s">
        <v>15</v>
      </c>
      <c r="L248" s="21" t="str">
        <f>+VLOOKUP(E248,mã!$B$2:$F$229,2,0)</f>
        <v>NL300053</v>
      </c>
      <c r="M248" s="22">
        <f>+VLOOKUP(T248,Sheet2!$B$2:$P$372,10,0)</f>
        <v>0.3</v>
      </c>
      <c r="N248" s="23">
        <f>+VLOOKUP(L248,mã!$C$2:$F$229,4,0)</f>
        <v>30000</v>
      </c>
      <c r="O248" s="23">
        <f t="shared" si="29"/>
        <v>9000</v>
      </c>
      <c r="P248" s="23">
        <f t="shared" si="30"/>
        <v>0</v>
      </c>
      <c r="Q248" s="21" t="str">
        <f t="shared" si="31"/>
        <v xml:space="preserve"> </v>
      </c>
      <c r="R248" s="14">
        <f>+VLOOKUP(T248,Sheet2!$B$2:$P$372,13,0)</f>
        <v>9000</v>
      </c>
      <c r="S248" s="24">
        <f t="shared" si="32"/>
        <v>0</v>
      </c>
      <c r="T248" t="str">
        <f t="shared" si="33"/>
        <v>10/01/2026NL300053</v>
      </c>
      <c r="U248" s="15">
        <f t="shared" si="34"/>
        <v>0</v>
      </c>
      <c r="V248" s="25">
        <f t="shared" si="35"/>
        <v>0</v>
      </c>
    </row>
    <row r="249" spans="1:22" x14ac:dyDescent="0.25">
      <c r="A249" s="4" t="s">
        <v>186</v>
      </c>
      <c r="B249" s="5" t="s">
        <v>123</v>
      </c>
      <c r="C249" s="4" t="s">
        <v>124</v>
      </c>
      <c r="D249" s="5" t="s">
        <v>221</v>
      </c>
      <c r="E249" s="7" t="s">
        <v>21</v>
      </c>
      <c r="F249" s="7" t="s">
        <v>22</v>
      </c>
      <c r="G249" s="7" t="s">
        <v>14</v>
      </c>
      <c r="H249" s="8">
        <v>0.2</v>
      </c>
      <c r="I249" s="9">
        <v>55000</v>
      </c>
      <c r="J249" s="9">
        <f t="shared" si="28"/>
        <v>11000</v>
      </c>
      <c r="K249" s="6" t="s">
        <v>15</v>
      </c>
      <c r="L249" s="21" t="str">
        <f>+VLOOKUP(E249,mã!$B$2:$F$229,2,0)</f>
        <v>NL300058</v>
      </c>
      <c r="M249" s="22">
        <f>+VLOOKUP(T249,Sheet2!$B$2:$P$372,10,0)</f>
        <v>0.2</v>
      </c>
      <c r="N249" s="23">
        <f>+VLOOKUP(L249,mã!$C$2:$F$229,4,0)</f>
        <v>55000</v>
      </c>
      <c r="O249" s="23">
        <f t="shared" si="29"/>
        <v>11000</v>
      </c>
      <c r="P249" s="23">
        <f t="shared" si="30"/>
        <v>0</v>
      </c>
      <c r="Q249" s="21" t="str">
        <f t="shared" si="31"/>
        <v xml:space="preserve"> </v>
      </c>
      <c r="R249" s="14">
        <f>+VLOOKUP(T249,Sheet2!$B$2:$P$372,13,0)</f>
        <v>11000</v>
      </c>
      <c r="S249" s="24">
        <f t="shared" si="32"/>
        <v>0</v>
      </c>
      <c r="T249" t="str">
        <f t="shared" si="33"/>
        <v>10/01/2026NL300058</v>
      </c>
      <c r="U249" s="15">
        <f t="shared" si="34"/>
        <v>0</v>
      </c>
      <c r="V249" s="25">
        <f t="shared" si="35"/>
        <v>0</v>
      </c>
    </row>
    <row r="250" spans="1:22" x14ac:dyDescent="0.25">
      <c r="A250" s="4" t="s">
        <v>186</v>
      </c>
      <c r="B250" s="5" t="s">
        <v>123</v>
      </c>
      <c r="C250" s="4" t="s">
        <v>124</v>
      </c>
      <c r="D250" s="5" t="s">
        <v>221</v>
      </c>
      <c r="E250" s="7" t="s">
        <v>86</v>
      </c>
      <c r="F250" s="7" t="s">
        <v>85</v>
      </c>
      <c r="G250" s="7" t="s">
        <v>14</v>
      </c>
      <c r="H250" s="8">
        <v>1.1000000000000001</v>
      </c>
      <c r="I250" s="9">
        <v>38000</v>
      </c>
      <c r="J250" s="9">
        <f t="shared" si="28"/>
        <v>41800</v>
      </c>
      <c r="K250" s="6" t="s">
        <v>15</v>
      </c>
      <c r="L250" s="21" t="str">
        <f>+VLOOKUP(E250,mã!$B$2:$F$229,2,0)</f>
        <v>NL300061</v>
      </c>
      <c r="M250" s="22">
        <f>+VLOOKUP(T250,Sheet2!$B$2:$P$372,10,0)</f>
        <v>1.1000000000000001</v>
      </c>
      <c r="N250" s="23">
        <f>+VLOOKUP(L250,mã!$C$2:$F$229,4,0)</f>
        <v>38000</v>
      </c>
      <c r="O250" s="23">
        <f t="shared" si="29"/>
        <v>41800</v>
      </c>
      <c r="P250" s="23">
        <f t="shared" si="30"/>
        <v>0</v>
      </c>
      <c r="Q250" s="21" t="str">
        <f t="shared" si="31"/>
        <v xml:space="preserve"> </v>
      </c>
      <c r="R250" s="14">
        <f>+VLOOKUP(T250,Sheet2!$B$2:$P$372,13,0)</f>
        <v>41800</v>
      </c>
      <c r="S250" s="24">
        <f t="shared" si="32"/>
        <v>0</v>
      </c>
      <c r="T250" t="str">
        <f t="shared" si="33"/>
        <v>10/01/2026NL300061</v>
      </c>
      <c r="U250" s="15">
        <f t="shared" si="34"/>
        <v>0</v>
      </c>
      <c r="V250" s="25">
        <f t="shared" si="35"/>
        <v>0</v>
      </c>
    </row>
    <row r="251" spans="1:22" x14ac:dyDescent="0.25">
      <c r="A251" s="4" t="s">
        <v>186</v>
      </c>
      <c r="B251" s="5" t="s">
        <v>123</v>
      </c>
      <c r="C251" s="4" t="s">
        <v>124</v>
      </c>
      <c r="D251" s="5" t="s">
        <v>221</v>
      </c>
      <c r="E251" s="7" t="s">
        <v>23</v>
      </c>
      <c r="F251" s="7" t="s">
        <v>24</v>
      </c>
      <c r="G251" s="7" t="s">
        <v>14</v>
      </c>
      <c r="H251" s="8">
        <v>2</v>
      </c>
      <c r="I251" s="9">
        <v>13000</v>
      </c>
      <c r="J251" s="9">
        <f t="shared" si="28"/>
        <v>26000</v>
      </c>
      <c r="K251" s="6" t="s">
        <v>15</v>
      </c>
      <c r="L251" s="21" t="str">
        <f>+VLOOKUP(E251,mã!$B$2:$F$229,2,0)</f>
        <v>NL300059</v>
      </c>
      <c r="M251" s="22">
        <f>+VLOOKUP(T251,Sheet2!$B$2:$P$372,10,0)</f>
        <v>2</v>
      </c>
      <c r="N251" s="23">
        <f>+VLOOKUP(L251,mã!$C$2:$F$229,4,0)</f>
        <v>13000</v>
      </c>
      <c r="O251" s="23">
        <f t="shared" si="29"/>
        <v>26000</v>
      </c>
      <c r="P251" s="23">
        <f t="shared" si="30"/>
        <v>0</v>
      </c>
      <c r="Q251" s="21" t="str">
        <f t="shared" si="31"/>
        <v xml:space="preserve"> </v>
      </c>
      <c r="R251" s="14">
        <f>+VLOOKUP(T251,Sheet2!$B$2:$P$372,13,0)</f>
        <v>26000</v>
      </c>
      <c r="S251" s="24">
        <f t="shared" si="32"/>
        <v>0</v>
      </c>
      <c r="T251" t="str">
        <f t="shared" si="33"/>
        <v>10/01/2026NL300059</v>
      </c>
      <c r="U251" s="15">
        <f t="shared" si="34"/>
        <v>0</v>
      </c>
      <c r="V251" s="25">
        <f t="shared" si="35"/>
        <v>0</v>
      </c>
    </row>
    <row r="252" spans="1:22" x14ac:dyDescent="0.25">
      <c r="A252" s="4" t="s">
        <v>186</v>
      </c>
      <c r="B252" s="5" t="s">
        <v>123</v>
      </c>
      <c r="C252" s="4" t="s">
        <v>124</v>
      </c>
      <c r="D252" s="5" t="s">
        <v>221</v>
      </c>
      <c r="E252" s="7" t="s">
        <v>84</v>
      </c>
      <c r="F252" s="7" t="s">
        <v>83</v>
      </c>
      <c r="G252" s="7" t="s">
        <v>14</v>
      </c>
      <c r="H252" s="8">
        <v>2.4</v>
      </c>
      <c r="I252" s="9">
        <v>23000</v>
      </c>
      <c r="J252" s="9">
        <f t="shared" si="28"/>
        <v>55200</v>
      </c>
      <c r="K252" s="6" t="s">
        <v>15</v>
      </c>
      <c r="L252" s="21" t="str">
        <f>+VLOOKUP(E252,mã!$B$2:$F$229,2,0)</f>
        <v>NL300070</v>
      </c>
      <c r="M252" s="22">
        <f>+VLOOKUP(T252,Sheet2!$B$2:$P$372,10,0)</f>
        <v>1.8</v>
      </c>
      <c r="N252" s="23">
        <f>+VLOOKUP(L252,mã!$C$2:$F$229,4,0)</f>
        <v>23000</v>
      </c>
      <c r="O252" s="23">
        <f t="shared" si="29"/>
        <v>41400</v>
      </c>
      <c r="P252" s="23">
        <f t="shared" si="30"/>
        <v>13800</v>
      </c>
      <c r="Q252" s="21" t="str">
        <f t="shared" si="31"/>
        <v>SAI SL NHẬN</v>
      </c>
      <c r="R252" s="14">
        <f>+VLOOKUP(T252,Sheet2!$B$2:$P$372,13,0)</f>
        <v>41400</v>
      </c>
      <c r="S252" s="24">
        <f t="shared" si="32"/>
        <v>0</v>
      </c>
      <c r="T252" t="str">
        <f t="shared" si="33"/>
        <v>10/01/2026NL300070</v>
      </c>
      <c r="U252" s="15">
        <f t="shared" si="34"/>
        <v>0.59999999999999987</v>
      </c>
      <c r="V252" s="25">
        <f t="shared" si="35"/>
        <v>0</v>
      </c>
    </row>
    <row r="253" spans="1:22" x14ac:dyDescent="0.25">
      <c r="A253" s="4" t="s">
        <v>186</v>
      </c>
      <c r="B253" s="5" t="s">
        <v>123</v>
      </c>
      <c r="C253" s="4" t="s">
        <v>124</v>
      </c>
      <c r="D253" s="5" t="s">
        <v>221</v>
      </c>
      <c r="E253" s="7" t="s">
        <v>152</v>
      </c>
      <c r="F253" s="7" t="s">
        <v>153</v>
      </c>
      <c r="G253" s="7" t="s">
        <v>14</v>
      </c>
      <c r="H253" s="8">
        <v>2.8</v>
      </c>
      <c r="I253" s="9">
        <v>20000</v>
      </c>
      <c r="J253" s="9">
        <f t="shared" si="28"/>
        <v>56000</v>
      </c>
      <c r="K253" s="6" t="s">
        <v>15</v>
      </c>
      <c r="L253" s="21" t="str">
        <f>+VLOOKUP(E253,mã!$B$2:$F$229,2,0)</f>
        <v>NL300071</v>
      </c>
      <c r="M253" s="22">
        <f>+VLOOKUP(T253,Sheet2!$B$2:$P$372,10,0)</f>
        <v>2.8</v>
      </c>
      <c r="N253" s="23">
        <f>+VLOOKUP(L253,mã!$C$2:$F$229,4,0)</f>
        <v>20000</v>
      </c>
      <c r="O253" s="23">
        <f t="shared" si="29"/>
        <v>56000</v>
      </c>
      <c r="P253" s="23">
        <f t="shared" si="30"/>
        <v>0</v>
      </c>
      <c r="Q253" s="21" t="str">
        <f t="shared" si="31"/>
        <v xml:space="preserve"> </v>
      </c>
      <c r="R253" s="14">
        <f>+VLOOKUP(T253,Sheet2!$B$2:$P$372,13,0)</f>
        <v>56000</v>
      </c>
      <c r="S253" s="24">
        <f t="shared" si="32"/>
        <v>0</v>
      </c>
      <c r="T253" t="str">
        <f t="shared" si="33"/>
        <v>10/01/2026NL300071</v>
      </c>
      <c r="U253" s="15">
        <f t="shared" si="34"/>
        <v>0</v>
      </c>
      <c r="V253" s="25">
        <f t="shared" si="35"/>
        <v>0</v>
      </c>
    </row>
    <row r="254" spans="1:22" x14ac:dyDescent="0.25">
      <c r="A254" s="4" t="s">
        <v>186</v>
      </c>
      <c r="B254" s="5" t="s">
        <v>123</v>
      </c>
      <c r="C254" s="4" t="s">
        <v>124</v>
      </c>
      <c r="D254" s="5" t="s">
        <v>221</v>
      </c>
      <c r="E254" s="7" t="s">
        <v>141</v>
      </c>
      <c r="F254" s="7" t="s">
        <v>142</v>
      </c>
      <c r="G254" s="7" t="s">
        <v>14</v>
      </c>
      <c r="H254" s="8">
        <v>1</v>
      </c>
      <c r="I254" s="9">
        <v>95000</v>
      </c>
      <c r="J254" s="9">
        <f t="shared" si="28"/>
        <v>95000</v>
      </c>
      <c r="K254" s="6" t="s">
        <v>883</v>
      </c>
      <c r="L254" s="21" t="str">
        <f>+VLOOKUP(E254,mã!$B$2:$F$229,2,0)</f>
        <v>NL300080</v>
      </c>
      <c r="M254" s="22">
        <f>+VLOOKUP(T254,Sheet2!$B$2:$P$372,10,0)</f>
        <v>1</v>
      </c>
      <c r="N254" s="23">
        <f>+VLOOKUP(L254,mã!$C$2:$F$229,4,0)</f>
        <v>95000</v>
      </c>
      <c r="O254" s="23">
        <f t="shared" si="29"/>
        <v>95000</v>
      </c>
      <c r="P254" s="23">
        <f t="shared" si="30"/>
        <v>0</v>
      </c>
      <c r="Q254" s="21" t="str">
        <f t="shared" si="31"/>
        <v xml:space="preserve"> </v>
      </c>
      <c r="R254" s="14">
        <f>+VLOOKUP(T254,Sheet2!$B$2:$P$372,13,0)</f>
        <v>95000</v>
      </c>
      <c r="S254" s="24">
        <f t="shared" si="32"/>
        <v>0</v>
      </c>
      <c r="T254" t="str">
        <f t="shared" si="33"/>
        <v>10/01/2026NL300080</v>
      </c>
      <c r="U254" s="15">
        <f t="shared" si="34"/>
        <v>0</v>
      </c>
      <c r="V254" s="25">
        <f t="shared" si="35"/>
        <v>0</v>
      </c>
    </row>
    <row r="255" spans="1:22" x14ac:dyDescent="0.25">
      <c r="A255" s="4" t="s">
        <v>186</v>
      </c>
      <c r="B255" s="5" t="s">
        <v>123</v>
      </c>
      <c r="C255" s="4" t="s">
        <v>124</v>
      </c>
      <c r="D255" s="5" t="s">
        <v>221</v>
      </c>
      <c r="E255" s="7" t="s">
        <v>39</v>
      </c>
      <c r="F255" s="7" t="s">
        <v>40</v>
      </c>
      <c r="G255" s="7" t="s">
        <v>14</v>
      </c>
      <c r="H255" s="8">
        <v>2</v>
      </c>
      <c r="I255" s="9">
        <v>145000</v>
      </c>
      <c r="J255" s="9">
        <f t="shared" si="28"/>
        <v>290000</v>
      </c>
      <c r="K255" s="6" t="s">
        <v>15</v>
      </c>
      <c r="L255" s="21" t="str">
        <f>+VLOOKUP(E255,mã!$B$2:$F$229,2,0)</f>
        <v>NL300090</v>
      </c>
      <c r="M255" s="22">
        <f>+VLOOKUP(T255,Sheet2!$B$2:$P$372,10,0)</f>
        <v>2</v>
      </c>
      <c r="N255" s="23">
        <f>+VLOOKUP(L255,mã!$C$2:$F$229,4,0)</f>
        <v>145000</v>
      </c>
      <c r="O255" s="23">
        <f t="shared" si="29"/>
        <v>290000</v>
      </c>
      <c r="P255" s="23">
        <f t="shared" si="30"/>
        <v>0</v>
      </c>
      <c r="Q255" s="21" t="str">
        <f t="shared" si="31"/>
        <v xml:space="preserve"> </v>
      </c>
      <c r="R255" s="14">
        <f>+VLOOKUP(T255,Sheet2!$B$2:$P$372,13,0)</f>
        <v>290000</v>
      </c>
      <c r="S255" s="24">
        <f t="shared" si="32"/>
        <v>0</v>
      </c>
      <c r="T255" t="str">
        <f t="shared" si="33"/>
        <v>10/01/2026NL300090</v>
      </c>
      <c r="U255" s="15">
        <f t="shared" si="34"/>
        <v>0</v>
      </c>
      <c r="V255" s="25">
        <f t="shared" si="35"/>
        <v>0</v>
      </c>
    </row>
    <row r="256" spans="1:22" x14ac:dyDescent="0.25">
      <c r="A256" s="4" t="s">
        <v>186</v>
      </c>
      <c r="B256" s="5" t="s">
        <v>123</v>
      </c>
      <c r="C256" s="4" t="s">
        <v>124</v>
      </c>
      <c r="D256" s="5" t="s">
        <v>221</v>
      </c>
      <c r="E256" s="7" t="s">
        <v>53</v>
      </c>
      <c r="F256" s="7" t="s">
        <v>54</v>
      </c>
      <c r="G256" s="7" t="s">
        <v>14</v>
      </c>
      <c r="H256" s="8">
        <v>1</v>
      </c>
      <c r="I256" s="9">
        <v>47000</v>
      </c>
      <c r="J256" s="9">
        <f t="shared" si="28"/>
        <v>47000</v>
      </c>
      <c r="K256" s="6" t="s">
        <v>15</v>
      </c>
      <c r="L256" s="21" t="str">
        <f>+VLOOKUP(E256,mã!$B$2:$F$229,2,0)</f>
        <v>NL300091</v>
      </c>
      <c r="M256" s="22">
        <f>+VLOOKUP(T256,Sheet2!$B$2:$P$372,10,0)</f>
        <v>1</v>
      </c>
      <c r="N256" s="23">
        <f>+VLOOKUP(L256,mã!$C$2:$F$229,4,0)</f>
        <v>47000</v>
      </c>
      <c r="O256" s="23">
        <f t="shared" si="29"/>
        <v>47000</v>
      </c>
      <c r="P256" s="23">
        <f t="shared" si="30"/>
        <v>0</v>
      </c>
      <c r="Q256" s="21" t="str">
        <f t="shared" si="31"/>
        <v xml:space="preserve"> </v>
      </c>
      <c r="R256" s="14">
        <f>+VLOOKUP(T256,Sheet2!$B$2:$P$372,13,0)</f>
        <v>47000</v>
      </c>
      <c r="S256" s="24">
        <f t="shared" si="32"/>
        <v>0</v>
      </c>
      <c r="T256" t="str">
        <f t="shared" si="33"/>
        <v>10/01/2026NL300091</v>
      </c>
      <c r="U256" s="15">
        <f t="shared" si="34"/>
        <v>0</v>
      </c>
      <c r="V256" s="25">
        <f t="shared" si="35"/>
        <v>0</v>
      </c>
    </row>
    <row r="257" spans="1:22" x14ac:dyDescent="0.25">
      <c r="A257" s="4" t="s">
        <v>186</v>
      </c>
      <c r="B257" s="5" t="s">
        <v>123</v>
      </c>
      <c r="C257" s="4" t="s">
        <v>124</v>
      </c>
      <c r="D257" s="5" t="s">
        <v>221</v>
      </c>
      <c r="E257" s="7" t="s">
        <v>29</v>
      </c>
      <c r="F257" s="7" t="s">
        <v>30</v>
      </c>
      <c r="G257" s="7" t="s">
        <v>14</v>
      </c>
      <c r="H257" s="8">
        <v>0.6</v>
      </c>
      <c r="I257" s="9">
        <v>45000</v>
      </c>
      <c r="J257" s="9">
        <f t="shared" si="28"/>
        <v>27000</v>
      </c>
      <c r="K257" s="6" t="s">
        <v>15</v>
      </c>
      <c r="L257" s="21" t="str">
        <f>+VLOOKUP(E257,mã!$B$2:$F$229,2,0)</f>
        <v>NL300096</v>
      </c>
      <c r="M257" s="22">
        <f>+VLOOKUP(T257,Sheet2!$B$2:$P$372,10,0)</f>
        <v>0.6</v>
      </c>
      <c r="N257" s="23">
        <f>+VLOOKUP(L257,mã!$C$2:$F$229,4,0)</f>
        <v>45000</v>
      </c>
      <c r="O257" s="23">
        <f t="shared" si="29"/>
        <v>27000</v>
      </c>
      <c r="P257" s="23">
        <f t="shared" si="30"/>
        <v>0</v>
      </c>
      <c r="Q257" s="21" t="str">
        <f t="shared" si="31"/>
        <v xml:space="preserve"> </v>
      </c>
      <c r="R257" s="14">
        <f>+VLOOKUP(T257,Sheet2!$B$2:$P$372,13,0)</f>
        <v>27000</v>
      </c>
      <c r="S257" s="24">
        <f t="shared" si="32"/>
        <v>0</v>
      </c>
      <c r="T257" t="str">
        <f t="shared" si="33"/>
        <v>10/01/2026NL300096</v>
      </c>
      <c r="U257" s="15">
        <f t="shared" si="34"/>
        <v>0</v>
      </c>
      <c r="V257" s="25">
        <f t="shared" si="35"/>
        <v>0</v>
      </c>
    </row>
    <row r="258" spans="1:22" x14ac:dyDescent="0.25">
      <c r="A258" s="4" t="s">
        <v>186</v>
      </c>
      <c r="B258" s="5" t="s">
        <v>123</v>
      </c>
      <c r="C258" s="4" t="s">
        <v>124</v>
      </c>
      <c r="D258" s="5" t="s">
        <v>221</v>
      </c>
      <c r="E258" s="7" t="s">
        <v>63</v>
      </c>
      <c r="F258" s="7" t="s">
        <v>64</v>
      </c>
      <c r="G258" s="7" t="s">
        <v>14</v>
      </c>
      <c r="H258" s="8">
        <v>0.1</v>
      </c>
      <c r="I258" s="9">
        <v>45000</v>
      </c>
      <c r="J258" s="9">
        <f t="shared" si="28"/>
        <v>4500</v>
      </c>
      <c r="K258" s="6" t="s">
        <v>15</v>
      </c>
      <c r="L258" s="21" t="str">
        <f>+VLOOKUP(E258,mã!$B$2:$F$229,2,0)</f>
        <v>NL300085</v>
      </c>
      <c r="M258" s="22">
        <f>+VLOOKUP(T258,Sheet2!$B$2:$P$372,10,0)</f>
        <v>0.1</v>
      </c>
      <c r="N258" s="23">
        <f>+VLOOKUP(L258,mã!$C$2:$F$229,4,0)</f>
        <v>45000</v>
      </c>
      <c r="O258" s="23">
        <f t="shared" si="29"/>
        <v>4500</v>
      </c>
      <c r="P258" s="23">
        <f t="shared" si="30"/>
        <v>0</v>
      </c>
      <c r="Q258" s="21" t="str">
        <f t="shared" si="31"/>
        <v xml:space="preserve"> </v>
      </c>
      <c r="R258" s="14">
        <f>+VLOOKUP(T258,Sheet2!$B$2:$P$372,13,0)</f>
        <v>4500</v>
      </c>
      <c r="S258" s="24">
        <f t="shared" si="32"/>
        <v>0</v>
      </c>
      <c r="T258" t="str">
        <f t="shared" si="33"/>
        <v>10/01/2026NL300085</v>
      </c>
      <c r="U258" s="15">
        <f t="shared" si="34"/>
        <v>0</v>
      </c>
      <c r="V258" s="25">
        <f t="shared" si="35"/>
        <v>0</v>
      </c>
    </row>
    <row r="259" spans="1:22" x14ac:dyDescent="0.25">
      <c r="A259" s="4" t="s">
        <v>186</v>
      </c>
      <c r="B259" s="5" t="s">
        <v>123</v>
      </c>
      <c r="C259" s="4" t="s">
        <v>124</v>
      </c>
      <c r="D259" s="5" t="s">
        <v>221</v>
      </c>
      <c r="E259" s="7" t="s">
        <v>55</v>
      </c>
      <c r="F259" s="7" t="s">
        <v>56</v>
      </c>
      <c r="G259" s="7" t="s">
        <v>14</v>
      </c>
      <c r="H259" s="8">
        <v>0.3</v>
      </c>
      <c r="I259" s="9">
        <v>70000</v>
      </c>
      <c r="J259" s="9">
        <f t="shared" si="28"/>
        <v>21000</v>
      </c>
      <c r="K259" s="6" t="s">
        <v>15</v>
      </c>
      <c r="L259" s="21" t="str">
        <f>+VLOOKUP(E259,mã!$B$2:$F$229,2,0)</f>
        <v>NL300126</v>
      </c>
      <c r="M259" s="22">
        <f>+VLOOKUP(T259,Sheet2!$B$2:$P$372,10,0)</f>
        <v>0.3</v>
      </c>
      <c r="N259" s="23">
        <f>+VLOOKUP(L259,mã!$C$2:$F$229,4,0)</f>
        <v>70000</v>
      </c>
      <c r="O259" s="23">
        <f t="shared" si="29"/>
        <v>21000</v>
      </c>
      <c r="P259" s="23">
        <f t="shared" si="30"/>
        <v>0</v>
      </c>
      <c r="Q259" s="21" t="str">
        <f t="shared" si="31"/>
        <v xml:space="preserve"> </v>
      </c>
      <c r="R259" s="14">
        <f>+VLOOKUP(T259,Sheet2!$B$2:$P$372,13,0)</f>
        <v>21000</v>
      </c>
      <c r="S259" s="24">
        <f t="shared" si="32"/>
        <v>0</v>
      </c>
      <c r="T259" t="str">
        <f t="shared" si="33"/>
        <v>10/01/2026NL300126</v>
      </c>
      <c r="U259" s="15">
        <f t="shared" si="34"/>
        <v>0</v>
      </c>
      <c r="V259" s="25">
        <f t="shared" si="35"/>
        <v>0</v>
      </c>
    </row>
    <row r="260" spans="1:22" x14ac:dyDescent="0.25">
      <c r="A260" s="4" t="s">
        <v>186</v>
      </c>
      <c r="B260" s="5" t="s">
        <v>123</v>
      </c>
      <c r="C260" s="4" t="s">
        <v>124</v>
      </c>
      <c r="D260" s="5" t="s">
        <v>221</v>
      </c>
      <c r="E260" s="7" t="s">
        <v>41</v>
      </c>
      <c r="F260" s="7" t="s">
        <v>42</v>
      </c>
      <c r="G260" s="7" t="s">
        <v>14</v>
      </c>
      <c r="H260" s="8">
        <v>0.5</v>
      </c>
      <c r="I260" s="9">
        <v>145000</v>
      </c>
      <c r="J260" s="9">
        <f t="shared" si="28"/>
        <v>72500</v>
      </c>
      <c r="K260" s="6" t="s">
        <v>15</v>
      </c>
      <c r="L260" s="21" t="str">
        <f>+VLOOKUP(E260,mã!$B$2:$F$229,2,0)</f>
        <v>NL300113</v>
      </c>
      <c r="M260" s="22">
        <f>+VLOOKUP(T260,Sheet2!$B$2:$P$372,10,0)</f>
        <v>0.5</v>
      </c>
      <c r="N260" s="23">
        <f>+VLOOKUP(L260,mã!$C$2:$F$229,4,0)</f>
        <v>145000</v>
      </c>
      <c r="O260" s="23">
        <f t="shared" si="29"/>
        <v>72500</v>
      </c>
      <c r="P260" s="23">
        <f t="shared" si="30"/>
        <v>0</v>
      </c>
      <c r="Q260" s="21" t="str">
        <f t="shared" si="31"/>
        <v xml:space="preserve"> </v>
      </c>
      <c r="R260" s="14">
        <f>+VLOOKUP(T260,Sheet2!$B$2:$P$372,13,0)</f>
        <v>72500</v>
      </c>
      <c r="S260" s="24">
        <f t="shared" si="32"/>
        <v>0</v>
      </c>
      <c r="T260" t="str">
        <f t="shared" si="33"/>
        <v>10/01/2026NL300113</v>
      </c>
      <c r="U260" s="15">
        <f t="shared" si="34"/>
        <v>0</v>
      </c>
      <c r="V260" s="25">
        <f t="shared" si="35"/>
        <v>0</v>
      </c>
    </row>
    <row r="261" spans="1:22" x14ac:dyDescent="0.25">
      <c r="A261" s="4" t="s">
        <v>186</v>
      </c>
      <c r="B261" s="5" t="s">
        <v>123</v>
      </c>
      <c r="C261" s="4" t="s">
        <v>124</v>
      </c>
      <c r="D261" s="5" t="s">
        <v>221</v>
      </c>
      <c r="E261" s="7" t="s">
        <v>57</v>
      </c>
      <c r="F261" s="7" t="s">
        <v>58</v>
      </c>
      <c r="G261" s="7" t="s">
        <v>14</v>
      </c>
      <c r="H261" s="8">
        <v>0.5</v>
      </c>
      <c r="I261" s="9">
        <v>148000</v>
      </c>
      <c r="J261" s="9">
        <f t="shared" si="28"/>
        <v>74000</v>
      </c>
      <c r="K261" s="6" t="s">
        <v>15</v>
      </c>
      <c r="L261" s="21" t="s">
        <v>664</v>
      </c>
      <c r="M261" s="22">
        <f>+VLOOKUP(T261,Sheet2!$B$2:$P$372,10,0)</f>
        <v>0.3</v>
      </c>
      <c r="N261" s="23">
        <f>+VLOOKUP(L261,mã!$C$2:$F$229,4,0)</f>
        <v>148000</v>
      </c>
      <c r="O261" s="23">
        <f t="shared" si="29"/>
        <v>44400</v>
      </c>
      <c r="P261" s="23">
        <f t="shared" si="30"/>
        <v>29600</v>
      </c>
      <c r="Q261" s="21" t="str">
        <f t="shared" si="31"/>
        <v>SAI SL NHẬN</v>
      </c>
      <c r="R261" s="14">
        <f>+VLOOKUP(T261,Sheet2!$B$2:$P$372,13,0)</f>
        <v>44400</v>
      </c>
      <c r="S261" s="24">
        <f t="shared" si="32"/>
        <v>0</v>
      </c>
      <c r="T261" t="str">
        <f t="shared" si="33"/>
        <v>10/01/2026NL300116</v>
      </c>
      <c r="U261" s="15">
        <f t="shared" si="34"/>
        <v>0.2</v>
      </c>
      <c r="V261" s="25">
        <f t="shared" si="35"/>
        <v>0</v>
      </c>
    </row>
    <row r="262" spans="1:22" x14ac:dyDescent="0.25">
      <c r="A262" s="4" t="s">
        <v>186</v>
      </c>
      <c r="B262" s="5" t="s">
        <v>123</v>
      </c>
      <c r="C262" s="4" t="s">
        <v>124</v>
      </c>
      <c r="D262" s="5" t="s">
        <v>221</v>
      </c>
      <c r="E262" s="7" t="s">
        <v>47</v>
      </c>
      <c r="F262" s="7" t="s">
        <v>48</v>
      </c>
      <c r="G262" s="7" t="s">
        <v>14</v>
      </c>
      <c r="H262" s="8">
        <v>1.5</v>
      </c>
      <c r="I262" s="9">
        <v>21000</v>
      </c>
      <c r="J262" s="9">
        <f t="shared" si="28"/>
        <v>31500</v>
      </c>
      <c r="K262" s="6" t="s">
        <v>15</v>
      </c>
      <c r="L262" s="21" t="str">
        <f>+VLOOKUP(E262,mã!$B$2:$F$229,2,0)</f>
        <v>NL300119</v>
      </c>
      <c r="M262" s="22">
        <f>+VLOOKUP(T262,Sheet2!$B$2:$P$372,10,0)</f>
        <v>1.1000000000000001</v>
      </c>
      <c r="N262" s="23">
        <f>+VLOOKUP(L262,mã!$C$2:$F$229,4,0)</f>
        <v>21000</v>
      </c>
      <c r="O262" s="23">
        <f t="shared" si="29"/>
        <v>23100.000000000004</v>
      </c>
      <c r="P262" s="23">
        <f t="shared" si="30"/>
        <v>8399.9999999999964</v>
      </c>
      <c r="Q262" s="21" t="str">
        <f t="shared" si="31"/>
        <v>SAI SL NHẬN</v>
      </c>
      <c r="R262" s="14">
        <f>+VLOOKUP(T262,Sheet2!$B$2:$P$372,13,0)</f>
        <v>23100.000000000004</v>
      </c>
      <c r="S262" s="24">
        <f t="shared" si="32"/>
        <v>0</v>
      </c>
      <c r="T262" t="str">
        <f t="shared" si="33"/>
        <v>10/01/2026NL300119</v>
      </c>
      <c r="U262" s="15">
        <f t="shared" si="34"/>
        <v>0.39999999999999991</v>
      </c>
      <c r="V262" s="25">
        <f t="shared" si="35"/>
        <v>0</v>
      </c>
    </row>
    <row r="263" spans="1:22" x14ac:dyDescent="0.25">
      <c r="A263" s="4" t="s">
        <v>186</v>
      </c>
      <c r="B263" s="5" t="s">
        <v>123</v>
      </c>
      <c r="C263" s="4" t="s">
        <v>124</v>
      </c>
      <c r="D263" s="5" t="s">
        <v>221</v>
      </c>
      <c r="E263" s="7" t="s">
        <v>27</v>
      </c>
      <c r="F263" s="7" t="s">
        <v>28</v>
      </c>
      <c r="G263" s="7" t="s">
        <v>14</v>
      </c>
      <c r="H263" s="8">
        <v>0.7</v>
      </c>
      <c r="I263" s="9">
        <v>50000</v>
      </c>
      <c r="J263" s="9">
        <f t="shared" si="28"/>
        <v>35000</v>
      </c>
      <c r="K263" s="6" t="s">
        <v>15</v>
      </c>
      <c r="L263" s="21" t="str">
        <f>+VLOOKUP(E263,mã!$B$2:$F$229,2,0)</f>
        <v>NL300142</v>
      </c>
      <c r="M263" s="22">
        <f>+VLOOKUP(T263,Sheet2!$B$2:$P$372,10,0)</f>
        <v>0.6</v>
      </c>
      <c r="N263" s="23">
        <f>+VLOOKUP(L263,mã!$C$2:$F$229,4,0)</f>
        <v>50000</v>
      </c>
      <c r="O263" s="23">
        <f t="shared" si="29"/>
        <v>30000</v>
      </c>
      <c r="P263" s="23">
        <f t="shared" si="30"/>
        <v>5000</v>
      </c>
      <c r="Q263" s="21" t="str">
        <f t="shared" si="31"/>
        <v>SAI SL NHẬN</v>
      </c>
      <c r="R263" s="14">
        <f>+VLOOKUP(T263,Sheet2!$B$2:$P$372,13,0)</f>
        <v>30000</v>
      </c>
      <c r="S263" s="24">
        <f t="shared" si="32"/>
        <v>0</v>
      </c>
      <c r="T263" t="str">
        <f t="shared" si="33"/>
        <v>10/01/2026NL300142</v>
      </c>
      <c r="U263" s="15">
        <f t="shared" si="34"/>
        <v>9.9999999999999978E-2</v>
      </c>
      <c r="V263" s="25">
        <f t="shared" si="35"/>
        <v>0</v>
      </c>
    </row>
    <row r="264" spans="1:22" x14ac:dyDescent="0.25">
      <c r="A264" s="4" t="s">
        <v>186</v>
      </c>
      <c r="B264" s="5" t="s">
        <v>123</v>
      </c>
      <c r="C264" s="4" t="s">
        <v>124</v>
      </c>
      <c r="D264" s="5" t="s">
        <v>221</v>
      </c>
      <c r="E264" s="7" t="s">
        <v>210</v>
      </c>
      <c r="F264" s="7" t="s">
        <v>211</v>
      </c>
      <c r="G264" s="7" t="s">
        <v>14</v>
      </c>
      <c r="H264" s="8">
        <v>1.1000000000000001</v>
      </c>
      <c r="I264" s="9">
        <v>68000</v>
      </c>
      <c r="J264" s="9">
        <f t="shared" si="28"/>
        <v>74800</v>
      </c>
      <c r="K264" s="6" t="s">
        <v>15</v>
      </c>
      <c r="L264" s="21" t="s">
        <v>846</v>
      </c>
      <c r="M264" s="22">
        <f>+VLOOKUP(T264,Sheet2!$B$2:$P$372,10,0)</f>
        <v>1.1000000000000001</v>
      </c>
      <c r="N264" s="23">
        <f>+VLOOKUP(L264,mã!$C$2:$F$229,4,0)</f>
        <v>68000</v>
      </c>
      <c r="O264" s="23">
        <f t="shared" si="29"/>
        <v>74800</v>
      </c>
      <c r="P264" s="23">
        <f t="shared" si="30"/>
        <v>0</v>
      </c>
      <c r="Q264" s="21" t="str">
        <f t="shared" si="31"/>
        <v xml:space="preserve"> </v>
      </c>
      <c r="R264" s="14">
        <f>+VLOOKUP(T264,Sheet2!$B$2:$P$372,13,0)</f>
        <v>74800</v>
      </c>
      <c r="S264" s="24">
        <f t="shared" si="32"/>
        <v>0</v>
      </c>
      <c r="T264" t="str">
        <f t="shared" si="33"/>
        <v>10/01/2026NL300232</v>
      </c>
      <c r="U264" s="15">
        <f t="shared" si="34"/>
        <v>0</v>
      </c>
      <c r="V264" s="25">
        <f t="shared" si="35"/>
        <v>0</v>
      </c>
    </row>
    <row r="265" spans="1:22" x14ac:dyDescent="0.25">
      <c r="A265" s="4" t="s">
        <v>186</v>
      </c>
      <c r="B265" s="5" t="s">
        <v>123</v>
      </c>
      <c r="C265" s="4" t="s">
        <v>124</v>
      </c>
      <c r="D265" s="5" t="s">
        <v>221</v>
      </c>
      <c r="E265" s="7" t="s">
        <v>145</v>
      </c>
      <c r="F265" s="7" t="s">
        <v>146</v>
      </c>
      <c r="G265" s="7" t="s">
        <v>14</v>
      </c>
      <c r="H265" s="8">
        <v>12</v>
      </c>
      <c r="I265" s="9">
        <v>38000</v>
      </c>
      <c r="J265" s="9">
        <f t="shared" si="28"/>
        <v>456000</v>
      </c>
      <c r="K265" s="6" t="s">
        <v>15</v>
      </c>
      <c r="L265" s="21" t="str">
        <f>+VLOOKUP(E265,mã!$B$2:$F$229,2,0)</f>
        <v>NL300145</v>
      </c>
      <c r="M265" s="22">
        <f>+VLOOKUP(T265,Sheet2!$B$2:$P$372,10,0)</f>
        <v>10</v>
      </c>
      <c r="N265" s="23">
        <f>+VLOOKUP(L265,mã!$C$2:$F$229,4,0)</f>
        <v>38000</v>
      </c>
      <c r="O265" s="23">
        <f t="shared" si="29"/>
        <v>380000</v>
      </c>
      <c r="P265" s="23">
        <f t="shared" si="30"/>
        <v>76000</v>
      </c>
      <c r="Q265" s="21" t="str">
        <f t="shared" si="31"/>
        <v>SAI SL NHẬN</v>
      </c>
      <c r="R265" s="14">
        <f>+VLOOKUP(T265,Sheet2!$B$2:$P$372,13,0)</f>
        <v>380000</v>
      </c>
      <c r="S265" s="24">
        <f t="shared" si="32"/>
        <v>0</v>
      </c>
      <c r="T265" t="str">
        <f t="shared" si="33"/>
        <v>10/01/2026NL300145</v>
      </c>
      <c r="U265" s="15">
        <f t="shared" si="34"/>
        <v>2</v>
      </c>
      <c r="V265" s="25">
        <f t="shared" si="35"/>
        <v>0</v>
      </c>
    </row>
    <row r="266" spans="1:22" x14ac:dyDescent="0.25">
      <c r="A266" s="4" t="s">
        <v>189</v>
      </c>
      <c r="B266" s="5" t="s">
        <v>123</v>
      </c>
      <c r="C266" s="4" t="s">
        <v>124</v>
      </c>
      <c r="D266" s="5" t="s">
        <v>222</v>
      </c>
      <c r="E266" s="7" t="s">
        <v>12</v>
      </c>
      <c r="F266" s="7" t="s">
        <v>13</v>
      </c>
      <c r="G266" s="7" t="s">
        <v>14</v>
      </c>
      <c r="H266" s="8">
        <v>2</v>
      </c>
      <c r="I266" s="9">
        <v>19000</v>
      </c>
      <c r="J266" s="9">
        <f t="shared" si="28"/>
        <v>38000</v>
      </c>
      <c r="K266" s="6" t="s">
        <v>15</v>
      </c>
      <c r="L266" s="21" t="str">
        <f>+VLOOKUP(E266,mã!$B$2:$F$229,2,0)</f>
        <v>NL300004</v>
      </c>
      <c r="M266" s="22">
        <f>+VLOOKUP(T266,Sheet2!$B$2:$P$372,10,0)</f>
        <v>1.9</v>
      </c>
      <c r="N266" s="23">
        <f>+VLOOKUP(L266,mã!$C$2:$F$229,4,0)</f>
        <v>19000</v>
      </c>
      <c r="O266" s="23">
        <f t="shared" si="29"/>
        <v>36100</v>
      </c>
      <c r="P266" s="23">
        <f t="shared" si="30"/>
        <v>1900</v>
      </c>
      <c r="Q266" s="21" t="str">
        <f t="shared" si="31"/>
        <v>SAI SL NHẬN</v>
      </c>
      <c r="R266" s="14">
        <f>+VLOOKUP(T266,Sheet2!$B$2:$P$372,13,0)</f>
        <v>36100</v>
      </c>
      <c r="S266" s="24">
        <f t="shared" si="32"/>
        <v>0</v>
      </c>
      <c r="T266" t="str">
        <f t="shared" si="33"/>
        <v>11/01/2026NL300004</v>
      </c>
      <c r="U266" s="15">
        <f t="shared" si="34"/>
        <v>0.10000000000000009</v>
      </c>
      <c r="V266" s="25">
        <f t="shared" si="35"/>
        <v>0</v>
      </c>
    </row>
    <row r="267" spans="1:22" x14ac:dyDescent="0.25">
      <c r="A267" s="4" t="s">
        <v>189</v>
      </c>
      <c r="B267" s="5" t="s">
        <v>123</v>
      </c>
      <c r="C267" s="4" t="s">
        <v>124</v>
      </c>
      <c r="D267" s="5" t="s">
        <v>222</v>
      </c>
      <c r="E267" s="7" t="s">
        <v>16</v>
      </c>
      <c r="F267" s="7" t="s">
        <v>17</v>
      </c>
      <c r="G267" s="7" t="s">
        <v>18</v>
      </c>
      <c r="H267" s="8">
        <v>18</v>
      </c>
      <c r="I267" s="9">
        <v>8500</v>
      </c>
      <c r="J267" s="9">
        <f t="shared" si="28"/>
        <v>153000</v>
      </c>
      <c r="K267" s="6" t="s">
        <v>15</v>
      </c>
      <c r="L267" s="21" t="str">
        <f>+VLOOKUP(E267,mã!$B$2:$F$229,2,0)</f>
        <v>NL300107</v>
      </c>
      <c r="M267" s="22">
        <f>+VLOOKUP(T267,Sheet2!$B$2:$P$372,10,0)</f>
        <v>10</v>
      </c>
      <c r="N267" s="23">
        <f>+VLOOKUP(L267,mã!$C$2:$F$229,4,0)</f>
        <v>8500</v>
      </c>
      <c r="O267" s="23">
        <f t="shared" si="29"/>
        <v>85000</v>
      </c>
      <c r="P267" s="23">
        <f t="shared" si="30"/>
        <v>68000</v>
      </c>
      <c r="Q267" s="21" t="str">
        <f t="shared" si="31"/>
        <v>SAI SL NHẬN</v>
      </c>
      <c r="R267" s="14">
        <f>+VLOOKUP(T267,Sheet2!$B$2:$P$372,13,0)</f>
        <v>85000</v>
      </c>
      <c r="S267" s="24">
        <f t="shared" si="32"/>
        <v>0</v>
      </c>
      <c r="T267" t="str">
        <f t="shared" si="33"/>
        <v>11/01/2026NL300107</v>
      </c>
      <c r="U267" s="15">
        <f t="shared" si="34"/>
        <v>8</v>
      </c>
      <c r="V267" s="25">
        <f t="shared" si="35"/>
        <v>0</v>
      </c>
    </row>
    <row r="268" spans="1:22" x14ac:dyDescent="0.25">
      <c r="A268" s="4" t="s">
        <v>189</v>
      </c>
      <c r="B268" s="5" t="s">
        <v>123</v>
      </c>
      <c r="C268" s="4" t="s">
        <v>124</v>
      </c>
      <c r="D268" s="5" t="s">
        <v>222</v>
      </c>
      <c r="E268" s="7" t="s">
        <v>59</v>
      </c>
      <c r="F268" s="7" t="s">
        <v>60</v>
      </c>
      <c r="G268" s="7" t="s">
        <v>14</v>
      </c>
      <c r="H268" s="8">
        <v>1.8</v>
      </c>
      <c r="I268" s="9">
        <v>30000</v>
      </c>
      <c r="J268" s="9">
        <f t="shared" si="28"/>
        <v>54000</v>
      </c>
      <c r="K268" s="6" t="s">
        <v>15</v>
      </c>
      <c r="L268" s="21" t="str">
        <f>+VLOOKUP(E268,mã!$B$2:$F$229,2,0)</f>
        <v>NL300007</v>
      </c>
      <c r="M268" s="22">
        <f>+VLOOKUP(T268,Sheet2!$B$2:$P$372,10,0)</f>
        <v>1.5</v>
      </c>
      <c r="N268" s="23">
        <f>+VLOOKUP(L268,mã!$C$2:$F$229,4,0)</f>
        <v>30000</v>
      </c>
      <c r="O268" s="23">
        <f t="shared" si="29"/>
        <v>45000</v>
      </c>
      <c r="P268" s="23">
        <f t="shared" si="30"/>
        <v>9000</v>
      </c>
      <c r="Q268" s="21" t="str">
        <f t="shared" si="31"/>
        <v>SAI SL NHẬN</v>
      </c>
      <c r="R268" s="14">
        <f>+VLOOKUP(T268,Sheet2!$B$2:$P$372,13,0)</f>
        <v>45000</v>
      </c>
      <c r="S268" s="24">
        <f t="shared" si="32"/>
        <v>0</v>
      </c>
      <c r="T268" t="str">
        <f t="shared" si="33"/>
        <v>11/01/2026NL300007</v>
      </c>
      <c r="U268" s="15">
        <f t="shared" si="34"/>
        <v>0.30000000000000004</v>
      </c>
      <c r="V268" s="25">
        <f t="shared" si="35"/>
        <v>0</v>
      </c>
    </row>
    <row r="269" spans="1:22" x14ac:dyDescent="0.25">
      <c r="A269" s="4" t="s">
        <v>189</v>
      </c>
      <c r="B269" s="5" t="s">
        <v>123</v>
      </c>
      <c r="C269" s="4" t="s">
        <v>124</v>
      </c>
      <c r="D269" s="5" t="s">
        <v>222</v>
      </c>
      <c r="E269" s="7" t="s">
        <v>101</v>
      </c>
      <c r="F269" s="7" t="s">
        <v>100</v>
      </c>
      <c r="G269" s="7" t="s">
        <v>14</v>
      </c>
      <c r="H269" s="8">
        <v>2.1</v>
      </c>
      <c r="I269" s="9">
        <v>40000</v>
      </c>
      <c r="J269" s="9">
        <f t="shared" si="28"/>
        <v>84000</v>
      </c>
      <c r="K269" s="6" t="s">
        <v>15</v>
      </c>
      <c r="L269" s="21" t="str">
        <f>+VLOOKUP(E269,mã!$B$2:$F$229,2,0)</f>
        <v>NL300008</v>
      </c>
      <c r="M269" s="22">
        <f>+VLOOKUP(T269,Sheet2!$B$2:$P$372,10,0)</f>
        <v>1.9</v>
      </c>
      <c r="N269" s="23">
        <f>+VLOOKUP(L269,mã!$C$2:$F$229,4,0)</f>
        <v>40000</v>
      </c>
      <c r="O269" s="23">
        <f t="shared" si="29"/>
        <v>76000</v>
      </c>
      <c r="P269" s="23">
        <f t="shared" si="30"/>
        <v>8000</v>
      </c>
      <c r="Q269" s="21" t="str">
        <f t="shared" si="31"/>
        <v>SAI SL NHẬN</v>
      </c>
      <c r="R269" s="14">
        <f>+VLOOKUP(T269,Sheet2!$B$2:$P$372,13,0)</f>
        <v>76000</v>
      </c>
      <c r="S269" s="24">
        <f t="shared" si="32"/>
        <v>0</v>
      </c>
      <c r="T269" t="str">
        <f t="shared" si="33"/>
        <v>11/01/2026NL300008</v>
      </c>
      <c r="U269" s="15">
        <f t="shared" si="34"/>
        <v>0.20000000000000018</v>
      </c>
      <c r="V269" s="25">
        <f t="shared" si="35"/>
        <v>0</v>
      </c>
    </row>
    <row r="270" spans="1:22" x14ac:dyDescent="0.25">
      <c r="A270" s="4" t="s">
        <v>189</v>
      </c>
      <c r="B270" s="5" t="s">
        <v>123</v>
      </c>
      <c r="C270" s="4" t="s">
        <v>124</v>
      </c>
      <c r="D270" s="5" t="s">
        <v>222</v>
      </c>
      <c r="E270" s="7" t="s">
        <v>125</v>
      </c>
      <c r="F270" s="7" t="s">
        <v>126</v>
      </c>
      <c r="G270" s="7" t="s">
        <v>14</v>
      </c>
      <c r="H270" s="8">
        <v>2</v>
      </c>
      <c r="I270" s="9">
        <v>18000</v>
      </c>
      <c r="J270" s="9">
        <f t="shared" si="28"/>
        <v>36000</v>
      </c>
      <c r="K270" s="6" t="s">
        <v>15</v>
      </c>
      <c r="L270" s="21" t="str">
        <f>+VLOOKUP(E270,mã!$B$2:$F$229,2,0)</f>
        <v>NL300027</v>
      </c>
      <c r="M270" s="22">
        <f>+VLOOKUP(T270,Sheet2!$B$2:$P$372,10,0)</f>
        <v>1.8</v>
      </c>
      <c r="N270" s="23">
        <f>+VLOOKUP(L270,mã!$C$2:$F$229,4,0)</f>
        <v>18000</v>
      </c>
      <c r="O270" s="23">
        <f t="shared" si="29"/>
        <v>32400</v>
      </c>
      <c r="P270" s="23">
        <f t="shared" si="30"/>
        <v>3600</v>
      </c>
      <c r="Q270" s="21" t="str">
        <f t="shared" si="31"/>
        <v>SAI SL NHẬN</v>
      </c>
      <c r="R270" s="14">
        <f>+VLOOKUP(T270,Sheet2!$B$2:$P$372,13,0)</f>
        <v>32400</v>
      </c>
      <c r="S270" s="24">
        <f t="shared" si="32"/>
        <v>0</v>
      </c>
      <c r="T270" t="str">
        <f t="shared" si="33"/>
        <v>11/01/2026NL300027</v>
      </c>
      <c r="U270" s="15">
        <f t="shared" si="34"/>
        <v>0.19999999999999996</v>
      </c>
      <c r="V270" s="25">
        <f t="shared" si="35"/>
        <v>0</v>
      </c>
    </row>
    <row r="271" spans="1:22" x14ac:dyDescent="0.25">
      <c r="A271" s="4" t="s">
        <v>189</v>
      </c>
      <c r="B271" s="5" t="s">
        <v>123</v>
      </c>
      <c r="C271" s="4" t="s">
        <v>124</v>
      </c>
      <c r="D271" s="5" t="s">
        <v>222</v>
      </c>
      <c r="E271" s="7" t="s">
        <v>33</v>
      </c>
      <c r="F271" s="7" t="s">
        <v>34</v>
      </c>
      <c r="G271" s="7" t="s">
        <v>14</v>
      </c>
      <c r="H271" s="8">
        <v>1.2</v>
      </c>
      <c r="I271" s="9">
        <v>22000</v>
      </c>
      <c r="J271" s="9">
        <f t="shared" si="28"/>
        <v>26400</v>
      </c>
      <c r="K271" s="6" t="s">
        <v>15</v>
      </c>
      <c r="L271" s="21" t="str">
        <f>+VLOOKUP(E271,mã!$B$2:$F$229,2,0)</f>
        <v>NL300029</v>
      </c>
      <c r="M271" s="22">
        <f>+VLOOKUP(T271,Sheet2!$B$2:$P$372,10,0)</f>
        <v>1.2</v>
      </c>
      <c r="N271" s="23">
        <f>+VLOOKUP(L271,mã!$C$2:$F$229,4,0)</f>
        <v>22000</v>
      </c>
      <c r="O271" s="23">
        <f t="shared" si="29"/>
        <v>26400</v>
      </c>
      <c r="P271" s="23">
        <f t="shared" si="30"/>
        <v>0</v>
      </c>
      <c r="Q271" s="21" t="str">
        <f t="shared" si="31"/>
        <v xml:space="preserve"> </v>
      </c>
      <c r="R271" s="14">
        <f>+VLOOKUP(T271,Sheet2!$B$2:$P$372,13,0)</f>
        <v>26400</v>
      </c>
      <c r="S271" s="24">
        <f t="shared" si="32"/>
        <v>0</v>
      </c>
      <c r="T271" t="str">
        <f t="shared" si="33"/>
        <v>11/01/2026NL300029</v>
      </c>
      <c r="U271" s="15">
        <f t="shared" si="34"/>
        <v>0</v>
      </c>
      <c r="V271" s="25">
        <f t="shared" si="35"/>
        <v>0</v>
      </c>
    </row>
    <row r="272" spans="1:22" x14ac:dyDescent="0.25">
      <c r="A272" s="4" t="s">
        <v>189</v>
      </c>
      <c r="B272" s="5" t="s">
        <v>123</v>
      </c>
      <c r="C272" s="4" t="s">
        <v>124</v>
      </c>
      <c r="D272" s="5" t="s">
        <v>222</v>
      </c>
      <c r="E272" s="7" t="s">
        <v>93</v>
      </c>
      <c r="F272" s="7" t="s">
        <v>92</v>
      </c>
      <c r="G272" s="7" t="s">
        <v>14</v>
      </c>
      <c r="H272" s="8">
        <v>0.5</v>
      </c>
      <c r="I272" s="9">
        <v>95000</v>
      </c>
      <c r="J272" s="9">
        <f t="shared" ref="J272:J335" si="36">H272*I272</f>
        <v>47500</v>
      </c>
      <c r="K272" s="6" t="s">
        <v>15</v>
      </c>
      <c r="L272" s="21" t="str">
        <f>+VLOOKUP(E272,mã!$B$2:$F$229,2,0)</f>
        <v>NL600068</v>
      </c>
      <c r="M272" s="22">
        <f>+VLOOKUP(T272,Sheet2!$B$2:$P$372,10,0)</f>
        <v>0.5</v>
      </c>
      <c r="N272" s="23">
        <f>+VLOOKUP(L272,mã!$C$2:$F$229,4,0)</f>
        <v>95000</v>
      </c>
      <c r="O272" s="23">
        <f t="shared" ref="O272:O335" si="37">M272*N272</f>
        <v>47500</v>
      </c>
      <c r="P272" s="23">
        <f t="shared" ref="P272:P335" si="38">J272-O272</f>
        <v>0</v>
      </c>
      <c r="Q272" s="21" t="str">
        <f t="shared" ref="Q272:Q335" si="39">IF(U272=0," ","SAI SL NHẬN")</f>
        <v xml:space="preserve"> </v>
      </c>
      <c r="R272" s="14">
        <f>+VLOOKUP(T272,Sheet2!$B$2:$P$372,13,0)</f>
        <v>47500</v>
      </c>
      <c r="S272" s="24">
        <f t="shared" ref="S272:S335" si="40">O272-R272</f>
        <v>0</v>
      </c>
      <c r="T272" t="str">
        <f t="shared" ref="T272:T335" si="41">A272&amp;L272</f>
        <v>11/01/2026NL600068</v>
      </c>
      <c r="U272" s="15">
        <f t="shared" ref="U272:U335" si="42">H272-M272</f>
        <v>0</v>
      </c>
      <c r="V272" s="25">
        <f t="shared" ref="V272:V335" si="43">I272-N272</f>
        <v>0</v>
      </c>
    </row>
    <row r="273" spans="1:22" x14ac:dyDescent="0.25">
      <c r="A273" s="4" t="s">
        <v>189</v>
      </c>
      <c r="B273" s="5" t="s">
        <v>123</v>
      </c>
      <c r="C273" s="4" t="s">
        <v>124</v>
      </c>
      <c r="D273" s="5" t="s">
        <v>222</v>
      </c>
      <c r="E273" s="7" t="s">
        <v>127</v>
      </c>
      <c r="F273" s="7" t="s">
        <v>128</v>
      </c>
      <c r="G273" s="7" t="s">
        <v>14</v>
      </c>
      <c r="H273" s="8">
        <v>2.2000000000000002</v>
      </c>
      <c r="I273" s="9">
        <v>13000</v>
      </c>
      <c r="J273" s="9">
        <f t="shared" si="36"/>
        <v>28600.000000000004</v>
      </c>
      <c r="K273" s="6" t="s">
        <v>15</v>
      </c>
      <c r="L273" s="21" t="str">
        <f>+VLOOKUP(E273,mã!$B$2:$F$229,2,0)</f>
        <v>NL300033</v>
      </c>
      <c r="M273" s="22">
        <f>+VLOOKUP(T273,Sheet2!$B$2:$P$372,10,0)</f>
        <v>2</v>
      </c>
      <c r="N273" s="23">
        <f>+VLOOKUP(L273,mã!$C$2:$F$229,4,0)</f>
        <v>13000</v>
      </c>
      <c r="O273" s="23">
        <f t="shared" si="37"/>
        <v>26000</v>
      </c>
      <c r="P273" s="23">
        <f t="shared" si="38"/>
        <v>2600.0000000000036</v>
      </c>
      <c r="Q273" s="21" t="str">
        <f t="shared" si="39"/>
        <v>SAI SL NHẬN</v>
      </c>
      <c r="R273" s="14">
        <f>+VLOOKUP(T273,Sheet2!$B$2:$P$372,13,0)</f>
        <v>26000</v>
      </c>
      <c r="S273" s="24">
        <f t="shared" si="40"/>
        <v>0</v>
      </c>
      <c r="T273" t="str">
        <f t="shared" si="41"/>
        <v>11/01/2026NL300033</v>
      </c>
      <c r="U273" s="15">
        <f t="shared" si="42"/>
        <v>0.20000000000000018</v>
      </c>
      <c r="V273" s="25">
        <f t="shared" si="43"/>
        <v>0</v>
      </c>
    </row>
    <row r="274" spans="1:22" x14ac:dyDescent="0.25">
      <c r="A274" s="4" t="s">
        <v>189</v>
      </c>
      <c r="B274" s="5" t="s">
        <v>123</v>
      </c>
      <c r="C274" s="4" t="s">
        <v>124</v>
      </c>
      <c r="D274" s="5" t="s">
        <v>222</v>
      </c>
      <c r="E274" s="7" t="s">
        <v>19</v>
      </c>
      <c r="F274" s="7" t="s">
        <v>20</v>
      </c>
      <c r="G274" s="7" t="s">
        <v>14</v>
      </c>
      <c r="H274" s="8">
        <v>2</v>
      </c>
      <c r="I274" s="9">
        <v>32000</v>
      </c>
      <c r="J274" s="9">
        <f t="shared" si="36"/>
        <v>64000</v>
      </c>
      <c r="K274" s="6" t="s">
        <v>15</v>
      </c>
      <c r="L274" s="21" t="str">
        <f>+VLOOKUP(E274,mã!$B$2:$F$229,2,0)</f>
        <v>NL300038</v>
      </c>
      <c r="M274" s="22">
        <f>+VLOOKUP(T274,Sheet2!$B$2:$P$372,10,0)</f>
        <v>1.8</v>
      </c>
      <c r="N274" s="23">
        <f>+VLOOKUP(L274,mã!$C$2:$F$229,4,0)</f>
        <v>32000</v>
      </c>
      <c r="O274" s="23">
        <f t="shared" si="37"/>
        <v>57600</v>
      </c>
      <c r="P274" s="23">
        <f t="shared" si="38"/>
        <v>6400</v>
      </c>
      <c r="Q274" s="21" t="str">
        <f t="shared" si="39"/>
        <v>SAI SL NHẬN</v>
      </c>
      <c r="R274" s="14">
        <f>+VLOOKUP(T274,Sheet2!$B$2:$P$372,13,0)</f>
        <v>57600</v>
      </c>
      <c r="S274" s="24">
        <f t="shared" si="40"/>
        <v>0</v>
      </c>
      <c r="T274" t="str">
        <f t="shared" si="41"/>
        <v>11/01/2026NL300038</v>
      </c>
      <c r="U274" s="15">
        <f t="shared" si="42"/>
        <v>0.19999999999999996</v>
      </c>
      <c r="V274" s="25">
        <f t="shared" si="43"/>
        <v>0</v>
      </c>
    </row>
    <row r="275" spans="1:22" ht="28.5" x14ac:dyDescent="0.25">
      <c r="A275" s="4" t="s">
        <v>189</v>
      </c>
      <c r="B275" s="5" t="s">
        <v>123</v>
      </c>
      <c r="C275" s="4" t="s">
        <v>124</v>
      </c>
      <c r="D275" s="5" t="s">
        <v>222</v>
      </c>
      <c r="E275" s="7" t="s">
        <v>89</v>
      </c>
      <c r="F275" s="7" t="s">
        <v>88</v>
      </c>
      <c r="G275" s="7" t="s">
        <v>87</v>
      </c>
      <c r="H275" s="8">
        <v>6</v>
      </c>
      <c r="I275" s="9">
        <v>15000</v>
      </c>
      <c r="J275" s="9">
        <f t="shared" si="36"/>
        <v>90000</v>
      </c>
      <c r="K275" s="6" t="s">
        <v>15</v>
      </c>
      <c r="L275" s="21" t="str">
        <f>+VLOOKUP(E275,mã!$B$2:$F$229,2,0)</f>
        <v>NL300041</v>
      </c>
      <c r="M275" s="22">
        <f>+VLOOKUP(T275,Sheet2!$B$2:$P$372,10,0)</f>
        <v>6</v>
      </c>
      <c r="N275" s="23">
        <f>+VLOOKUP(L275,mã!$C$2:$F$229,4,0)</f>
        <v>15000</v>
      </c>
      <c r="O275" s="23">
        <f t="shared" si="37"/>
        <v>90000</v>
      </c>
      <c r="P275" s="23">
        <f t="shared" si="38"/>
        <v>0</v>
      </c>
      <c r="Q275" s="21" t="str">
        <f t="shared" si="39"/>
        <v xml:space="preserve"> </v>
      </c>
      <c r="R275" s="14">
        <f>+VLOOKUP(T275,Sheet2!$B$2:$P$372,13,0)</f>
        <v>90000</v>
      </c>
      <c r="S275" s="24">
        <f t="shared" si="40"/>
        <v>0</v>
      </c>
      <c r="T275" t="str">
        <f t="shared" si="41"/>
        <v>11/01/2026NL300041</v>
      </c>
      <c r="U275" s="15">
        <f t="shared" si="42"/>
        <v>0</v>
      </c>
      <c r="V275" s="25">
        <f t="shared" si="43"/>
        <v>0</v>
      </c>
    </row>
    <row r="276" spans="1:22" x14ac:dyDescent="0.25">
      <c r="A276" s="4" t="s">
        <v>189</v>
      </c>
      <c r="B276" s="5" t="s">
        <v>123</v>
      </c>
      <c r="C276" s="4" t="s">
        <v>124</v>
      </c>
      <c r="D276" s="5" t="s">
        <v>222</v>
      </c>
      <c r="E276" s="7" t="s">
        <v>51</v>
      </c>
      <c r="F276" s="7" t="s">
        <v>52</v>
      </c>
      <c r="G276" s="7" t="s">
        <v>14</v>
      </c>
      <c r="H276" s="8">
        <v>24</v>
      </c>
      <c r="I276" s="9">
        <v>18000</v>
      </c>
      <c r="J276" s="9">
        <f t="shared" si="36"/>
        <v>432000</v>
      </c>
      <c r="K276" s="6" t="s">
        <v>15</v>
      </c>
      <c r="L276" s="21" t="str">
        <f>+VLOOKUP(E276,mã!$B$2:$F$229,2,0)</f>
        <v>NL600004</v>
      </c>
      <c r="M276" s="22">
        <f>+VLOOKUP(T276,Sheet2!$B$2:$P$372,10,0)</f>
        <v>24</v>
      </c>
      <c r="N276" s="23">
        <f>+VLOOKUP(L276,mã!$C$2:$F$229,4,0)</f>
        <v>18000</v>
      </c>
      <c r="O276" s="23">
        <f t="shared" si="37"/>
        <v>432000</v>
      </c>
      <c r="P276" s="23">
        <f t="shared" si="38"/>
        <v>0</v>
      </c>
      <c r="Q276" s="21" t="str">
        <f t="shared" si="39"/>
        <v xml:space="preserve"> </v>
      </c>
      <c r="R276" s="14">
        <f>+VLOOKUP(T276,Sheet2!$B$2:$P$372,13,0)</f>
        <v>432000</v>
      </c>
      <c r="S276" s="24">
        <f t="shared" si="40"/>
        <v>0</v>
      </c>
      <c r="T276" t="str">
        <f t="shared" si="41"/>
        <v>11/01/2026NL600004</v>
      </c>
      <c r="U276" s="15">
        <f t="shared" si="42"/>
        <v>0</v>
      </c>
      <c r="V276" s="25">
        <f t="shared" si="43"/>
        <v>0</v>
      </c>
    </row>
    <row r="277" spans="1:22" x14ac:dyDescent="0.25">
      <c r="A277" s="4" t="s">
        <v>189</v>
      </c>
      <c r="B277" s="5" t="s">
        <v>123</v>
      </c>
      <c r="C277" s="4" t="s">
        <v>124</v>
      </c>
      <c r="D277" s="5" t="s">
        <v>222</v>
      </c>
      <c r="E277" s="7" t="s">
        <v>129</v>
      </c>
      <c r="F277" s="7" t="s">
        <v>130</v>
      </c>
      <c r="G277" s="7" t="s">
        <v>14</v>
      </c>
      <c r="H277" s="8">
        <v>2.1</v>
      </c>
      <c r="I277" s="9">
        <v>18000</v>
      </c>
      <c r="J277" s="9">
        <f t="shared" si="36"/>
        <v>37800</v>
      </c>
      <c r="K277" s="6" t="s">
        <v>15</v>
      </c>
      <c r="L277" s="21" t="str">
        <f>+VLOOKUP(E277,mã!$B$2:$F$229,2,0)</f>
        <v>NL300048</v>
      </c>
      <c r="M277" s="22">
        <f>+VLOOKUP(T277,Sheet2!$B$2:$P$372,10,0)</f>
        <v>1.7</v>
      </c>
      <c r="N277" s="23">
        <f>+VLOOKUP(L277,mã!$C$2:$F$229,4,0)</f>
        <v>18000</v>
      </c>
      <c r="O277" s="23">
        <f t="shared" si="37"/>
        <v>30600</v>
      </c>
      <c r="P277" s="23">
        <f t="shared" si="38"/>
        <v>7200</v>
      </c>
      <c r="Q277" s="21" t="str">
        <f t="shared" si="39"/>
        <v>SAI SL NHẬN</v>
      </c>
      <c r="R277" s="14">
        <f>+VLOOKUP(T277,Sheet2!$B$2:$P$372,13,0)</f>
        <v>30600</v>
      </c>
      <c r="S277" s="24">
        <f t="shared" si="40"/>
        <v>0</v>
      </c>
      <c r="T277" t="str">
        <f t="shared" si="41"/>
        <v>11/01/2026NL300048</v>
      </c>
      <c r="U277" s="15">
        <f t="shared" si="42"/>
        <v>0.40000000000000013</v>
      </c>
      <c r="V277" s="25">
        <f t="shared" si="43"/>
        <v>0</v>
      </c>
    </row>
    <row r="278" spans="1:22" x14ac:dyDescent="0.25">
      <c r="A278" s="4" t="s">
        <v>189</v>
      </c>
      <c r="B278" s="5" t="s">
        <v>123</v>
      </c>
      <c r="C278" s="4" t="s">
        <v>124</v>
      </c>
      <c r="D278" s="5" t="s">
        <v>222</v>
      </c>
      <c r="E278" s="7" t="s">
        <v>137</v>
      </c>
      <c r="F278" s="7" t="s">
        <v>138</v>
      </c>
      <c r="G278" s="7" t="s">
        <v>14</v>
      </c>
      <c r="H278" s="8">
        <v>0.3</v>
      </c>
      <c r="I278" s="9">
        <v>9000</v>
      </c>
      <c r="J278" s="9">
        <f t="shared" si="36"/>
        <v>2700</v>
      </c>
      <c r="K278" s="6" t="s">
        <v>15</v>
      </c>
      <c r="L278" s="21" t="str">
        <f>+VLOOKUP(E278,mã!$B$2:$F$229,2,0)</f>
        <v>NL300050</v>
      </c>
      <c r="M278" s="22">
        <f>+VLOOKUP(T278,Sheet2!$B$2:$P$372,10,0)</f>
        <v>0.3</v>
      </c>
      <c r="N278" s="23">
        <f>+VLOOKUP(L278,mã!$C$2:$F$229,4,0)</f>
        <v>9000</v>
      </c>
      <c r="O278" s="23">
        <f t="shared" si="37"/>
        <v>2700</v>
      </c>
      <c r="P278" s="23">
        <f t="shared" si="38"/>
        <v>0</v>
      </c>
      <c r="Q278" s="21" t="str">
        <f t="shared" si="39"/>
        <v xml:space="preserve"> </v>
      </c>
      <c r="R278" s="14">
        <f>+VLOOKUP(T278,Sheet2!$B$2:$P$372,13,0)</f>
        <v>2700</v>
      </c>
      <c r="S278" s="24">
        <f t="shared" si="40"/>
        <v>0</v>
      </c>
      <c r="T278" t="str">
        <f t="shared" si="41"/>
        <v>11/01/2026NL300050</v>
      </c>
      <c r="U278" s="15">
        <f t="shared" si="42"/>
        <v>0</v>
      </c>
      <c r="V278" s="25">
        <f t="shared" si="43"/>
        <v>0</v>
      </c>
    </row>
    <row r="279" spans="1:22" x14ac:dyDescent="0.25">
      <c r="A279" s="4" t="s">
        <v>189</v>
      </c>
      <c r="B279" s="5" t="s">
        <v>123</v>
      </c>
      <c r="C279" s="4" t="s">
        <v>124</v>
      </c>
      <c r="D279" s="5" t="s">
        <v>222</v>
      </c>
      <c r="E279" s="7" t="s">
        <v>86</v>
      </c>
      <c r="F279" s="7" t="s">
        <v>85</v>
      </c>
      <c r="G279" s="7" t="s">
        <v>14</v>
      </c>
      <c r="H279" s="8">
        <v>1</v>
      </c>
      <c r="I279" s="9">
        <v>38000</v>
      </c>
      <c r="J279" s="9">
        <f t="shared" si="36"/>
        <v>38000</v>
      </c>
      <c r="K279" s="6" t="s">
        <v>15</v>
      </c>
      <c r="L279" s="21" t="str">
        <f>+VLOOKUP(E279,mã!$B$2:$F$229,2,0)</f>
        <v>NL300061</v>
      </c>
      <c r="M279" s="22">
        <f>+VLOOKUP(T279,Sheet2!$B$2:$P$372,10,0)</f>
        <v>0.7</v>
      </c>
      <c r="N279" s="23">
        <f>+VLOOKUP(L279,mã!$C$2:$F$229,4,0)</f>
        <v>38000</v>
      </c>
      <c r="O279" s="23">
        <f t="shared" si="37"/>
        <v>26600</v>
      </c>
      <c r="P279" s="23">
        <f t="shared" si="38"/>
        <v>11400</v>
      </c>
      <c r="Q279" s="21" t="str">
        <f t="shared" si="39"/>
        <v>SAI SL NHẬN</v>
      </c>
      <c r="R279" s="14">
        <f>+VLOOKUP(T279,Sheet2!$B$2:$P$372,13,0)</f>
        <v>26600</v>
      </c>
      <c r="S279" s="24">
        <f t="shared" si="40"/>
        <v>0</v>
      </c>
      <c r="T279" t="str">
        <f t="shared" si="41"/>
        <v>11/01/2026NL300061</v>
      </c>
      <c r="U279" s="15">
        <f t="shared" si="42"/>
        <v>0.30000000000000004</v>
      </c>
      <c r="V279" s="25">
        <f t="shared" si="43"/>
        <v>0</v>
      </c>
    </row>
    <row r="280" spans="1:22" x14ac:dyDescent="0.25">
      <c r="A280" s="4" t="s">
        <v>189</v>
      </c>
      <c r="B280" s="5" t="s">
        <v>123</v>
      </c>
      <c r="C280" s="4" t="s">
        <v>124</v>
      </c>
      <c r="D280" s="5" t="s">
        <v>222</v>
      </c>
      <c r="E280" s="7" t="s">
        <v>23</v>
      </c>
      <c r="F280" s="7" t="s">
        <v>24</v>
      </c>
      <c r="G280" s="7" t="s">
        <v>14</v>
      </c>
      <c r="H280" s="8">
        <v>2.2000000000000002</v>
      </c>
      <c r="I280" s="9">
        <v>13000</v>
      </c>
      <c r="J280" s="9">
        <f t="shared" si="36"/>
        <v>28600.000000000004</v>
      </c>
      <c r="K280" s="6" t="s">
        <v>15</v>
      </c>
      <c r="L280" s="21" t="str">
        <f>+VLOOKUP(E280,mã!$B$2:$F$229,2,0)</f>
        <v>NL300059</v>
      </c>
      <c r="M280" s="22">
        <f>+VLOOKUP(T280,Sheet2!$B$2:$P$372,10,0)</f>
        <v>2.1</v>
      </c>
      <c r="N280" s="23">
        <f>+VLOOKUP(L280,mã!$C$2:$F$229,4,0)</f>
        <v>13000</v>
      </c>
      <c r="O280" s="23">
        <f t="shared" si="37"/>
        <v>27300</v>
      </c>
      <c r="P280" s="23">
        <f t="shared" si="38"/>
        <v>1300.0000000000036</v>
      </c>
      <c r="Q280" s="21" t="str">
        <f t="shared" si="39"/>
        <v>SAI SL NHẬN</v>
      </c>
      <c r="R280" s="14">
        <f>+VLOOKUP(T280,Sheet2!$B$2:$P$372,13,0)</f>
        <v>27300</v>
      </c>
      <c r="S280" s="24">
        <f t="shared" si="40"/>
        <v>0</v>
      </c>
      <c r="T280" t="str">
        <f t="shared" si="41"/>
        <v>11/01/2026NL300059</v>
      </c>
      <c r="U280" s="15">
        <f t="shared" si="42"/>
        <v>0.10000000000000009</v>
      </c>
      <c r="V280" s="25">
        <f t="shared" si="43"/>
        <v>0</v>
      </c>
    </row>
    <row r="281" spans="1:22" x14ac:dyDescent="0.25">
      <c r="A281" s="4" t="s">
        <v>189</v>
      </c>
      <c r="B281" s="5" t="s">
        <v>123</v>
      </c>
      <c r="C281" s="4" t="s">
        <v>124</v>
      </c>
      <c r="D281" s="5" t="s">
        <v>222</v>
      </c>
      <c r="E281" s="7" t="s">
        <v>84</v>
      </c>
      <c r="F281" s="7" t="s">
        <v>83</v>
      </c>
      <c r="G281" s="7" t="s">
        <v>14</v>
      </c>
      <c r="H281" s="8">
        <v>2</v>
      </c>
      <c r="I281" s="9">
        <v>23000</v>
      </c>
      <c r="J281" s="9">
        <f t="shared" si="36"/>
        <v>46000</v>
      </c>
      <c r="K281" s="6" t="s">
        <v>15</v>
      </c>
      <c r="L281" s="21" t="str">
        <f>+VLOOKUP(E281,mã!$B$2:$F$229,2,0)</f>
        <v>NL300070</v>
      </c>
      <c r="M281" s="22">
        <f>+VLOOKUP(T281,Sheet2!$B$2:$P$372,10,0)</f>
        <v>1.7</v>
      </c>
      <c r="N281" s="23">
        <f>+VLOOKUP(L281,mã!$C$2:$F$229,4,0)</f>
        <v>23000</v>
      </c>
      <c r="O281" s="23">
        <f t="shared" si="37"/>
        <v>39100</v>
      </c>
      <c r="P281" s="23">
        <f t="shared" si="38"/>
        <v>6900</v>
      </c>
      <c r="Q281" s="21" t="str">
        <f t="shared" si="39"/>
        <v>SAI SL NHẬN</v>
      </c>
      <c r="R281" s="14">
        <f>+VLOOKUP(T281,Sheet2!$B$2:$P$372,13,0)</f>
        <v>39100</v>
      </c>
      <c r="S281" s="24">
        <f t="shared" si="40"/>
        <v>0</v>
      </c>
      <c r="T281" t="str">
        <f t="shared" si="41"/>
        <v>11/01/2026NL300070</v>
      </c>
      <c r="U281" s="15">
        <f t="shared" si="42"/>
        <v>0.30000000000000004</v>
      </c>
      <c r="V281" s="25">
        <f t="shared" si="43"/>
        <v>0</v>
      </c>
    </row>
    <row r="282" spans="1:22" x14ac:dyDescent="0.25">
      <c r="A282" s="4" t="s">
        <v>189</v>
      </c>
      <c r="B282" s="5" t="s">
        <v>123</v>
      </c>
      <c r="C282" s="4" t="s">
        <v>124</v>
      </c>
      <c r="D282" s="5" t="s">
        <v>222</v>
      </c>
      <c r="E282" s="7" t="s">
        <v>152</v>
      </c>
      <c r="F282" s="7" t="s">
        <v>153</v>
      </c>
      <c r="G282" s="7" t="s">
        <v>14</v>
      </c>
      <c r="H282" s="8">
        <v>1.9</v>
      </c>
      <c r="I282" s="9">
        <v>20000</v>
      </c>
      <c r="J282" s="9">
        <f t="shared" si="36"/>
        <v>38000</v>
      </c>
      <c r="K282" s="6" t="s">
        <v>15</v>
      </c>
      <c r="L282" s="21" t="str">
        <f>+VLOOKUP(E282,mã!$B$2:$F$229,2,0)</f>
        <v>NL300071</v>
      </c>
      <c r="M282" s="22">
        <f>+VLOOKUP(T282,Sheet2!$B$2:$P$372,10,0)</f>
        <v>0</v>
      </c>
      <c r="N282" s="23">
        <f>+VLOOKUP(L282,mã!$C$2:$F$229,4,0)</f>
        <v>20000</v>
      </c>
      <c r="O282" s="23">
        <f t="shared" si="37"/>
        <v>0</v>
      </c>
      <c r="P282" s="23">
        <f t="shared" si="38"/>
        <v>38000</v>
      </c>
      <c r="Q282" s="21" t="str">
        <f t="shared" si="39"/>
        <v>SAI SL NHẬN</v>
      </c>
      <c r="R282" s="14">
        <f>+VLOOKUP(T282,Sheet2!$B$2:$P$372,13,0)</f>
        <v>0</v>
      </c>
      <c r="S282" s="24">
        <f t="shared" si="40"/>
        <v>0</v>
      </c>
      <c r="T282" t="str">
        <f t="shared" si="41"/>
        <v>11/01/2026NL300071</v>
      </c>
      <c r="U282" s="15">
        <f t="shared" si="42"/>
        <v>1.9</v>
      </c>
      <c r="V282" s="25">
        <f t="shared" si="43"/>
        <v>0</v>
      </c>
    </row>
    <row r="283" spans="1:22" x14ac:dyDescent="0.25">
      <c r="A283" s="4" t="s">
        <v>189</v>
      </c>
      <c r="B283" s="5" t="s">
        <v>123</v>
      </c>
      <c r="C283" s="4" t="s">
        <v>124</v>
      </c>
      <c r="D283" s="5" t="s">
        <v>222</v>
      </c>
      <c r="E283" s="7" t="s">
        <v>141</v>
      </c>
      <c r="F283" s="7" t="s">
        <v>142</v>
      </c>
      <c r="G283" s="7" t="s">
        <v>14</v>
      </c>
      <c r="H283" s="8">
        <v>2</v>
      </c>
      <c r="I283" s="9">
        <v>95000</v>
      </c>
      <c r="J283" s="9">
        <f t="shared" si="36"/>
        <v>190000</v>
      </c>
      <c r="K283" s="6" t="s">
        <v>15</v>
      </c>
      <c r="L283" s="21" t="str">
        <f>+VLOOKUP(E283,mã!$B$2:$F$229,2,0)</f>
        <v>NL300080</v>
      </c>
      <c r="M283" s="22">
        <f>+VLOOKUP(T283,Sheet2!$B$2:$P$372,10,0)</f>
        <v>0.8</v>
      </c>
      <c r="N283" s="23">
        <f>+VLOOKUP(L283,mã!$C$2:$F$229,4,0)</f>
        <v>95000</v>
      </c>
      <c r="O283" s="23">
        <f t="shared" si="37"/>
        <v>76000</v>
      </c>
      <c r="P283" s="23">
        <f t="shared" si="38"/>
        <v>114000</v>
      </c>
      <c r="Q283" s="21" t="str">
        <f t="shared" si="39"/>
        <v>SAI SL NHẬN</v>
      </c>
      <c r="R283" s="14">
        <f>+VLOOKUP(T283,Sheet2!$B$2:$P$372,13,0)</f>
        <v>76000</v>
      </c>
      <c r="S283" s="24">
        <f t="shared" si="40"/>
        <v>0</v>
      </c>
      <c r="T283" t="str">
        <f t="shared" si="41"/>
        <v>11/01/2026NL300080</v>
      </c>
      <c r="U283" s="15">
        <f t="shared" si="42"/>
        <v>1.2</v>
      </c>
      <c r="V283" s="25">
        <f t="shared" si="43"/>
        <v>0</v>
      </c>
    </row>
    <row r="284" spans="1:22" x14ac:dyDescent="0.25">
      <c r="A284" s="4" t="s">
        <v>189</v>
      </c>
      <c r="B284" s="5" t="s">
        <v>123</v>
      </c>
      <c r="C284" s="4" t="s">
        <v>124</v>
      </c>
      <c r="D284" s="5" t="s">
        <v>222</v>
      </c>
      <c r="E284" s="7" t="s">
        <v>39</v>
      </c>
      <c r="F284" s="7" t="s">
        <v>40</v>
      </c>
      <c r="G284" s="7" t="s">
        <v>14</v>
      </c>
      <c r="H284" s="8">
        <v>2</v>
      </c>
      <c r="I284" s="9">
        <v>145000</v>
      </c>
      <c r="J284" s="9">
        <f t="shared" si="36"/>
        <v>290000</v>
      </c>
      <c r="K284" s="6" t="s">
        <v>15</v>
      </c>
      <c r="L284" s="21" t="str">
        <f>+VLOOKUP(E284,mã!$B$2:$F$229,2,0)</f>
        <v>NL300090</v>
      </c>
      <c r="M284" s="22">
        <f>+VLOOKUP(T284,Sheet2!$B$2:$P$372,10,0)</f>
        <v>2</v>
      </c>
      <c r="N284" s="23">
        <f>+VLOOKUP(L284,mã!$C$2:$F$229,4,0)</f>
        <v>145000</v>
      </c>
      <c r="O284" s="23">
        <f t="shared" si="37"/>
        <v>290000</v>
      </c>
      <c r="P284" s="23">
        <f t="shared" si="38"/>
        <v>0</v>
      </c>
      <c r="Q284" s="21" t="str">
        <f t="shared" si="39"/>
        <v xml:space="preserve"> </v>
      </c>
      <c r="R284" s="14">
        <f>+VLOOKUP(T284,Sheet2!$B$2:$P$372,13,0)</f>
        <v>290000</v>
      </c>
      <c r="S284" s="24">
        <f t="shared" si="40"/>
        <v>0</v>
      </c>
      <c r="T284" t="str">
        <f t="shared" si="41"/>
        <v>11/01/2026NL300090</v>
      </c>
      <c r="U284" s="15">
        <f t="shared" si="42"/>
        <v>0</v>
      </c>
      <c r="V284" s="25">
        <f t="shared" si="43"/>
        <v>0</v>
      </c>
    </row>
    <row r="285" spans="1:22" x14ac:dyDescent="0.25">
      <c r="A285" s="4" t="s">
        <v>189</v>
      </c>
      <c r="B285" s="5" t="s">
        <v>123</v>
      </c>
      <c r="C285" s="4" t="s">
        <v>124</v>
      </c>
      <c r="D285" s="5" t="s">
        <v>222</v>
      </c>
      <c r="E285" s="7" t="s">
        <v>53</v>
      </c>
      <c r="F285" s="7" t="s">
        <v>54</v>
      </c>
      <c r="G285" s="7" t="s">
        <v>14</v>
      </c>
      <c r="H285" s="8">
        <v>1</v>
      </c>
      <c r="I285" s="9">
        <v>47000</v>
      </c>
      <c r="J285" s="9">
        <f t="shared" si="36"/>
        <v>47000</v>
      </c>
      <c r="K285" s="6" t="s">
        <v>15</v>
      </c>
      <c r="L285" s="21" t="str">
        <f>+VLOOKUP(E285,mã!$B$2:$F$229,2,0)</f>
        <v>NL300091</v>
      </c>
      <c r="M285" s="22">
        <f>+VLOOKUP(T285,Sheet2!$B$2:$P$372,10,0)</f>
        <v>1</v>
      </c>
      <c r="N285" s="23">
        <f>+VLOOKUP(L285,mã!$C$2:$F$229,4,0)</f>
        <v>47000</v>
      </c>
      <c r="O285" s="23">
        <f t="shared" si="37"/>
        <v>47000</v>
      </c>
      <c r="P285" s="23">
        <f t="shared" si="38"/>
        <v>0</v>
      </c>
      <c r="Q285" s="21" t="str">
        <f t="shared" si="39"/>
        <v xml:space="preserve"> </v>
      </c>
      <c r="R285" s="14">
        <f>+VLOOKUP(T285,Sheet2!$B$2:$P$372,13,0)</f>
        <v>47000</v>
      </c>
      <c r="S285" s="24">
        <f t="shared" si="40"/>
        <v>0</v>
      </c>
      <c r="T285" t="str">
        <f t="shared" si="41"/>
        <v>11/01/2026NL300091</v>
      </c>
      <c r="U285" s="15">
        <f t="shared" si="42"/>
        <v>0</v>
      </c>
      <c r="V285" s="25">
        <f t="shared" si="43"/>
        <v>0</v>
      </c>
    </row>
    <row r="286" spans="1:22" x14ac:dyDescent="0.25">
      <c r="A286" s="4" t="s">
        <v>189</v>
      </c>
      <c r="B286" s="5" t="s">
        <v>123</v>
      </c>
      <c r="C286" s="4" t="s">
        <v>124</v>
      </c>
      <c r="D286" s="5" t="s">
        <v>222</v>
      </c>
      <c r="E286" s="7" t="s">
        <v>63</v>
      </c>
      <c r="F286" s="7" t="s">
        <v>64</v>
      </c>
      <c r="G286" s="7" t="s">
        <v>14</v>
      </c>
      <c r="H286" s="8">
        <v>0.1</v>
      </c>
      <c r="I286" s="9">
        <v>45000</v>
      </c>
      <c r="J286" s="9">
        <f t="shared" si="36"/>
        <v>4500</v>
      </c>
      <c r="K286" s="6" t="s">
        <v>15</v>
      </c>
      <c r="L286" s="21" t="str">
        <f>+VLOOKUP(E286,mã!$B$2:$F$229,2,0)</f>
        <v>NL300085</v>
      </c>
      <c r="M286" s="22">
        <f>+VLOOKUP(T286,Sheet2!$B$2:$P$372,10,0)</f>
        <v>0</v>
      </c>
      <c r="N286" s="23">
        <f>+VLOOKUP(L286,mã!$C$2:$F$229,4,0)</f>
        <v>45000</v>
      </c>
      <c r="O286" s="23">
        <f t="shared" si="37"/>
        <v>0</v>
      </c>
      <c r="P286" s="23">
        <f t="shared" si="38"/>
        <v>4500</v>
      </c>
      <c r="Q286" s="21" t="str">
        <f t="shared" si="39"/>
        <v>SAI SL NHẬN</v>
      </c>
      <c r="R286" s="14">
        <f>+VLOOKUP(T286,Sheet2!$B$2:$P$372,13,0)</f>
        <v>0</v>
      </c>
      <c r="S286" s="24">
        <f t="shared" si="40"/>
        <v>0</v>
      </c>
      <c r="T286" t="str">
        <f t="shared" si="41"/>
        <v>11/01/2026NL300085</v>
      </c>
      <c r="U286" s="15">
        <f t="shared" si="42"/>
        <v>0.1</v>
      </c>
      <c r="V286" s="25">
        <f t="shared" si="43"/>
        <v>0</v>
      </c>
    </row>
    <row r="287" spans="1:22" x14ac:dyDescent="0.25">
      <c r="A287" s="4" t="s">
        <v>189</v>
      </c>
      <c r="B287" s="5" t="s">
        <v>123</v>
      </c>
      <c r="C287" s="4" t="s">
        <v>124</v>
      </c>
      <c r="D287" s="5" t="s">
        <v>222</v>
      </c>
      <c r="E287" s="7" t="s">
        <v>55</v>
      </c>
      <c r="F287" s="7" t="s">
        <v>56</v>
      </c>
      <c r="G287" s="7" t="s">
        <v>14</v>
      </c>
      <c r="H287" s="8">
        <v>0.3</v>
      </c>
      <c r="I287" s="9">
        <v>70000</v>
      </c>
      <c r="J287" s="9">
        <f t="shared" si="36"/>
        <v>21000</v>
      </c>
      <c r="K287" s="6" t="s">
        <v>15</v>
      </c>
      <c r="L287" s="21" t="str">
        <f>+VLOOKUP(E287,mã!$B$2:$F$229,2,0)</f>
        <v>NL300126</v>
      </c>
      <c r="M287" s="22">
        <f>+VLOOKUP(T287,Sheet2!$B$2:$P$372,10,0)</f>
        <v>0.3</v>
      </c>
      <c r="N287" s="23">
        <f>+VLOOKUP(L287,mã!$C$2:$F$229,4,0)</f>
        <v>70000</v>
      </c>
      <c r="O287" s="23">
        <f t="shared" si="37"/>
        <v>21000</v>
      </c>
      <c r="P287" s="23">
        <f t="shared" si="38"/>
        <v>0</v>
      </c>
      <c r="Q287" s="21" t="str">
        <f t="shared" si="39"/>
        <v xml:space="preserve"> </v>
      </c>
      <c r="R287" s="14">
        <f>+VLOOKUP(T287,Sheet2!$B$2:$P$372,13,0)</f>
        <v>21000</v>
      </c>
      <c r="S287" s="24">
        <f t="shared" si="40"/>
        <v>0</v>
      </c>
      <c r="T287" t="str">
        <f t="shared" si="41"/>
        <v>11/01/2026NL300126</v>
      </c>
      <c r="U287" s="15">
        <f t="shared" si="42"/>
        <v>0</v>
      </c>
      <c r="V287" s="25">
        <f t="shared" si="43"/>
        <v>0</v>
      </c>
    </row>
    <row r="288" spans="1:22" x14ac:dyDescent="0.25">
      <c r="A288" s="4" t="s">
        <v>189</v>
      </c>
      <c r="B288" s="5" t="s">
        <v>123</v>
      </c>
      <c r="C288" s="4" t="s">
        <v>124</v>
      </c>
      <c r="D288" s="5" t="s">
        <v>222</v>
      </c>
      <c r="E288" s="7" t="s">
        <v>41</v>
      </c>
      <c r="F288" s="7" t="s">
        <v>42</v>
      </c>
      <c r="G288" s="7" t="s">
        <v>14</v>
      </c>
      <c r="H288" s="8">
        <v>0.2</v>
      </c>
      <c r="I288" s="9">
        <v>145000</v>
      </c>
      <c r="J288" s="9">
        <f t="shared" si="36"/>
        <v>29000</v>
      </c>
      <c r="K288" s="6" t="s">
        <v>15</v>
      </c>
      <c r="L288" s="21" t="str">
        <f>+VLOOKUP(E288,mã!$B$2:$F$229,2,0)</f>
        <v>NL300113</v>
      </c>
      <c r="M288" s="22">
        <f>+VLOOKUP(T288,Sheet2!$B$2:$P$372,10,0)</f>
        <v>0.2</v>
      </c>
      <c r="N288" s="23">
        <f>+VLOOKUP(L288,mã!$C$2:$F$229,4,0)</f>
        <v>145000</v>
      </c>
      <c r="O288" s="23">
        <f t="shared" si="37"/>
        <v>29000</v>
      </c>
      <c r="P288" s="23">
        <f t="shared" si="38"/>
        <v>0</v>
      </c>
      <c r="Q288" s="21" t="str">
        <f t="shared" si="39"/>
        <v xml:space="preserve"> </v>
      </c>
      <c r="R288" s="14">
        <f>+VLOOKUP(T288,Sheet2!$B$2:$P$372,13,0)</f>
        <v>29000</v>
      </c>
      <c r="S288" s="24">
        <f t="shared" si="40"/>
        <v>0</v>
      </c>
      <c r="T288" t="str">
        <f t="shared" si="41"/>
        <v>11/01/2026NL300113</v>
      </c>
      <c r="U288" s="15">
        <f t="shared" si="42"/>
        <v>0</v>
      </c>
      <c r="V288" s="25">
        <f t="shared" si="43"/>
        <v>0</v>
      </c>
    </row>
    <row r="289" spans="1:22" x14ac:dyDescent="0.25">
      <c r="A289" s="4" t="s">
        <v>189</v>
      </c>
      <c r="B289" s="5" t="s">
        <v>123</v>
      </c>
      <c r="C289" s="4" t="s">
        <v>124</v>
      </c>
      <c r="D289" s="5" t="s">
        <v>222</v>
      </c>
      <c r="E289" s="7" t="s">
        <v>47</v>
      </c>
      <c r="F289" s="7" t="s">
        <v>48</v>
      </c>
      <c r="G289" s="7" t="s">
        <v>14</v>
      </c>
      <c r="H289" s="8">
        <v>1.5</v>
      </c>
      <c r="I289" s="9">
        <v>21000</v>
      </c>
      <c r="J289" s="9">
        <f t="shared" si="36"/>
        <v>31500</v>
      </c>
      <c r="K289" s="6" t="s">
        <v>15</v>
      </c>
      <c r="L289" s="21" t="str">
        <f>+VLOOKUP(E289,mã!$B$2:$F$229,2,0)</f>
        <v>NL300119</v>
      </c>
      <c r="M289" s="22">
        <f>+VLOOKUP(T289,Sheet2!$B$2:$P$372,10,0)</f>
        <v>1.3</v>
      </c>
      <c r="N289" s="23">
        <f>+VLOOKUP(L289,mã!$C$2:$F$229,4,0)</f>
        <v>21000</v>
      </c>
      <c r="O289" s="23">
        <f t="shared" si="37"/>
        <v>27300</v>
      </c>
      <c r="P289" s="23">
        <f t="shared" si="38"/>
        <v>4200</v>
      </c>
      <c r="Q289" s="21" t="str">
        <f t="shared" si="39"/>
        <v>SAI SL NHẬN</v>
      </c>
      <c r="R289" s="14">
        <f>+VLOOKUP(T289,Sheet2!$B$2:$P$372,13,0)</f>
        <v>27300</v>
      </c>
      <c r="S289" s="24">
        <f t="shared" si="40"/>
        <v>0</v>
      </c>
      <c r="T289" t="str">
        <f t="shared" si="41"/>
        <v>11/01/2026NL300119</v>
      </c>
      <c r="U289" s="15">
        <f t="shared" si="42"/>
        <v>0.19999999999999996</v>
      </c>
      <c r="V289" s="25">
        <f t="shared" si="43"/>
        <v>0</v>
      </c>
    </row>
    <row r="290" spans="1:22" x14ac:dyDescent="0.25">
      <c r="A290" s="4" t="s">
        <v>189</v>
      </c>
      <c r="B290" s="5" t="s">
        <v>123</v>
      </c>
      <c r="C290" s="4" t="s">
        <v>124</v>
      </c>
      <c r="D290" s="5" t="s">
        <v>222</v>
      </c>
      <c r="E290" s="7" t="s">
        <v>27</v>
      </c>
      <c r="F290" s="7" t="s">
        <v>28</v>
      </c>
      <c r="G290" s="7" t="s">
        <v>14</v>
      </c>
      <c r="H290" s="8">
        <v>0.2</v>
      </c>
      <c r="I290" s="9">
        <v>50000</v>
      </c>
      <c r="J290" s="9">
        <f t="shared" si="36"/>
        <v>10000</v>
      </c>
      <c r="K290" s="6" t="s">
        <v>15</v>
      </c>
      <c r="L290" s="21" t="str">
        <f>+VLOOKUP(E290,mã!$B$2:$F$229,2,0)</f>
        <v>NL300142</v>
      </c>
      <c r="M290" s="22">
        <f>+VLOOKUP(T290,Sheet2!$B$2:$P$372,10,0)</f>
        <v>0.2</v>
      </c>
      <c r="N290" s="23">
        <f>+VLOOKUP(L290,mã!$C$2:$F$229,4,0)</f>
        <v>50000</v>
      </c>
      <c r="O290" s="23">
        <f t="shared" si="37"/>
        <v>10000</v>
      </c>
      <c r="P290" s="23">
        <f t="shared" si="38"/>
        <v>0</v>
      </c>
      <c r="Q290" s="21" t="str">
        <f t="shared" si="39"/>
        <v xml:space="preserve"> </v>
      </c>
      <c r="R290" s="14">
        <f>+VLOOKUP(T290,Sheet2!$B$2:$P$372,13,0)</f>
        <v>10000</v>
      </c>
      <c r="S290" s="24">
        <f t="shared" si="40"/>
        <v>0</v>
      </c>
      <c r="T290" t="str">
        <f t="shared" si="41"/>
        <v>11/01/2026NL300142</v>
      </c>
      <c r="U290" s="15">
        <f t="shared" si="42"/>
        <v>0</v>
      </c>
      <c r="V290" s="25">
        <f t="shared" si="43"/>
        <v>0</v>
      </c>
    </row>
    <row r="291" spans="1:22" x14ac:dyDescent="0.25">
      <c r="A291" s="4" t="s">
        <v>189</v>
      </c>
      <c r="B291" s="5" t="s">
        <v>123</v>
      </c>
      <c r="C291" s="4" t="s">
        <v>124</v>
      </c>
      <c r="D291" s="5" t="s">
        <v>222</v>
      </c>
      <c r="E291" s="7" t="s">
        <v>145</v>
      </c>
      <c r="F291" s="7" t="s">
        <v>146</v>
      </c>
      <c r="G291" s="7" t="s">
        <v>14</v>
      </c>
      <c r="H291" s="8">
        <v>10</v>
      </c>
      <c r="I291" s="9">
        <v>38000</v>
      </c>
      <c r="J291" s="9">
        <f t="shared" si="36"/>
        <v>380000</v>
      </c>
      <c r="K291" s="6" t="s">
        <v>15</v>
      </c>
      <c r="L291" s="21" t="str">
        <f>+VLOOKUP(E291,mã!$B$2:$F$229,2,0)</f>
        <v>NL300145</v>
      </c>
      <c r="M291" s="22">
        <f>+VLOOKUP(T291,Sheet2!$B$2:$P$372,10,0)</f>
        <v>5</v>
      </c>
      <c r="N291" s="23">
        <f>+VLOOKUP(L291,mã!$C$2:$F$229,4,0)</f>
        <v>38000</v>
      </c>
      <c r="O291" s="23">
        <f t="shared" si="37"/>
        <v>190000</v>
      </c>
      <c r="P291" s="23">
        <f t="shared" si="38"/>
        <v>190000</v>
      </c>
      <c r="Q291" s="21" t="str">
        <f t="shared" si="39"/>
        <v>SAI SL NHẬN</v>
      </c>
      <c r="R291" s="14">
        <f>+VLOOKUP(T291,Sheet2!$B$2:$P$372,13,0)</f>
        <v>190000</v>
      </c>
      <c r="S291" s="24">
        <f t="shared" si="40"/>
        <v>0</v>
      </c>
      <c r="T291" t="str">
        <f t="shared" si="41"/>
        <v>11/01/2026NL300145</v>
      </c>
      <c r="U291" s="15">
        <f t="shared" si="42"/>
        <v>5</v>
      </c>
      <c r="V291" s="25">
        <f t="shared" si="43"/>
        <v>0</v>
      </c>
    </row>
    <row r="292" spans="1:22" x14ac:dyDescent="0.25">
      <c r="A292" s="4" t="s">
        <v>189</v>
      </c>
      <c r="B292" s="5" t="s">
        <v>123</v>
      </c>
      <c r="C292" s="4" t="s">
        <v>124</v>
      </c>
      <c r="D292" s="5" t="s">
        <v>222</v>
      </c>
      <c r="E292" s="7" t="s">
        <v>66</v>
      </c>
      <c r="F292" s="7" t="s">
        <v>65</v>
      </c>
      <c r="G292" s="7" t="s">
        <v>14</v>
      </c>
      <c r="H292" s="8">
        <v>1.2</v>
      </c>
      <c r="I292" s="9">
        <v>62000</v>
      </c>
      <c r="J292" s="9">
        <f t="shared" si="36"/>
        <v>74400</v>
      </c>
      <c r="K292" s="6" t="s">
        <v>15</v>
      </c>
      <c r="L292" s="21" t="str">
        <f>+VLOOKUP(E292,mã!$B$2:$F$229,2,0)</f>
        <v>NL300147</v>
      </c>
      <c r="M292" s="22">
        <f>+VLOOKUP(T292,Sheet2!$B$2:$P$372,10,0)</f>
        <v>1</v>
      </c>
      <c r="N292" s="23">
        <f>+VLOOKUP(L292,mã!$C$2:$F$229,4,0)</f>
        <v>62000</v>
      </c>
      <c r="O292" s="23">
        <f t="shared" si="37"/>
        <v>62000</v>
      </c>
      <c r="P292" s="23">
        <f t="shared" si="38"/>
        <v>12400</v>
      </c>
      <c r="Q292" s="21" t="str">
        <f t="shared" si="39"/>
        <v>SAI SL NHẬN</v>
      </c>
      <c r="R292" s="14">
        <f>+VLOOKUP(T292,Sheet2!$B$2:$P$372,13,0)</f>
        <v>62000</v>
      </c>
      <c r="S292" s="24">
        <f t="shared" si="40"/>
        <v>0</v>
      </c>
      <c r="T292" t="str">
        <f t="shared" si="41"/>
        <v>11/01/2026NL300147</v>
      </c>
      <c r="U292" s="15">
        <f t="shared" si="42"/>
        <v>0.19999999999999996</v>
      </c>
      <c r="V292" s="25">
        <f t="shared" si="43"/>
        <v>0</v>
      </c>
    </row>
    <row r="293" spans="1:22" x14ac:dyDescent="0.25">
      <c r="A293" s="4" t="s">
        <v>192</v>
      </c>
      <c r="B293" s="5" t="s">
        <v>123</v>
      </c>
      <c r="C293" s="4" t="s">
        <v>124</v>
      </c>
      <c r="D293" s="5" t="s">
        <v>223</v>
      </c>
      <c r="E293" s="7" t="s">
        <v>12</v>
      </c>
      <c r="F293" s="7" t="s">
        <v>13</v>
      </c>
      <c r="G293" s="7" t="s">
        <v>14</v>
      </c>
      <c r="H293" s="8">
        <v>3</v>
      </c>
      <c r="I293" s="9">
        <v>19000</v>
      </c>
      <c r="J293" s="9">
        <f t="shared" si="36"/>
        <v>57000</v>
      </c>
      <c r="K293" s="6" t="s">
        <v>15</v>
      </c>
      <c r="L293" s="21" t="str">
        <f>+VLOOKUP(E293,mã!$B$2:$F$229,2,0)</f>
        <v>NL300004</v>
      </c>
      <c r="M293" s="22">
        <f>+VLOOKUP(T293,Sheet2!$B$2:$P$372,10,0)</f>
        <v>2.8</v>
      </c>
      <c r="N293" s="23">
        <f>+VLOOKUP(L293,mã!$C$2:$F$229,4,0)</f>
        <v>19000</v>
      </c>
      <c r="O293" s="23">
        <f t="shared" si="37"/>
        <v>53200</v>
      </c>
      <c r="P293" s="23">
        <f t="shared" si="38"/>
        <v>3800</v>
      </c>
      <c r="Q293" s="21" t="str">
        <f t="shared" si="39"/>
        <v>SAI SL NHẬN</v>
      </c>
      <c r="R293" s="14">
        <f>+VLOOKUP(T293,Sheet2!$B$2:$P$372,13,0)</f>
        <v>53200</v>
      </c>
      <c r="S293" s="24">
        <f t="shared" si="40"/>
        <v>0</v>
      </c>
      <c r="T293" t="str">
        <f t="shared" si="41"/>
        <v>12/01/2026NL300004</v>
      </c>
      <c r="U293" s="15">
        <f t="shared" si="42"/>
        <v>0.20000000000000018</v>
      </c>
      <c r="V293" s="25">
        <f t="shared" si="43"/>
        <v>0</v>
      </c>
    </row>
    <row r="294" spans="1:22" x14ac:dyDescent="0.25">
      <c r="A294" s="4" t="s">
        <v>192</v>
      </c>
      <c r="B294" s="5" t="s">
        <v>123</v>
      </c>
      <c r="C294" s="4" t="s">
        <v>124</v>
      </c>
      <c r="D294" s="5" t="s">
        <v>223</v>
      </c>
      <c r="E294" s="7" t="s">
        <v>16</v>
      </c>
      <c r="F294" s="7" t="s">
        <v>17</v>
      </c>
      <c r="G294" s="7" t="s">
        <v>18</v>
      </c>
      <c r="H294" s="8">
        <v>15</v>
      </c>
      <c r="I294" s="9">
        <v>8500</v>
      </c>
      <c r="J294" s="9">
        <f t="shared" si="36"/>
        <v>127500</v>
      </c>
      <c r="K294" s="6" t="s">
        <v>15</v>
      </c>
      <c r="L294" s="21" t="str">
        <f>+VLOOKUP(E294,mã!$B$2:$F$229,2,0)</f>
        <v>NL300107</v>
      </c>
      <c r="M294" s="22">
        <f>+VLOOKUP(T294,Sheet2!$B$2:$P$372,10,0)</f>
        <v>9</v>
      </c>
      <c r="N294" s="23">
        <f>+VLOOKUP(L294,mã!$C$2:$F$229,4,0)</f>
        <v>8500</v>
      </c>
      <c r="O294" s="23">
        <f t="shared" si="37"/>
        <v>76500</v>
      </c>
      <c r="P294" s="23">
        <f t="shared" si="38"/>
        <v>51000</v>
      </c>
      <c r="Q294" s="21" t="str">
        <f t="shared" si="39"/>
        <v>SAI SL NHẬN</v>
      </c>
      <c r="R294" s="14">
        <f>+VLOOKUP(T294,Sheet2!$B$2:$P$372,13,0)</f>
        <v>76500</v>
      </c>
      <c r="S294" s="24">
        <f t="shared" si="40"/>
        <v>0</v>
      </c>
      <c r="T294" t="str">
        <f t="shared" si="41"/>
        <v>12/01/2026NL300107</v>
      </c>
      <c r="U294" s="15">
        <f t="shared" si="42"/>
        <v>6</v>
      </c>
      <c r="V294" s="25">
        <f t="shared" si="43"/>
        <v>0</v>
      </c>
    </row>
    <row r="295" spans="1:22" x14ac:dyDescent="0.25">
      <c r="A295" s="4" t="s">
        <v>192</v>
      </c>
      <c r="B295" s="5" t="s">
        <v>123</v>
      </c>
      <c r="C295" s="4" t="s">
        <v>124</v>
      </c>
      <c r="D295" s="5" t="s">
        <v>223</v>
      </c>
      <c r="E295" s="7" t="s">
        <v>101</v>
      </c>
      <c r="F295" s="7" t="s">
        <v>100</v>
      </c>
      <c r="G295" s="7" t="s">
        <v>14</v>
      </c>
      <c r="H295" s="8">
        <v>1</v>
      </c>
      <c r="I295" s="9">
        <v>40000</v>
      </c>
      <c r="J295" s="9">
        <f t="shared" si="36"/>
        <v>40000</v>
      </c>
      <c r="K295" s="6" t="s">
        <v>15</v>
      </c>
      <c r="L295" s="21" t="str">
        <f>+VLOOKUP(E295,mã!$B$2:$F$229,2,0)</f>
        <v>NL300008</v>
      </c>
      <c r="M295" s="22">
        <f>+VLOOKUP(T295,Sheet2!$B$2:$P$372,10,0)</f>
        <v>0.9</v>
      </c>
      <c r="N295" s="23">
        <f>+VLOOKUP(L295,mã!$C$2:$F$229,4,0)</f>
        <v>40000</v>
      </c>
      <c r="O295" s="23">
        <f t="shared" si="37"/>
        <v>36000</v>
      </c>
      <c r="P295" s="23">
        <f t="shared" si="38"/>
        <v>4000</v>
      </c>
      <c r="Q295" s="21" t="str">
        <f t="shared" si="39"/>
        <v>SAI SL NHẬN</v>
      </c>
      <c r="R295" s="14">
        <f>+VLOOKUP(T295,Sheet2!$B$2:$P$372,13,0)</f>
        <v>36000</v>
      </c>
      <c r="S295" s="24">
        <f t="shared" si="40"/>
        <v>0</v>
      </c>
      <c r="T295" t="str">
        <f t="shared" si="41"/>
        <v>12/01/2026NL300008</v>
      </c>
      <c r="U295" s="15">
        <f t="shared" si="42"/>
        <v>9.9999999999999978E-2</v>
      </c>
      <c r="V295" s="25">
        <f t="shared" si="43"/>
        <v>0</v>
      </c>
    </row>
    <row r="296" spans="1:22" x14ac:dyDescent="0.25">
      <c r="A296" s="4" t="s">
        <v>192</v>
      </c>
      <c r="B296" s="5" t="s">
        <v>123</v>
      </c>
      <c r="C296" s="4" t="s">
        <v>124</v>
      </c>
      <c r="D296" s="5" t="s">
        <v>223</v>
      </c>
      <c r="E296" s="7" t="s">
        <v>150</v>
      </c>
      <c r="F296" s="7" t="s">
        <v>151</v>
      </c>
      <c r="G296" s="7" t="s">
        <v>14</v>
      </c>
      <c r="H296" s="8">
        <v>0.5</v>
      </c>
      <c r="I296" s="9">
        <v>50000</v>
      </c>
      <c r="J296" s="9">
        <f t="shared" si="36"/>
        <v>25000</v>
      </c>
      <c r="K296" s="6" t="s">
        <v>15</v>
      </c>
      <c r="L296" s="21" t="str">
        <f>+VLOOKUP(E296,mã!$B$2:$F$229,2,0)</f>
        <v>NL300013</v>
      </c>
      <c r="M296" s="22">
        <f>+VLOOKUP(T296,Sheet2!$B$2:$P$372,10,0)</f>
        <v>0.4</v>
      </c>
      <c r="N296" s="23">
        <f>+VLOOKUP(L296,mã!$C$2:$F$229,4,0)</f>
        <v>50000</v>
      </c>
      <c r="O296" s="23">
        <f t="shared" si="37"/>
        <v>20000</v>
      </c>
      <c r="P296" s="23">
        <f t="shared" si="38"/>
        <v>5000</v>
      </c>
      <c r="Q296" s="21" t="str">
        <f t="shared" si="39"/>
        <v>SAI SL NHẬN</v>
      </c>
      <c r="R296" s="14">
        <f>+VLOOKUP(T296,Sheet2!$B$2:$P$372,13,0)</f>
        <v>20000</v>
      </c>
      <c r="S296" s="24">
        <f t="shared" si="40"/>
        <v>0</v>
      </c>
      <c r="T296" t="str">
        <f t="shared" si="41"/>
        <v>12/01/2026NL300013</v>
      </c>
      <c r="U296" s="15">
        <f t="shared" si="42"/>
        <v>9.9999999999999978E-2</v>
      </c>
      <c r="V296" s="25">
        <f t="shared" si="43"/>
        <v>0</v>
      </c>
    </row>
    <row r="297" spans="1:22" x14ac:dyDescent="0.25">
      <c r="A297" s="4" t="s">
        <v>192</v>
      </c>
      <c r="B297" s="5" t="s">
        <v>123</v>
      </c>
      <c r="C297" s="4" t="s">
        <v>124</v>
      </c>
      <c r="D297" s="5" t="s">
        <v>223</v>
      </c>
      <c r="E297" s="7" t="s">
        <v>131</v>
      </c>
      <c r="F297" s="7" t="s">
        <v>132</v>
      </c>
      <c r="G297" s="7" t="s">
        <v>14</v>
      </c>
      <c r="H297" s="8">
        <v>0.2</v>
      </c>
      <c r="I297" s="9">
        <v>55000</v>
      </c>
      <c r="J297" s="9">
        <f t="shared" si="36"/>
        <v>11000</v>
      </c>
      <c r="K297" s="6" t="s">
        <v>15</v>
      </c>
      <c r="L297" s="21" t="str">
        <f>+VLOOKUP(E297,mã!$B$2:$F$229,2,0)</f>
        <v>NL300014</v>
      </c>
      <c r="M297" s="22">
        <f>+VLOOKUP(T297,Sheet2!$B$2:$P$372,10,0)</f>
        <v>0.2</v>
      </c>
      <c r="N297" s="23">
        <f>+VLOOKUP(L297,mã!$C$2:$F$229,4,0)</f>
        <v>55000</v>
      </c>
      <c r="O297" s="23">
        <f t="shared" si="37"/>
        <v>11000</v>
      </c>
      <c r="P297" s="23">
        <f t="shared" si="38"/>
        <v>0</v>
      </c>
      <c r="Q297" s="21" t="str">
        <f t="shared" si="39"/>
        <v xml:space="preserve"> </v>
      </c>
      <c r="R297" s="14">
        <f>+VLOOKUP(T297,Sheet2!$B$2:$P$372,13,0)</f>
        <v>11000</v>
      </c>
      <c r="S297" s="24">
        <f t="shared" si="40"/>
        <v>0</v>
      </c>
      <c r="T297" t="str">
        <f t="shared" si="41"/>
        <v>12/01/2026NL300014</v>
      </c>
      <c r="U297" s="15">
        <f t="shared" si="42"/>
        <v>0</v>
      </c>
      <c r="V297" s="25">
        <f t="shared" si="43"/>
        <v>0</v>
      </c>
    </row>
    <row r="298" spans="1:22" x14ac:dyDescent="0.25">
      <c r="A298" s="4" t="s">
        <v>192</v>
      </c>
      <c r="B298" s="5" t="s">
        <v>123</v>
      </c>
      <c r="C298" s="4" t="s">
        <v>124</v>
      </c>
      <c r="D298" s="5" t="s">
        <v>223</v>
      </c>
      <c r="E298" s="7" t="s">
        <v>125</v>
      </c>
      <c r="F298" s="7" t="s">
        <v>126</v>
      </c>
      <c r="G298" s="7" t="s">
        <v>14</v>
      </c>
      <c r="H298" s="8">
        <v>1</v>
      </c>
      <c r="I298" s="9">
        <v>18000</v>
      </c>
      <c r="J298" s="9">
        <f t="shared" si="36"/>
        <v>18000</v>
      </c>
      <c r="K298" s="6" t="s">
        <v>15</v>
      </c>
      <c r="L298" s="21" t="str">
        <f>+VLOOKUP(E298,mã!$B$2:$F$229,2,0)</f>
        <v>NL300027</v>
      </c>
      <c r="M298" s="22">
        <f>+VLOOKUP(T298,Sheet2!$B$2:$P$372,10,0)</f>
        <v>0.8</v>
      </c>
      <c r="N298" s="23">
        <f>+VLOOKUP(L298,mã!$C$2:$F$229,4,0)</f>
        <v>18000</v>
      </c>
      <c r="O298" s="23">
        <f t="shared" si="37"/>
        <v>14400</v>
      </c>
      <c r="P298" s="23">
        <f t="shared" si="38"/>
        <v>3600</v>
      </c>
      <c r="Q298" s="21" t="str">
        <f t="shared" si="39"/>
        <v>SAI SL NHẬN</v>
      </c>
      <c r="R298" s="14">
        <f>+VLOOKUP(T298,Sheet2!$B$2:$P$372,13,0)</f>
        <v>14400</v>
      </c>
      <c r="S298" s="24">
        <f t="shared" si="40"/>
        <v>0</v>
      </c>
      <c r="T298" t="str">
        <f t="shared" si="41"/>
        <v>12/01/2026NL300027</v>
      </c>
      <c r="U298" s="15">
        <f t="shared" si="42"/>
        <v>0.19999999999999996</v>
      </c>
      <c r="V298" s="25">
        <f t="shared" si="43"/>
        <v>0</v>
      </c>
    </row>
    <row r="299" spans="1:22" x14ac:dyDescent="0.25">
      <c r="A299" s="4" t="s">
        <v>192</v>
      </c>
      <c r="B299" s="5" t="s">
        <v>123</v>
      </c>
      <c r="C299" s="4" t="s">
        <v>124</v>
      </c>
      <c r="D299" s="5" t="s">
        <v>223</v>
      </c>
      <c r="E299" s="7" t="s">
        <v>33</v>
      </c>
      <c r="F299" s="7" t="s">
        <v>34</v>
      </c>
      <c r="G299" s="7" t="s">
        <v>14</v>
      </c>
      <c r="H299" s="8">
        <v>0.5</v>
      </c>
      <c r="I299" s="9">
        <v>22000</v>
      </c>
      <c r="J299" s="9">
        <f t="shared" si="36"/>
        <v>11000</v>
      </c>
      <c r="K299" s="6" t="s">
        <v>15</v>
      </c>
      <c r="L299" s="21" t="str">
        <f>+VLOOKUP(E299,mã!$B$2:$F$229,2,0)</f>
        <v>NL300029</v>
      </c>
      <c r="M299" s="22">
        <f>+VLOOKUP(T299,Sheet2!$B$2:$P$372,10,0)</f>
        <v>0.5</v>
      </c>
      <c r="N299" s="23">
        <f>+VLOOKUP(L299,mã!$C$2:$F$229,4,0)</f>
        <v>22000</v>
      </c>
      <c r="O299" s="23">
        <f t="shared" si="37"/>
        <v>11000</v>
      </c>
      <c r="P299" s="23">
        <f t="shared" si="38"/>
        <v>0</v>
      </c>
      <c r="Q299" s="21" t="str">
        <f t="shared" si="39"/>
        <v xml:space="preserve"> </v>
      </c>
      <c r="R299" s="14">
        <f>+VLOOKUP(T299,Sheet2!$B$2:$P$372,13,0)</f>
        <v>11000</v>
      </c>
      <c r="S299" s="24">
        <f t="shared" si="40"/>
        <v>0</v>
      </c>
      <c r="T299" t="str">
        <f t="shared" si="41"/>
        <v>12/01/2026NL300029</v>
      </c>
      <c r="U299" s="15">
        <f t="shared" si="42"/>
        <v>0</v>
      </c>
      <c r="V299" s="25">
        <f t="shared" si="43"/>
        <v>0</v>
      </c>
    </row>
    <row r="300" spans="1:22" x14ac:dyDescent="0.25">
      <c r="A300" s="4" t="s">
        <v>192</v>
      </c>
      <c r="B300" s="5" t="s">
        <v>123</v>
      </c>
      <c r="C300" s="4" t="s">
        <v>124</v>
      </c>
      <c r="D300" s="5" t="s">
        <v>223</v>
      </c>
      <c r="E300" s="7" t="s">
        <v>127</v>
      </c>
      <c r="F300" s="7" t="s">
        <v>128</v>
      </c>
      <c r="G300" s="7" t="s">
        <v>14</v>
      </c>
      <c r="H300" s="8">
        <v>2.2999999999999998</v>
      </c>
      <c r="I300" s="9">
        <v>13000</v>
      </c>
      <c r="J300" s="9">
        <f t="shared" si="36"/>
        <v>29899.999999999996</v>
      </c>
      <c r="K300" s="6" t="s">
        <v>15</v>
      </c>
      <c r="L300" s="21" t="str">
        <f>+VLOOKUP(E300,mã!$B$2:$F$229,2,0)</f>
        <v>NL300033</v>
      </c>
      <c r="M300" s="22">
        <f>+VLOOKUP(T300,Sheet2!$B$2:$P$372,10,0)</f>
        <v>2</v>
      </c>
      <c r="N300" s="23">
        <f>+VLOOKUP(L300,mã!$C$2:$F$229,4,0)</f>
        <v>13000</v>
      </c>
      <c r="O300" s="23">
        <f t="shared" si="37"/>
        <v>26000</v>
      </c>
      <c r="P300" s="23">
        <f t="shared" si="38"/>
        <v>3899.9999999999964</v>
      </c>
      <c r="Q300" s="21" t="str">
        <f t="shared" si="39"/>
        <v>SAI SL NHẬN</v>
      </c>
      <c r="R300" s="14">
        <f>+VLOOKUP(T300,Sheet2!$B$2:$P$372,13,0)</f>
        <v>26000</v>
      </c>
      <c r="S300" s="24">
        <f t="shared" si="40"/>
        <v>0</v>
      </c>
      <c r="T300" t="str">
        <f t="shared" si="41"/>
        <v>12/01/2026NL300033</v>
      </c>
      <c r="U300" s="15">
        <f t="shared" si="42"/>
        <v>0.29999999999999982</v>
      </c>
      <c r="V300" s="25">
        <f t="shared" si="43"/>
        <v>0</v>
      </c>
    </row>
    <row r="301" spans="1:22" x14ac:dyDescent="0.25">
      <c r="A301" s="4" t="s">
        <v>192</v>
      </c>
      <c r="B301" s="5" t="s">
        <v>123</v>
      </c>
      <c r="C301" s="4" t="s">
        <v>124</v>
      </c>
      <c r="D301" s="5" t="s">
        <v>223</v>
      </c>
      <c r="E301" s="7" t="s">
        <v>19</v>
      </c>
      <c r="F301" s="7" t="s">
        <v>20</v>
      </c>
      <c r="G301" s="7" t="s">
        <v>14</v>
      </c>
      <c r="H301" s="8">
        <v>1</v>
      </c>
      <c r="I301" s="9">
        <v>32000</v>
      </c>
      <c r="J301" s="9">
        <f t="shared" si="36"/>
        <v>32000</v>
      </c>
      <c r="K301" s="6" t="s">
        <v>15</v>
      </c>
      <c r="L301" s="21" t="str">
        <f>+VLOOKUP(E301,mã!$B$2:$F$229,2,0)</f>
        <v>NL300038</v>
      </c>
      <c r="M301" s="22">
        <v>0</v>
      </c>
      <c r="N301" s="23">
        <f>+VLOOKUP(L301,mã!$C$2:$F$229,4,0)</f>
        <v>32000</v>
      </c>
      <c r="O301" s="23">
        <f t="shared" si="37"/>
        <v>0</v>
      </c>
      <c r="P301" s="23">
        <f t="shared" si="38"/>
        <v>32000</v>
      </c>
      <c r="Q301" s="21" t="str">
        <f t="shared" si="39"/>
        <v>SAI SL NHẬN</v>
      </c>
      <c r="R301" s="14">
        <v>0</v>
      </c>
      <c r="S301" s="24">
        <f t="shared" si="40"/>
        <v>0</v>
      </c>
      <c r="T301" t="str">
        <f t="shared" si="41"/>
        <v>12/01/2026NL300038</v>
      </c>
      <c r="U301" s="15">
        <f t="shared" si="42"/>
        <v>1</v>
      </c>
      <c r="V301" s="25">
        <f t="shared" si="43"/>
        <v>0</v>
      </c>
    </row>
    <row r="302" spans="1:22" ht="28.5" x14ac:dyDescent="0.25">
      <c r="A302" s="4" t="s">
        <v>192</v>
      </c>
      <c r="B302" s="5" t="s">
        <v>123</v>
      </c>
      <c r="C302" s="4" t="s">
        <v>124</v>
      </c>
      <c r="D302" s="5" t="s">
        <v>223</v>
      </c>
      <c r="E302" s="7" t="s">
        <v>89</v>
      </c>
      <c r="F302" s="7" t="s">
        <v>88</v>
      </c>
      <c r="G302" s="7" t="s">
        <v>87</v>
      </c>
      <c r="H302" s="8">
        <v>3</v>
      </c>
      <c r="I302" s="9">
        <v>15000</v>
      </c>
      <c r="J302" s="9">
        <f t="shared" si="36"/>
        <v>45000</v>
      </c>
      <c r="K302" s="6" t="s">
        <v>15</v>
      </c>
      <c r="L302" s="21" t="str">
        <f>+VLOOKUP(E302,mã!$B$2:$F$229,2,0)</f>
        <v>NL300041</v>
      </c>
      <c r="M302" s="22">
        <f>+VLOOKUP(T302,Sheet2!$B$2:$P$372,10,0)</f>
        <v>3</v>
      </c>
      <c r="N302" s="23">
        <f>+VLOOKUP(L302,mã!$C$2:$F$229,4,0)</f>
        <v>15000</v>
      </c>
      <c r="O302" s="23">
        <f t="shared" si="37"/>
        <v>45000</v>
      </c>
      <c r="P302" s="23">
        <f t="shared" si="38"/>
        <v>0</v>
      </c>
      <c r="Q302" s="21" t="str">
        <f t="shared" si="39"/>
        <v xml:space="preserve"> </v>
      </c>
      <c r="R302" s="14">
        <f>+VLOOKUP(T302,Sheet2!$B$2:$P$372,13,0)</f>
        <v>45000</v>
      </c>
      <c r="S302" s="24">
        <f t="shared" si="40"/>
        <v>0</v>
      </c>
      <c r="T302" t="str">
        <f t="shared" si="41"/>
        <v>12/01/2026NL300041</v>
      </c>
      <c r="U302" s="15">
        <f t="shared" si="42"/>
        <v>0</v>
      </c>
      <c r="V302" s="25">
        <f t="shared" si="43"/>
        <v>0</v>
      </c>
    </row>
    <row r="303" spans="1:22" x14ac:dyDescent="0.25">
      <c r="A303" s="4" t="s">
        <v>192</v>
      </c>
      <c r="B303" s="5" t="s">
        <v>123</v>
      </c>
      <c r="C303" s="4" t="s">
        <v>124</v>
      </c>
      <c r="D303" s="5" t="s">
        <v>223</v>
      </c>
      <c r="E303" s="7" t="s">
        <v>51</v>
      </c>
      <c r="F303" s="7" t="s">
        <v>52</v>
      </c>
      <c r="G303" s="7" t="s">
        <v>14</v>
      </c>
      <c r="H303" s="8">
        <v>11</v>
      </c>
      <c r="I303" s="9">
        <v>18000</v>
      </c>
      <c r="J303" s="9">
        <f t="shared" si="36"/>
        <v>198000</v>
      </c>
      <c r="K303" s="6" t="s">
        <v>15</v>
      </c>
      <c r="L303" s="21" t="str">
        <f>+VLOOKUP(E303,mã!$B$2:$F$229,2,0)</f>
        <v>NL600004</v>
      </c>
      <c r="M303" s="22">
        <f>+VLOOKUP(T303,Sheet2!$B$2:$P$372,10,0)</f>
        <v>11</v>
      </c>
      <c r="N303" s="23">
        <f>+VLOOKUP(L303,mã!$C$2:$F$229,4,0)</f>
        <v>18000</v>
      </c>
      <c r="O303" s="23">
        <f t="shared" si="37"/>
        <v>198000</v>
      </c>
      <c r="P303" s="23">
        <f t="shared" si="38"/>
        <v>0</v>
      </c>
      <c r="Q303" s="21" t="str">
        <f t="shared" si="39"/>
        <v xml:space="preserve"> </v>
      </c>
      <c r="R303" s="14">
        <f>+VLOOKUP(T303,Sheet2!$B$2:$P$372,13,0)</f>
        <v>198000</v>
      </c>
      <c r="S303" s="24">
        <f t="shared" si="40"/>
        <v>0</v>
      </c>
      <c r="T303" t="str">
        <f t="shared" si="41"/>
        <v>12/01/2026NL600004</v>
      </c>
      <c r="U303" s="15">
        <f t="shared" si="42"/>
        <v>0</v>
      </c>
      <c r="V303" s="25">
        <f t="shared" si="43"/>
        <v>0</v>
      </c>
    </row>
    <row r="304" spans="1:22" x14ac:dyDescent="0.25">
      <c r="A304" s="4" t="s">
        <v>192</v>
      </c>
      <c r="B304" s="5" t="s">
        <v>123</v>
      </c>
      <c r="C304" s="4" t="s">
        <v>124</v>
      </c>
      <c r="D304" s="5" t="s">
        <v>223</v>
      </c>
      <c r="E304" s="7" t="s">
        <v>129</v>
      </c>
      <c r="F304" s="7" t="s">
        <v>130</v>
      </c>
      <c r="G304" s="7" t="s">
        <v>14</v>
      </c>
      <c r="H304" s="8">
        <v>2.1</v>
      </c>
      <c r="I304" s="9">
        <v>18000</v>
      </c>
      <c r="J304" s="9">
        <f t="shared" si="36"/>
        <v>37800</v>
      </c>
      <c r="K304" s="6" t="s">
        <v>15</v>
      </c>
      <c r="L304" s="21" t="str">
        <f>+VLOOKUP(E304,mã!$B$2:$F$229,2,0)</f>
        <v>NL300048</v>
      </c>
      <c r="M304" s="22">
        <f>+VLOOKUP(T304,Sheet2!$B$2:$P$372,10,0)</f>
        <v>1.7</v>
      </c>
      <c r="N304" s="23">
        <f>+VLOOKUP(L304,mã!$C$2:$F$229,4,0)</f>
        <v>18000</v>
      </c>
      <c r="O304" s="23">
        <f t="shared" si="37"/>
        <v>30600</v>
      </c>
      <c r="P304" s="23">
        <f t="shared" si="38"/>
        <v>7200</v>
      </c>
      <c r="Q304" s="21" t="str">
        <f t="shared" si="39"/>
        <v>SAI SL NHẬN</v>
      </c>
      <c r="R304" s="14">
        <f>+VLOOKUP(T304,Sheet2!$B$2:$P$372,13,0)</f>
        <v>30600</v>
      </c>
      <c r="S304" s="24">
        <f t="shared" si="40"/>
        <v>0</v>
      </c>
      <c r="T304" t="str">
        <f t="shared" si="41"/>
        <v>12/01/2026NL300048</v>
      </c>
      <c r="U304" s="15">
        <f t="shared" si="42"/>
        <v>0.40000000000000013</v>
      </c>
      <c r="V304" s="25">
        <f t="shared" si="43"/>
        <v>0</v>
      </c>
    </row>
    <row r="305" spans="1:22" x14ac:dyDescent="0.25">
      <c r="A305" s="4" t="s">
        <v>192</v>
      </c>
      <c r="B305" s="5" t="s">
        <v>123</v>
      </c>
      <c r="C305" s="4" t="s">
        <v>124</v>
      </c>
      <c r="D305" s="5" t="s">
        <v>223</v>
      </c>
      <c r="E305" s="7" t="s">
        <v>137</v>
      </c>
      <c r="F305" s="7" t="s">
        <v>138</v>
      </c>
      <c r="G305" s="7" t="s">
        <v>14</v>
      </c>
      <c r="H305" s="8">
        <v>0.3</v>
      </c>
      <c r="I305" s="9">
        <v>9000</v>
      </c>
      <c r="J305" s="9">
        <f t="shared" si="36"/>
        <v>2700</v>
      </c>
      <c r="K305" s="6" t="s">
        <v>15</v>
      </c>
      <c r="L305" s="21" t="str">
        <f>+VLOOKUP(E305,mã!$B$2:$F$229,2,0)</f>
        <v>NL300050</v>
      </c>
      <c r="M305" s="22">
        <f>+VLOOKUP(T305,Sheet2!$B$2:$P$372,10,0)</f>
        <v>0.3</v>
      </c>
      <c r="N305" s="23">
        <f>+VLOOKUP(L305,mã!$C$2:$F$229,4,0)</f>
        <v>9000</v>
      </c>
      <c r="O305" s="23">
        <f t="shared" si="37"/>
        <v>2700</v>
      </c>
      <c r="P305" s="23">
        <f t="shared" si="38"/>
        <v>0</v>
      </c>
      <c r="Q305" s="21" t="str">
        <f t="shared" si="39"/>
        <v xml:space="preserve"> </v>
      </c>
      <c r="R305" s="14">
        <f>+VLOOKUP(T305,Sheet2!$B$2:$P$372,13,0)</f>
        <v>2700</v>
      </c>
      <c r="S305" s="24">
        <f t="shared" si="40"/>
        <v>0</v>
      </c>
      <c r="T305" t="str">
        <f t="shared" si="41"/>
        <v>12/01/2026NL300050</v>
      </c>
      <c r="U305" s="15">
        <f t="shared" si="42"/>
        <v>0</v>
      </c>
      <c r="V305" s="25">
        <f t="shared" si="43"/>
        <v>0</v>
      </c>
    </row>
    <row r="306" spans="1:22" x14ac:dyDescent="0.25">
      <c r="A306" s="4" t="s">
        <v>192</v>
      </c>
      <c r="B306" s="5" t="s">
        <v>123</v>
      </c>
      <c r="C306" s="4" t="s">
        <v>124</v>
      </c>
      <c r="D306" s="5" t="s">
        <v>223</v>
      </c>
      <c r="E306" s="7" t="s">
        <v>86</v>
      </c>
      <c r="F306" s="7" t="s">
        <v>85</v>
      </c>
      <c r="G306" s="7" t="s">
        <v>14</v>
      </c>
      <c r="H306" s="8">
        <v>0.4</v>
      </c>
      <c r="I306" s="9">
        <v>38000</v>
      </c>
      <c r="J306" s="9">
        <f t="shared" si="36"/>
        <v>15200</v>
      </c>
      <c r="K306" s="6" t="s">
        <v>15</v>
      </c>
      <c r="L306" s="21" t="str">
        <f>+VLOOKUP(E306,mã!$B$2:$F$229,2,0)</f>
        <v>NL300061</v>
      </c>
      <c r="M306" s="22">
        <f>+VLOOKUP(T306,Sheet2!$B$2:$P$372,10,0)</f>
        <v>0.3</v>
      </c>
      <c r="N306" s="23">
        <f>+VLOOKUP(L306,mã!$C$2:$F$229,4,0)</f>
        <v>38000</v>
      </c>
      <c r="O306" s="23">
        <f t="shared" si="37"/>
        <v>11400</v>
      </c>
      <c r="P306" s="23">
        <f t="shared" si="38"/>
        <v>3800</v>
      </c>
      <c r="Q306" s="21" t="str">
        <f t="shared" si="39"/>
        <v>SAI SL NHẬN</v>
      </c>
      <c r="R306" s="14">
        <f>+VLOOKUP(T306,Sheet2!$B$2:$P$372,13,0)</f>
        <v>11400</v>
      </c>
      <c r="S306" s="24">
        <f t="shared" si="40"/>
        <v>0</v>
      </c>
      <c r="T306" t="str">
        <f t="shared" si="41"/>
        <v>12/01/2026NL300061</v>
      </c>
      <c r="U306" s="15">
        <f t="shared" si="42"/>
        <v>0.10000000000000003</v>
      </c>
      <c r="V306" s="25">
        <f t="shared" si="43"/>
        <v>0</v>
      </c>
    </row>
    <row r="307" spans="1:22" x14ac:dyDescent="0.25">
      <c r="A307" s="4" t="s">
        <v>192</v>
      </c>
      <c r="B307" s="5" t="s">
        <v>123</v>
      </c>
      <c r="C307" s="4" t="s">
        <v>124</v>
      </c>
      <c r="D307" s="5" t="s">
        <v>223</v>
      </c>
      <c r="E307" s="7" t="s">
        <v>23</v>
      </c>
      <c r="F307" s="7" t="s">
        <v>24</v>
      </c>
      <c r="G307" s="7" t="s">
        <v>14</v>
      </c>
      <c r="H307" s="8">
        <v>1.1000000000000001</v>
      </c>
      <c r="I307" s="9">
        <v>13000</v>
      </c>
      <c r="J307" s="9">
        <f t="shared" si="36"/>
        <v>14300.000000000002</v>
      </c>
      <c r="K307" s="6"/>
      <c r="L307" s="21" t="str">
        <f>+VLOOKUP(E307,mã!$B$2:$F$229,2,0)</f>
        <v>NL300059</v>
      </c>
      <c r="M307" s="22">
        <f>+VLOOKUP(T307,Sheet2!$B$2:$P$372,10,0)</f>
        <v>0.9</v>
      </c>
      <c r="N307" s="23">
        <f>+VLOOKUP(L307,mã!$C$2:$F$229,4,0)</f>
        <v>13000</v>
      </c>
      <c r="O307" s="23">
        <f t="shared" si="37"/>
        <v>11700</v>
      </c>
      <c r="P307" s="23">
        <f t="shared" si="38"/>
        <v>2600.0000000000018</v>
      </c>
      <c r="Q307" s="21" t="str">
        <f t="shared" si="39"/>
        <v>SAI SL NHẬN</v>
      </c>
      <c r="R307" s="14">
        <f>+VLOOKUP(T307,Sheet2!$B$2:$P$372,13,0)</f>
        <v>11700</v>
      </c>
      <c r="S307" s="24">
        <f t="shared" si="40"/>
        <v>0</v>
      </c>
      <c r="T307" t="str">
        <f t="shared" si="41"/>
        <v>12/01/2026NL300059</v>
      </c>
      <c r="U307" s="15">
        <f t="shared" si="42"/>
        <v>0.20000000000000007</v>
      </c>
      <c r="V307" s="25">
        <f t="shared" si="43"/>
        <v>0</v>
      </c>
    </row>
    <row r="308" spans="1:22" x14ac:dyDescent="0.25">
      <c r="A308" s="4" t="s">
        <v>192</v>
      </c>
      <c r="B308" s="5" t="s">
        <v>123</v>
      </c>
      <c r="C308" s="4" t="s">
        <v>124</v>
      </c>
      <c r="D308" s="5" t="s">
        <v>223</v>
      </c>
      <c r="E308" s="7" t="s">
        <v>84</v>
      </c>
      <c r="F308" s="7" t="s">
        <v>83</v>
      </c>
      <c r="G308" s="7" t="s">
        <v>14</v>
      </c>
      <c r="H308" s="8">
        <v>2</v>
      </c>
      <c r="I308" s="9">
        <v>23000</v>
      </c>
      <c r="J308" s="9">
        <f t="shared" si="36"/>
        <v>46000</v>
      </c>
      <c r="K308" s="6"/>
      <c r="L308" s="21" t="str">
        <f>+VLOOKUP(E308,mã!$B$2:$F$229,2,0)</f>
        <v>NL300070</v>
      </c>
      <c r="M308" s="22">
        <f>+VLOOKUP(T308,Sheet2!$B$2:$P$372,10,0)</f>
        <v>1.8</v>
      </c>
      <c r="N308" s="23">
        <f>+VLOOKUP(L308,mã!$C$2:$F$229,4,0)</f>
        <v>23000</v>
      </c>
      <c r="O308" s="23">
        <f t="shared" si="37"/>
        <v>41400</v>
      </c>
      <c r="P308" s="23">
        <f t="shared" si="38"/>
        <v>4600</v>
      </c>
      <c r="Q308" s="21" t="str">
        <f t="shared" si="39"/>
        <v>SAI SL NHẬN</v>
      </c>
      <c r="R308" s="14">
        <f>+VLOOKUP(T308,Sheet2!$B$2:$P$372,13,0)</f>
        <v>41400</v>
      </c>
      <c r="S308" s="24">
        <f t="shared" si="40"/>
        <v>0</v>
      </c>
      <c r="T308" t="str">
        <f t="shared" si="41"/>
        <v>12/01/2026NL300070</v>
      </c>
      <c r="U308" s="15">
        <f t="shared" si="42"/>
        <v>0.19999999999999996</v>
      </c>
      <c r="V308" s="25">
        <f t="shared" si="43"/>
        <v>0</v>
      </c>
    </row>
    <row r="309" spans="1:22" x14ac:dyDescent="0.25">
      <c r="A309" s="4" t="s">
        <v>192</v>
      </c>
      <c r="B309" s="5" t="s">
        <v>123</v>
      </c>
      <c r="C309" s="4" t="s">
        <v>124</v>
      </c>
      <c r="D309" s="5" t="s">
        <v>223</v>
      </c>
      <c r="E309" s="7" t="s">
        <v>152</v>
      </c>
      <c r="F309" s="7" t="s">
        <v>153</v>
      </c>
      <c r="G309" s="7" t="s">
        <v>14</v>
      </c>
      <c r="H309" s="8">
        <v>1</v>
      </c>
      <c r="I309" s="9">
        <v>20000</v>
      </c>
      <c r="J309" s="9">
        <f t="shared" si="36"/>
        <v>20000</v>
      </c>
      <c r="K309" s="6"/>
      <c r="L309" s="21" t="str">
        <f>+VLOOKUP(E309,mã!$B$2:$F$229,2,0)</f>
        <v>NL300071</v>
      </c>
      <c r="M309" s="22">
        <f>+VLOOKUP(T309,Sheet2!$B$2:$P$372,10,0)</f>
        <v>0.8</v>
      </c>
      <c r="N309" s="23">
        <f>+VLOOKUP(L309,mã!$C$2:$F$229,4,0)</f>
        <v>20000</v>
      </c>
      <c r="O309" s="23">
        <f t="shared" si="37"/>
        <v>16000</v>
      </c>
      <c r="P309" s="23">
        <f t="shared" si="38"/>
        <v>4000</v>
      </c>
      <c r="Q309" s="21" t="str">
        <f t="shared" si="39"/>
        <v>SAI SL NHẬN</v>
      </c>
      <c r="R309" s="14">
        <f>+VLOOKUP(T309,Sheet2!$B$2:$P$372,13,0)</f>
        <v>16000</v>
      </c>
      <c r="S309" s="24">
        <f t="shared" si="40"/>
        <v>0</v>
      </c>
      <c r="T309" t="str">
        <f t="shared" si="41"/>
        <v>12/01/2026NL300071</v>
      </c>
      <c r="U309" s="15">
        <f t="shared" si="42"/>
        <v>0.19999999999999996</v>
      </c>
      <c r="V309" s="25">
        <f t="shared" si="43"/>
        <v>0</v>
      </c>
    </row>
    <row r="310" spans="1:22" x14ac:dyDescent="0.25">
      <c r="A310" s="4" t="s">
        <v>192</v>
      </c>
      <c r="B310" s="5" t="s">
        <v>123</v>
      </c>
      <c r="C310" s="4" t="s">
        <v>124</v>
      </c>
      <c r="D310" s="5" t="s">
        <v>223</v>
      </c>
      <c r="E310" s="7" t="s">
        <v>141</v>
      </c>
      <c r="F310" s="7" t="s">
        <v>142</v>
      </c>
      <c r="G310" s="7" t="s">
        <v>14</v>
      </c>
      <c r="H310" s="8">
        <v>1</v>
      </c>
      <c r="I310" s="9">
        <v>95000</v>
      </c>
      <c r="J310" s="9">
        <f t="shared" si="36"/>
        <v>95000</v>
      </c>
      <c r="K310" s="6"/>
      <c r="L310" s="21" t="str">
        <f>+VLOOKUP(E310,mã!$B$2:$F$229,2,0)</f>
        <v>NL300080</v>
      </c>
      <c r="M310" s="22">
        <v>0</v>
      </c>
      <c r="N310" s="23">
        <f>+VLOOKUP(L310,mã!$C$2:$F$229,4,0)</f>
        <v>95000</v>
      </c>
      <c r="O310" s="23">
        <f t="shared" si="37"/>
        <v>0</v>
      </c>
      <c r="P310" s="23">
        <f t="shared" si="38"/>
        <v>95000</v>
      </c>
      <c r="Q310" s="21" t="str">
        <f t="shared" si="39"/>
        <v>SAI SL NHẬN</v>
      </c>
      <c r="R310" s="14">
        <v>0</v>
      </c>
      <c r="S310" s="24">
        <f t="shared" si="40"/>
        <v>0</v>
      </c>
      <c r="T310" t="str">
        <f t="shared" si="41"/>
        <v>12/01/2026NL300080</v>
      </c>
      <c r="U310" s="15">
        <f t="shared" si="42"/>
        <v>1</v>
      </c>
      <c r="V310" s="25">
        <f t="shared" si="43"/>
        <v>0</v>
      </c>
    </row>
    <row r="311" spans="1:22" x14ac:dyDescent="0.25">
      <c r="A311" s="4" t="s">
        <v>192</v>
      </c>
      <c r="B311" s="5" t="s">
        <v>123</v>
      </c>
      <c r="C311" s="4" t="s">
        <v>124</v>
      </c>
      <c r="D311" s="5" t="s">
        <v>223</v>
      </c>
      <c r="E311" s="7" t="s">
        <v>39</v>
      </c>
      <c r="F311" s="7" t="s">
        <v>40</v>
      </c>
      <c r="G311" s="7" t="s">
        <v>14</v>
      </c>
      <c r="H311" s="8">
        <v>1</v>
      </c>
      <c r="I311" s="9">
        <v>145000</v>
      </c>
      <c r="J311" s="9">
        <f t="shared" si="36"/>
        <v>145000</v>
      </c>
      <c r="K311" s="6"/>
      <c r="L311" s="21" t="str">
        <f>+VLOOKUP(E311,mã!$B$2:$F$229,2,0)</f>
        <v>NL300090</v>
      </c>
      <c r="M311" s="22">
        <f>+VLOOKUP(T311,Sheet2!$B$2:$P$372,10,0)</f>
        <v>1</v>
      </c>
      <c r="N311" s="23">
        <f>+VLOOKUP(L311,mã!$C$2:$F$229,4,0)</f>
        <v>145000</v>
      </c>
      <c r="O311" s="23">
        <f t="shared" si="37"/>
        <v>145000</v>
      </c>
      <c r="P311" s="23">
        <f t="shared" si="38"/>
        <v>0</v>
      </c>
      <c r="Q311" s="21" t="str">
        <f t="shared" si="39"/>
        <v xml:space="preserve"> </v>
      </c>
      <c r="R311" s="14">
        <f>+VLOOKUP(T311,Sheet2!$B$2:$P$372,13,0)</f>
        <v>145000</v>
      </c>
      <c r="S311" s="24">
        <f t="shared" si="40"/>
        <v>0</v>
      </c>
      <c r="T311" t="str">
        <f t="shared" si="41"/>
        <v>12/01/2026NL300090</v>
      </c>
      <c r="U311" s="15">
        <f t="shared" si="42"/>
        <v>0</v>
      </c>
      <c r="V311" s="25">
        <f t="shared" si="43"/>
        <v>0</v>
      </c>
    </row>
    <row r="312" spans="1:22" x14ac:dyDescent="0.25">
      <c r="A312" s="4" t="s">
        <v>192</v>
      </c>
      <c r="B312" s="5" t="s">
        <v>123</v>
      </c>
      <c r="C312" s="4" t="s">
        <v>124</v>
      </c>
      <c r="D312" s="5" t="s">
        <v>223</v>
      </c>
      <c r="E312" s="7" t="s">
        <v>53</v>
      </c>
      <c r="F312" s="7" t="s">
        <v>54</v>
      </c>
      <c r="G312" s="7" t="s">
        <v>14</v>
      </c>
      <c r="H312" s="8">
        <v>1</v>
      </c>
      <c r="I312" s="9">
        <v>47000</v>
      </c>
      <c r="J312" s="9">
        <f t="shared" si="36"/>
        <v>47000</v>
      </c>
      <c r="K312" s="6"/>
      <c r="L312" s="21" t="str">
        <f>+VLOOKUP(E312,mã!$B$2:$F$229,2,0)</f>
        <v>NL300091</v>
      </c>
      <c r="M312" s="22">
        <f>+VLOOKUP(T312,Sheet2!$B$2:$P$372,10,0)</f>
        <v>1</v>
      </c>
      <c r="N312" s="23">
        <f>+VLOOKUP(L312,mã!$C$2:$F$229,4,0)</f>
        <v>47000</v>
      </c>
      <c r="O312" s="23">
        <f t="shared" si="37"/>
        <v>47000</v>
      </c>
      <c r="P312" s="23">
        <f t="shared" si="38"/>
        <v>0</v>
      </c>
      <c r="Q312" s="21" t="str">
        <f t="shared" si="39"/>
        <v xml:space="preserve"> </v>
      </c>
      <c r="R312" s="14">
        <f>+VLOOKUP(T312,Sheet2!$B$2:$P$372,13,0)</f>
        <v>47000</v>
      </c>
      <c r="S312" s="24">
        <f t="shared" si="40"/>
        <v>0</v>
      </c>
      <c r="T312" t="str">
        <f t="shared" si="41"/>
        <v>12/01/2026NL300091</v>
      </c>
      <c r="U312" s="15">
        <f t="shared" si="42"/>
        <v>0</v>
      </c>
      <c r="V312" s="25">
        <f t="shared" si="43"/>
        <v>0</v>
      </c>
    </row>
    <row r="313" spans="1:22" x14ac:dyDescent="0.25">
      <c r="A313" s="4" t="s">
        <v>192</v>
      </c>
      <c r="B313" s="5" t="s">
        <v>123</v>
      </c>
      <c r="C313" s="4" t="s">
        <v>124</v>
      </c>
      <c r="D313" s="5" t="s">
        <v>223</v>
      </c>
      <c r="E313" s="7" t="s">
        <v>29</v>
      </c>
      <c r="F313" s="7" t="s">
        <v>30</v>
      </c>
      <c r="G313" s="7" t="s">
        <v>14</v>
      </c>
      <c r="H313" s="8">
        <v>0.5</v>
      </c>
      <c r="I313" s="9">
        <v>45000</v>
      </c>
      <c r="J313" s="9">
        <f t="shared" si="36"/>
        <v>22500</v>
      </c>
      <c r="K313" s="6"/>
      <c r="L313" s="21" t="str">
        <f>+VLOOKUP(E313,mã!$B$2:$F$229,2,0)</f>
        <v>NL300096</v>
      </c>
      <c r="M313" s="22">
        <f>+VLOOKUP(T313,Sheet2!$B$2:$P$372,10,0)</f>
        <v>0.5</v>
      </c>
      <c r="N313" s="23">
        <f>+VLOOKUP(L313,mã!$C$2:$F$229,4,0)</f>
        <v>45000</v>
      </c>
      <c r="O313" s="23">
        <f t="shared" si="37"/>
        <v>22500</v>
      </c>
      <c r="P313" s="23">
        <f t="shared" si="38"/>
        <v>0</v>
      </c>
      <c r="Q313" s="21" t="str">
        <f t="shared" si="39"/>
        <v xml:space="preserve"> </v>
      </c>
      <c r="R313" s="14">
        <f>+VLOOKUP(T313,Sheet2!$B$2:$P$372,13,0)</f>
        <v>22500</v>
      </c>
      <c r="S313" s="24">
        <f t="shared" si="40"/>
        <v>0</v>
      </c>
      <c r="T313" t="str">
        <f t="shared" si="41"/>
        <v>12/01/2026NL300096</v>
      </c>
      <c r="U313" s="15">
        <f t="shared" si="42"/>
        <v>0</v>
      </c>
      <c r="V313" s="25">
        <f t="shared" si="43"/>
        <v>0</v>
      </c>
    </row>
    <row r="314" spans="1:22" x14ac:dyDescent="0.25">
      <c r="A314" s="4" t="s">
        <v>192</v>
      </c>
      <c r="B314" s="5" t="s">
        <v>123</v>
      </c>
      <c r="C314" s="4" t="s">
        <v>124</v>
      </c>
      <c r="D314" s="5" t="s">
        <v>223</v>
      </c>
      <c r="E314" s="7" t="s">
        <v>41</v>
      </c>
      <c r="F314" s="7" t="s">
        <v>42</v>
      </c>
      <c r="G314" s="7" t="s">
        <v>14</v>
      </c>
      <c r="H314" s="8">
        <v>0.4</v>
      </c>
      <c r="I314" s="9">
        <v>145000</v>
      </c>
      <c r="J314" s="9">
        <f t="shared" si="36"/>
        <v>58000</v>
      </c>
      <c r="K314" s="6"/>
      <c r="L314" s="21" t="str">
        <f>+VLOOKUP(E314,mã!$B$2:$F$229,2,0)</f>
        <v>NL300113</v>
      </c>
      <c r="M314" s="22">
        <f>+VLOOKUP(T314,Sheet2!$B$2:$P$372,10,0)</f>
        <v>0.3</v>
      </c>
      <c r="N314" s="23">
        <f>+VLOOKUP(L314,mã!$C$2:$F$229,4,0)</f>
        <v>145000</v>
      </c>
      <c r="O314" s="23">
        <f t="shared" si="37"/>
        <v>43500</v>
      </c>
      <c r="P314" s="23">
        <f t="shared" si="38"/>
        <v>14500</v>
      </c>
      <c r="Q314" s="21" t="str">
        <f t="shared" si="39"/>
        <v>SAI SL NHẬN</v>
      </c>
      <c r="R314" s="14">
        <f>+VLOOKUP(T314,Sheet2!$B$2:$P$372,13,0)</f>
        <v>43500</v>
      </c>
      <c r="S314" s="24">
        <f t="shared" si="40"/>
        <v>0</v>
      </c>
      <c r="T314" t="str">
        <f t="shared" si="41"/>
        <v>12/01/2026NL300113</v>
      </c>
      <c r="U314" s="15">
        <f t="shared" si="42"/>
        <v>0.10000000000000003</v>
      </c>
      <c r="V314" s="25">
        <f t="shared" si="43"/>
        <v>0</v>
      </c>
    </row>
    <row r="315" spans="1:22" x14ac:dyDescent="0.25">
      <c r="A315" s="4" t="s">
        <v>192</v>
      </c>
      <c r="B315" s="5" t="s">
        <v>123</v>
      </c>
      <c r="C315" s="4" t="s">
        <v>124</v>
      </c>
      <c r="D315" s="5" t="s">
        <v>223</v>
      </c>
      <c r="E315" s="7" t="s">
        <v>47</v>
      </c>
      <c r="F315" s="7" t="s">
        <v>48</v>
      </c>
      <c r="G315" s="7" t="s">
        <v>14</v>
      </c>
      <c r="H315" s="8">
        <v>0.5</v>
      </c>
      <c r="I315" s="9">
        <v>21000</v>
      </c>
      <c r="J315" s="9">
        <f t="shared" si="36"/>
        <v>10500</v>
      </c>
      <c r="K315" s="6"/>
      <c r="L315" s="21" t="str">
        <f>+VLOOKUP(E315,mã!$B$2:$F$229,2,0)</f>
        <v>NL300119</v>
      </c>
      <c r="M315" s="22">
        <f>+VLOOKUP(T315,Sheet2!$B$2:$P$372,10,0)</f>
        <v>0.4</v>
      </c>
      <c r="N315" s="23">
        <f>+VLOOKUP(L315,mã!$C$2:$F$229,4,0)</f>
        <v>21000</v>
      </c>
      <c r="O315" s="23">
        <f t="shared" si="37"/>
        <v>8400</v>
      </c>
      <c r="P315" s="23">
        <f t="shared" si="38"/>
        <v>2100</v>
      </c>
      <c r="Q315" s="21" t="str">
        <f t="shared" si="39"/>
        <v>SAI SL NHẬN</v>
      </c>
      <c r="R315" s="14">
        <f>+VLOOKUP(T315,Sheet2!$B$2:$P$372,13,0)</f>
        <v>8400</v>
      </c>
      <c r="S315" s="24">
        <f t="shared" si="40"/>
        <v>0</v>
      </c>
      <c r="T315" t="str">
        <f t="shared" si="41"/>
        <v>12/01/2026NL300119</v>
      </c>
      <c r="U315" s="15">
        <f t="shared" si="42"/>
        <v>9.9999999999999978E-2</v>
      </c>
      <c r="V315" s="25">
        <f t="shared" si="43"/>
        <v>0</v>
      </c>
    </row>
    <row r="316" spans="1:22" x14ac:dyDescent="0.25">
      <c r="A316" s="4" t="s">
        <v>192</v>
      </c>
      <c r="B316" s="5" t="s">
        <v>123</v>
      </c>
      <c r="C316" s="4" t="s">
        <v>124</v>
      </c>
      <c r="D316" s="5" t="s">
        <v>223</v>
      </c>
      <c r="E316" s="7" t="s">
        <v>145</v>
      </c>
      <c r="F316" s="7" t="s">
        <v>146</v>
      </c>
      <c r="G316" s="7" t="s">
        <v>14</v>
      </c>
      <c r="H316" s="8">
        <v>5</v>
      </c>
      <c r="I316" s="9">
        <v>38000</v>
      </c>
      <c r="J316" s="9">
        <f t="shared" si="36"/>
        <v>190000</v>
      </c>
      <c r="K316" s="6"/>
      <c r="L316" s="21" t="str">
        <f>+VLOOKUP(E316,mã!$B$2:$F$229,2,0)</f>
        <v>NL300145</v>
      </c>
      <c r="M316" s="22">
        <f>+VLOOKUP(T316,Sheet2!$B$2:$P$372,10,0)</f>
        <v>3</v>
      </c>
      <c r="N316" s="23">
        <f>+VLOOKUP(L316,mã!$C$2:$F$229,4,0)</f>
        <v>38000</v>
      </c>
      <c r="O316" s="23">
        <f t="shared" si="37"/>
        <v>114000</v>
      </c>
      <c r="P316" s="23">
        <f t="shared" si="38"/>
        <v>76000</v>
      </c>
      <c r="Q316" s="21" t="str">
        <f t="shared" si="39"/>
        <v>SAI SL NHẬN</v>
      </c>
      <c r="R316" s="14">
        <f>+VLOOKUP(T316,Sheet2!$B$2:$P$372,13,0)</f>
        <v>114000</v>
      </c>
      <c r="S316" s="24">
        <f t="shared" si="40"/>
        <v>0</v>
      </c>
      <c r="T316" t="str">
        <f t="shared" si="41"/>
        <v>12/01/2026NL300145</v>
      </c>
      <c r="U316" s="15">
        <f t="shared" si="42"/>
        <v>2</v>
      </c>
      <c r="V316" s="25">
        <f t="shared" si="43"/>
        <v>0</v>
      </c>
    </row>
    <row r="317" spans="1:22" x14ac:dyDescent="0.25">
      <c r="A317" s="4" t="s">
        <v>195</v>
      </c>
      <c r="B317" s="5" t="s">
        <v>123</v>
      </c>
      <c r="C317" s="4" t="s">
        <v>124</v>
      </c>
      <c r="D317" s="5" t="s">
        <v>224</v>
      </c>
      <c r="E317" s="7" t="s">
        <v>16</v>
      </c>
      <c r="F317" s="7" t="s">
        <v>17</v>
      </c>
      <c r="G317" s="7" t="s">
        <v>18</v>
      </c>
      <c r="H317" s="8">
        <v>10</v>
      </c>
      <c r="I317" s="9">
        <v>8500</v>
      </c>
      <c r="J317" s="9">
        <f t="shared" si="36"/>
        <v>85000</v>
      </c>
      <c r="K317" s="6"/>
      <c r="L317" s="21" t="str">
        <f>+VLOOKUP(E317,mã!$B$2:$F$229,2,0)</f>
        <v>NL300107</v>
      </c>
      <c r="M317" s="22">
        <f>+VLOOKUP(T317,Sheet2!$B$2:$P$372,10,0)</f>
        <v>8</v>
      </c>
      <c r="N317" s="23">
        <f>+VLOOKUP(L317,mã!$C$2:$F$229,4,0)</f>
        <v>8500</v>
      </c>
      <c r="O317" s="23">
        <f t="shared" si="37"/>
        <v>68000</v>
      </c>
      <c r="P317" s="23">
        <f t="shared" si="38"/>
        <v>17000</v>
      </c>
      <c r="Q317" s="21" t="str">
        <f t="shared" si="39"/>
        <v>SAI SL NHẬN</v>
      </c>
      <c r="R317" s="14">
        <f>+VLOOKUP(T317,Sheet2!$B$2:$P$372,13,0)</f>
        <v>68000</v>
      </c>
      <c r="S317" s="24">
        <f t="shared" si="40"/>
        <v>0</v>
      </c>
      <c r="T317" t="str">
        <f t="shared" si="41"/>
        <v>13/01/2026NL300107</v>
      </c>
      <c r="U317" s="15">
        <f t="shared" si="42"/>
        <v>2</v>
      </c>
      <c r="V317" s="25">
        <f t="shared" si="43"/>
        <v>0</v>
      </c>
    </row>
    <row r="318" spans="1:22" x14ac:dyDescent="0.25">
      <c r="A318" s="4" t="s">
        <v>195</v>
      </c>
      <c r="B318" s="5" t="s">
        <v>123</v>
      </c>
      <c r="C318" s="4" t="s">
        <v>124</v>
      </c>
      <c r="D318" s="5" t="s">
        <v>224</v>
      </c>
      <c r="E318" s="7" t="s">
        <v>101</v>
      </c>
      <c r="F318" s="7" t="s">
        <v>100</v>
      </c>
      <c r="G318" s="7" t="s">
        <v>14</v>
      </c>
      <c r="H318" s="8">
        <v>1.1000000000000001</v>
      </c>
      <c r="I318" s="9">
        <v>40000</v>
      </c>
      <c r="J318" s="9">
        <f t="shared" si="36"/>
        <v>44000</v>
      </c>
      <c r="K318" s="6"/>
      <c r="L318" s="21" t="str">
        <f>+VLOOKUP(E318,mã!$B$2:$F$229,2,0)</f>
        <v>NL300008</v>
      </c>
      <c r="M318" s="22">
        <f>+VLOOKUP(T318,Sheet2!$B$2:$P$372,10,0)</f>
        <v>1.1000000000000001</v>
      </c>
      <c r="N318" s="23">
        <f>+VLOOKUP(L318,mã!$C$2:$F$229,4,0)</f>
        <v>40000</v>
      </c>
      <c r="O318" s="23">
        <f t="shared" si="37"/>
        <v>44000</v>
      </c>
      <c r="P318" s="23">
        <f t="shared" si="38"/>
        <v>0</v>
      </c>
      <c r="Q318" s="21" t="str">
        <f t="shared" si="39"/>
        <v xml:space="preserve"> </v>
      </c>
      <c r="R318" s="14">
        <f>+VLOOKUP(T318,Sheet2!$B$2:$P$372,13,0)</f>
        <v>44000</v>
      </c>
      <c r="S318" s="24">
        <f t="shared" si="40"/>
        <v>0</v>
      </c>
      <c r="T318" t="str">
        <f t="shared" si="41"/>
        <v>13/01/2026NL300008</v>
      </c>
      <c r="U318" s="15">
        <f t="shared" si="42"/>
        <v>0</v>
      </c>
      <c r="V318" s="25">
        <f t="shared" si="43"/>
        <v>0</v>
      </c>
    </row>
    <row r="319" spans="1:22" x14ac:dyDescent="0.25">
      <c r="A319" s="4" t="s">
        <v>195</v>
      </c>
      <c r="B319" s="5" t="s">
        <v>123</v>
      </c>
      <c r="C319" s="4" t="s">
        <v>124</v>
      </c>
      <c r="D319" s="5" t="s">
        <v>224</v>
      </c>
      <c r="E319" s="7" t="s">
        <v>131</v>
      </c>
      <c r="F319" s="7" t="s">
        <v>132</v>
      </c>
      <c r="G319" s="7" t="s">
        <v>14</v>
      </c>
      <c r="H319" s="8">
        <v>0.2</v>
      </c>
      <c r="I319" s="9">
        <v>55000</v>
      </c>
      <c r="J319" s="9">
        <f t="shared" si="36"/>
        <v>11000</v>
      </c>
      <c r="K319" s="6"/>
      <c r="L319" s="21" t="str">
        <f>+VLOOKUP(E319,mã!$B$2:$F$229,2,0)</f>
        <v>NL300014</v>
      </c>
      <c r="M319" s="22">
        <f>+VLOOKUP(T319,Sheet2!$B$2:$P$372,10,0)</f>
        <v>0.2</v>
      </c>
      <c r="N319" s="23">
        <f>+VLOOKUP(L319,mã!$C$2:$F$229,4,0)</f>
        <v>55000</v>
      </c>
      <c r="O319" s="23">
        <f t="shared" si="37"/>
        <v>11000</v>
      </c>
      <c r="P319" s="23">
        <f t="shared" si="38"/>
        <v>0</v>
      </c>
      <c r="Q319" s="21" t="str">
        <f t="shared" si="39"/>
        <v xml:space="preserve"> </v>
      </c>
      <c r="R319" s="14">
        <f>+VLOOKUP(T319,Sheet2!$B$2:$P$372,13,0)</f>
        <v>11000</v>
      </c>
      <c r="S319" s="24">
        <f t="shared" si="40"/>
        <v>0</v>
      </c>
      <c r="T319" t="str">
        <f t="shared" si="41"/>
        <v>13/01/2026NL300014</v>
      </c>
      <c r="U319" s="15">
        <f t="shared" si="42"/>
        <v>0</v>
      </c>
      <c r="V319" s="25">
        <f t="shared" si="43"/>
        <v>0</v>
      </c>
    </row>
    <row r="320" spans="1:22" x14ac:dyDescent="0.25">
      <c r="A320" s="4" t="s">
        <v>195</v>
      </c>
      <c r="B320" s="5" t="s">
        <v>123</v>
      </c>
      <c r="C320" s="4" t="s">
        <v>124</v>
      </c>
      <c r="D320" s="5" t="s">
        <v>224</v>
      </c>
      <c r="E320" s="7" t="s">
        <v>125</v>
      </c>
      <c r="F320" s="7" t="s">
        <v>126</v>
      </c>
      <c r="G320" s="7" t="s">
        <v>14</v>
      </c>
      <c r="H320" s="8">
        <v>1</v>
      </c>
      <c r="I320" s="9">
        <v>18000</v>
      </c>
      <c r="J320" s="9">
        <f t="shared" si="36"/>
        <v>18000</v>
      </c>
      <c r="K320" s="6"/>
      <c r="L320" s="21" t="str">
        <f>+VLOOKUP(E320,mã!$B$2:$F$229,2,0)</f>
        <v>NL300027</v>
      </c>
      <c r="M320" s="22">
        <f>+VLOOKUP(T320,Sheet2!$B$2:$P$372,10,0)</f>
        <v>1</v>
      </c>
      <c r="N320" s="23">
        <f>+VLOOKUP(L320,mã!$C$2:$F$229,4,0)</f>
        <v>18000</v>
      </c>
      <c r="O320" s="23">
        <f t="shared" si="37"/>
        <v>18000</v>
      </c>
      <c r="P320" s="23">
        <f t="shared" si="38"/>
        <v>0</v>
      </c>
      <c r="Q320" s="21" t="str">
        <f t="shared" si="39"/>
        <v xml:space="preserve"> </v>
      </c>
      <c r="R320" s="14">
        <f>+VLOOKUP(T320,Sheet2!$B$2:$P$372,13,0)</f>
        <v>18000</v>
      </c>
      <c r="S320" s="24">
        <f t="shared" si="40"/>
        <v>0</v>
      </c>
      <c r="T320" t="str">
        <f t="shared" si="41"/>
        <v>13/01/2026NL300027</v>
      </c>
      <c r="U320" s="15">
        <f t="shared" si="42"/>
        <v>0</v>
      </c>
      <c r="V320" s="25">
        <f t="shared" si="43"/>
        <v>0</v>
      </c>
    </row>
    <row r="321" spans="1:22" x14ac:dyDescent="0.25">
      <c r="A321" s="4" t="s">
        <v>195</v>
      </c>
      <c r="B321" s="5" t="s">
        <v>123</v>
      </c>
      <c r="C321" s="4" t="s">
        <v>124</v>
      </c>
      <c r="D321" s="5" t="s">
        <v>224</v>
      </c>
      <c r="E321" s="7" t="s">
        <v>135</v>
      </c>
      <c r="F321" s="7" t="s">
        <v>136</v>
      </c>
      <c r="G321" s="7" t="s">
        <v>14</v>
      </c>
      <c r="H321" s="8">
        <v>0.2</v>
      </c>
      <c r="I321" s="9">
        <v>40000</v>
      </c>
      <c r="J321" s="9">
        <f t="shared" si="36"/>
        <v>8000</v>
      </c>
      <c r="K321" s="6"/>
      <c r="L321" s="21" t="str">
        <f>+VLOOKUP(E321,mã!$B$2:$F$229,2,0)</f>
        <v>NL300034</v>
      </c>
      <c r="M321" s="22">
        <f>+VLOOKUP(T321,Sheet2!$B$2:$P$372,10,0)</f>
        <v>0.2</v>
      </c>
      <c r="N321" s="23">
        <f>+VLOOKUP(L321,mã!$C$2:$F$229,4,0)</f>
        <v>40000</v>
      </c>
      <c r="O321" s="23">
        <f t="shared" si="37"/>
        <v>8000</v>
      </c>
      <c r="P321" s="23">
        <f t="shared" si="38"/>
        <v>0</v>
      </c>
      <c r="Q321" s="21" t="str">
        <f t="shared" si="39"/>
        <v xml:space="preserve"> </v>
      </c>
      <c r="R321" s="14">
        <f>+VLOOKUP(T321,Sheet2!$B$2:$P$372,13,0)</f>
        <v>8000</v>
      </c>
      <c r="S321" s="24">
        <f t="shared" si="40"/>
        <v>0</v>
      </c>
      <c r="T321" t="str">
        <f t="shared" si="41"/>
        <v>13/01/2026NL300034</v>
      </c>
      <c r="U321" s="15">
        <f t="shared" si="42"/>
        <v>0</v>
      </c>
      <c r="V321" s="25">
        <f t="shared" si="43"/>
        <v>0</v>
      </c>
    </row>
    <row r="322" spans="1:22" x14ac:dyDescent="0.25">
      <c r="A322" s="4" t="s">
        <v>195</v>
      </c>
      <c r="B322" s="5" t="s">
        <v>123</v>
      </c>
      <c r="C322" s="4" t="s">
        <v>124</v>
      </c>
      <c r="D322" s="5" t="s">
        <v>224</v>
      </c>
      <c r="E322" s="7" t="s">
        <v>19</v>
      </c>
      <c r="F322" s="7" t="s">
        <v>20</v>
      </c>
      <c r="G322" s="7" t="s">
        <v>14</v>
      </c>
      <c r="H322" s="8">
        <v>1</v>
      </c>
      <c r="I322" s="9">
        <v>32000</v>
      </c>
      <c r="J322" s="9">
        <f t="shared" si="36"/>
        <v>32000</v>
      </c>
      <c r="K322" s="6"/>
      <c r="L322" s="21" t="str">
        <f>+VLOOKUP(E322,mã!$B$2:$F$229,2,0)</f>
        <v>NL300038</v>
      </c>
      <c r="M322" s="22">
        <f>+VLOOKUP(T322,Sheet2!$B$2:$P$372,10,0)</f>
        <v>1</v>
      </c>
      <c r="N322" s="23">
        <f>+VLOOKUP(L322,mã!$C$2:$F$229,4,0)</f>
        <v>32000</v>
      </c>
      <c r="O322" s="23">
        <f t="shared" si="37"/>
        <v>32000</v>
      </c>
      <c r="P322" s="23">
        <f t="shared" si="38"/>
        <v>0</v>
      </c>
      <c r="Q322" s="21" t="str">
        <f t="shared" si="39"/>
        <v xml:space="preserve"> </v>
      </c>
      <c r="R322" s="14">
        <f>+VLOOKUP(T322,Sheet2!$B$2:$P$372,13,0)</f>
        <v>32000</v>
      </c>
      <c r="S322" s="24">
        <f t="shared" si="40"/>
        <v>0</v>
      </c>
      <c r="T322" t="str">
        <f t="shared" si="41"/>
        <v>13/01/2026NL300038</v>
      </c>
      <c r="U322" s="15">
        <f t="shared" si="42"/>
        <v>0</v>
      </c>
      <c r="V322" s="25">
        <f t="shared" si="43"/>
        <v>0</v>
      </c>
    </row>
    <row r="323" spans="1:22" x14ac:dyDescent="0.25">
      <c r="A323" s="4" t="s">
        <v>195</v>
      </c>
      <c r="B323" s="5" t="s">
        <v>123</v>
      </c>
      <c r="C323" s="4" t="s">
        <v>124</v>
      </c>
      <c r="D323" s="5" t="s">
        <v>224</v>
      </c>
      <c r="E323" s="7" t="s">
        <v>129</v>
      </c>
      <c r="F323" s="7" t="s">
        <v>130</v>
      </c>
      <c r="G323" s="7" t="s">
        <v>14</v>
      </c>
      <c r="H323" s="8">
        <v>1.2</v>
      </c>
      <c r="I323" s="9">
        <v>18000</v>
      </c>
      <c r="J323" s="9">
        <f t="shared" si="36"/>
        <v>21600</v>
      </c>
      <c r="K323" s="6"/>
      <c r="L323" s="21" t="str">
        <f>+VLOOKUP(E323,mã!$B$2:$F$229,2,0)</f>
        <v>NL300048</v>
      </c>
      <c r="M323" s="22">
        <f>+VLOOKUP(T323,Sheet2!$B$2:$P$372,10,0)</f>
        <v>1.2</v>
      </c>
      <c r="N323" s="23">
        <f>+VLOOKUP(L323,mã!$C$2:$F$229,4,0)</f>
        <v>18000</v>
      </c>
      <c r="O323" s="23">
        <f t="shared" si="37"/>
        <v>21600</v>
      </c>
      <c r="P323" s="23">
        <f t="shared" si="38"/>
        <v>0</v>
      </c>
      <c r="Q323" s="21" t="str">
        <f t="shared" si="39"/>
        <v xml:space="preserve"> </v>
      </c>
      <c r="R323" s="14">
        <f>+VLOOKUP(T323,Sheet2!$B$2:$P$372,13,0)</f>
        <v>21600</v>
      </c>
      <c r="S323" s="24">
        <f t="shared" si="40"/>
        <v>0</v>
      </c>
      <c r="T323" t="str">
        <f t="shared" si="41"/>
        <v>13/01/2026NL300048</v>
      </c>
      <c r="U323" s="15">
        <f t="shared" si="42"/>
        <v>0</v>
      </c>
      <c r="V323" s="25">
        <f t="shared" si="43"/>
        <v>0</v>
      </c>
    </row>
    <row r="324" spans="1:22" x14ac:dyDescent="0.25">
      <c r="A324" s="4" t="s">
        <v>195</v>
      </c>
      <c r="B324" s="5" t="s">
        <v>123</v>
      </c>
      <c r="C324" s="4" t="s">
        <v>124</v>
      </c>
      <c r="D324" s="5" t="s">
        <v>224</v>
      </c>
      <c r="E324" s="7" t="s">
        <v>137</v>
      </c>
      <c r="F324" s="7" t="s">
        <v>138</v>
      </c>
      <c r="G324" s="7" t="s">
        <v>14</v>
      </c>
      <c r="H324" s="8">
        <v>0.3</v>
      </c>
      <c r="I324" s="9">
        <v>9000</v>
      </c>
      <c r="J324" s="9">
        <f t="shared" si="36"/>
        <v>2700</v>
      </c>
      <c r="K324" s="6"/>
      <c r="L324" s="21" t="str">
        <f>+VLOOKUP(E324,mã!$B$2:$F$229,2,0)</f>
        <v>NL300050</v>
      </c>
      <c r="M324" s="22">
        <f>+VLOOKUP(T324,Sheet2!$B$2:$P$372,10,0)</f>
        <v>0.3</v>
      </c>
      <c r="N324" s="23">
        <f>+VLOOKUP(L324,mã!$C$2:$F$229,4,0)</f>
        <v>9000</v>
      </c>
      <c r="O324" s="23">
        <f t="shared" si="37"/>
        <v>2700</v>
      </c>
      <c r="P324" s="23">
        <f t="shared" si="38"/>
        <v>0</v>
      </c>
      <c r="Q324" s="21" t="str">
        <f t="shared" si="39"/>
        <v xml:space="preserve"> </v>
      </c>
      <c r="R324" s="14">
        <f>+VLOOKUP(T324,Sheet2!$B$2:$P$372,13,0)</f>
        <v>2700</v>
      </c>
      <c r="S324" s="24">
        <f t="shared" si="40"/>
        <v>0</v>
      </c>
      <c r="T324" t="str">
        <f t="shared" si="41"/>
        <v>13/01/2026NL300050</v>
      </c>
      <c r="U324" s="15">
        <f t="shared" si="42"/>
        <v>0</v>
      </c>
      <c r="V324" s="25">
        <f t="shared" si="43"/>
        <v>0</v>
      </c>
    </row>
    <row r="325" spans="1:22" x14ac:dyDescent="0.25">
      <c r="A325" s="4" t="s">
        <v>195</v>
      </c>
      <c r="B325" s="5" t="s">
        <v>123</v>
      </c>
      <c r="C325" s="4" t="s">
        <v>124</v>
      </c>
      <c r="D325" s="5" t="s">
        <v>224</v>
      </c>
      <c r="E325" s="7" t="s">
        <v>139</v>
      </c>
      <c r="F325" s="7" t="s">
        <v>140</v>
      </c>
      <c r="G325" s="7" t="s">
        <v>14</v>
      </c>
      <c r="H325" s="8">
        <v>0.5</v>
      </c>
      <c r="I325" s="9">
        <v>30000</v>
      </c>
      <c r="J325" s="9">
        <f t="shared" si="36"/>
        <v>15000</v>
      </c>
      <c r="K325" s="6"/>
      <c r="L325" s="21" t="str">
        <f>+VLOOKUP(E325,mã!$B$2:$F$229,2,0)</f>
        <v>NL300053</v>
      </c>
      <c r="M325" s="22">
        <f>+VLOOKUP(T325,Sheet2!$B$2:$P$372,10,0)</f>
        <v>0.5</v>
      </c>
      <c r="N325" s="23">
        <f>+VLOOKUP(L325,mã!$C$2:$F$229,4,0)</f>
        <v>30000</v>
      </c>
      <c r="O325" s="23">
        <f t="shared" si="37"/>
        <v>15000</v>
      </c>
      <c r="P325" s="23">
        <f t="shared" si="38"/>
        <v>0</v>
      </c>
      <c r="Q325" s="21" t="str">
        <f t="shared" si="39"/>
        <v xml:space="preserve"> </v>
      </c>
      <c r="R325" s="14">
        <f>+VLOOKUP(T325,Sheet2!$B$2:$P$372,13,0)</f>
        <v>15000</v>
      </c>
      <c r="S325" s="24">
        <f t="shared" si="40"/>
        <v>0</v>
      </c>
      <c r="T325" t="str">
        <f t="shared" si="41"/>
        <v>13/01/2026NL300053</v>
      </c>
      <c r="U325" s="15">
        <f t="shared" si="42"/>
        <v>0</v>
      </c>
      <c r="V325" s="25">
        <f t="shared" si="43"/>
        <v>0</v>
      </c>
    </row>
    <row r="326" spans="1:22" x14ac:dyDescent="0.25">
      <c r="A326" s="4" t="s">
        <v>195</v>
      </c>
      <c r="B326" s="5" t="s">
        <v>123</v>
      </c>
      <c r="C326" s="4" t="s">
        <v>124</v>
      </c>
      <c r="D326" s="5" t="s">
        <v>224</v>
      </c>
      <c r="E326" s="7" t="s">
        <v>86</v>
      </c>
      <c r="F326" s="7" t="s">
        <v>85</v>
      </c>
      <c r="G326" s="7" t="s">
        <v>14</v>
      </c>
      <c r="H326" s="8">
        <v>0.3</v>
      </c>
      <c r="I326" s="9">
        <v>38000</v>
      </c>
      <c r="J326" s="9">
        <f t="shared" si="36"/>
        <v>11400</v>
      </c>
      <c r="K326" s="6"/>
      <c r="L326" s="21" t="str">
        <f>+VLOOKUP(E326,mã!$B$2:$F$229,2,0)</f>
        <v>NL300061</v>
      </c>
      <c r="M326" s="22">
        <f>+VLOOKUP(T326,Sheet2!$B$2:$P$372,10,0)</f>
        <v>0.3</v>
      </c>
      <c r="N326" s="23">
        <f>+VLOOKUP(L326,mã!$C$2:$F$229,4,0)</f>
        <v>38000</v>
      </c>
      <c r="O326" s="23">
        <f t="shared" si="37"/>
        <v>11400</v>
      </c>
      <c r="P326" s="23">
        <f t="shared" si="38"/>
        <v>0</v>
      </c>
      <c r="Q326" s="21" t="str">
        <f t="shared" si="39"/>
        <v xml:space="preserve"> </v>
      </c>
      <c r="R326" s="14">
        <f>+VLOOKUP(T326,Sheet2!$B$2:$P$372,13,0)</f>
        <v>11400</v>
      </c>
      <c r="S326" s="24">
        <f t="shared" si="40"/>
        <v>0</v>
      </c>
      <c r="T326" t="str">
        <f t="shared" si="41"/>
        <v>13/01/2026NL300061</v>
      </c>
      <c r="U326" s="15">
        <f t="shared" si="42"/>
        <v>0</v>
      </c>
      <c r="V326" s="25">
        <f t="shared" si="43"/>
        <v>0</v>
      </c>
    </row>
    <row r="327" spans="1:22" x14ac:dyDescent="0.25">
      <c r="A327" s="4" t="s">
        <v>195</v>
      </c>
      <c r="B327" s="5" t="s">
        <v>123</v>
      </c>
      <c r="C327" s="4" t="s">
        <v>124</v>
      </c>
      <c r="D327" s="5" t="s">
        <v>224</v>
      </c>
      <c r="E327" s="7" t="s">
        <v>23</v>
      </c>
      <c r="F327" s="7" t="s">
        <v>24</v>
      </c>
      <c r="G327" s="7" t="s">
        <v>14</v>
      </c>
      <c r="H327" s="8">
        <v>1.2</v>
      </c>
      <c r="I327" s="9">
        <v>13000</v>
      </c>
      <c r="J327" s="9">
        <f t="shared" si="36"/>
        <v>15600</v>
      </c>
      <c r="K327" s="6"/>
      <c r="L327" s="21" t="str">
        <f>+VLOOKUP(E327,mã!$B$2:$F$229,2,0)</f>
        <v>NL300059</v>
      </c>
      <c r="M327" s="22">
        <f>+VLOOKUP(T327,Sheet2!$B$2:$P$372,10,0)</f>
        <v>1.2</v>
      </c>
      <c r="N327" s="23">
        <f>+VLOOKUP(L327,mã!$C$2:$F$229,4,0)</f>
        <v>13000</v>
      </c>
      <c r="O327" s="23">
        <f t="shared" si="37"/>
        <v>15600</v>
      </c>
      <c r="P327" s="23">
        <f t="shared" si="38"/>
        <v>0</v>
      </c>
      <c r="Q327" s="21" t="str">
        <f t="shared" si="39"/>
        <v xml:space="preserve"> </v>
      </c>
      <c r="R327" s="14">
        <f>+VLOOKUP(T327,Sheet2!$B$2:$P$372,13,0)</f>
        <v>15600</v>
      </c>
      <c r="S327" s="24">
        <f t="shared" si="40"/>
        <v>0</v>
      </c>
      <c r="T327" t="str">
        <f t="shared" si="41"/>
        <v>13/01/2026NL300059</v>
      </c>
      <c r="U327" s="15">
        <f t="shared" si="42"/>
        <v>0</v>
      </c>
      <c r="V327" s="25">
        <f t="shared" si="43"/>
        <v>0</v>
      </c>
    </row>
    <row r="328" spans="1:22" x14ac:dyDescent="0.25">
      <c r="A328" s="4" t="s">
        <v>195</v>
      </c>
      <c r="B328" s="5" t="s">
        <v>123</v>
      </c>
      <c r="C328" s="4" t="s">
        <v>124</v>
      </c>
      <c r="D328" s="5" t="s">
        <v>224</v>
      </c>
      <c r="E328" s="7" t="s">
        <v>84</v>
      </c>
      <c r="F328" s="7" t="s">
        <v>83</v>
      </c>
      <c r="G328" s="7" t="s">
        <v>14</v>
      </c>
      <c r="H328" s="8">
        <v>0.8</v>
      </c>
      <c r="I328" s="9">
        <v>23000</v>
      </c>
      <c r="J328" s="9">
        <f t="shared" si="36"/>
        <v>18400</v>
      </c>
      <c r="K328" s="6"/>
      <c r="L328" s="21" t="str">
        <f>+VLOOKUP(E328,mã!$B$2:$F$229,2,0)</f>
        <v>NL300070</v>
      </c>
      <c r="M328" s="22">
        <f>+VLOOKUP(T328,Sheet2!$B$2:$P$372,10,0)</f>
        <v>0.5</v>
      </c>
      <c r="N328" s="23">
        <f>+VLOOKUP(L328,mã!$C$2:$F$229,4,0)</f>
        <v>23000</v>
      </c>
      <c r="O328" s="23">
        <f t="shared" si="37"/>
        <v>11500</v>
      </c>
      <c r="P328" s="23">
        <f t="shared" si="38"/>
        <v>6900</v>
      </c>
      <c r="Q328" s="21" t="str">
        <f t="shared" si="39"/>
        <v>SAI SL NHẬN</v>
      </c>
      <c r="R328" s="14">
        <f>+VLOOKUP(T328,Sheet2!$B$2:$P$372,13,0)</f>
        <v>11500</v>
      </c>
      <c r="S328" s="24">
        <f t="shared" si="40"/>
        <v>0</v>
      </c>
      <c r="T328" t="str">
        <f t="shared" si="41"/>
        <v>13/01/2026NL300070</v>
      </c>
      <c r="U328" s="15">
        <f t="shared" si="42"/>
        <v>0.30000000000000004</v>
      </c>
      <c r="V328" s="25">
        <f t="shared" si="43"/>
        <v>0</v>
      </c>
    </row>
    <row r="329" spans="1:22" x14ac:dyDescent="0.25">
      <c r="A329" s="4" t="s">
        <v>195</v>
      </c>
      <c r="B329" s="5" t="s">
        <v>123</v>
      </c>
      <c r="C329" s="4" t="s">
        <v>124</v>
      </c>
      <c r="D329" s="5" t="s">
        <v>224</v>
      </c>
      <c r="E329" s="7" t="s">
        <v>152</v>
      </c>
      <c r="F329" s="7" t="s">
        <v>153</v>
      </c>
      <c r="G329" s="7" t="s">
        <v>14</v>
      </c>
      <c r="H329" s="8">
        <v>1.3</v>
      </c>
      <c r="I329" s="9">
        <v>20000</v>
      </c>
      <c r="J329" s="9">
        <f t="shared" si="36"/>
        <v>26000</v>
      </c>
      <c r="K329" s="6"/>
      <c r="L329" s="21" t="str">
        <f>+VLOOKUP(E329,mã!$B$2:$F$229,2,0)</f>
        <v>NL300071</v>
      </c>
      <c r="M329" s="22">
        <f>+VLOOKUP(T329,Sheet2!$B$2:$P$372,10,0)</f>
        <v>1.3</v>
      </c>
      <c r="N329" s="23">
        <f>+VLOOKUP(L329,mã!$C$2:$F$229,4,0)</f>
        <v>20000</v>
      </c>
      <c r="O329" s="23">
        <f t="shared" si="37"/>
        <v>26000</v>
      </c>
      <c r="P329" s="23">
        <f t="shared" si="38"/>
        <v>0</v>
      </c>
      <c r="Q329" s="21" t="str">
        <f t="shared" si="39"/>
        <v xml:space="preserve"> </v>
      </c>
      <c r="R329" s="14">
        <f>+VLOOKUP(T329,Sheet2!$B$2:$P$372,13,0)</f>
        <v>26000</v>
      </c>
      <c r="S329" s="24">
        <f t="shared" si="40"/>
        <v>0</v>
      </c>
      <c r="T329" t="str">
        <f t="shared" si="41"/>
        <v>13/01/2026NL300071</v>
      </c>
      <c r="U329" s="15">
        <f t="shared" si="42"/>
        <v>0</v>
      </c>
      <c r="V329" s="25">
        <f t="shared" si="43"/>
        <v>0</v>
      </c>
    </row>
    <row r="330" spans="1:22" x14ac:dyDescent="0.25">
      <c r="A330" s="4" t="s">
        <v>195</v>
      </c>
      <c r="B330" s="5" t="s">
        <v>123</v>
      </c>
      <c r="C330" s="4" t="s">
        <v>124</v>
      </c>
      <c r="D330" s="5" t="s">
        <v>224</v>
      </c>
      <c r="E330" s="7" t="s">
        <v>141</v>
      </c>
      <c r="F330" s="7" t="s">
        <v>142</v>
      </c>
      <c r="G330" s="7" t="s">
        <v>14</v>
      </c>
      <c r="H330" s="8">
        <v>1.1000000000000001</v>
      </c>
      <c r="I330" s="9">
        <v>95000</v>
      </c>
      <c r="J330" s="9">
        <f t="shared" si="36"/>
        <v>104500.00000000001</v>
      </c>
      <c r="K330" s="6"/>
      <c r="L330" s="21" t="str">
        <f>+VLOOKUP(E330,mã!$B$2:$F$229,2,0)</f>
        <v>NL300080</v>
      </c>
      <c r="M330" s="22">
        <f>+VLOOKUP(T330,Sheet2!$B$2:$P$372,10,0)</f>
        <v>0.6</v>
      </c>
      <c r="N330" s="23">
        <f>+VLOOKUP(L330,mã!$C$2:$F$229,4,0)</f>
        <v>95000</v>
      </c>
      <c r="O330" s="23">
        <f t="shared" si="37"/>
        <v>57000</v>
      </c>
      <c r="P330" s="23">
        <f t="shared" si="38"/>
        <v>47500.000000000015</v>
      </c>
      <c r="Q330" s="21" t="str">
        <f t="shared" si="39"/>
        <v>SAI SL NHẬN</v>
      </c>
      <c r="R330" s="14">
        <f>+VLOOKUP(T330,Sheet2!$B$2:$P$372,13,0)</f>
        <v>57000</v>
      </c>
      <c r="S330" s="24">
        <f t="shared" si="40"/>
        <v>0</v>
      </c>
      <c r="T330" t="str">
        <f t="shared" si="41"/>
        <v>13/01/2026NL300080</v>
      </c>
      <c r="U330" s="15">
        <f t="shared" si="42"/>
        <v>0.50000000000000011</v>
      </c>
      <c r="V330" s="25">
        <f t="shared" si="43"/>
        <v>0</v>
      </c>
    </row>
    <row r="331" spans="1:22" x14ac:dyDescent="0.25">
      <c r="A331" s="4" t="s">
        <v>195</v>
      </c>
      <c r="B331" s="5" t="s">
        <v>123</v>
      </c>
      <c r="C331" s="4" t="s">
        <v>124</v>
      </c>
      <c r="D331" s="5" t="s">
        <v>224</v>
      </c>
      <c r="E331" s="7" t="s">
        <v>39</v>
      </c>
      <c r="F331" s="7" t="s">
        <v>40</v>
      </c>
      <c r="G331" s="7" t="s">
        <v>14</v>
      </c>
      <c r="H331" s="8">
        <v>1</v>
      </c>
      <c r="I331" s="9">
        <v>145000</v>
      </c>
      <c r="J331" s="9">
        <f t="shared" si="36"/>
        <v>145000</v>
      </c>
      <c r="K331" s="6"/>
      <c r="L331" s="21" t="str">
        <f>+VLOOKUP(E331,mã!$B$2:$F$229,2,0)</f>
        <v>NL300090</v>
      </c>
      <c r="M331" s="22">
        <f>+VLOOKUP(T331,Sheet2!$B$2:$P$372,10,0)</f>
        <v>1</v>
      </c>
      <c r="N331" s="23">
        <f>+VLOOKUP(L331,mã!$C$2:$F$229,4,0)</f>
        <v>145000</v>
      </c>
      <c r="O331" s="23">
        <f t="shared" si="37"/>
        <v>145000</v>
      </c>
      <c r="P331" s="23">
        <f t="shared" si="38"/>
        <v>0</v>
      </c>
      <c r="Q331" s="21" t="str">
        <f t="shared" si="39"/>
        <v xml:space="preserve"> </v>
      </c>
      <c r="R331" s="14">
        <f>+VLOOKUP(T331,Sheet2!$B$2:$P$372,13,0)</f>
        <v>145000</v>
      </c>
      <c r="S331" s="24">
        <f t="shared" si="40"/>
        <v>0</v>
      </c>
      <c r="T331" t="str">
        <f t="shared" si="41"/>
        <v>13/01/2026NL300090</v>
      </c>
      <c r="U331" s="15">
        <f t="shared" si="42"/>
        <v>0</v>
      </c>
      <c r="V331" s="25">
        <f t="shared" si="43"/>
        <v>0</v>
      </c>
    </row>
    <row r="332" spans="1:22" x14ac:dyDescent="0.25">
      <c r="A332" s="4" t="s">
        <v>195</v>
      </c>
      <c r="B332" s="5" t="s">
        <v>123</v>
      </c>
      <c r="C332" s="4" t="s">
        <v>124</v>
      </c>
      <c r="D332" s="5" t="s">
        <v>224</v>
      </c>
      <c r="E332" s="7" t="s">
        <v>29</v>
      </c>
      <c r="F332" s="7" t="s">
        <v>30</v>
      </c>
      <c r="G332" s="7" t="s">
        <v>14</v>
      </c>
      <c r="H332" s="8">
        <v>0.4</v>
      </c>
      <c r="I332" s="9">
        <v>45000</v>
      </c>
      <c r="J332" s="9">
        <f t="shared" si="36"/>
        <v>18000</v>
      </c>
      <c r="K332" s="6"/>
      <c r="L332" s="21" t="str">
        <f>+VLOOKUP(E332,mã!$B$2:$F$229,2,0)</f>
        <v>NL300096</v>
      </c>
      <c r="M332" s="22">
        <f>+VLOOKUP(T332,Sheet2!$B$2:$P$372,10,0)</f>
        <v>0.4</v>
      </c>
      <c r="N332" s="23">
        <f>+VLOOKUP(L332,mã!$C$2:$F$229,4,0)</f>
        <v>45000</v>
      </c>
      <c r="O332" s="23">
        <f t="shared" si="37"/>
        <v>18000</v>
      </c>
      <c r="P332" s="23">
        <f t="shared" si="38"/>
        <v>0</v>
      </c>
      <c r="Q332" s="21" t="str">
        <f t="shared" si="39"/>
        <v xml:space="preserve"> </v>
      </c>
      <c r="R332" s="14">
        <f>+VLOOKUP(T332,Sheet2!$B$2:$P$372,13,0)</f>
        <v>18000</v>
      </c>
      <c r="S332" s="24">
        <f t="shared" si="40"/>
        <v>0</v>
      </c>
      <c r="T332" t="str">
        <f t="shared" si="41"/>
        <v>13/01/2026NL300096</v>
      </c>
      <c r="U332" s="15">
        <f t="shared" si="42"/>
        <v>0</v>
      </c>
      <c r="V332" s="25">
        <f t="shared" si="43"/>
        <v>0</v>
      </c>
    </row>
    <row r="333" spans="1:22" x14ac:dyDescent="0.25">
      <c r="A333" s="4" t="s">
        <v>195</v>
      </c>
      <c r="B333" s="5" t="s">
        <v>123</v>
      </c>
      <c r="C333" s="4" t="s">
        <v>124</v>
      </c>
      <c r="D333" s="5" t="s">
        <v>224</v>
      </c>
      <c r="E333" s="7" t="s">
        <v>55</v>
      </c>
      <c r="F333" s="7" t="s">
        <v>56</v>
      </c>
      <c r="G333" s="7" t="s">
        <v>14</v>
      </c>
      <c r="H333" s="8">
        <v>0.2</v>
      </c>
      <c r="I333" s="9">
        <v>70000</v>
      </c>
      <c r="J333" s="9">
        <f t="shared" si="36"/>
        <v>14000</v>
      </c>
      <c r="K333" s="6"/>
      <c r="L333" s="21" t="str">
        <f>+VLOOKUP(E333,mã!$B$2:$F$229,2,0)</f>
        <v>NL300126</v>
      </c>
      <c r="M333" s="22">
        <f>+VLOOKUP(T333,Sheet2!$B$2:$P$372,10,0)</f>
        <v>0.2</v>
      </c>
      <c r="N333" s="23">
        <f>+VLOOKUP(L333,mã!$C$2:$F$229,4,0)</f>
        <v>70000</v>
      </c>
      <c r="O333" s="23">
        <f t="shared" si="37"/>
        <v>14000</v>
      </c>
      <c r="P333" s="23">
        <f t="shared" si="38"/>
        <v>0</v>
      </c>
      <c r="Q333" s="21" t="str">
        <f t="shared" si="39"/>
        <v xml:space="preserve"> </v>
      </c>
      <c r="R333" s="14">
        <f>+VLOOKUP(T333,Sheet2!$B$2:$P$372,13,0)</f>
        <v>14000</v>
      </c>
      <c r="S333" s="24">
        <f t="shared" si="40"/>
        <v>0</v>
      </c>
      <c r="T333" t="str">
        <f t="shared" si="41"/>
        <v>13/01/2026NL300126</v>
      </c>
      <c r="U333" s="15">
        <f t="shared" si="42"/>
        <v>0</v>
      </c>
      <c r="V333" s="25">
        <f t="shared" si="43"/>
        <v>0</v>
      </c>
    </row>
    <row r="334" spans="1:22" x14ac:dyDescent="0.25">
      <c r="A334" s="4" t="s">
        <v>195</v>
      </c>
      <c r="B334" s="5" t="s">
        <v>123</v>
      </c>
      <c r="C334" s="4" t="s">
        <v>124</v>
      </c>
      <c r="D334" s="5" t="s">
        <v>224</v>
      </c>
      <c r="E334" s="7" t="s">
        <v>41</v>
      </c>
      <c r="F334" s="7" t="s">
        <v>42</v>
      </c>
      <c r="G334" s="7" t="s">
        <v>14</v>
      </c>
      <c r="H334" s="8">
        <v>0.2</v>
      </c>
      <c r="I334" s="9">
        <v>145000</v>
      </c>
      <c r="J334" s="9">
        <f t="shared" si="36"/>
        <v>29000</v>
      </c>
      <c r="K334" s="6"/>
      <c r="L334" s="21" t="str">
        <f>+VLOOKUP(E334,mã!$B$2:$F$229,2,0)</f>
        <v>NL300113</v>
      </c>
      <c r="M334" s="22">
        <f>+VLOOKUP(T334,Sheet2!$B$2:$P$372,10,0)</f>
        <v>0.2</v>
      </c>
      <c r="N334" s="23">
        <f>+VLOOKUP(L334,mã!$C$2:$F$229,4,0)</f>
        <v>145000</v>
      </c>
      <c r="O334" s="23">
        <f t="shared" si="37"/>
        <v>29000</v>
      </c>
      <c r="P334" s="23">
        <f t="shared" si="38"/>
        <v>0</v>
      </c>
      <c r="Q334" s="21" t="str">
        <f t="shared" si="39"/>
        <v xml:space="preserve"> </v>
      </c>
      <c r="R334" s="14">
        <f>+VLOOKUP(T334,Sheet2!$B$2:$P$372,13,0)</f>
        <v>29000</v>
      </c>
      <c r="S334" s="24">
        <f t="shared" si="40"/>
        <v>0</v>
      </c>
      <c r="T334" t="str">
        <f t="shared" si="41"/>
        <v>13/01/2026NL300113</v>
      </c>
      <c r="U334" s="15">
        <f t="shared" si="42"/>
        <v>0</v>
      </c>
      <c r="V334" s="25">
        <f t="shared" si="43"/>
        <v>0</v>
      </c>
    </row>
    <row r="335" spans="1:22" x14ac:dyDescent="0.25">
      <c r="A335" s="4" t="s">
        <v>195</v>
      </c>
      <c r="B335" s="5" t="s">
        <v>123</v>
      </c>
      <c r="C335" s="4" t="s">
        <v>124</v>
      </c>
      <c r="D335" s="5" t="s">
        <v>224</v>
      </c>
      <c r="E335" s="7" t="s">
        <v>47</v>
      </c>
      <c r="F335" s="7" t="s">
        <v>48</v>
      </c>
      <c r="G335" s="7" t="s">
        <v>14</v>
      </c>
      <c r="H335" s="8">
        <v>0.5</v>
      </c>
      <c r="I335" s="9">
        <v>21000</v>
      </c>
      <c r="J335" s="9">
        <f t="shared" si="36"/>
        <v>10500</v>
      </c>
      <c r="K335" s="6"/>
      <c r="L335" s="21" t="str">
        <f>+VLOOKUP(E335,mã!$B$2:$F$229,2,0)</f>
        <v>NL300119</v>
      </c>
      <c r="M335" s="22">
        <f>+VLOOKUP(T335,Sheet2!$B$2:$P$372,10,0)</f>
        <v>0.3</v>
      </c>
      <c r="N335" s="23">
        <f>+VLOOKUP(L335,mã!$C$2:$F$229,4,0)</f>
        <v>21000</v>
      </c>
      <c r="O335" s="23">
        <f t="shared" si="37"/>
        <v>6300</v>
      </c>
      <c r="P335" s="23">
        <f t="shared" si="38"/>
        <v>4200</v>
      </c>
      <c r="Q335" s="21" t="str">
        <f t="shared" si="39"/>
        <v>SAI SL NHẬN</v>
      </c>
      <c r="R335" s="14">
        <f>+VLOOKUP(T335,Sheet2!$B$2:$P$372,13,0)</f>
        <v>6300</v>
      </c>
      <c r="S335" s="24">
        <f t="shared" si="40"/>
        <v>0</v>
      </c>
      <c r="T335" t="str">
        <f t="shared" si="41"/>
        <v>13/01/2026NL300119</v>
      </c>
      <c r="U335" s="15">
        <f t="shared" si="42"/>
        <v>0.2</v>
      </c>
      <c r="V335" s="25">
        <f t="shared" si="43"/>
        <v>0</v>
      </c>
    </row>
    <row r="336" spans="1:22" x14ac:dyDescent="0.25">
      <c r="A336" s="4" t="s">
        <v>195</v>
      </c>
      <c r="B336" s="5" t="s">
        <v>123</v>
      </c>
      <c r="C336" s="4" t="s">
        <v>124</v>
      </c>
      <c r="D336" s="5" t="s">
        <v>224</v>
      </c>
      <c r="E336" s="7" t="s">
        <v>27</v>
      </c>
      <c r="F336" s="7" t="s">
        <v>28</v>
      </c>
      <c r="G336" s="7" t="s">
        <v>14</v>
      </c>
      <c r="H336" s="8">
        <v>0.2</v>
      </c>
      <c r="I336" s="9">
        <v>50000</v>
      </c>
      <c r="J336" s="9">
        <f t="shared" ref="J336:J387" si="44">H336*I336</f>
        <v>10000</v>
      </c>
      <c r="K336" s="6"/>
      <c r="L336" s="21" t="str">
        <f>+VLOOKUP(E336,mã!$B$2:$F$229,2,0)</f>
        <v>NL300142</v>
      </c>
      <c r="M336" s="22">
        <f>+VLOOKUP(T336,Sheet2!$B$2:$P$372,10,0)</f>
        <v>0</v>
      </c>
      <c r="N336" s="23">
        <f>+VLOOKUP(L336,mã!$C$2:$F$229,4,0)</f>
        <v>50000</v>
      </c>
      <c r="O336" s="23">
        <f t="shared" ref="O336:O387" si="45">M336*N336</f>
        <v>0</v>
      </c>
      <c r="P336" s="23">
        <f t="shared" ref="P336:P387" si="46">J336-O336</f>
        <v>10000</v>
      </c>
      <c r="Q336" s="21" t="str">
        <f t="shared" ref="Q336:Q387" si="47">IF(U336=0," ","SAI SL NHẬN")</f>
        <v>SAI SL NHẬN</v>
      </c>
      <c r="R336" s="14">
        <f>+VLOOKUP(T336,Sheet2!$B$2:$P$372,13,0)</f>
        <v>0</v>
      </c>
      <c r="S336" s="24">
        <f t="shared" ref="S336:S387" si="48">O336-R336</f>
        <v>0</v>
      </c>
      <c r="T336" t="str">
        <f t="shared" ref="T336:T387" si="49">A336&amp;L336</f>
        <v>13/01/2026NL300142</v>
      </c>
      <c r="U336" s="15">
        <f t="shared" ref="U336:U387" si="50">H336-M336</f>
        <v>0.2</v>
      </c>
      <c r="V336" s="25">
        <f t="shared" ref="V336:V387" si="51">I336-N336</f>
        <v>0</v>
      </c>
    </row>
    <row r="337" spans="1:22" x14ac:dyDescent="0.25">
      <c r="A337" s="4" t="s">
        <v>195</v>
      </c>
      <c r="B337" s="5" t="s">
        <v>123</v>
      </c>
      <c r="C337" s="4" t="s">
        <v>124</v>
      </c>
      <c r="D337" s="5" t="s">
        <v>224</v>
      </c>
      <c r="E337" s="7" t="s">
        <v>143</v>
      </c>
      <c r="F337" s="7" t="s">
        <v>144</v>
      </c>
      <c r="G337" s="7" t="s">
        <v>14</v>
      </c>
      <c r="H337" s="8">
        <v>1.3</v>
      </c>
      <c r="I337" s="9">
        <v>65000</v>
      </c>
      <c r="J337" s="9">
        <f t="shared" si="44"/>
        <v>84500</v>
      </c>
      <c r="K337" s="6"/>
      <c r="L337" s="21" t="str">
        <f>+VLOOKUP(E337,mã!$B$2:$F$229,2,0)</f>
        <v>NL300146</v>
      </c>
      <c r="M337" s="22">
        <f>+VLOOKUP(T337,Sheet2!$B$2:$P$372,10,0)</f>
        <v>1.3</v>
      </c>
      <c r="N337" s="23">
        <f>+VLOOKUP(L337,mã!$C$2:$F$229,4,0)</f>
        <v>65000</v>
      </c>
      <c r="O337" s="23">
        <f t="shared" si="45"/>
        <v>84500</v>
      </c>
      <c r="P337" s="23">
        <f t="shared" si="46"/>
        <v>0</v>
      </c>
      <c r="Q337" s="21" t="str">
        <f t="shared" si="47"/>
        <v xml:space="preserve"> </v>
      </c>
      <c r="R337" s="14">
        <f>+VLOOKUP(T337,Sheet2!$B$2:$P$372,13,0)</f>
        <v>84500</v>
      </c>
      <c r="S337" s="24">
        <f t="shared" si="48"/>
        <v>0</v>
      </c>
      <c r="T337" t="str">
        <f t="shared" si="49"/>
        <v>13/01/2026NL300146</v>
      </c>
      <c r="U337" s="15">
        <f t="shared" si="50"/>
        <v>0</v>
      </c>
      <c r="V337" s="25">
        <f t="shared" si="51"/>
        <v>0</v>
      </c>
    </row>
    <row r="338" spans="1:22" x14ac:dyDescent="0.25">
      <c r="A338" s="4" t="s">
        <v>198</v>
      </c>
      <c r="B338" s="5" t="s">
        <v>123</v>
      </c>
      <c r="C338" s="4" t="s">
        <v>124</v>
      </c>
      <c r="D338" s="5" t="s">
        <v>225</v>
      </c>
      <c r="E338" s="7" t="s">
        <v>16</v>
      </c>
      <c r="F338" s="7" t="s">
        <v>17</v>
      </c>
      <c r="G338" s="7" t="s">
        <v>18</v>
      </c>
      <c r="H338" s="8">
        <v>6</v>
      </c>
      <c r="I338" s="9">
        <v>8500</v>
      </c>
      <c r="J338" s="9">
        <f t="shared" si="44"/>
        <v>51000</v>
      </c>
      <c r="K338" s="6"/>
      <c r="L338" s="21" t="str">
        <f>+VLOOKUP(E338,mã!$B$2:$F$229,2,0)</f>
        <v>NL300107</v>
      </c>
      <c r="M338" s="22">
        <f>+VLOOKUP(T338,Sheet2!$B$2:$P$372,10,0)</f>
        <v>5</v>
      </c>
      <c r="N338" s="23">
        <f>+VLOOKUP(L338,mã!$C$2:$F$229,4,0)</f>
        <v>8500</v>
      </c>
      <c r="O338" s="23">
        <f t="shared" si="45"/>
        <v>42500</v>
      </c>
      <c r="P338" s="23">
        <f t="shared" si="46"/>
        <v>8500</v>
      </c>
      <c r="Q338" s="21" t="str">
        <f t="shared" si="47"/>
        <v>SAI SL NHẬN</v>
      </c>
      <c r="R338" s="14">
        <f>+VLOOKUP(T338,Sheet2!$B$2:$P$372,13,0)</f>
        <v>42500</v>
      </c>
      <c r="S338" s="24">
        <f t="shared" si="48"/>
        <v>0</v>
      </c>
      <c r="T338" t="str">
        <f t="shared" si="49"/>
        <v>14/01/2026NL300107</v>
      </c>
      <c r="U338" s="15">
        <f t="shared" si="50"/>
        <v>1</v>
      </c>
      <c r="V338" s="25">
        <f t="shared" si="51"/>
        <v>0</v>
      </c>
    </row>
    <row r="339" spans="1:22" x14ac:dyDescent="0.25">
      <c r="A339" s="4" t="s">
        <v>198</v>
      </c>
      <c r="B339" s="5" t="s">
        <v>123</v>
      </c>
      <c r="C339" s="4" t="s">
        <v>124</v>
      </c>
      <c r="D339" s="5" t="s">
        <v>225</v>
      </c>
      <c r="E339" s="7" t="s">
        <v>101</v>
      </c>
      <c r="F339" s="7" t="s">
        <v>100</v>
      </c>
      <c r="G339" s="7" t="s">
        <v>14</v>
      </c>
      <c r="H339" s="8">
        <v>1</v>
      </c>
      <c r="I339" s="9">
        <v>40000</v>
      </c>
      <c r="J339" s="9">
        <f t="shared" si="44"/>
        <v>40000</v>
      </c>
      <c r="K339" s="6"/>
      <c r="L339" s="21" t="str">
        <f>+VLOOKUP(E339,mã!$B$2:$F$229,2,0)</f>
        <v>NL300008</v>
      </c>
      <c r="M339" s="22">
        <f>+VLOOKUP(T339,Sheet2!$B$2:$P$372,10,0)</f>
        <v>0.8</v>
      </c>
      <c r="N339" s="23">
        <f>+VLOOKUP(L339,mã!$C$2:$F$229,4,0)</f>
        <v>40000</v>
      </c>
      <c r="O339" s="23">
        <f t="shared" si="45"/>
        <v>32000</v>
      </c>
      <c r="P339" s="23">
        <f t="shared" si="46"/>
        <v>8000</v>
      </c>
      <c r="Q339" s="21" t="str">
        <f t="shared" si="47"/>
        <v>SAI SL NHẬN</v>
      </c>
      <c r="R339" s="14">
        <f>+VLOOKUP(T339,Sheet2!$B$2:$P$372,13,0)</f>
        <v>32000</v>
      </c>
      <c r="S339" s="24">
        <f t="shared" si="48"/>
        <v>0</v>
      </c>
      <c r="T339" t="str">
        <f t="shared" si="49"/>
        <v>14/01/2026NL300008</v>
      </c>
      <c r="U339" s="15">
        <f t="shared" si="50"/>
        <v>0.19999999999999996</v>
      </c>
      <c r="V339" s="25">
        <f t="shared" si="51"/>
        <v>0</v>
      </c>
    </row>
    <row r="340" spans="1:22" x14ac:dyDescent="0.25">
      <c r="A340" s="4" t="s">
        <v>198</v>
      </c>
      <c r="B340" s="5" t="s">
        <v>123</v>
      </c>
      <c r="C340" s="4" t="s">
        <v>124</v>
      </c>
      <c r="D340" s="5" t="s">
        <v>225</v>
      </c>
      <c r="E340" s="7" t="s">
        <v>150</v>
      </c>
      <c r="F340" s="7" t="s">
        <v>151</v>
      </c>
      <c r="G340" s="7" t="s">
        <v>14</v>
      </c>
      <c r="H340" s="8">
        <v>0.5</v>
      </c>
      <c r="I340" s="9">
        <v>50000</v>
      </c>
      <c r="J340" s="9">
        <f t="shared" si="44"/>
        <v>25000</v>
      </c>
      <c r="K340" s="6"/>
      <c r="L340" s="21" t="str">
        <f>+VLOOKUP(E340,mã!$B$2:$F$229,2,0)</f>
        <v>NL300013</v>
      </c>
      <c r="M340" s="22">
        <f>+VLOOKUP(T340,Sheet2!$B$2:$P$372,10,0)</f>
        <v>0.4</v>
      </c>
      <c r="N340" s="23">
        <f>+VLOOKUP(L340,mã!$C$2:$F$229,4,0)</f>
        <v>50000</v>
      </c>
      <c r="O340" s="23">
        <f t="shared" si="45"/>
        <v>20000</v>
      </c>
      <c r="P340" s="23">
        <f t="shared" si="46"/>
        <v>5000</v>
      </c>
      <c r="Q340" s="21" t="str">
        <f t="shared" si="47"/>
        <v>SAI SL NHẬN</v>
      </c>
      <c r="R340" s="14">
        <f>+VLOOKUP(T340,Sheet2!$B$2:$P$372,13,0)</f>
        <v>20000</v>
      </c>
      <c r="S340" s="24">
        <f t="shared" si="48"/>
        <v>0</v>
      </c>
      <c r="T340" t="str">
        <f t="shared" si="49"/>
        <v>14/01/2026NL300013</v>
      </c>
      <c r="U340" s="15">
        <f t="shared" si="50"/>
        <v>9.9999999999999978E-2</v>
      </c>
      <c r="V340" s="25">
        <f t="shared" si="51"/>
        <v>0</v>
      </c>
    </row>
    <row r="341" spans="1:22" x14ac:dyDescent="0.25">
      <c r="A341" s="4" t="s">
        <v>198</v>
      </c>
      <c r="B341" s="5" t="s">
        <v>123</v>
      </c>
      <c r="C341" s="4" t="s">
        <v>124</v>
      </c>
      <c r="D341" s="5" t="s">
        <v>225</v>
      </c>
      <c r="E341" s="7" t="s">
        <v>131</v>
      </c>
      <c r="F341" s="7" t="s">
        <v>132</v>
      </c>
      <c r="G341" s="7" t="s">
        <v>14</v>
      </c>
      <c r="H341" s="8">
        <v>0.5</v>
      </c>
      <c r="I341" s="9">
        <v>55000</v>
      </c>
      <c r="J341" s="9">
        <f t="shared" si="44"/>
        <v>27500</v>
      </c>
      <c r="K341" s="6"/>
      <c r="L341" s="21" t="str">
        <f>+VLOOKUP(E341,mã!$B$2:$F$229,2,0)</f>
        <v>NL300014</v>
      </c>
      <c r="M341" s="22">
        <v>0</v>
      </c>
      <c r="N341" s="23">
        <f>+VLOOKUP(L341,mã!$C$2:$F$229,4,0)</f>
        <v>55000</v>
      </c>
      <c r="O341" s="23">
        <f t="shared" si="45"/>
        <v>0</v>
      </c>
      <c r="P341" s="23">
        <f t="shared" si="46"/>
        <v>27500</v>
      </c>
      <c r="Q341" s="21" t="str">
        <f t="shared" si="47"/>
        <v>SAI SL NHẬN</v>
      </c>
      <c r="R341" s="14">
        <v>0</v>
      </c>
      <c r="S341" s="24">
        <f t="shared" si="48"/>
        <v>0</v>
      </c>
      <c r="T341" t="str">
        <f t="shared" si="49"/>
        <v>14/01/2026NL300014</v>
      </c>
      <c r="U341" s="15">
        <f t="shared" si="50"/>
        <v>0.5</v>
      </c>
      <c r="V341" s="25">
        <f t="shared" si="51"/>
        <v>0</v>
      </c>
    </row>
    <row r="342" spans="1:22" x14ac:dyDescent="0.25">
      <c r="A342" s="4" t="s">
        <v>198</v>
      </c>
      <c r="B342" s="5" t="s">
        <v>123</v>
      </c>
      <c r="C342" s="4" t="s">
        <v>124</v>
      </c>
      <c r="D342" s="5" t="s">
        <v>225</v>
      </c>
      <c r="E342" s="7" t="s">
        <v>125</v>
      </c>
      <c r="F342" s="7" t="s">
        <v>126</v>
      </c>
      <c r="G342" s="7" t="s">
        <v>14</v>
      </c>
      <c r="H342" s="8">
        <v>2.1</v>
      </c>
      <c r="I342" s="9">
        <v>18000</v>
      </c>
      <c r="J342" s="9">
        <f t="shared" si="44"/>
        <v>37800</v>
      </c>
      <c r="K342" s="6"/>
      <c r="L342" s="21" t="str">
        <f>+VLOOKUP(E342,mã!$B$2:$F$229,2,0)</f>
        <v>NL300027</v>
      </c>
      <c r="M342" s="22">
        <f>+VLOOKUP(T342,Sheet2!$B$2:$P$372,10,0)</f>
        <v>1.9</v>
      </c>
      <c r="N342" s="23">
        <f>+VLOOKUP(L342,mã!$C$2:$F$229,4,0)</f>
        <v>18000</v>
      </c>
      <c r="O342" s="23">
        <f t="shared" si="45"/>
        <v>34200</v>
      </c>
      <c r="P342" s="23">
        <f t="shared" si="46"/>
        <v>3600</v>
      </c>
      <c r="Q342" s="21" t="str">
        <f t="shared" si="47"/>
        <v>SAI SL NHẬN</v>
      </c>
      <c r="R342" s="14">
        <f>+VLOOKUP(T342,Sheet2!$B$2:$P$372,13,0)</f>
        <v>34200</v>
      </c>
      <c r="S342" s="24">
        <f t="shared" si="48"/>
        <v>0</v>
      </c>
      <c r="T342" t="str">
        <f t="shared" si="49"/>
        <v>14/01/2026NL300027</v>
      </c>
      <c r="U342" s="15">
        <f t="shared" si="50"/>
        <v>0.20000000000000018</v>
      </c>
      <c r="V342" s="25">
        <f t="shared" si="51"/>
        <v>0</v>
      </c>
    </row>
    <row r="343" spans="1:22" x14ac:dyDescent="0.25">
      <c r="A343" s="4" t="s">
        <v>198</v>
      </c>
      <c r="B343" s="5" t="s">
        <v>123</v>
      </c>
      <c r="C343" s="4" t="s">
        <v>124</v>
      </c>
      <c r="D343" s="5" t="s">
        <v>225</v>
      </c>
      <c r="E343" s="7" t="s">
        <v>133</v>
      </c>
      <c r="F343" s="7" t="s">
        <v>134</v>
      </c>
      <c r="G343" s="7" t="s">
        <v>14</v>
      </c>
      <c r="H343" s="8">
        <v>0.1</v>
      </c>
      <c r="I343" s="9">
        <v>80000</v>
      </c>
      <c r="J343" s="9">
        <f t="shared" si="44"/>
        <v>8000</v>
      </c>
      <c r="K343" s="6"/>
      <c r="L343" s="21" t="str">
        <f>+VLOOKUP(E343,mã!$B$2:$F$229,2,0)</f>
        <v>NL300230</v>
      </c>
      <c r="M343" s="22">
        <f>+VLOOKUP(T343,Sheet2!$B$2:$P$372,10,0)</f>
        <v>0.1</v>
      </c>
      <c r="N343" s="23">
        <f>+VLOOKUP(L343,mã!$C$2:$F$229,4,0)</f>
        <v>80000</v>
      </c>
      <c r="O343" s="23">
        <f t="shared" si="45"/>
        <v>8000</v>
      </c>
      <c r="P343" s="23">
        <f t="shared" si="46"/>
        <v>0</v>
      </c>
      <c r="Q343" s="21" t="str">
        <f t="shared" si="47"/>
        <v xml:space="preserve"> </v>
      </c>
      <c r="R343" s="14">
        <f>+VLOOKUP(T343,Sheet2!$B$2:$P$372,13,0)</f>
        <v>8000</v>
      </c>
      <c r="S343" s="24">
        <f t="shared" si="48"/>
        <v>0</v>
      </c>
      <c r="T343" t="str">
        <f t="shared" si="49"/>
        <v>14/01/2026NL300230</v>
      </c>
      <c r="U343" s="15">
        <f t="shared" si="50"/>
        <v>0</v>
      </c>
      <c r="V343" s="25">
        <f t="shared" si="51"/>
        <v>0</v>
      </c>
    </row>
    <row r="344" spans="1:22" x14ac:dyDescent="0.25">
      <c r="A344" s="4" t="s">
        <v>198</v>
      </c>
      <c r="B344" s="5" t="s">
        <v>123</v>
      </c>
      <c r="C344" s="4" t="s">
        <v>124</v>
      </c>
      <c r="D344" s="5" t="s">
        <v>225</v>
      </c>
      <c r="E344" s="7" t="s">
        <v>127</v>
      </c>
      <c r="F344" s="7" t="s">
        <v>128</v>
      </c>
      <c r="G344" s="7" t="s">
        <v>14</v>
      </c>
      <c r="H344" s="8">
        <v>2</v>
      </c>
      <c r="I344" s="9">
        <v>13000</v>
      </c>
      <c r="J344" s="9">
        <f t="shared" si="44"/>
        <v>26000</v>
      </c>
      <c r="K344" s="6"/>
      <c r="L344" s="21" t="str">
        <f>+VLOOKUP(E344,mã!$B$2:$F$229,2,0)</f>
        <v>NL300033</v>
      </c>
      <c r="M344" s="22">
        <f>+VLOOKUP(T344,Sheet2!$B$2:$P$372,10,0)</f>
        <v>1.8</v>
      </c>
      <c r="N344" s="23">
        <f>+VLOOKUP(L344,mã!$C$2:$F$229,4,0)</f>
        <v>13000</v>
      </c>
      <c r="O344" s="23">
        <f t="shared" si="45"/>
        <v>23400</v>
      </c>
      <c r="P344" s="23">
        <f t="shared" si="46"/>
        <v>2600</v>
      </c>
      <c r="Q344" s="21" t="str">
        <f t="shared" si="47"/>
        <v>SAI SL NHẬN</v>
      </c>
      <c r="R344" s="14">
        <f>+VLOOKUP(T344,Sheet2!$B$2:$P$372,13,0)</f>
        <v>23400</v>
      </c>
      <c r="S344" s="24">
        <f t="shared" si="48"/>
        <v>0</v>
      </c>
      <c r="T344" t="str">
        <f t="shared" si="49"/>
        <v>14/01/2026NL300033</v>
      </c>
      <c r="U344" s="15">
        <f t="shared" si="50"/>
        <v>0.19999999999999996</v>
      </c>
      <c r="V344" s="25">
        <f t="shared" si="51"/>
        <v>0</v>
      </c>
    </row>
    <row r="345" spans="1:22" x14ac:dyDescent="0.25">
      <c r="A345" s="4" t="s">
        <v>198</v>
      </c>
      <c r="B345" s="5" t="s">
        <v>123</v>
      </c>
      <c r="C345" s="4" t="s">
        <v>124</v>
      </c>
      <c r="D345" s="5" t="s">
        <v>225</v>
      </c>
      <c r="E345" s="7" t="s">
        <v>19</v>
      </c>
      <c r="F345" s="7" t="s">
        <v>20</v>
      </c>
      <c r="G345" s="7" t="s">
        <v>14</v>
      </c>
      <c r="H345" s="8">
        <v>1</v>
      </c>
      <c r="I345" s="9">
        <v>32000</v>
      </c>
      <c r="J345" s="9">
        <f t="shared" si="44"/>
        <v>32000</v>
      </c>
      <c r="K345" s="6"/>
      <c r="L345" s="21" t="str">
        <f>+VLOOKUP(E345,mã!$B$2:$F$229,2,0)</f>
        <v>NL300038</v>
      </c>
      <c r="M345" s="22">
        <f>+VLOOKUP(T345,Sheet2!$B$2:$P$372,10,0)</f>
        <v>0.7</v>
      </c>
      <c r="N345" s="23">
        <f>+VLOOKUP(L345,mã!$C$2:$F$229,4,0)</f>
        <v>32000</v>
      </c>
      <c r="O345" s="23">
        <f t="shared" si="45"/>
        <v>22400</v>
      </c>
      <c r="P345" s="23">
        <f t="shared" si="46"/>
        <v>9600</v>
      </c>
      <c r="Q345" s="21" t="str">
        <f t="shared" si="47"/>
        <v>SAI SL NHẬN</v>
      </c>
      <c r="R345" s="14">
        <f>+VLOOKUP(T345,Sheet2!$B$2:$P$372,13,0)</f>
        <v>22400</v>
      </c>
      <c r="S345" s="24">
        <f t="shared" si="48"/>
        <v>0</v>
      </c>
      <c r="T345" t="str">
        <f t="shared" si="49"/>
        <v>14/01/2026NL300038</v>
      </c>
      <c r="U345" s="15">
        <f t="shared" si="50"/>
        <v>0.30000000000000004</v>
      </c>
      <c r="V345" s="25">
        <f t="shared" si="51"/>
        <v>0</v>
      </c>
    </row>
    <row r="346" spans="1:22" ht="28.5" x14ac:dyDescent="0.25">
      <c r="A346" s="4" t="s">
        <v>198</v>
      </c>
      <c r="B346" s="5" t="s">
        <v>123</v>
      </c>
      <c r="C346" s="4" t="s">
        <v>124</v>
      </c>
      <c r="D346" s="5" t="s">
        <v>225</v>
      </c>
      <c r="E346" s="7" t="s">
        <v>89</v>
      </c>
      <c r="F346" s="7" t="s">
        <v>88</v>
      </c>
      <c r="G346" s="7" t="s">
        <v>87</v>
      </c>
      <c r="H346" s="8">
        <v>3</v>
      </c>
      <c r="I346" s="9">
        <v>15000</v>
      </c>
      <c r="J346" s="9">
        <f t="shared" si="44"/>
        <v>45000</v>
      </c>
      <c r="K346" s="6"/>
      <c r="L346" s="21" t="str">
        <f>+VLOOKUP(E346,mã!$B$2:$F$229,2,0)</f>
        <v>NL300041</v>
      </c>
      <c r="M346" s="22">
        <f>+VLOOKUP(T346,Sheet2!$B$2:$P$372,10,0)</f>
        <v>3</v>
      </c>
      <c r="N346" s="23">
        <f>+VLOOKUP(L346,mã!$C$2:$F$229,4,0)</f>
        <v>15000</v>
      </c>
      <c r="O346" s="23">
        <f t="shared" si="45"/>
        <v>45000</v>
      </c>
      <c r="P346" s="23">
        <f t="shared" si="46"/>
        <v>0</v>
      </c>
      <c r="Q346" s="21" t="str">
        <f t="shared" si="47"/>
        <v xml:space="preserve"> </v>
      </c>
      <c r="R346" s="14">
        <f>+VLOOKUP(T346,Sheet2!$B$2:$P$372,13,0)</f>
        <v>45000</v>
      </c>
      <c r="S346" s="24">
        <f t="shared" si="48"/>
        <v>0</v>
      </c>
      <c r="T346" t="str">
        <f t="shared" si="49"/>
        <v>14/01/2026NL300041</v>
      </c>
      <c r="U346" s="15">
        <f t="shared" si="50"/>
        <v>0</v>
      </c>
      <c r="V346" s="25">
        <f t="shared" si="51"/>
        <v>0</v>
      </c>
    </row>
    <row r="347" spans="1:22" x14ac:dyDescent="0.25">
      <c r="A347" s="4" t="s">
        <v>198</v>
      </c>
      <c r="B347" s="5" t="s">
        <v>123</v>
      </c>
      <c r="C347" s="4" t="s">
        <v>124</v>
      </c>
      <c r="D347" s="5" t="s">
        <v>225</v>
      </c>
      <c r="E347" s="7" t="s">
        <v>51</v>
      </c>
      <c r="F347" s="7" t="s">
        <v>52</v>
      </c>
      <c r="G347" s="7" t="s">
        <v>14</v>
      </c>
      <c r="H347" s="8">
        <v>24</v>
      </c>
      <c r="I347" s="9">
        <v>18000</v>
      </c>
      <c r="J347" s="9">
        <f t="shared" si="44"/>
        <v>432000</v>
      </c>
      <c r="K347" s="6"/>
      <c r="L347" s="21" t="str">
        <f>+VLOOKUP(E347,mã!$B$2:$F$229,2,0)</f>
        <v>NL600004</v>
      </c>
      <c r="M347" s="22">
        <f>+VLOOKUP(T347,Sheet2!$B$2:$P$372,10,0)</f>
        <v>24</v>
      </c>
      <c r="N347" s="23">
        <f>+VLOOKUP(L347,mã!$C$2:$F$229,4,0)</f>
        <v>18000</v>
      </c>
      <c r="O347" s="23">
        <f t="shared" si="45"/>
        <v>432000</v>
      </c>
      <c r="P347" s="23">
        <f t="shared" si="46"/>
        <v>0</v>
      </c>
      <c r="Q347" s="21" t="str">
        <f t="shared" si="47"/>
        <v xml:space="preserve"> </v>
      </c>
      <c r="R347" s="14">
        <f>+VLOOKUP(T347,Sheet2!$B$2:$P$372,13,0)</f>
        <v>432000</v>
      </c>
      <c r="S347" s="24">
        <f t="shared" si="48"/>
        <v>0</v>
      </c>
      <c r="T347" t="str">
        <f t="shared" si="49"/>
        <v>14/01/2026NL600004</v>
      </c>
      <c r="U347" s="15">
        <f t="shared" si="50"/>
        <v>0</v>
      </c>
      <c r="V347" s="25">
        <f t="shared" si="51"/>
        <v>0</v>
      </c>
    </row>
    <row r="348" spans="1:22" x14ac:dyDescent="0.25">
      <c r="A348" s="4" t="s">
        <v>198</v>
      </c>
      <c r="B348" s="5" t="s">
        <v>123</v>
      </c>
      <c r="C348" s="4" t="s">
        <v>124</v>
      </c>
      <c r="D348" s="5" t="s">
        <v>225</v>
      </c>
      <c r="E348" s="7" t="s">
        <v>21</v>
      </c>
      <c r="F348" s="7" t="s">
        <v>22</v>
      </c>
      <c r="G348" s="7" t="s">
        <v>14</v>
      </c>
      <c r="H348" s="8">
        <v>0.3</v>
      </c>
      <c r="I348" s="9">
        <v>55000</v>
      </c>
      <c r="J348" s="9">
        <f t="shared" si="44"/>
        <v>16500</v>
      </c>
      <c r="K348" s="6"/>
      <c r="L348" s="21" t="str">
        <f>+VLOOKUP(E348,mã!$B$2:$F$229,2,0)</f>
        <v>NL300058</v>
      </c>
      <c r="M348" s="22">
        <f>+VLOOKUP(T348,Sheet2!$B$2:$P$372,10,0)</f>
        <v>0.2</v>
      </c>
      <c r="N348" s="23">
        <f>+VLOOKUP(L348,mã!$C$2:$F$229,4,0)</f>
        <v>55000</v>
      </c>
      <c r="O348" s="23">
        <f t="shared" si="45"/>
        <v>11000</v>
      </c>
      <c r="P348" s="23">
        <f t="shared" si="46"/>
        <v>5500</v>
      </c>
      <c r="Q348" s="21" t="str">
        <f t="shared" si="47"/>
        <v>SAI SL NHẬN</v>
      </c>
      <c r="R348" s="14">
        <f>+VLOOKUP(T348,Sheet2!$B$2:$P$372,13,0)</f>
        <v>11000</v>
      </c>
      <c r="S348" s="24">
        <f t="shared" si="48"/>
        <v>0</v>
      </c>
      <c r="T348" t="str">
        <f t="shared" si="49"/>
        <v>14/01/2026NL300058</v>
      </c>
      <c r="U348" s="15">
        <f t="shared" si="50"/>
        <v>9.9999999999999978E-2</v>
      </c>
      <c r="V348" s="25">
        <f t="shared" si="51"/>
        <v>0</v>
      </c>
    </row>
    <row r="349" spans="1:22" x14ac:dyDescent="0.25">
      <c r="A349" s="4" t="s">
        <v>198</v>
      </c>
      <c r="B349" s="5" t="s">
        <v>123</v>
      </c>
      <c r="C349" s="4" t="s">
        <v>124</v>
      </c>
      <c r="D349" s="5" t="s">
        <v>225</v>
      </c>
      <c r="E349" s="7" t="s">
        <v>86</v>
      </c>
      <c r="F349" s="7" t="s">
        <v>85</v>
      </c>
      <c r="G349" s="7" t="s">
        <v>14</v>
      </c>
      <c r="H349" s="8">
        <v>0.5</v>
      </c>
      <c r="I349" s="9">
        <v>38000</v>
      </c>
      <c r="J349" s="9">
        <f t="shared" si="44"/>
        <v>19000</v>
      </c>
      <c r="K349" s="6"/>
      <c r="L349" s="21" t="str">
        <f>+VLOOKUP(E349,mã!$B$2:$F$229,2,0)</f>
        <v>NL300061</v>
      </c>
      <c r="M349" s="22">
        <f>+VLOOKUP(T349,Sheet2!$B$2:$P$372,10,0)</f>
        <v>0.3</v>
      </c>
      <c r="N349" s="23">
        <f>+VLOOKUP(L349,mã!$C$2:$F$229,4,0)</f>
        <v>38000</v>
      </c>
      <c r="O349" s="23">
        <f t="shared" si="45"/>
        <v>11400</v>
      </c>
      <c r="P349" s="23">
        <f t="shared" si="46"/>
        <v>7600</v>
      </c>
      <c r="Q349" s="21" t="str">
        <f t="shared" si="47"/>
        <v>SAI SL NHẬN</v>
      </c>
      <c r="R349" s="14">
        <f>+VLOOKUP(T349,Sheet2!$B$2:$P$372,13,0)</f>
        <v>11400</v>
      </c>
      <c r="S349" s="24">
        <f t="shared" si="48"/>
        <v>0</v>
      </c>
      <c r="T349" t="str">
        <f t="shared" si="49"/>
        <v>14/01/2026NL300061</v>
      </c>
      <c r="U349" s="15">
        <f t="shared" si="50"/>
        <v>0.2</v>
      </c>
      <c r="V349" s="25">
        <f t="shared" si="51"/>
        <v>0</v>
      </c>
    </row>
    <row r="350" spans="1:22" x14ac:dyDescent="0.25">
      <c r="A350" s="4" t="s">
        <v>198</v>
      </c>
      <c r="B350" s="5" t="s">
        <v>123</v>
      </c>
      <c r="C350" s="4" t="s">
        <v>124</v>
      </c>
      <c r="D350" s="5" t="s">
        <v>225</v>
      </c>
      <c r="E350" s="7" t="s">
        <v>84</v>
      </c>
      <c r="F350" s="7" t="s">
        <v>83</v>
      </c>
      <c r="G350" s="7" t="s">
        <v>14</v>
      </c>
      <c r="H350" s="8">
        <v>1.1000000000000001</v>
      </c>
      <c r="I350" s="9">
        <v>23000</v>
      </c>
      <c r="J350" s="9">
        <f t="shared" si="44"/>
        <v>25300.000000000004</v>
      </c>
      <c r="K350" s="6"/>
      <c r="L350" s="21" t="str">
        <f>+VLOOKUP(E350,mã!$B$2:$F$229,2,0)</f>
        <v>NL300070</v>
      </c>
      <c r="M350" s="22">
        <f>+VLOOKUP(T350,Sheet2!$B$2:$P$372,10,0)</f>
        <v>0.8</v>
      </c>
      <c r="N350" s="23">
        <f>+VLOOKUP(L350,mã!$C$2:$F$229,4,0)</f>
        <v>23000</v>
      </c>
      <c r="O350" s="23">
        <f t="shared" si="45"/>
        <v>18400</v>
      </c>
      <c r="P350" s="23">
        <f t="shared" si="46"/>
        <v>6900.0000000000036</v>
      </c>
      <c r="Q350" s="21" t="str">
        <f t="shared" si="47"/>
        <v>SAI SL NHẬN</v>
      </c>
      <c r="R350" s="14">
        <f>+VLOOKUP(T350,Sheet2!$B$2:$P$372,13,0)</f>
        <v>18400</v>
      </c>
      <c r="S350" s="24">
        <f t="shared" si="48"/>
        <v>0</v>
      </c>
      <c r="T350" t="str">
        <f t="shared" si="49"/>
        <v>14/01/2026NL300070</v>
      </c>
      <c r="U350" s="15">
        <f t="shared" si="50"/>
        <v>0.30000000000000004</v>
      </c>
      <c r="V350" s="25">
        <f t="shared" si="51"/>
        <v>0</v>
      </c>
    </row>
    <row r="351" spans="1:22" x14ac:dyDescent="0.25">
      <c r="A351" s="4" t="s">
        <v>198</v>
      </c>
      <c r="B351" s="5" t="s">
        <v>123</v>
      </c>
      <c r="C351" s="4" t="s">
        <v>124</v>
      </c>
      <c r="D351" s="5" t="s">
        <v>225</v>
      </c>
      <c r="E351" s="7" t="s">
        <v>152</v>
      </c>
      <c r="F351" s="7" t="s">
        <v>153</v>
      </c>
      <c r="G351" s="7" t="s">
        <v>14</v>
      </c>
      <c r="H351" s="8">
        <v>1.4</v>
      </c>
      <c r="I351" s="9">
        <v>20000</v>
      </c>
      <c r="J351" s="9">
        <f t="shared" si="44"/>
        <v>28000</v>
      </c>
      <c r="K351" s="6"/>
      <c r="L351" s="21" t="str">
        <f>+VLOOKUP(E351,mã!$B$2:$F$229,2,0)</f>
        <v>NL300071</v>
      </c>
      <c r="M351" s="22">
        <f>+VLOOKUP(T351,Sheet2!$B$2:$P$372,10,0)</f>
        <v>0.3</v>
      </c>
      <c r="N351" s="23">
        <f>+VLOOKUP(L351,mã!$C$2:$F$229,4,0)</f>
        <v>20000</v>
      </c>
      <c r="O351" s="23">
        <f t="shared" si="45"/>
        <v>6000</v>
      </c>
      <c r="P351" s="23">
        <f t="shared" si="46"/>
        <v>22000</v>
      </c>
      <c r="Q351" s="21" t="str">
        <f t="shared" si="47"/>
        <v>SAI SL NHẬN</v>
      </c>
      <c r="R351" s="14">
        <f>+VLOOKUP(T351,Sheet2!$B$2:$P$372,13,0)</f>
        <v>6000</v>
      </c>
      <c r="S351" s="24">
        <f t="shared" si="48"/>
        <v>0</v>
      </c>
      <c r="T351" t="str">
        <f t="shared" si="49"/>
        <v>14/01/2026NL300071</v>
      </c>
      <c r="U351" s="15">
        <f t="shared" si="50"/>
        <v>1.0999999999999999</v>
      </c>
      <c r="V351" s="25">
        <f t="shared" si="51"/>
        <v>0</v>
      </c>
    </row>
    <row r="352" spans="1:22" x14ac:dyDescent="0.25">
      <c r="A352" s="4" t="s">
        <v>198</v>
      </c>
      <c r="B352" s="5" t="s">
        <v>123</v>
      </c>
      <c r="C352" s="4" t="s">
        <v>124</v>
      </c>
      <c r="D352" s="5" t="s">
        <v>225</v>
      </c>
      <c r="E352" s="7" t="s">
        <v>141</v>
      </c>
      <c r="F352" s="7" t="s">
        <v>142</v>
      </c>
      <c r="G352" s="7" t="s">
        <v>14</v>
      </c>
      <c r="H352" s="8">
        <v>1</v>
      </c>
      <c r="I352" s="9">
        <v>95000</v>
      </c>
      <c r="J352" s="9">
        <f t="shared" si="44"/>
        <v>95000</v>
      </c>
      <c r="K352" s="6"/>
      <c r="L352" s="21" t="str">
        <f>+VLOOKUP(E352,mã!$B$2:$F$229,2,0)</f>
        <v>NL300080</v>
      </c>
      <c r="M352" s="22">
        <f>+VLOOKUP(T352,Sheet2!$B$2:$P$372,10,0)</f>
        <v>1</v>
      </c>
      <c r="N352" s="23">
        <f>+VLOOKUP(L352,mã!$C$2:$F$229,4,0)</f>
        <v>95000</v>
      </c>
      <c r="O352" s="23">
        <f t="shared" si="45"/>
        <v>95000</v>
      </c>
      <c r="P352" s="23">
        <f t="shared" si="46"/>
        <v>0</v>
      </c>
      <c r="Q352" s="21" t="str">
        <f t="shared" si="47"/>
        <v xml:space="preserve"> </v>
      </c>
      <c r="R352" s="14">
        <f>+VLOOKUP(T352,Sheet2!$B$2:$P$372,13,0)</f>
        <v>95000</v>
      </c>
      <c r="S352" s="24">
        <f t="shared" si="48"/>
        <v>0</v>
      </c>
      <c r="T352" t="str">
        <f t="shared" si="49"/>
        <v>14/01/2026NL300080</v>
      </c>
      <c r="U352" s="15">
        <f t="shared" si="50"/>
        <v>0</v>
      </c>
      <c r="V352" s="25">
        <f t="shared" si="51"/>
        <v>0</v>
      </c>
    </row>
    <row r="353" spans="1:22" x14ac:dyDescent="0.25">
      <c r="A353" s="4" t="s">
        <v>198</v>
      </c>
      <c r="B353" s="5" t="s">
        <v>123</v>
      </c>
      <c r="C353" s="4" t="s">
        <v>124</v>
      </c>
      <c r="D353" s="5" t="s">
        <v>225</v>
      </c>
      <c r="E353" s="7" t="s">
        <v>39</v>
      </c>
      <c r="F353" s="7" t="s">
        <v>40</v>
      </c>
      <c r="G353" s="7" t="s">
        <v>14</v>
      </c>
      <c r="H353" s="8">
        <v>2</v>
      </c>
      <c r="I353" s="9">
        <v>145000</v>
      </c>
      <c r="J353" s="9">
        <f t="shared" si="44"/>
        <v>290000</v>
      </c>
      <c r="K353" s="6"/>
      <c r="L353" s="21" t="str">
        <f>+VLOOKUP(E353,mã!$B$2:$F$229,2,0)</f>
        <v>NL300090</v>
      </c>
      <c r="M353" s="22">
        <f>+VLOOKUP(T353,Sheet2!$B$2:$P$372,10,0)</f>
        <v>2</v>
      </c>
      <c r="N353" s="23">
        <f>+VLOOKUP(L353,mã!$C$2:$F$229,4,0)</f>
        <v>145000</v>
      </c>
      <c r="O353" s="23">
        <f t="shared" si="45"/>
        <v>290000</v>
      </c>
      <c r="P353" s="23">
        <f t="shared" si="46"/>
        <v>0</v>
      </c>
      <c r="Q353" s="21" t="str">
        <f t="shared" si="47"/>
        <v xml:space="preserve"> </v>
      </c>
      <c r="R353" s="14">
        <f>+VLOOKUP(T353,Sheet2!$B$2:$P$372,13,0)</f>
        <v>290000</v>
      </c>
      <c r="S353" s="24">
        <f t="shared" si="48"/>
        <v>0</v>
      </c>
      <c r="T353" t="str">
        <f t="shared" si="49"/>
        <v>14/01/2026NL300090</v>
      </c>
      <c r="U353" s="15">
        <f t="shared" si="50"/>
        <v>0</v>
      </c>
      <c r="V353" s="25">
        <f t="shared" si="51"/>
        <v>0</v>
      </c>
    </row>
    <row r="354" spans="1:22" x14ac:dyDescent="0.25">
      <c r="A354" s="4" t="s">
        <v>198</v>
      </c>
      <c r="B354" s="5" t="s">
        <v>123</v>
      </c>
      <c r="C354" s="4" t="s">
        <v>124</v>
      </c>
      <c r="D354" s="5" t="s">
        <v>225</v>
      </c>
      <c r="E354" s="7" t="s">
        <v>29</v>
      </c>
      <c r="F354" s="7" t="s">
        <v>30</v>
      </c>
      <c r="G354" s="7" t="s">
        <v>14</v>
      </c>
      <c r="H354" s="8">
        <v>0.4</v>
      </c>
      <c r="I354" s="9">
        <v>45000</v>
      </c>
      <c r="J354" s="9">
        <f t="shared" si="44"/>
        <v>18000</v>
      </c>
      <c r="K354" s="6"/>
      <c r="L354" s="21" t="str">
        <f>+VLOOKUP(E354,mã!$B$2:$F$229,2,0)</f>
        <v>NL300096</v>
      </c>
      <c r="M354" s="22">
        <f>+VLOOKUP(T354,Sheet2!$B$2:$P$372,10,0)</f>
        <v>0.4</v>
      </c>
      <c r="N354" s="23">
        <f>+VLOOKUP(L354,mã!$C$2:$F$229,4,0)</f>
        <v>45000</v>
      </c>
      <c r="O354" s="23">
        <f t="shared" si="45"/>
        <v>18000</v>
      </c>
      <c r="P354" s="23">
        <f t="shared" si="46"/>
        <v>0</v>
      </c>
      <c r="Q354" s="21" t="str">
        <f t="shared" si="47"/>
        <v xml:space="preserve"> </v>
      </c>
      <c r="R354" s="14">
        <f>+VLOOKUP(T354,Sheet2!$B$2:$P$372,13,0)</f>
        <v>18000</v>
      </c>
      <c r="S354" s="24">
        <f t="shared" si="48"/>
        <v>0</v>
      </c>
      <c r="T354" t="str">
        <f t="shared" si="49"/>
        <v>14/01/2026NL300096</v>
      </c>
      <c r="U354" s="15">
        <f t="shared" si="50"/>
        <v>0</v>
      </c>
      <c r="V354" s="25">
        <f t="shared" si="51"/>
        <v>0</v>
      </c>
    </row>
    <row r="355" spans="1:22" x14ac:dyDescent="0.25">
      <c r="A355" s="4" t="s">
        <v>198</v>
      </c>
      <c r="B355" s="5" t="s">
        <v>123</v>
      </c>
      <c r="C355" s="4" t="s">
        <v>124</v>
      </c>
      <c r="D355" s="5" t="s">
        <v>225</v>
      </c>
      <c r="E355" s="7" t="s">
        <v>63</v>
      </c>
      <c r="F355" s="7" t="s">
        <v>64</v>
      </c>
      <c r="G355" s="7" t="s">
        <v>14</v>
      </c>
      <c r="H355" s="8">
        <v>0.1</v>
      </c>
      <c r="I355" s="9">
        <v>45000</v>
      </c>
      <c r="J355" s="9">
        <f t="shared" si="44"/>
        <v>4500</v>
      </c>
      <c r="K355" s="6"/>
      <c r="L355" s="21" t="str">
        <f>+VLOOKUP(E355,mã!$B$2:$F$229,2,0)</f>
        <v>NL300085</v>
      </c>
      <c r="M355" s="22">
        <f>+VLOOKUP(T355,Sheet2!$B$2:$P$372,10,0)</f>
        <v>0.1</v>
      </c>
      <c r="N355" s="23">
        <f>+VLOOKUP(L355,mã!$C$2:$F$229,4,0)</f>
        <v>45000</v>
      </c>
      <c r="O355" s="23">
        <f t="shared" si="45"/>
        <v>4500</v>
      </c>
      <c r="P355" s="23">
        <f t="shared" si="46"/>
        <v>0</v>
      </c>
      <c r="Q355" s="21" t="str">
        <f t="shared" si="47"/>
        <v xml:space="preserve"> </v>
      </c>
      <c r="R355" s="14">
        <f>+VLOOKUP(T355,Sheet2!$B$2:$P$372,13,0)</f>
        <v>4500</v>
      </c>
      <c r="S355" s="24">
        <f t="shared" si="48"/>
        <v>0</v>
      </c>
      <c r="T355" t="str">
        <f t="shared" si="49"/>
        <v>14/01/2026NL300085</v>
      </c>
      <c r="U355" s="15">
        <f t="shared" si="50"/>
        <v>0</v>
      </c>
      <c r="V355" s="25">
        <f t="shared" si="51"/>
        <v>0</v>
      </c>
    </row>
    <row r="356" spans="1:22" x14ac:dyDescent="0.25">
      <c r="A356" s="4" t="s">
        <v>198</v>
      </c>
      <c r="B356" s="5" t="s">
        <v>123</v>
      </c>
      <c r="C356" s="4" t="s">
        <v>124</v>
      </c>
      <c r="D356" s="5" t="s">
        <v>225</v>
      </c>
      <c r="E356" s="7" t="s">
        <v>55</v>
      </c>
      <c r="F356" s="7" t="s">
        <v>56</v>
      </c>
      <c r="G356" s="7" t="s">
        <v>14</v>
      </c>
      <c r="H356" s="8">
        <v>0.3</v>
      </c>
      <c r="I356" s="9">
        <v>70000</v>
      </c>
      <c r="J356" s="9">
        <f t="shared" si="44"/>
        <v>21000</v>
      </c>
      <c r="K356" s="6"/>
      <c r="L356" s="21" t="str">
        <f>+VLOOKUP(E356,mã!$B$2:$F$229,2,0)</f>
        <v>NL300126</v>
      </c>
      <c r="M356" s="22">
        <f>+VLOOKUP(T356,Sheet2!$B$2:$P$372,10,0)</f>
        <v>0.2</v>
      </c>
      <c r="N356" s="23">
        <f>+VLOOKUP(L356,mã!$C$2:$F$229,4,0)</f>
        <v>70000</v>
      </c>
      <c r="O356" s="23">
        <f t="shared" si="45"/>
        <v>14000</v>
      </c>
      <c r="P356" s="23">
        <f t="shared" si="46"/>
        <v>7000</v>
      </c>
      <c r="Q356" s="21" t="str">
        <f t="shared" si="47"/>
        <v>SAI SL NHẬN</v>
      </c>
      <c r="R356" s="14">
        <f>+VLOOKUP(T356,Sheet2!$B$2:$P$372,13,0)</f>
        <v>14000</v>
      </c>
      <c r="S356" s="24">
        <f t="shared" si="48"/>
        <v>0</v>
      </c>
      <c r="T356" t="str">
        <f t="shared" si="49"/>
        <v>14/01/2026NL300126</v>
      </c>
      <c r="U356" s="15">
        <f t="shared" si="50"/>
        <v>9.9999999999999978E-2</v>
      </c>
      <c r="V356" s="25">
        <f t="shared" si="51"/>
        <v>0</v>
      </c>
    </row>
    <row r="357" spans="1:22" x14ac:dyDescent="0.25">
      <c r="A357" s="4" t="s">
        <v>198</v>
      </c>
      <c r="B357" s="5" t="s">
        <v>123</v>
      </c>
      <c r="C357" s="4" t="s">
        <v>124</v>
      </c>
      <c r="D357" s="5" t="s">
        <v>225</v>
      </c>
      <c r="E357" s="7" t="s">
        <v>41</v>
      </c>
      <c r="F357" s="7" t="s">
        <v>42</v>
      </c>
      <c r="G357" s="7" t="s">
        <v>14</v>
      </c>
      <c r="H357" s="8">
        <v>0.2</v>
      </c>
      <c r="I357" s="9">
        <v>145000</v>
      </c>
      <c r="J357" s="9">
        <f t="shared" si="44"/>
        <v>29000</v>
      </c>
      <c r="K357" s="6"/>
      <c r="L357" s="21" t="str">
        <f>+VLOOKUP(E357,mã!$B$2:$F$229,2,0)</f>
        <v>NL300113</v>
      </c>
      <c r="M357" s="22">
        <f>+VLOOKUP(T357,Sheet2!$B$2:$P$372,10,0)</f>
        <v>0.2</v>
      </c>
      <c r="N357" s="23">
        <f>+VLOOKUP(L357,mã!$C$2:$F$229,4,0)</f>
        <v>145000</v>
      </c>
      <c r="O357" s="23">
        <f t="shared" si="45"/>
        <v>29000</v>
      </c>
      <c r="P357" s="23">
        <f t="shared" si="46"/>
        <v>0</v>
      </c>
      <c r="Q357" s="21" t="str">
        <f t="shared" si="47"/>
        <v xml:space="preserve"> </v>
      </c>
      <c r="R357" s="14">
        <f>+VLOOKUP(T357,Sheet2!$B$2:$P$372,13,0)</f>
        <v>29000</v>
      </c>
      <c r="S357" s="24">
        <f t="shared" si="48"/>
        <v>0</v>
      </c>
      <c r="T357" t="str">
        <f t="shared" si="49"/>
        <v>14/01/2026NL300113</v>
      </c>
      <c r="U357" s="15">
        <f t="shared" si="50"/>
        <v>0</v>
      </c>
      <c r="V357" s="25">
        <f t="shared" si="51"/>
        <v>0</v>
      </c>
    </row>
    <row r="358" spans="1:22" x14ac:dyDescent="0.25">
      <c r="A358" s="4" t="s">
        <v>198</v>
      </c>
      <c r="B358" s="5" t="s">
        <v>123</v>
      </c>
      <c r="C358" s="4" t="s">
        <v>124</v>
      </c>
      <c r="D358" s="5" t="s">
        <v>225</v>
      </c>
      <c r="E358" s="7" t="s">
        <v>47</v>
      </c>
      <c r="F358" s="7" t="s">
        <v>48</v>
      </c>
      <c r="G358" s="7" t="s">
        <v>14</v>
      </c>
      <c r="H358" s="8">
        <v>0.5</v>
      </c>
      <c r="I358" s="9">
        <v>21000</v>
      </c>
      <c r="J358" s="9">
        <f t="shared" si="44"/>
        <v>10500</v>
      </c>
      <c r="K358" s="6"/>
      <c r="L358" s="21" t="str">
        <f>+VLOOKUP(E358,mã!$B$2:$F$229,2,0)</f>
        <v>NL300119</v>
      </c>
      <c r="M358" s="22">
        <f>+VLOOKUP(T358,Sheet2!$B$2:$P$372,10,0)</f>
        <v>0.4</v>
      </c>
      <c r="N358" s="23">
        <f>+VLOOKUP(L358,mã!$C$2:$F$229,4,0)</f>
        <v>21000</v>
      </c>
      <c r="O358" s="23">
        <f t="shared" si="45"/>
        <v>8400</v>
      </c>
      <c r="P358" s="23">
        <f t="shared" si="46"/>
        <v>2100</v>
      </c>
      <c r="Q358" s="21" t="str">
        <f t="shared" si="47"/>
        <v>SAI SL NHẬN</v>
      </c>
      <c r="R358" s="14">
        <f>+VLOOKUP(T358,Sheet2!$B$2:$P$372,13,0)</f>
        <v>8400</v>
      </c>
      <c r="S358" s="24">
        <f t="shared" si="48"/>
        <v>0</v>
      </c>
      <c r="T358" t="str">
        <f t="shared" si="49"/>
        <v>14/01/2026NL300119</v>
      </c>
      <c r="U358" s="15">
        <f t="shared" si="50"/>
        <v>9.9999999999999978E-2</v>
      </c>
      <c r="V358" s="25">
        <f t="shared" si="51"/>
        <v>0</v>
      </c>
    </row>
    <row r="359" spans="1:22" x14ac:dyDescent="0.25">
      <c r="A359" s="4" t="s">
        <v>198</v>
      </c>
      <c r="B359" s="5" t="s">
        <v>123</v>
      </c>
      <c r="C359" s="4" t="s">
        <v>124</v>
      </c>
      <c r="D359" s="5" t="s">
        <v>225</v>
      </c>
      <c r="E359" s="7" t="s">
        <v>27</v>
      </c>
      <c r="F359" s="7" t="s">
        <v>28</v>
      </c>
      <c r="G359" s="7" t="s">
        <v>14</v>
      </c>
      <c r="H359" s="8">
        <v>0.4</v>
      </c>
      <c r="I359" s="9">
        <v>50000</v>
      </c>
      <c r="J359" s="9">
        <f t="shared" si="44"/>
        <v>20000</v>
      </c>
      <c r="K359" s="6"/>
      <c r="L359" s="21" t="str">
        <f>+VLOOKUP(E359,mã!$B$2:$F$229,2,0)</f>
        <v>NL300142</v>
      </c>
      <c r="M359" s="22">
        <f>+VLOOKUP(T359,Sheet2!$B$2:$P$372,10,0)</f>
        <v>0.3</v>
      </c>
      <c r="N359" s="23">
        <f>+VLOOKUP(L359,mã!$C$2:$F$229,4,0)</f>
        <v>50000</v>
      </c>
      <c r="O359" s="23">
        <f t="shared" si="45"/>
        <v>15000</v>
      </c>
      <c r="P359" s="23">
        <f t="shared" si="46"/>
        <v>5000</v>
      </c>
      <c r="Q359" s="21" t="str">
        <f t="shared" si="47"/>
        <v>SAI SL NHẬN</v>
      </c>
      <c r="R359" s="14">
        <f>+VLOOKUP(T359,Sheet2!$B$2:$P$372,13,0)</f>
        <v>15000</v>
      </c>
      <c r="S359" s="24">
        <f t="shared" si="48"/>
        <v>0</v>
      </c>
      <c r="T359" t="str">
        <f t="shared" si="49"/>
        <v>14/01/2026NL300142</v>
      </c>
      <c r="U359" s="15">
        <f t="shared" si="50"/>
        <v>0.10000000000000003</v>
      </c>
      <c r="V359" s="25">
        <f t="shared" si="51"/>
        <v>0</v>
      </c>
    </row>
    <row r="360" spans="1:22" x14ac:dyDescent="0.25">
      <c r="A360" s="4" t="s">
        <v>198</v>
      </c>
      <c r="B360" s="5" t="s">
        <v>123</v>
      </c>
      <c r="C360" s="4" t="s">
        <v>124</v>
      </c>
      <c r="D360" s="5" t="s">
        <v>225</v>
      </c>
      <c r="E360" s="7" t="s">
        <v>210</v>
      </c>
      <c r="F360" s="7" t="s">
        <v>211</v>
      </c>
      <c r="G360" s="7" t="s">
        <v>14</v>
      </c>
      <c r="H360" s="8">
        <v>1</v>
      </c>
      <c r="I360" s="9">
        <v>68000</v>
      </c>
      <c r="J360" s="9">
        <f t="shared" si="44"/>
        <v>68000</v>
      </c>
      <c r="K360" s="6"/>
      <c r="L360" s="21" t="s">
        <v>846</v>
      </c>
      <c r="M360" s="22">
        <f>+VLOOKUP(T360,Sheet2!$B$2:$P$372,10,0)</f>
        <v>0.8</v>
      </c>
      <c r="N360" s="23">
        <f>+VLOOKUP(L360,mã!$C$2:$F$229,4,0)</f>
        <v>68000</v>
      </c>
      <c r="O360" s="23">
        <f t="shared" si="45"/>
        <v>54400</v>
      </c>
      <c r="P360" s="23">
        <f t="shared" si="46"/>
        <v>13600</v>
      </c>
      <c r="Q360" s="21" t="str">
        <f t="shared" si="47"/>
        <v>SAI SL NHẬN</v>
      </c>
      <c r="R360" s="14">
        <f>+VLOOKUP(T360,Sheet2!$B$2:$P$372,13,0)</f>
        <v>54400</v>
      </c>
      <c r="S360" s="24">
        <f t="shared" si="48"/>
        <v>0</v>
      </c>
      <c r="T360" t="str">
        <f t="shared" si="49"/>
        <v>14/01/2026NL300232</v>
      </c>
      <c r="U360" s="15">
        <f t="shared" si="50"/>
        <v>0.19999999999999996</v>
      </c>
      <c r="V360" s="25">
        <f t="shared" si="51"/>
        <v>0</v>
      </c>
    </row>
    <row r="361" spans="1:22" x14ac:dyDescent="0.25">
      <c r="A361" s="4" t="s">
        <v>198</v>
      </c>
      <c r="B361" s="5" t="s">
        <v>123</v>
      </c>
      <c r="C361" s="4" t="s">
        <v>124</v>
      </c>
      <c r="D361" s="5" t="s">
        <v>225</v>
      </c>
      <c r="E361" s="7" t="s">
        <v>145</v>
      </c>
      <c r="F361" s="7" t="s">
        <v>146</v>
      </c>
      <c r="G361" s="7" t="s">
        <v>14</v>
      </c>
      <c r="H361" s="8">
        <v>4</v>
      </c>
      <c r="I361" s="9">
        <v>38000</v>
      </c>
      <c r="J361" s="9">
        <f t="shared" si="44"/>
        <v>152000</v>
      </c>
      <c r="K361" s="6"/>
      <c r="L361" s="21" t="str">
        <f>+VLOOKUP(E361,mã!$B$2:$F$229,2,0)</f>
        <v>NL300145</v>
      </c>
      <c r="M361" s="22">
        <f>+VLOOKUP(T361,Sheet2!$B$2:$P$372,10,0)</f>
        <v>2</v>
      </c>
      <c r="N361" s="23">
        <f>+VLOOKUP(L361,mã!$C$2:$F$229,4,0)</f>
        <v>38000</v>
      </c>
      <c r="O361" s="23">
        <f t="shared" si="45"/>
        <v>76000</v>
      </c>
      <c r="P361" s="23">
        <f t="shared" si="46"/>
        <v>76000</v>
      </c>
      <c r="Q361" s="21" t="str">
        <f t="shared" si="47"/>
        <v>SAI SL NHẬN</v>
      </c>
      <c r="R361" s="14">
        <f>+VLOOKUP(T361,Sheet2!$B$2:$P$372,13,0)</f>
        <v>76000</v>
      </c>
      <c r="S361" s="24">
        <f t="shared" si="48"/>
        <v>0</v>
      </c>
      <c r="T361" t="str">
        <f t="shared" si="49"/>
        <v>14/01/2026NL300145</v>
      </c>
      <c r="U361" s="15">
        <f t="shared" si="50"/>
        <v>2</v>
      </c>
      <c r="V361" s="25">
        <f t="shared" si="51"/>
        <v>0</v>
      </c>
    </row>
    <row r="362" spans="1:22" x14ac:dyDescent="0.25">
      <c r="A362" s="4" t="s">
        <v>198</v>
      </c>
      <c r="B362" s="5" t="s">
        <v>123</v>
      </c>
      <c r="C362" s="4" t="s">
        <v>124</v>
      </c>
      <c r="D362" s="5" t="s">
        <v>225</v>
      </c>
      <c r="E362" s="7" t="s">
        <v>66</v>
      </c>
      <c r="F362" s="7" t="s">
        <v>65</v>
      </c>
      <c r="G362" s="7" t="s">
        <v>14</v>
      </c>
      <c r="H362" s="8">
        <v>1.2</v>
      </c>
      <c r="I362" s="9">
        <v>62000</v>
      </c>
      <c r="J362" s="9">
        <f t="shared" si="44"/>
        <v>74400</v>
      </c>
      <c r="K362" s="6"/>
      <c r="L362" s="21" t="str">
        <f>+VLOOKUP(E362,mã!$B$2:$F$229,2,0)</f>
        <v>NL300147</v>
      </c>
      <c r="M362" s="22">
        <f>+VLOOKUP(T362,Sheet2!$B$2:$P$372,10,0)</f>
        <v>1</v>
      </c>
      <c r="N362" s="23">
        <f>+VLOOKUP(L362,mã!$C$2:$F$229,4,0)</f>
        <v>62000</v>
      </c>
      <c r="O362" s="23">
        <f t="shared" si="45"/>
        <v>62000</v>
      </c>
      <c r="P362" s="23">
        <f t="shared" si="46"/>
        <v>12400</v>
      </c>
      <c r="Q362" s="21" t="str">
        <f t="shared" si="47"/>
        <v>SAI SL NHẬN</v>
      </c>
      <c r="R362" s="14">
        <f>+VLOOKUP(T362,Sheet2!$B$2:$P$372,13,0)</f>
        <v>62000</v>
      </c>
      <c r="S362" s="24">
        <f t="shared" si="48"/>
        <v>0</v>
      </c>
      <c r="T362" t="str">
        <f t="shared" si="49"/>
        <v>14/01/2026NL300147</v>
      </c>
      <c r="U362" s="15">
        <f t="shared" si="50"/>
        <v>0.19999999999999996</v>
      </c>
      <c r="V362" s="25">
        <f t="shared" si="51"/>
        <v>0</v>
      </c>
    </row>
    <row r="363" spans="1:22" x14ac:dyDescent="0.25">
      <c r="A363" s="4" t="s">
        <v>198</v>
      </c>
      <c r="B363" s="5" t="s">
        <v>123</v>
      </c>
      <c r="C363" s="4" t="s">
        <v>124</v>
      </c>
      <c r="D363" s="5" t="s">
        <v>226</v>
      </c>
      <c r="E363" s="7" t="s">
        <v>141</v>
      </c>
      <c r="F363" s="7" t="s">
        <v>142</v>
      </c>
      <c r="G363" s="7" t="s">
        <v>14</v>
      </c>
      <c r="H363" s="8">
        <v>1</v>
      </c>
      <c r="I363" s="9">
        <v>95000</v>
      </c>
      <c r="J363" s="9">
        <f t="shared" si="44"/>
        <v>95000</v>
      </c>
      <c r="K363" s="6"/>
      <c r="L363" s="21" t="str">
        <f>+VLOOKUP(E363,mã!$B$2:$F$229,2,0)</f>
        <v>NL300080</v>
      </c>
      <c r="M363" s="22">
        <v>0</v>
      </c>
      <c r="N363" s="23">
        <f>+VLOOKUP(L363,mã!$C$2:$F$229,4,0)</f>
        <v>95000</v>
      </c>
      <c r="O363" s="23">
        <f t="shared" si="45"/>
        <v>0</v>
      </c>
      <c r="P363" s="23">
        <f t="shared" si="46"/>
        <v>95000</v>
      </c>
      <c r="Q363" s="21" t="str">
        <f t="shared" si="47"/>
        <v>SAI SL NHẬN</v>
      </c>
      <c r="R363" s="14">
        <f>+VLOOKUP(T363,Sheet2!$B$2:$P$372,13,0)</f>
        <v>95000</v>
      </c>
      <c r="S363" s="24">
        <f t="shared" si="48"/>
        <v>-95000</v>
      </c>
      <c r="T363" t="str">
        <f t="shared" si="49"/>
        <v>14/01/2026NL300080</v>
      </c>
      <c r="U363" s="15">
        <f t="shared" si="50"/>
        <v>1</v>
      </c>
      <c r="V363" s="25">
        <f t="shared" si="51"/>
        <v>0</v>
      </c>
    </row>
    <row r="364" spans="1:22" x14ac:dyDescent="0.25">
      <c r="A364" s="4" t="s">
        <v>201</v>
      </c>
      <c r="B364" s="5" t="s">
        <v>123</v>
      </c>
      <c r="C364" s="4" t="s">
        <v>124</v>
      </c>
      <c r="D364" s="5" t="s">
        <v>227</v>
      </c>
      <c r="E364" s="7" t="s">
        <v>16</v>
      </c>
      <c r="F364" s="7" t="s">
        <v>17</v>
      </c>
      <c r="G364" s="7" t="s">
        <v>18</v>
      </c>
      <c r="H364" s="8">
        <v>6</v>
      </c>
      <c r="I364" s="9">
        <v>8500</v>
      </c>
      <c r="J364" s="9">
        <f t="shared" si="44"/>
        <v>51000</v>
      </c>
      <c r="K364" s="6"/>
      <c r="L364" s="21" t="str">
        <f>+VLOOKUP(E364,mã!$B$2:$F$229,2,0)</f>
        <v>NL300107</v>
      </c>
      <c r="M364" s="22">
        <f>+VLOOKUP(T364,Sheet2!$B$2:$P$372,10,0)</f>
        <v>5</v>
      </c>
      <c r="N364" s="23">
        <f>+VLOOKUP(L364,mã!$C$2:$F$229,4,0)</f>
        <v>8500</v>
      </c>
      <c r="O364" s="23">
        <f t="shared" si="45"/>
        <v>42500</v>
      </c>
      <c r="P364" s="23">
        <f t="shared" si="46"/>
        <v>8500</v>
      </c>
      <c r="Q364" s="21" t="str">
        <f t="shared" si="47"/>
        <v>SAI SL NHẬN</v>
      </c>
      <c r="R364" s="14">
        <f>+VLOOKUP(T364,Sheet2!$B$2:$P$372,13,0)</f>
        <v>42500</v>
      </c>
      <c r="S364" s="24">
        <f t="shared" si="48"/>
        <v>0</v>
      </c>
      <c r="T364" t="str">
        <f t="shared" si="49"/>
        <v>15/01/2026NL300107</v>
      </c>
      <c r="U364" s="15">
        <f t="shared" si="50"/>
        <v>1</v>
      </c>
      <c r="V364" s="25">
        <f t="shared" si="51"/>
        <v>0</v>
      </c>
    </row>
    <row r="365" spans="1:22" x14ac:dyDescent="0.25">
      <c r="A365" s="4" t="s">
        <v>201</v>
      </c>
      <c r="B365" s="5" t="s">
        <v>123</v>
      </c>
      <c r="C365" s="4" t="s">
        <v>124</v>
      </c>
      <c r="D365" s="5" t="s">
        <v>227</v>
      </c>
      <c r="E365" s="7" t="s">
        <v>59</v>
      </c>
      <c r="F365" s="7" t="s">
        <v>60</v>
      </c>
      <c r="G365" s="7" t="s">
        <v>14</v>
      </c>
      <c r="H365" s="8">
        <v>0.9</v>
      </c>
      <c r="I365" s="9">
        <v>30000</v>
      </c>
      <c r="J365" s="9">
        <f t="shared" si="44"/>
        <v>27000</v>
      </c>
      <c r="K365" s="6"/>
      <c r="L365" s="21" t="str">
        <f>+VLOOKUP(E365,mã!$B$2:$F$229,2,0)</f>
        <v>NL300007</v>
      </c>
      <c r="M365" s="22">
        <f>+VLOOKUP(T365,Sheet2!$B$2:$P$372,10,0)</f>
        <v>0.9</v>
      </c>
      <c r="N365" s="23">
        <f>+VLOOKUP(L365,mã!$C$2:$F$229,4,0)</f>
        <v>30000</v>
      </c>
      <c r="O365" s="23">
        <f t="shared" si="45"/>
        <v>27000</v>
      </c>
      <c r="P365" s="23">
        <f t="shared" si="46"/>
        <v>0</v>
      </c>
      <c r="Q365" s="21" t="str">
        <f t="shared" si="47"/>
        <v xml:space="preserve"> </v>
      </c>
      <c r="R365" s="14">
        <f>+VLOOKUP(T365,Sheet2!$B$2:$P$372,13,0)</f>
        <v>27000</v>
      </c>
      <c r="S365" s="24">
        <f t="shared" si="48"/>
        <v>0</v>
      </c>
      <c r="T365" t="str">
        <f t="shared" si="49"/>
        <v>15/01/2026NL300007</v>
      </c>
      <c r="U365" s="15">
        <f t="shared" si="50"/>
        <v>0</v>
      </c>
      <c r="V365" s="25">
        <f t="shared" si="51"/>
        <v>0</v>
      </c>
    </row>
    <row r="366" spans="1:22" x14ac:dyDescent="0.25">
      <c r="A366" s="4" t="s">
        <v>201</v>
      </c>
      <c r="B366" s="5" t="s">
        <v>123</v>
      </c>
      <c r="C366" s="4" t="s">
        <v>124</v>
      </c>
      <c r="D366" s="5" t="s">
        <v>227</v>
      </c>
      <c r="E366" s="7" t="s">
        <v>101</v>
      </c>
      <c r="F366" s="7" t="s">
        <v>100</v>
      </c>
      <c r="G366" s="7" t="s">
        <v>14</v>
      </c>
      <c r="H366" s="8">
        <v>1.1000000000000001</v>
      </c>
      <c r="I366" s="9">
        <v>40000</v>
      </c>
      <c r="J366" s="9">
        <f t="shared" si="44"/>
        <v>44000</v>
      </c>
      <c r="K366" s="6"/>
      <c r="L366" s="21" t="str">
        <f>+VLOOKUP(E366,mã!$B$2:$F$229,2,0)</f>
        <v>NL300008</v>
      </c>
      <c r="M366" s="22">
        <f>+VLOOKUP(T366,Sheet2!$B$2:$P$372,10,0)</f>
        <v>1.1000000000000001</v>
      </c>
      <c r="N366" s="23">
        <f>+VLOOKUP(L366,mã!$C$2:$F$229,4,0)</f>
        <v>40000</v>
      </c>
      <c r="O366" s="23">
        <f t="shared" si="45"/>
        <v>44000</v>
      </c>
      <c r="P366" s="23">
        <f t="shared" si="46"/>
        <v>0</v>
      </c>
      <c r="Q366" s="21" t="str">
        <f t="shared" si="47"/>
        <v xml:space="preserve"> </v>
      </c>
      <c r="R366" s="14">
        <f>+VLOOKUP(T366,Sheet2!$B$2:$P$372,13,0)</f>
        <v>44000</v>
      </c>
      <c r="S366" s="24">
        <f t="shared" si="48"/>
        <v>0</v>
      </c>
      <c r="T366" t="str">
        <f t="shared" si="49"/>
        <v>15/01/2026NL300008</v>
      </c>
      <c r="U366" s="15">
        <f t="shared" si="50"/>
        <v>0</v>
      </c>
      <c r="V366" s="25">
        <f t="shared" si="51"/>
        <v>0</v>
      </c>
    </row>
    <row r="367" spans="1:22" x14ac:dyDescent="0.25">
      <c r="A367" s="4" t="s">
        <v>201</v>
      </c>
      <c r="B367" s="5" t="s">
        <v>123</v>
      </c>
      <c r="C367" s="4" t="s">
        <v>124</v>
      </c>
      <c r="D367" s="5" t="s">
        <v>227</v>
      </c>
      <c r="E367" s="7" t="s">
        <v>131</v>
      </c>
      <c r="F367" s="7" t="s">
        <v>132</v>
      </c>
      <c r="G367" s="7" t="s">
        <v>14</v>
      </c>
      <c r="H367" s="8">
        <v>1</v>
      </c>
      <c r="I367" s="9">
        <v>55000</v>
      </c>
      <c r="J367" s="9">
        <f t="shared" si="44"/>
        <v>55000</v>
      </c>
      <c r="K367" s="6"/>
      <c r="L367" s="21" t="str">
        <f>+VLOOKUP(E367,mã!$B$2:$F$229,2,0)</f>
        <v>NL300014</v>
      </c>
      <c r="M367" s="22">
        <f>+VLOOKUP(T367,Sheet2!$B$2:$P$372,10,0)</f>
        <v>0.4</v>
      </c>
      <c r="N367" s="23">
        <f>+VLOOKUP(L367,mã!$C$2:$F$229,4,0)</f>
        <v>55000</v>
      </c>
      <c r="O367" s="23">
        <f t="shared" si="45"/>
        <v>22000</v>
      </c>
      <c r="P367" s="23">
        <f t="shared" si="46"/>
        <v>33000</v>
      </c>
      <c r="Q367" s="21" t="str">
        <f t="shared" si="47"/>
        <v>SAI SL NHẬN</v>
      </c>
      <c r="R367" s="14">
        <f>+VLOOKUP(T367,Sheet2!$B$2:$P$372,13,0)</f>
        <v>22000</v>
      </c>
      <c r="S367" s="24">
        <f t="shared" si="48"/>
        <v>0</v>
      </c>
      <c r="T367" t="str">
        <f t="shared" si="49"/>
        <v>15/01/2026NL300014</v>
      </c>
      <c r="U367" s="15">
        <f t="shared" si="50"/>
        <v>0.6</v>
      </c>
      <c r="V367" s="25">
        <f t="shared" si="51"/>
        <v>0</v>
      </c>
    </row>
    <row r="368" spans="1:22" x14ac:dyDescent="0.25">
      <c r="A368" s="4" t="s">
        <v>201</v>
      </c>
      <c r="B368" s="5" t="s">
        <v>123</v>
      </c>
      <c r="C368" s="4" t="s">
        <v>124</v>
      </c>
      <c r="D368" s="5" t="s">
        <v>227</v>
      </c>
      <c r="E368" s="7" t="s">
        <v>125</v>
      </c>
      <c r="F368" s="7" t="s">
        <v>126</v>
      </c>
      <c r="G368" s="7" t="s">
        <v>14</v>
      </c>
      <c r="H368" s="8">
        <v>1</v>
      </c>
      <c r="I368" s="9">
        <v>18000</v>
      </c>
      <c r="J368" s="9">
        <f t="shared" si="44"/>
        <v>18000</v>
      </c>
      <c r="K368" s="6"/>
      <c r="L368" s="21" t="str">
        <f>+VLOOKUP(E368,mã!$B$2:$F$229,2,0)</f>
        <v>NL300027</v>
      </c>
      <c r="M368" s="22">
        <f>+VLOOKUP(T368,Sheet2!$B$2:$P$372,10,0)</f>
        <v>1</v>
      </c>
      <c r="N368" s="23">
        <f>+VLOOKUP(L368,mã!$C$2:$F$229,4,0)</f>
        <v>18000</v>
      </c>
      <c r="O368" s="23">
        <f t="shared" si="45"/>
        <v>18000</v>
      </c>
      <c r="P368" s="23">
        <f t="shared" si="46"/>
        <v>0</v>
      </c>
      <c r="Q368" s="21" t="str">
        <f t="shared" si="47"/>
        <v xml:space="preserve"> </v>
      </c>
      <c r="R368" s="14">
        <f>+VLOOKUP(T368,Sheet2!$B$2:$P$372,13,0)</f>
        <v>18000</v>
      </c>
      <c r="S368" s="24">
        <f t="shared" si="48"/>
        <v>0</v>
      </c>
      <c r="T368" t="str">
        <f t="shared" si="49"/>
        <v>15/01/2026NL300027</v>
      </c>
      <c r="U368" s="15">
        <f t="shared" si="50"/>
        <v>0</v>
      </c>
      <c r="V368" s="25">
        <f t="shared" si="51"/>
        <v>0</v>
      </c>
    </row>
    <row r="369" spans="1:22" x14ac:dyDescent="0.25">
      <c r="A369" s="4" t="s">
        <v>201</v>
      </c>
      <c r="B369" s="5" t="s">
        <v>123</v>
      </c>
      <c r="C369" s="4" t="s">
        <v>124</v>
      </c>
      <c r="D369" s="5" t="s">
        <v>227</v>
      </c>
      <c r="E369" s="7" t="s">
        <v>19</v>
      </c>
      <c r="F369" s="7" t="s">
        <v>20</v>
      </c>
      <c r="G369" s="7" t="s">
        <v>14</v>
      </c>
      <c r="H369" s="8">
        <v>1</v>
      </c>
      <c r="I369" s="9">
        <v>32000</v>
      </c>
      <c r="J369" s="9">
        <f t="shared" si="44"/>
        <v>32000</v>
      </c>
      <c r="K369" s="6"/>
      <c r="L369" s="21" t="str">
        <f>+VLOOKUP(E369,mã!$B$2:$F$229,2,0)</f>
        <v>NL300038</v>
      </c>
      <c r="M369" s="22">
        <f>+VLOOKUP(T369,Sheet2!$B$2:$P$372,10,0)</f>
        <v>0.9</v>
      </c>
      <c r="N369" s="23">
        <f>+VLOOKUP(L369,mã!$C$2:$F$229,4,0)</f>
        <v>32000</v>
      </c>
      <c r="O369" s="23">
        <f t="shared" si="45"/>
        <v>28800</v>
      </c>
      <c r="P369" s="23">
        <f t="shared" si="46"/>
        <v>3200</v>
      </c>
      <c r="Q369" s="21" t="str">
        <f t="shared" si="47"/>
        <v>SAI SL NHẬN</v>
      </c>
      <c r="R369" s="14">
        <f>+VLOOKUP(T369,Sheet2!$B$2:$P$372,13,0)</f>
        <v>28800</v>
      </c>
      <c r="S369" s="24">
        <f t="shared" si="48"/>
        <v>0</v>
      </c>
      <c r="T369" t="str">
        <f t="shared" si="49"/>
        <v>15/01/2026NL300038</v>
      </c>
      <c r="U369" s="15">
        <f t="shared" si="50"/>
        <v>9.9999999999999978E-2</v>
      </c>
      <c r="V369" s="25">
        <f t="shared" si="51"/>
        <v>0</v>
      </c>
    </row>
    <row r="370" spans="1:22" ht="28.5" x14ac:dyDescent="0.25">
      <c r="A370" s="4" t="s">
        <v>201</v>
      </c>
      <c r="B370" s="5" t="s">
        <v>123</v>
      </c>
      <c r="C370" s="4" t="s">
        <v>124</v>
      </c>
      <c r="D370" s="5" t="s">
        <v>227</v>
      </c>
      <c r="E370" s="7" t="s">
        <v>89</v>
      </c>
      <c r="F370" s="7" t="s">
        <v>88</v>
      </c>
      <c r="G370" s="7" t="s">
        <v>87</v>
      </c>
      <c r="H370" s="8">
        <v>3</v>
      </c>
      <c r="I370" s="9">
        <v>15000</v>
      </c>
      <c r="J370" s="9">
        <f t="shared" si="44"/>
        <v>45000</v>
      </c>
      <c r="K370" s="6"/>
      <c r="L370" s="21" t="str">
        <f>+VLOOKUP(E370,mã!$B$2:$F$229,2,0)</f>
        <v>NL300041</v>
      </c>
      <c r="M370" s="22">
        <f>+VLOOKUP(T370,Sheet2!$B$2:$P$372,10,0)</f>
        <v>3</v>
      </c>
      <c r="N370" s="23">
        <f>+VLOOKUP(L370,mã!$C$2:$F$229,4,0)</f>
        <v>15000</v>
      </c>
      <c r="O370" s="23">
        <f t="shared" si="45"/>
        <v>45000</v>
      </c>
      <c r="P370" s="23">
        <f t="shared" si="46"/>
        <v>0</v>
      </c>
      <c r="Q370" s="21" t="str">
        <f t="shared" si="47"/>
        <v xml:space="preserve"> </v>
      </c>
      <c r="R370" s="14">
        <f>+VLOOKUP(T370,Sheet2!$B$2:$P$372,13,0)</f>
        <v>45000</v>
      </c>
      <c r="S370" s="24">
        <f t="shared" si="48"/>
        <v>0</v>
      </c>
      <c r="T370" t="str">
        <f t="shared" si="49"/>
        <v>15/01/2026NL300041</v>
      </c>
      <c r="U370" s="15">
        <f t="shared" si="50"/>
        <v>0</v>
      </c>
      <c r="V370" s="25">
        <f t="shared" si="51"/>
        <v>0</v>
      </c>
    </row>
    <row r="371" spans="1:22" x14ac:dyDescent="0.25">
      <c r="A371" s="4" t="s">
        <v>201</v>
      </c>
      <c r="B371" s="5" t="s">
        <v>123</v>
      </c>
      <c r="C371" s="4" t="s">
        <v>124</v>
      </c>
      <c r="D371" s="5" t="s">
        <v>227</v>
      </c>
      <c r="E371" s="7" t="s">
        <v>51</v>
      </c>
      <c r="F371" s="7" t="s">
        <v>52</v>
      </c>
      <c r="G371" s="7" t="s">
        <v>14</v>
      </c>
      <c r="H371" s="8">
        <v>14.5</v>
      </c>
      <c r="I371" s="9">
        <v>18000</v>
      </c>
      <c r="J371" s="9">
        <f t="shared" si="44"/>
        <v>261000</v>
      </c>
      <c r="K371" s="6"/>
      <c r="L371" s="21" t="str">
        <f>+VLOOKUP(E371,mã!$B$2:$F$229,2,0)</f>
        <v>NL600004</v>
      </c>
      <c r="M371" s="22">
        <f>+VLOOKUP(T371,Sheet2!$B$2:$P$372,10,0)</f>
        <v>14.5</v>
      </c>
      <c r="N371" s="23">
        <f>+VLOOKUP(L371,mã!$C$2:$F$229,4,0)</f>
        <v>18000</v>
      </c>
      <c r="O371" s="23">
        <f t="shared" si="45"/>
        <v>261000</v>
      </c>
      <c r="P371" s="23">
        <f t="shared" si="46"/>
        <v>0</v>
      </c>
      <c r="Q371" s="21" t="str">
        <f t="shared" si="47"/>
        <v xml:space="preserve"> </v>
      </c>
      <c r="R371" s="14">
        <f>+VLOOKUP(T371,Sheet2!$B$2:$P$372,13,0)</f>
        <v>261000</v>
      </c>
      <c r="S371" s="24">
        <f t="shared" si="48"/>
        <v>0</v>
      </c>
      <c r="T371" t="str">
        <f t="shared" si="49"/>
        <v>15/01/2026NL600004</v>
      </c>
      <c r="U371" s="15">
        <f t="shared" si="50"/>
        <v>0</v>
      </c>
      <c r="V371" s="25">
        <f t="shared" si="51"/>
        <v>0</v>
      </c>
    </row>
    <row r="372" spans="1:22" x14ac:dyDescent="0.25">
      <c r="A372" s="4" t="s">
        <v>201</v>
      </c>
      <c r="B372" s="5" t="s">
        <v>123</v>
      </c>
      <c r="C372" s="4" t="s">
        <v>124</v>
      </c>
      <c r="D372" s="5" t="s">
        <v>227</v>
      </c>
      <c r="E372" s="7" t="s">
        <v>137</v>
      </c>
      <c r="F372" s="7" t="s">
        <v>138</v>
      </c>
      <c r="G372" s="7" t="s">
        <v>14</v>
      </c>
      <c r="H372" s="8">
        <v>0.3</v>
      </c>
      <c r="I372" s="9">
        <v>9000</v>
      </c>
      <c r="J372" s="9">
        <f t="shared" si="44"/>
        <v>2700</v>
      </c>
      <c r="K372" s="6"/>
      <c r="L372" s="21" t="str">
        <f>+VLOOKUP(E372,mã!$B$2:$F$229,2,0)</f>
        <v>NL300050</v>
      </c>
      <c r="M372" s="22">
        <f>+VLOOKUP(T372,Sheet2!$B$2:$P$372,10,0)</f>
        <v>0.3</v>
      </c>
      <c r="N372" s="23">
        <f>+VLOOKUP(L372,mã!$C$2:$F$229,4,0)</f>
        <v>9000</v>
      </c>
      <c r="O372" s="23">
        <f t="shared" si="45"/>
        <v>2700</v>
      </c>
      <c r="P372" s="23">
        <f t="shared" si="46"/>
        <v>0</v>
      </c>
      <c r="Q372" s="21" t="str">
        <f t="shared" si="47"/>
        <v xml:space="preserve"> </v>
      </c>
      <c r="R372" s="14">
        <f>+VLOOKUP(T372,Sheet2!$B$2:$P$372,13,0)</f>
        <v>2700</v>
      </c>
      <c r="S372" s="24">
        <f t="shared" si="48"/>
        <v>0</v>
      </c>
      <c r="T372" t="str">
        <f t="shared" si="49"/>
        <v>15/01/2026NL300050</v>
      </c>
      <c r="U372" s="15">
        <f t="shared" si="50"/>
        <v>0</v>
      </c>
      <c r="V372" s="25">
        <f t="shared" si="51"/>
        <v>0</v>
      </c>
    </row>
    <row r="373" spans="1:22" x14ac:dyDescent="0.25">
      <c r="A373" s="4" t="s">
        <v>201</v>
      </c>
      <c r="B373" s="5" t="s">
        <v>123</v>
      </c>
      <c r="C373" s="4" t="s">
        <v>124</v>
      </c>
      <c r="D373" s="5" t="s">
        <v>227</v>
      </c>
      <c r="E373" s="7" t="s">
        <v>139</v>
      </c>
      <c r="F373" s="7" t="s">
        <v>140</v>
      </c>
      <c r="G373" s="7" t="s">
        <v>14</v>
      </c>
      <c r="H373" s="8">
        <v>0.3</v>
      </c>
      <c r="I373" s="9">
        <v>30000</v>
      </c>
      <c r="J373" s="9">
        <f t="shared" si="44"/>
        <v>9000</v>
      </c>
      <c r="K373" s="6"/>
      <c r="L373" s="21" t="str">
        <f>+VLOOKUP(E373,mã!$B$2:$F$229,2,0)</f>
        <v>NL300053</v>
      </c>
      <c r="M373" s="22">
        <f>+VLOOKUP(T373,Sheet2!$B$2:$P$372,10,0)</f>
        <v>0.3</v>
      </c>
      <c r="N373" s="23">
        <f>+VLOOKUP(L373,mã!$C$2:$F$229,4,0)</f>
        <v>30000</v>
      </c>
      <c r="O373" s="23">
        <f t="shared" si="45"/>
        <v>9000</v>
      </c>
      <c r="P373" s="23">
        <f t="shared" si="46"/>
        <v>0</v>
      </c>
      <c r="Q373" s="21" t="str">
        <f t="shared" si="47"/>
        <v xml:space="preserve"> </v>
      </c>
      <c r="R373" s="14">
        <f>+VLOOKUP(T373,Sheet2!$B$2:$P$372,13,0)</f>
        <v>9000</v>
      </c>
      <c r="S373" s="24">
        <f t="shared" si="48"/>
        <v>0</v>
      </c>
      <c r="T373" t="str">
        <f t="shared" si="49"/>
        <v>15/01/2026NL300053</v>
      </c>
      <c r="U373" s="15">
        <f t="shared" si="50"/>
        <v>0</v>
      </c>
      <c r="V373" s="25">
        <f t="shared" si="51"/>
        <v>0</v>
      </c>
    </row>
    <row r="374" spans="1:22" x14ac:dyDescent="0.25">
      <c r="A374" s="4" t="s">
        <v>201</v>
      </c>
      <c r="B374" s="5" t="s">
        <v>123</v>
      </c>
      <c r="C374" s="4" t="s">
        <v>124</v>
      </c>
      <c r="D374" s="5" t="s">
        <v>227</v>
      </c>
      <c r="E374" s="7" t="s">
        <v>21</v>
      </c>
      <c r="F374" s="7" t="s">
        <v>22</v>
      </c>
      <c r="G374" s="7" t="s">
        <v>14</v>
      </c>
      <c r="H374" s="8">
        <v>0.3</v>
      </c>
      <c r="I374" s="9">
        <v>55000</v>
      </c>
      <c r="J374" s="9">
        <f t="shared" si="44"/>
        <v>16500</v>
      </c>
      <c r="K374" s="6"/>
      <c r="L374" s="21" t="str">
        <f>+VLOOKUP(E374,mã!$B$2:$F$229,2,0)</f>
        <v>NL300058</v>
      </c>
      <c r="M374" s="22">
        <f>+VLOOKUP(T374,Sheet2!$B$2:$P$372,10,0)</f>
        <v>0.3</v>
      </c>
      <c r="N374" s="23">
        <f>+VLOOKUP(L374,mã!$C$2:$F$229,4,0)</f>
        <v>55000</v>
      </c>
      <c r="O374" s="23">
        <f t="shared" si="45"/>
        <v>16500</v>
      </c>
      <c r="P374" s="23">
        <f t="shared" si="46"/>
        <v>0</v>
      </c>
      <c r="Q374" s="21" t="str">
        <f t="shared" si="47"/>
        <v xml:space="preserve"> </v>
      </c>
      <c r="R374" s="14">
        <f>+VLOOKUP(T374,Sheet2!$B$2:$P$372,13,0)</f>
        <v>16500</v>
      </c>
      <c r="S374" s="24">
        <f t="shared" si="48"/>
        <v>0</v>
      </c>
      <c r="T374" t="str">
        <f t="shared" si="49"/>
        <v>15/01/2026NL300058</v>
      </c>
      <c r="U374" s="15">
        <f t="shared" si="50"/>
        <v>0</v>
      </c>
      <c r="V374" s="25">
        <f t="shared" si="51"/>
        <v>0</v>
      </c>
    </row>
    <row r="375" spans="1:22" x14ac:dyDescent="0.25">
      <c r="A375" s="4" t="s">
        <v>201</v>
      </c>
      <c r="B375" s="5" t="s">
        <v>123</v>
      </c>
      <c r="C375" s="4" t="s">
        <v>124</v>
      </c>
      <c r="D375" s="5" t="s">
        <v>227</v>
      </c>
      <c r="E375" s="7" t="s">
        <v>86</v>
      </c>
      <c r="F375" s="7" t="s">
        <v>85</v>
      </c>
      <c r="G375" s="7" t="s">
        <v>14</v>
      </c>
      <c r="H375" s="8">
        <v>0.28999999999999998</v>
      </c>
      <c r="I375" s="9">
        <v>38000</v>
      </c>
      <c r="J375" s="9">
        <f t="shared" si="44"/>
        <v>11020</v>
      </c>
      <c r="K375" s="6"/>
      <c r="L375" s="21" t="str">
        <f>+VLOOKUP(E375,mã!$B$2:$F$229,2,0)</f>
        <v>NL300061</v>
      </c>
      <c r="M375" s="22">
        <f>+VLOOKUP(T375,Sheet2!$B$2:$P$372,10,0)</f>
        <v>0.28999999999999998</v>
      </c>
      <c r="N375" s="23">
        <f>+VLOOKUP(L375,mã!$C$2:$F$229,4,0)</f>
        <v>38000</v>
      </c>
      <c r="O375" s="23">
        <f t="shared" si="45"/>
        <v>11020</v>
      </c>
      <c r="P375" s="23">
        <f t="shared" si="46"/>
        <v>0</v>
      </c>
      <c r="Q375" s="21" t="str">
        <f t="shared" si="47"/>
        <v xml:space="preserve"> </v>
      </c>
      <c r="R375" s="14">
        <f>+VLOOKUP(T375,Sheet2!$B$2:$P$372,13,0)</f>
        <v>11020</v>
      </c>
      <c r="S375" s="24">
        <f t="shared" si="48"/>
        <v>0</v>
      </c>
      <c r="T375" t="str">
        <f t="shared" si="49"/>
        <v>15/01/2026NL300061</v>
      </c>
      <c r="U375" s="15">
        <f t="shared" si="50"/>
        <v>0</v>
      </c>
      <c r="V375" s="25">
        <f t="shared" si="51"/>
        <v>0</v>
      </c>
    </row>
    <row r="376" spans="1:22" x14ac:dyDescent="0.25">
      <c r="A376" s="4" t="s">
        <v>201</v>
      </c>
      <c r="B376" s="5" t="s">
        <v>123</v>
      </c>
      <c r="C376" s="4" t="s">
        <v>124</v>
      </c>
      <c r="D376" s="5" t="s">
        <v>227</v>
      </c>
      <c r="E376" s="7" t="s">
        <v>84</v>
      </c>
      <c r="F376" s="7" t="s">
        <v>83</v>
      </c>
      <c r="G376" s="7" t="s">
        <v>14</v>
      </c>
      <c r="H376" s="8">
        <v>1.25</v>
      </c>
      <c r="I376" s="9">
        <v>23000</v>
      </c>
      <c r="J376" s="9">
        <f t="shared" si="44"/>
        <v>28750</v>
      </c>
      <c r="K376" s="6"/>
      <c r="L376" s="21" t="str">
        <f>+VLOOKUP(E376,mã!$B$2:$F$229,2,0)</f>
        <v>NL300070</v>
      </c>
      <c r="M376" s="22">
        <f>+VLOOKUP(T376,Sheet2!$B$2:$P$372,10,0)</f>
        <v>0.4</v>
      </c>
      <c r="N376" s="23">
        <f>+VLOOKUP(L376,mã!$C$2:$F$229,4,0)</f>
        <v>23000</v>
      </c>
      <c r="O376" s="23">
        <f t="shared" si="45"/>
        <v>9200</v>
      </c>
      <c r="P376" s="23">
        <f t="shared" si="46"/>
        <v>19550</v>
      </c>
      <c r="Q376" s="21" t="str">
        <f t="shared" si="47"/>
        <v>SAI SL NHẬN</v>
      </c>
      <c r="R376" s="14">
        <f>+VLOOKUP(T376,Sheet2!$B$2:$P$372,13,0)</f>
        <v>9200</v>
      </c>
      <c r="S376" s="24">
        <f t="shared" si="48"/>
        <v>0</v>
      </c>
      <c r="T376" t="str">
        <f t="shared" si="49"/>
        <v>15/01/2026NL300070</v>
      </c>
      <c r="U376" s="15">
        <f t="shared" si="50"/>
        <v>0.85</v>
      </c>
      <c r="V376" s="25">
        <f t="shared" si="51"/>
        <v>0</v>
      </c>
    </row>
    <row r="377" spans="1:22" x14ac:dyDescent="0.25">
      <c r="A377" s="4" t="s">
        <v>201</v>
      </c>
      <c r="B377" s="5" t="s">
        <v>123</v>
      </c>
      <c r="C377" s="4" t="s">
        <v>124</v>
      </c>
      <c r="D377" s="5" t="s">
        <v>227</v>
      </c>
      <c r="E377" s="7" t="s">
        <v>152</v>
      </c>
      <c r="F377" s="7" t="s">
        <v>153</v>
      </c>
      <c r="G377" s="7" t="s">
        <v>14</v>
      </c>
      <c r="H377" s="8">
        <v>1</v>
      </c>
      <c r="I377" s="9">
        <v>20000</v>
      </c>
      <c r="J377" s="9">
        <f t="shared" si="44"/>
        <v>20000</v>
      </c>
      <c r="K377" s="6"/>
      <c r="L377" s="21" t="str">
        <f>+VLOOKUP(E377,mã!$B$2:$F$229,2,0)</f>
        <v>NL300071</v>
      </c>
      <c r="M377" s="22">
        <f>+VLOOKUP(T377,Sheet2!$B$2:$P$372,10,0)</f>
        <v>1</v>
      </c>
      <c r="N377" s="23">
        <f>+VLOOKUP(L377,mã!$C$2:$F$229,4,0)</f>
        <v>20000</v>
      </c>
      <c r="O377" s="23">
        <f t="shared" si="45"/>
        <v>20000</v>
      </c>
      <c r="P377" s="23">
        <f t="shared" si="46"/>
        <v>0</v>
      </c>
      <c r="Q377" s="21" t="str">
        <f t="shared" si="47"/>
        <v xml:space="preserve"> </v>
      </c>
      <c r="R377" s="14">
        <f>+VLOOKUP(T377,Sheet2!$B$2:$P$372,13,0)</f>
        <v>20000</v>
      </c>
      <c r="S377" s="24">
        <f t="shared" si="48"/>
        <v>0</v>
      </c>
      <c r="T377" t="str">
        <f t="shared" si="49"/>
        <v>15/01/2026NL300071</v>
      </c>
      <c r="U377" s="15">
        <f t="shared" si="50"/>
        <v>0</v>
      </c>
      <c r="V377" s="25">
        <f t="shared" si="51"/>
        <v>0</v>
      </c>
    </row>
    <row r="378" spans="1:22" x14ac:dyDescent="0.25">
      <c r="A378" s="4" t="s">
        <v>201</v>
      </c>
      <c r="B378" s="5" t="s">
        <v>123</v>
      </c>
      <c r="C378" s="4" t="s">
        <v>124</v>
      </c>
      <c r="D378" s="5" t="s">
        <v>227</v>
      </c>
      <c r="E378" s="7" t="s">
        <v>141</v>
      </c>
      <c r="F378" s="7" t="s">
        <v>142</v>
      </c>
      <c r="G378" s="7" t="s">
        <v>14</v>
      </c>
      <c r="H378" s="8">
        <v>2</v>
      </c>
      <c r="I378" s="9">
        <v>95000</v>
      </c>
      <c r="J378" s="9">
        <f t="shared" si="44"/>
        <v>190000</v>
      </c>
      <c r="K378" s="6"/>
      <c r="L378" s="21" t="str">
        <f>+VLOOKUP(E378,mã!$B$2:$F$229,2,0)</f>
        <v>NL300080</v>
      </c>
      <c r="M378" s="22">
        <f>+VLOOKUP(T378,Sheet2!$B$2:$P$372,10,0)</f>
        <v>2</v>
      </c>
      <c r="N378" s="23">
        <f>+VLOOKUP(L378,mã!$C$2:$F$229,4,0)</f>
        <v>95000</v>
      </c>
      <c r="O378" s="23">
        <f t="shared" si="45"/>
        <v>190000</v>
      </c>
      <c r="P378" s="23">
        <f t="shared" si="46"/>
        <v>0</v>
      </c>
      <c r="Q378" s="21" t="str">
        <f t="shared" si="47"/>
        <v xml:space="preserve"> </v>
      </c>
      <c r="R378" s="14">
        <f>+VLOOKUP(T378,Sheet2!$B$2:$P$372,13,0)</f>
        <v>190000</v>
      </c>
      <c r="S378" s="24">
        <f t="shared" si="48"/>
        <v>0</v>
      </c>
      <c r="T378" t="str">
        <f t="shared" si="49"/>
        <v>15/01/2026NL300080</v>
      </c>
      <c r="U378" s="15">
        <f t="shared" si="50"/>
        <v>0</v>
      </c>
      <c r="V378" s="25">
        <f t="shared" si="51"/>
        <v>0</v>
      </c>
    </row>
    <row r="379" spans="1:22" x14ac:dyDescent="0.25">
      <c r="A379" s="4" t="s">
        <v>201</v>
      </c>
      <c r="B379" s="5" t="s">
        <v>123</v>
      </c>
      <c r="C379" s="4" t="s">
        <v>124</v>
      </c>
      <c r="D379" s="5" t="s">
        <v>227</v>
      </c>
      <c r="E379" s="7" t="s">
        <v>39</v>
      </c>
      <c r="F379" s="7" t="s">
        <v>40</v>
      </c>
      <c r="G379" s="7" t="s">
        <v>14</v>
      </c>
      <c r="H379" s="8">
        <v>2</v>
      </c>
      <c r="I379" s="9">
        <v>145000</v>
      </c>
      <c r="J379" s="9">
        <f t="shared" si="44"/>
        <v>290000</v>
      </c>
      <c r="K379" s="6"/>
      <c r="L379" s="21" t="str">
        <f>+VLOOKUP(E379,mã!$B$2:$F$229,2,0)</f>
        <v>NL300090</v>
      </c>
      <c r="M379" s="22">
        <f>+VLOOKUP(T379,Sheet2!$B$2:$P$372,10,0)</f>
        <v>2</v>
      </c>
      <c r="N379" s="23">
        <f>+VLOOKUP(L379,mã!$C$2:$F$229,4,0)</f>
        <v>145000</v>
      </c>
      <c r="O379" s="23">
        <f t="shared" si="45"/>
        <v>290000</v>
      </c>
      <c r="P379" s="23">
        <f t="shared" si="46"/>
        <v>0</v>
      </c>
      <c r="Q379" s="21" t="str">
        <f t="shared" si="47"/>
        <v xml:space="preserve"> </v>
      </c>
      <c r="R379" s="14">
        <f>+VLOOKUP(T379,Sheet2!$B$2:$P$372,13,0)</f>
        <v>290000</v>
      </c>
      <c r="S379" s="24">
        <f t="shared" si="48"/>
        <v>0</v>
      </c>
      <c r="T379" t="str">
        <f t="shared" si="49"/>
        <v>15/01/2026NL300090</v>
      </c>
      <c r="U379" s="15">
        <f t="shared" si="50"/>
        <v>0</v>
      </c>
      <c r="V379" s="25">
        <f t="shared" si="51"/>
        <v>0</v>
      </c>
    </row>
    <row r="380" spans="1:22" x14ac:dyDescent="0.25">
      <c r="A380" s="4" t="s">
        <v>201</v>
      </c>
      <c r="B380" s="5" t="s">
        <v>123</v>
      </c>
      <c r="C380" s="4" t="s">
        <v>124</v>
      </c>
      <c r="D380" s="5" t="s">
        <v>227</v>
      </c>
      <c r="E380" s="7" t="s">
        <v>53</v>
      </c>
      <c r="F380" s="7" t="s">
        <v>54</v>
      </c>
      <c r="G380" s="7" t="s">
        <v>14</v>
      </c>
      <c r="H380" s="8">
        <v>1</v>
      </c>
      <c r="I380" s="9">
        <v>47000</v>
      </c>
      <c r="J380" s="9">
        <f t="shared" si="44"/>
        <v>47000</v>
      </c>
      <c r="K380" s="6"/>
      <c r="L380" s="21" t="str">
        <f>+VLOOKUP(E380,mã!$B$2:$F$229,2,0)</f>
        <v>NL300091</v>
      </c>
      <c r="M380" s="22">
        <f>+VLOOKUP(T380,Sheet2!$B$2:$P$372,10,0)</f>
        <v>1</v>
      </c>
      <c r="N380" s="23">
        <f>+VLOOKUP(L380,mã!$C$2:$F$229,4,0)</f>
        <v>47000</v>
      </c>
      <c r="O380" s="23">
        <f t="shared" si="45"/>
        <v>47000</v>
      </c>
      <c r="P380" s="23">
        <f t="shared" si="46"/>
        <v>0</v>
      </c>
      <c r="Q380" s="21" t="str">
        <f t="shared" si="47"/>
        <v xml:space="preserve"> </v>
      </c>
      <c r="R380" s="14">
        <f>+VLOOKUP(T380,Sheet2!$B$2:$P$372,13,0)</f>
        <v>47000</v>
      </c>
      <c r="S380" s="24">
        <f t="shared" si="48"/>
        <v>0</v>
      </c>
      <c r="T380" t="str">
        <f t="shared" si="49"/>
        <v>15/01/2026NL300091</v>
      </c>
      <c r="U380" s="15">
        <f t="shared" si="50"/>
        <v>0</v>
      </c>
      <c r="V380" s="25">
        <f t="shared" si="51"/>
        <v>0</v>
      </c>
    </row>
    <row r="381" spans="1:22" x14ac:dyDescent="0.25">
      <c r="A381" s="4" t="s">
        <v>201</v>
      </c>
      <c r="B381" s="5" t="s">
        <v>123</v>
      </c>
      <c r="C381" s="4" t="s">
        <v>124</v>
      </c>
      <c r="D381" s="5" t="s">
        <v>227</v>
      </c>
      <c r="E381" s="7" t="s">
        <v>29</v>
      </c>
      <c r="F381" s="7" t="s">
        <v>30</v>
      </c>
      <c r="G381" s="7" t="s">
        <v>14</v>
      </c>
      <c r="H381" s="8">
        <v>0.4</v>
      </c>
      <c r="I381" s="9">
        <v>45000</v>
      </c>
      <c r="J381" s="9">
        <f t="shared" si="44"/>
        <v>18000</v>
      </c>
      <c r="K381" s="6"/>
      <c r="L381" s="21" t="str">
        <f>+VLOOKUP(E381,mã!$B$2:$F$229,2,0)</f>
        <v>NL300096</v>
      </c>
      <c r="M381" s="22">
        <f>+VLOOKUP(T381,Sheet2!$B$2:$P$372,10,0)</f>
        <v>0.4</v>
      </c>
      <c r="N381" s="23">
        <f>+VLOOKUP(L381,mã!$C$2:$F$229,4,0)</f>
        <v>45000</v>
      </c>
      <c r="O381" s="23">
        <f t="shared" si="45"/>
        <v>18000</v>
      </c>
      <c r="P381" s="23">
        <f t="shared" si="46"/>
        <v>0</v>
      </c>
      <c r="Q381" s="21" t="str">
        <f t="shared" si="47"/>
        <v xml:space="preserve"> </v>
      </c>
      <c r="R381" s="14">
        <f>+VLOOKUP(T381,Sheet2!$B$2:$P$372,13,0)</f>
        <v>18000</v>
      </c>
      <c r="S381" s="24">
        <f t="shared" si="48"/>
        <v>0</v>
      </c>
      <c r="T381" t="str">
        <f t="shared" si="49"/>
        <v>15/01/2026NL300096</v>
      </c>
      <c r="U381" s="15">
        <f t="shared" si="50"/>
        <v>0</v>
      </c>
      <c r="V381" s="25">
        <f t="shared" si="51"/>
        <v>0</v>
      </c>
    </row>
    <row r="382" spans="1:22" x14ac:dyDescent="0.25">
      <c r="A382" s="4" t="s">
        <v>201</v>
      </c>
      <c r="B382" s="5" t="s">
        <v>123</v>
      </c>
      <c r="C382" s="4" t="s">
        <v>124</v>
      </c>
      <c r="D382" s="5" t="s">
        <v>227</v>
      </c>
      <c r="E382" s="7" t="s">
        <v>55</v>
      </c>
      <c r="F382" s="7" t="s">
        <v>56</v>
      </c>
      <c r="G382" s="7" t="s">
        <v>14</v>
      </c>
      <c r="H382" s="8">
        <v>0.4</v>
      </c>
      <c r="I382" s="9">
        <v>70000</v>
      </c>
      <c r="J382" s="9">
        <f t="shared" si="44"/>
        <v>28000</v>
      </c>
      <c r="K382" s="6"/>
      <c r="L382" s="21" t="str">
        <f>+VLOOKUP(E382,mã!$B$2:$F$229,2,0)</f>
        <v>NL300126</v>
      </c>
      <c r="M382" s="22">
        <f>+VLOOKUP(T382,Sheet2!$B$2:$P$372,10,0)</f>
        <v>0.4</v>
      </c>
      <c r="N382" s="23">
        <f>+VLOOKUP(L382,mã!$C$2:$F$229,4,0)</f>
        <v>70000</v>
      </c>
      <c r="O382" s="23">
        <f t="shared" si="45"/>
        <v>28000</v>
      </c>
      <c r="P382" s="23">
        <f t="shared" si="46"/>
        <v>0</v>
      </c>
      <c r="Q382" s="21" t="str">
        <f t="shared" si="47"/>
        <v xml:space="preserve"> </v>
      </c>
      <c r="R382" s="14">
        <f>+VLOOKUP(T382,Sheet2!$B$2:$P$372,13,0)</f>
        <v>28000</v>
      </c>
      <c r="S382" s="24">
        <f t="shared" si="48"/>
        <v>0</v>
      </c>
      <c r="T382" t="str">
        <f t="shared" si="49"/>
        <v>15/01/2026NL300126</v>
      </c>
      <c r="U382" s="15">
        <f t="shared" si="50"/>
        <v>0</v>
      </c>
      <c r="V382" s="25">
        <f t="shared" si="51"/>
        <v>0</v>
      </c>
    </row>
    <row r="383" spans="1:22" x14ac:dyDescent="0.25">
      <c r="A383" s="4" t="s">
        <v>201</v>
      </c>
      <c r="B383" s="5" t="s">
        <v>123</v>
      </c>
      <c r="C383" s="4" t="s">
        <v>124</v>
      </c>
      <c r="D383" s="5" t="s">
        <v>227</v>
      </c>
      <c r="E383" s="7" t="s">
        <v>41</v>
      </c>
      <c r="F383" s="7" t="s">
        <v>42</v>
      </c>
      <c r="G383" s="7" t="s">
        <v>14</v>
      </c>
      <c r="H383" s="8">
        <v>0.3</v>
      </c>
      <c r="I383" s="9">
        <v>145000</v>
      </c>
      <c r="J383" s="9">
        <f t="shared" si="44"/>
        <v>43500</v>
      </c>
      <c r="K383" s="6"/>
      <c r="L383" s="21" t="str">
        <f>+VLOOKUP(E383,mã!$B$2:$F$229,2,0)</f>
        <v>NL300113</v>
      </c>
      <c r="M383" s="22">
        <f>+VLOOKUP(T383,Sheet2!$B$2:$P$372,10,0)</f>
        <v>0.3</v>
      </c>
      <c r="N383" s="23">
        <f>+VLOOKUP(L383,mã!$C$2:$F$229,4,0)</f>
        <v>145000</v>
      </c>
      <c r="O383" s="23">
        <f t="shared" si="45"/>
        <v>43500</v>
      </c>
      <c r="P383" s="23">
        <f t="shared" si="46"/>
        <v>0</v>
      </c>
      <c r="Q383" s="21" t="str">
        <f t="shared" si="47"/>
        <v xml:space="preserve"> </v>
      </c>
      <c r="R383" s="14">
        <f>+VLOOKUP(T383,Sheet2!$B$2:$P$372,13,0)</f>
        <v>43500</v>
      </c>
      <c r="S383" s="24">
        <f t="shared" si="48"/>
        <v>0</v>
      </c>
      <c r="T383" t="str">
        <f t="shared" si="49"/>
        <v>15/01/2026NL300113</v>
      </c>
      <c r="U383" s="15">
        <f t="shared" si="50"/>
        <v>0</v>
      </c>
      <c r="V383" s="25">
        <f t="shared" si="51"/>
        <v>0</v>
      </c>
    </row>
    <row r="384" spans="1:22" x14ac:dyDescent="0.25">
      <c r="A384" s="4" t="s">
        <v>201</v>
      </c>
      <c r="B384" s="5" t="s">
        <v>123</v>
      </c>
      <c r="C384" s="4" t="s">
        <v>124</v>
      </c>
      <c r="D384" s="5" t="s">
        <v>227</v>
      </c>
      <c r="E384" s="7" t="s">
        <v>57</v>
      </c>
      <c r="F384" s="7" t="s">
        <v>58</v>
      </c>
      <c r="G384" s="7" t="s">
        <v>14</v>
      </c>
      <c r="H384" s="8">
        <v>0.3</v>
      </c>
      <c r="I384" s="9">
        <v>148000</v>
      </c>
      <c r="J384" s="9">
        <f t="shared" si="44"/>
        <v>44400</v>
      </c>
      <c r="K384" s="6"/>
      <c r="L384" s="21" t="s">
        <v>664</v>
      </c>
      <c r="M384" s="22">
        <f>+VLOOKUP(T384,Sheet2!$B$2:$P$372,10,0)</f>
        <v>0.3</v>
      </c>
      <c r="N384" s="23">
        <f>+VLOOKUP(L384,mã!$C$2:$F$229,4,0)</f>
        <v>148000</v>
      </c>
      <c r="O384" s="23">
        <f t="shared" si="45"/>
        <v>44400</v>
      </c>
      <c r="P384" s="23">
        <f t="shared" si="46"/>
        <v>0</v>
      </c>
      <c r="Q384" s="21" t="str">
        <f t="shared" si="47"/>
        <v xml:space="preserve"> </v>
      </c>
      <c r="R384" s="14">
        <f>+VLOOKUP(T384,Sheet2!$B$2:$P$372,13,0)</f>
        <v>44400</v>
      </c>
      <c r="S384" s="24">
        <f t="shared" si="48"/>
        <v>0</v>
      </c>
      <c r="T384" t="str">
        <f t="shared" si="49"/>
        <v>15/01/2026NL300116</v>
      </c>
      <c r="U384" s="15">
        <f t="shared" si="50"/>
        <v>0</v>
      </c>
      <c r="V384" s="25">
        <f t="shared" si="51"/>
        <v>0</v>
      </c>
    </row>
    <row r="385" spans="1:22" x14ac:dyDescent="0.25">
      <c r="A385" s="4" t="s">
        <v>201</v>
      </c>
      <c r="B385" s="5" t="s">
        <v>123</v>
      </c>
      <c r="C385" s="4" t="s">
        <v>124</v>
      </c>
      <c r="D385" s="5" t="s">
        <v>227</v>
      </c>
      <c r="E385" s="7" t="s">
        <v>47</v>
      </c>
      <c r="F385" s="7" t="s">
        <v>48</v>
      </c>
      <c r="G385" s="7" t="s">
        <v>14</v>
      </c>
      <c r="H385" s="8">
        <v>1</v>
      </c>
      <c r="I385" s="9">
        <v>21000</v>
      </c>
      <c r="J385" s="9">
        <f t="shared" si="44"/>
        <v>21000</v>
      </c>
      <c r="K385" s="6"/>
      <c r="L385" s="21" t="str">
        <f>+VLOOKUP(E385,mã!$B$2:$F$229,2,0)</f>
        <v>NL300119</v>
      </c>
      <c r="M385" s="22">
        <f>+VLOOKUP(T385,Sheet2!$B$2:$P$372,10,0)</f>
        <v>0.6</v>
      </c>
      <c r="N385" s="23">
        <f>+VLOOKUP(L385,mã!$C$2:$F$229,4,0)</f>
        <v>21000</v>
      </c>
      <c r="O385" s="23">
        <f t="shared" si="45"/>
        <v>12600</v>
      </c>
      <c r="P385" s="23">
        <f t="shared" si="46"/>
        <v>8400</v>
      </c>
      <c r="Q385" s="21" t="str">
        <f t="shared" si="47"/>
        <v>SAI SL NHẬN</v>
      </c>
      <c r="R385" s="14">
        <f>+VLOOKUP(T385,Sheet2!$B$2:$P$372,13,0)</f>
        <v>12600</v>
      </c>
      <c r="S385" s="24">
        <f t="shared" si="48"/>
        <v>0</v>
      </c>
      <c r="T385" t="str">
        <f t="shared" si="49"/>
        <v>15/01/2026NL300119</v>
      </c>
      <c r="U385" s="15">
        <f t="shared" si="50"/>
        <v>0.4</v>
      </c>
      <c r="V385" s="25">
        <f t="shared" si="51"/>
        <v>0</v>
      </c>
    </row>
    <row r="386" spans="1:22" x14ac:dyDescent="0.25">
      <c r="A386" s="4" t="s">
        <v>201</v>
      </c>
      <c r="B386" s="5" t="s">
        <v>123</v>
      </c>
      <c r="C386" s="4" t="s">
        <v>124</v>
      </c>
      <c r="D386" s="5" t="s">
        <v>227</v>
      </c>
      <c r="E386" s="7" t="s">
        <v>27</v>
      </c>
      <c r="F386" s="7" t="s">
        <v>28</v>
      </c>
      <c r="G386" s="7" t="s">
        <v>14</v>
      </c>
      <c r="H386" s="8">
        <v>0.3</v>
      </c>
      <c r="I386" s="9">
        <v>50000</v>
      </c>
      <c r="J386" s="9">
        <f t="shared" si="44"/>
        <v>15000</v>
      </c>
      <c r="K386" s="6"/>
      <c r="L386" s="21" t="str">
        <f>+VLOOKUP(E386,mã!$B$2:$F$229,2,0)</f>
        <v>NL300142</v>
      </c>
      <c r="M386" s="22">
        <f>+VLOOKUP(T386,Sheet2!$B$2:$P$372,10,0)</f>
        <v>0</v>
      </c>
      <c r="N386" s="23">
        <f>+VLOOKUP(L386,mã!$C$2:$F$229,4,0)</f>
        <v>50000</v>
      </c>
      <c r="O386" s="23">
        <f t="shared" si="45"/>
        <v>0</v>
      </c>
      <c r="P386" s="23">
        <f t="shared" si="46"/>
        <v>15000</v>
      </c>
      <c r="Q386" s="21" t="str">
        <f t="shared" si="47"/>
        <v>SAI SL NHẬN</v>
      </c>
      <c r="R386" s="14">
        <f>+VLOOKUP(T386,Sheet2!$B$2:$P$372,13,0)</f>
        <v>0</v>
      </c>
      <c r="S386" s="24">
        <f t="shared" si="48"/>
        <v>0</v>
      </c>
      <c r="T386" t="str">
        <f t="shared" si="49"/>
        <v>15/01/2026NL300142</v>
      </c>
      <c r="U386" s="15">
        <f t="shared" si="50"/>
        <v>0.3</v>
      </c>
      <c r="V386" s="25">
        <f t="shared" si="51"/>
        <v>0</v>
      </c>
    </row>
    <row r="387" spans="1:22" x14ac:dyDescent="0.25">
      <c r="A387" s="4" t="s">
        <v>201</v>
      </c>
      <c r="B387" s="5" t="s">
        <v>123</v>
      </c>
      <c r="C387" s="4" t="s">
        <v>124</v>
      </c>
      <c r="D387" s="5" t="s">
        <v>227</v>
      </c>
      <c r="E387" s="7" t="s">
        <v>145</v>
      </c>
      <c r="F387" s="7" t="s">
        <v>146</v>
      </c>
      <c r="G387" s="7" t="s">
        <v>14</v>
      </c>
      <c r="H387" s="8">
        <v>5.2</v>
      </c>
      <c r="I387" s="9">
        <v>38000</v>
      </c>
      <c r="J387" s="9">
        <f t="shared" si="44"/>
        <v>197600</v>
      </c>
      <c r="K387" s="6"/>
      <c r="L387" s="21" t="str">
        <f>+VLOOKUP(E387,mã!$B$2:$F$229,2,0)</f>
        <v>NL300145</v>
      </c>
      <c r="M387" s="22">
        <f>+VLOOKUP(T387,Sheet2!$B$2:$P$372,10,0)</f>
        <v>5.2</v>
      </c>
      <c r="N387" s="23">
        <f>+VLOOKUP(L387,mã!$C$2:$F$229,4,0)</f>
        <v>38000</v>
      </c>
      <c r="O387" s="23">
        <f t="shared" si="45"/>
        <v>197600</v>
      </c>
      <c r="P387" s="23">
        <f t="shared" si="46"/>
        <v>0</v>
      </c>
      <c r="Q387" s="21" t="str">
        <f t="shared" si="47"/>
        <v xml:space="preserve"> </v>
      </c>
      <c r="R387" s="14">
        <f>+VLOOKUP(T387,Sheet2!$B$2:$P$372,13,0)</f>
        <v>197600</v>
      </c>
      <c r="S387" s="24">
        <f t="shared" si="48"/>
        <v>0</v>
      </c>
      <c r="T387" t="str">
        <f t="shared" si="49"/>
        <v>15/01/2026NL300145</v>
      </c>
      <c r="U387" s="15">
        <f t="shared" si="50"/>
        <v>0</v>
      </c>
      <c r="V387" s="25">
        <f t="shared" si="51"/>
        <v>0</v>
      </c>
    </row>
  </sheetData>
  <autoFilter ref="A14:V387" xr:uid="{D1628748-65CB-4027-866C-694DAA8ADBF9}"/>
  <mergeCells count="7">
    <mergeCell ref="A12:K12"/>
    <mergeCell ref="A2:C2"/>
    <mergeCell ref="D2:K2"/>
    <mergeCell ref="A4:K4"/>
    <mergeCell ref="A6:K6"/>
    <mergeCell ref="A8:K8"/>
    <mergeCell ref="A10:K10"/>
  </mergeCells>
  <conditionalFormatting sqref="L117:L133">
    <cfRule type="duplicateValues" dxfId="7" priority="4"/>
  </conditionalFormatting>
  <conditionalFormatting sqref="L234:L265">
    <cfRule type="duplicateValues" dxfId="6" priority="3"/>
  </conditionalFormatting>
  <conditionalFormatting sqref="L293:L316">
    <cfRule type="duplicateValues" dxfId="5" priority="2"/>
  </conditionalFormatting>
  <conditionalFormatting sqref="L338:L363">
    <cfRule type="duplicateValues" dxfId="4" priority="1"/>
  </conditionalFormatting>
  <pageMargins left="1" right="1" top="1" bottom="1.3145799212598399" header="1" footer="1"/>
  <pageSetup orientation="portrait" horizontalDpi="300" verticalDpi="300"/>
  <headerFooter alignWithMargins="0">
    <oddFooter>&amp;L&amp;"Segoe UI"&amp;11&amp;P/&amp;N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AB2A3-0643-40E5-BE3E-412D47A9F7C0}">
  <dimension ref="A1:W372"/>
  <sheetViews>
    <sheetView workbookViewId="0">
      <selection sqref="A1:XFD1"/>
    </sheetView>
  </sheetViews>
  <sheetFormatPr defaultRowHeight="15" x14ac:dyDescent="0.25"/>
  <cols>
    <col min="1" max="1" width="15.28515625" style="27" customWidth="1"/>
    <col min="2" max="2" width="11.42578125" style="27" customWidth="1"/>
    <col min="3" max="3" width="15.28515625" style="27" customWidth="1"/>
    <col min="4" max="4" width="6" style="27" customWidth="1"/>
    <col min="5" max="5" width="11.28515625" style="27" customWidth="1"/>
    <col min="6" max="7" width="29.5703125" style="27" customWidth="1"/>
    <col min="8" max="8" width="11.7109375" style="27" customWidth="1"/>
    <col min="9" max="9" width="20.5703125" style="27" customWidth="1"/>
    <col min="10" max="10" width="6.140625" style="27" customWidth="1"/>
    <col min="11" max="14" width="16.42578125" style="27" customWidth="1"/>
    <col min="15" max="15" width="22.85546875" style="27" customWidth="1"/>
    <col min="16" max="23" width="19" style="27" customWidth="1"/>
    <col min="24" max="24" width="0" style="27" hidden="1" customWidth="1"/>
    <col min="25" max="16384" width="9.140625" style="27"/>
  </cols>
  <sheetData>
    <row r="1" spans="1:23" ht="21" customHeight="1" x14ac:dyDescent="0.25">
      <c r="A1" s="26" t="s">
        <v>815</v>
      </c>
      <c r="B1" s="26" t="s">
        <v>816</v>
      </c>
      <c r="C1" s="26" t="s">
        <v>817</v>
      </c>
      <c r="D1" s="26" t="s">
        <v>818</v>
      </c>
      <c r="E1" s="26" t="s">
        <v>819</v>
      </c>
      <c r="F1" s="26" t="s">
        <v>820</v>
      </c>
      <c r="G1" s="26" t="s">
        <v>821</v>
      </c>
      <c r="H1" s="26" t="s">
        <v>230</v>
      </c>
      <c r="I1" s="26" t="s">
        <v>231</v>
      </c>
      <c r="J1" s="26" t="s">
        <v>232</v>
      </c>
      <c r="K1" s="26" t="s">
        <v>822</v>
      </c>
      <c r="L1" s="26" t="s">
        <v>823</v>
      </c>
      <c r="M1" s="26" t="s">
        <v>824</v>
      </c>
      <c r="N1" s="26">
        <f>SUBTOTAL(9,N2:N372)</f>
        <v>23526920</v>
      </c>
      <c r="O1" s="26" t="s">
        <v>825</v>
      </c>
      <c r="P1" s="26" t="s">
        <v>826</v>
      </c>
      <c r="Q1" s="26" t="s">
        <v>827</v>
      </c>
      <c r="R1" s="26" t="s">
        <v>828</v>
      </c>
      <c r="S1" s="26" t="s">
        <v>829</v>
      </c>
      <c r="T1" s="26" t="s">
        <v>830</v>
      </c>
      <c r="U1" s="26" t="s">
        <v>831</v>
      </c>
      <c r="V1" s="26" t="s">
        <v>832</v>
      </c>
      <c r="W1" s="26" t="s">
        <v>833</v>
      </c>
    </row>
    <row r="2" spans="1:23" ht="10.5" customHeight="1" x14ac:dyDescent="0.25">
      <c r="A2" s="28">
        <v>46023</v>
      </c>
      <c r="B2" s="29" t="str">
        <f>"0"&amp;DAY(A2)&amp;"/01/2026"&amp;H2</f>
        <v>01/01/2026NL300004</v>
      </c>
      <c r="C2" s="30" t="s">
        <v>834</v>
      </c>
      <c r="D2" s="30" t="s">
        <v>835</v>
      </c>
      <c r="E2" s="29" t="s">
        <v>836</v>
      </c>
      <c r="F2" s="29" t="s">
        <v>837</v>
      </c>
      <c r="G2" s="29" t="s">
        <v>838</v>
      </c>
      <c r="H2" s="29" t="s">
        <v>244</v>
      </c>
      <c r="I2" s="29" t="s">
        <v>13</v>
      </c>
      <c r="J2" s="29" t="s">
        <v>237</v>
      </c>
      <c r="K2" s="31">
        <v>4.5999999999999996</v>
      </c>
      <c r="L2" s="32">
        <v>19000</v>
      </c>
      <c r="M2" s="32">
        <v>0</v>
      </c>
      <c r="N2" s="33">
        <f>L2*K2</f>
        <v>87400</v>
      </c>
      <c r="O2" s="33">
        <v>0</v>
      </c>
      <c r="P2" s="32">
        <v>19000</v>
      </c>
      <c r="Q2" s="29" t="s">
        <v>839</v>
      </c>
      <c r="R2" s="29" t="s">
        <v>840</v>
      </c>
      <c r="S2" s="29" t="s">
        <v>15</v>
      </c>
      <c r="T2" s="29" t="s">
        <v>807</v>
      </c>
      <c r="U2" s="29" t="s">
        <v>15</v>
      </c>
      <c r="V2" s="29" t="s">
        <v>841</v>
      </c>
      <c r="W2" s="29" t="s">
        <v>841</v>
      </c>
    </row>
    <row r="3" spans="1:23" ht="10.5" customHeight="1" x14ac:dyDescent="0.25">
      <c r="A3" s="28">
        <v>46023</v>
      </c>
      <c r="B3" s="29" t="str">
        <f t="shared" ref="B3:B66" si="0">"0"&amp;DAY(A3)&amp;"/01/2026"&amp;H3</f>
        <v>01/01/2026NL300107</v>
      </c>
      <c r="C3" s="30" t="s">
        <v>834</v>
      </c>
      <c r="D3" s="30" t="s">
        <v>835</v>
      </c>
      <c r="E3" s="29" t="s">
        <v>836</v>
      </c>
      <c r="F3" s="29" t="s">
        <v>837</v>
      </c>
      <c r="G3" s="29" t="s">
        <v>838</v>
      </c>
      <c r="H3" s="29" t="s">
        <v>638</v>
      </c>
      <c r="I3" s="29" t="s">
        <v>842</v>
      </c>
      <c r="J3" s="29" t="s">
        <v>420</v>
      </c>
      <c r="K3" s="31">
        <v>20</v>
      </c>
      <c r="L3" s="32">
        <v>8500</v>
      </c>
      <c r="M3" s="32">
        <v>0</v>
      </c>
      <c r="N3" s="33">
        <f t="shared" ref="N3:N66" si="1">L3*K3</f>
        <v>170000</v>
      </c>
      <c r="O3" s="33">
        <v>0</v>
      </c>
      <c r="P3" s="32">
        <v>8500</v>
      </c>
      <c r="Q3" s="29" t="s">
        <v>839</v>
      </c>
      <c r="R3" s="29" t="s">
        <v>840</v>
      </c>
      <c r="S3" s="29" t="s">
        <v>15</v>
      </c>
      <c r="T3" s="29" t="s">
        <v>807</v>
      </c>
      <c r="U3" s="29" t="s">
        <v>15</v>
      </c>
      <c r="V3" s="29" t="s">
        <v>841</v>
      </c>
      <c r="W3" s="29" t="s">
        <v>841</v>
      </c>
    </row>
    <row r="4" spans="1:23" ht="10.5" customHeight="1" x14ac:dyDescent="0.25">
      <c r="A4" s="28">
        <v>46023</v>
      </c>
      <c r="B4" s="29" t="str">
        <f t="shared" si="0"/>
        <v>01/01/2026NL300007</v>
      </c>
      <c r="C4" s="30" t="s">
        <v>834</v>
      </c>
      <c r="D4" s="30" t="s">
        <v>835</v>
      </c>
      <c r="E4" s="29" t="s">
        <v>836</v>
      </c>
      <c r="F4" s="29" t="s">
        <v>837</v>
      </c>
      <c r="G4" s="29" t="s">
        <v>838</v>
      </c>
      <c r="H4" s="29" t="s">
        <v>253</v>
      </c>
      <c r="I4" s="29" t="s">
        <v>254</v>
      </c>
      <c r="J4" s="29" t="s">
        <v>237</v>
      </c>
      <c r="K4" s="31">
        <v>2.9</v>
      </c>
      <c r="L4" s="32">
        <v>30000</v>
      </c>
      <c r="M4" s="32">
        <v>0</v>
      </c>
      <c r="N4" s="33">
        <f t="shared" si="1"/>
        <v>87000</v>
      </c>
      <c r="O4" s="33">
        <v>0</v>
      </c>
      <c r="P4" s="32">
        <v>30000</v>
      </c>
      <c r="Q4" s="29" t="s">
        <v>839</v>
      </c>
      <c r="R4" s="29" t="s">
        <v>840</v>
      </c>
      <c r="S4" s="29" t="s">
        <v>15</v>
      </c>
      <c r="T4" s="29" t="s">
        <v>807</v>
      </c>
      <c r="U4" s="29" t="s">
        <v>15</v>
      </c>
      <c r="V4" s="29" t="s">
        <v>841</v>
      </c>
      <c r="W4" s="29" t="s">
        <v>841</v>
      </c>
    </row>
    <row r="5" spans="1:23" ht="10.5" customHeight="1" x14ac:dyDescent="0.25">
      <c r="A5" s="28">
        <v>46023</v>
      </c>
      <c r="B5" s="29" t="str">
        <f t="shared" si="0"/>
        <v>01/01/2026NL300008</v>
      </c>
      <c r="C5" s="30" t="s">
        <v>834</v>
      </c>
      <c r="D5" s="30" t="s">
        <v>835</v>
      </c>
      <c r="E5" s="29" t="s">
        <v>836</v>
      </c>
      <c r="F5" s="29" t="s">
        <v>837</v>
      </c>
      <c r="G5" s="29" t="s">
        <v>838</v>
      </c>
      <c r="H5" s="29" t="s">
        <v>255</v>
      </c>
      <c r="I5" s="29" t="s">
        <v>256</v>
      </c>
      <c r="J5" s="29" t="s">
        <v>237</v>
      </c>
      <c r="K5" s="31">
        <v>3.1</v>
      </c>
      <c r="L5" s="32">
        <v>40000</v>
      </c>
      <c r="M5" s="32">
        <v>0</v>
      </c>
      <c r="N5" s="33">
        <f t="shared" si="1"/>
        <v>124000</v>
      </c>
      <c r="O5" s="33">
        <v>0</v>
      </c>
      <c r="P5" s="32">
        <v>40000</v>
      </c>
      <c r="Q5" s="29" t="s">
        <v>839</v>
      </c>
      <c r="R5" s="29" t="s">
        <v>840</v>
      </c>
      <c r="S5" s="29" t="s">
        <v>15</v>
      </c>
      <c r="T5" s="29" t="s">
        <v>807</v>
      </c>
      <c r="U5" s="29" t="s">
        <v>15</v>
      </c>
      <c r="V5" s="29" t="s">
        <v>841</v>
      </c>
      <c r="W5" s="29" t="s">
        <v>841</v>
      </c>
    </row>
    <row r="6" spans="1:23" ht="10.5" customHeight="1" x14ac:dyDescent="0.25">
      <c r="A6" s="28">
        <v>46023</v>
      </c>
      <c r="B6" s="29" t="str">
        <f t="shared" si="0"/>
        <v>01/01/2026NL300013</v>
      </c>
      <c r="C6" s="30" t="s">
        <v>834</v>
      </c>
      <c r="D6" s="30" t="s">
        <v>835</v>
      </c>
      <c r="E6" s="29" t="s">
        <v>836</v>
      </c>
      <c r="F6" s="29" t="s">
        <v>837</v>
      </c>
      <c r="G6" s="29" t="s">
        <v>838</v>
      </c>
      <c r="H6" s="29" t="s">
        <v>279</v>
      </c>
      <c r="I6" s="29" t="s">
        <v>151</v>
      </c>
      <c r="J6" s="29" t="s">
        <v>237</v>
      </c>
      <c r="K6" s="31">
        <v>1</v>
      </c>
      <c r="L6" s="32">
        <v>50000</v>
      </c>
      <c r="M6" s="32">
        <v>0</v>
      </c>
      <c r="N6" s="33">
        <f t="shared" si="1"/>
        <v>50000</v>
      </c>
      <c r="O6" s="33">
        <v>0</v>
      </c>
      <c r="P6" s="32">
        <v>50000</v>
      </c>
      <c r="Q6" s="29" t="s">
        <v>839</v>
      </c>
      <c r="R6" s="29" t="s">
        <v>840</v>
      </c>
      <c r="S6" s="29" t="s">
        <v>15</v>
      </c>
      <c r="T6" s="29" t="s">
        <v>807</v>
      </c>
      <c r="U6" s="29" t="s">
        <v>15</v>
      </c>
      <c r="V6" s="29" t="s">
        <v>841</v>
      </c>
      <c r="W6" s="29" t="s">
        <v>841</v>
      </c>
    </row>
    <row r="7" spans="1:23" ht="10.5" customHeight="1" x14ac:dyDescent="0.25">
      <c r="A7" s="28">
        <v>46023</v>
      </c>
      <c r="B7" s="29" t="str">
        <f t="shared" si="0"/>
        <v>01/01/2026NL300014</v>
      </c>
      <c r="C7" s="30" t="s">
        <v>834</v>
      </c>
      <c r="D7" s="30" t="s">
        <v>835</v>
      </c>
      <c r="E7" s="29" t="s">
        <v>836</v>
      </c>
      <c r="F7" s="29" t="s">
        <v>837</v>
      </c>
      <c r="G7" s="29" t="s">
        <v>838</v>
      </c>
      <c r="H7" s="29" t="s">
        <v>280</v>
      </c>
      <c r="I7" s="29" t="s">
        <v>132</v>
      </c>
      <c r="J7" s="29" t="s">
        <v>237</v>
      </c>
      <c r="K7" s="31">
        <v>1</v>
      </c>
      <c r="L7" s="32">
        <v>55000</v>
      </c>
      <c r="M7" s="32">
        <v>0</v>
      </c>
      <c r="N7" s="33">
        <f t="shared" si="1"/>
        <v>55000</v>
      </c>
      <c r="O7" s="33">
        <v>0</v>
      </c>
      <c r="P7" s="32">
        <v>55000</v>
      </c>
      <c r="Q7" s="29" t="s">
        <v>839</v>
      </c>
      <c r="R7" s="29" t="s">
        <v>840</v>
      </c>
      <c r="S7" s="29" t="s">
        <v>15</v>
      </c>
      <c r="T7" s="29" t="s">
        <v>807</v>
      </c>
      <c r="U7" s="29" t="s">
        <v>15</v>
      </c>
      <c r="V7" s="29" t="s">
        <v>841</v>
      </c>
      <c r="W7" s="29" t="s">
        <v>841</v>
      </c>
    </row>
    <row r="8" spans="1:23" ht="10.5" customHeight="1" x14ac:dyDescent="0.25">
      <c r="A8" s="28">
        <v>46023</v>
      </c>
      <c r="B8" s="29" t="str">
        <f t="shared" si="0"/>
        <v>01/01/2026NL300027</v>
      </c>
      <c r="C8" s="30" t="s">
        <v>834</v>
      </c>
      <c r="D8" s="30" t="s">
        <v>835</v>
      </c>
      <c r="E8" s="29" t="s">
        <v>836</v>
      </c>
      <c r="F8" s="29" t="s">
        <v>837</v>
      </c>
      <c r="G8" s="29" t="s">
        <v>838</v>
      </c>
      <c r="H8" s="29" t="s">
        <v>314</v>
      </c>
      <c r="I8" s="29" t="s">
        <v>126</v>
      </c>
      <c r="J8" s="29" t="s">
        <v>237</v>
      </c>
      <c r="K8" s="31">
        <v>3</v>
      </c>
      <c r="L8" s="32">
        <v>18000</v>
      </c>
      <c r="M8" s="32">
        <v>0</v>
      </c>
      <c r="N8" s="33">
        <f t="shared" si="1"/>
        <v>54000</v>
      </c>
      <c r="O8" s="33">
        <v>0</v>
      </c>
      <c r="P8" s="32">
        <v>18000</v>
      </c>
      <c r="Q8" s="29" t="s">
        <v>839</v>
      </c>
      <c r="R8" s="29" t="s">
        <v>840</v>
      </c>
      <c r="S8" s="29" t="s">
        <v>15</v>
      </c>
      <c r="T8" s="29" t="s">
        <v>807</v>
      </c>
      <c r="U8" s="29" t="s">
        <v>15</v>
      </c>
      <c r="V8" s="29" t="s">
        <v>841</v>
      </c>
      <c r="W8" s="29" t="s">
        <v>841</v>
      </c>
    </row>
    <row r="9" spans="1:23" ht="10.5" customHeight="1" x14ac:dyDescent="0.25">
      <c r="A9" s="28">
        <v>46023</v>
      </c>
      <c r="B9" s="29" t="str">
        <f t="shared" si="0"/>
        <v>01/01/2026NL300230</v>
      </c>
      <c r="C9" s="30" t="s">
        <v>834</v>
      </c>
      <c r="D9" s="30" t="s">
        <v>835</v>
      </c>
      <c r="E9" s="29" t="s">
        <v>836</v>
      </c>
      <c r="F9" s="29" t="s">
        <v>837</v>
      </c>
      <c r="G9" s="29" t="s">
        <v>838</v>
      </c>
      <c r="H9" s="29" t="s">
        <v>802</v>
      </c>
      <c r="I9" s="29" t="s">
        <v>803</v>
      </c>
      <c r="J9" s="29" t="s">
        <v>237</v>
      </c>
      <c r="K9" s="31">
        <v>0.1</v>
      </c>
      <c r="L9" s="32">
        <v>80000</v>
      </c>
      <c r="M9" s="32">
        <v>0</v>
      </c>
      <c r="N9" s="33">
        <f t="shared" si="1"/>
        <v>8000</v>
      </c>
      <c r="O9" s="33">
        <v>0</v>
      </c>
      <c r="P9" s="32">
        <v>80000</v>
      </c>
      <c r="Q9" s="29" t="s">
        <v>839</v>
      </c>
      <c r="R9" s="29" t="s">
        <v>840</v>
      </c>
      <c r="S9" s="29" t="s">
        <v>15</v>
      </c>
      <c r="T9" s="29" t="s">
        <v>807</v>
      </c>
      <c r="U9" s="29" t="s">
        <v>15</v>
      </c>
      <c r="V9" s="29" t="s">
        <v>841</v>
      </c>
      <c r="W9" s="29" t="s">
        <v>841</v>
      </c>
    </row>
    <row r="10" spans="1:23" ht="10.5" customHeight="1" x14ac:dyDescent="0.25">
      <c r="A10" s="28">
        <v>46023</v>
      </c>
      <c r="B10" s="29" t="str">
        <f t="shared" si="0"/>
        <v>01/01/2026NL300034</v>
      </c>
      <c r="C10" s="30" t="s">
        <v>834</v>
      </c>
      <c r="D10" s="30" t="s">
        <v>835</v>
      </c>
      <c r="E10" s="29" t="s">
        <v>836</v>
      </c>
      <c r="F10" s="29" t="s">
        <v>837</v>
      </c>
      <c r="G10" s="29" t="s">
        <v>838</v>
      </c>
      <c r="H10" s="29" t="s">
        <v>376</v>
      </c>
      <c r="I10" s="29" t="s">
        <v>377</v>
      </c>
      <c r="J10" s="29" t="s">
        <v>237</v>
      </c>
      <c r="K10" s="31">
        <v>0.2</v>
      </c>
      <c r="L10" s="32">
        <v>40000</v>
      </c>
      <c r="M10" s="32">
        <v>0</v>
      </c>
      <c r="N10" s="33">
        <f t="shared" si="1"/>
        <v>8000</v>
      </c>
      <c r="O10" s="33">
        <v>0</v>
      </c>
      <c r="P10" s="32">
        <v>40000</v>
      </c>
      <c r="Q10" s="29" t="s">
        <v>839</v>
      </c>
      <c r="R10" s="29" t="s">
        <v>840</v>
      </c>
      <c r="S10" s="29" t="s">
        <v>15</v>
      </c>
      <c r="T10" s="29" t="s">
        <v>807</v>
      </c>
      <c r="U10" s="29" t="s">
        <v>15</v>
      </c>
      <c r="V10" s="29" t="s">
        <v>841</v>
      </c>
      <c r="W10" s="29" t="s">
        <v>841</v>
      </c>
    </row>
    <row r="11" spans="1:23" ht="10.5" customHeight="1" x14ac:dyDescent="0.25">
      <c r="A11" s="28">
        <v>46023</v>
      </c>
      <c r="B11" s="29" t="str">
        <f t="shared" si="0"/>
        <v>01/01/2026NL300033</v>
      </c>
      <c r="C11" s="30" t="s">
        <v>834</v>
      </c>
      <c r="D11" s="30" t="s">
        <v>835</v>
      </c>
      <c r="E11" s="29" t="s">
        <v>836</v>
      </c>
      <c r="F11" s="29" t="s">
        <v>837</v>
      </c>
      <c r="G11" s="29" t="s">
        <v>838</v>
      </c>
      <c r="H11" s="29" t="s">
        <v>374</v>
      </c>
      <c r="I11" s="29" t="s">
        <v>843</v>
      </c>
      <c r="J11" s="29" t="s">
        <v>237</v>
      </c>
      <c r="K11" s="31">
        <v>4</v>
      </c>
      <c r="L11" s="32">
        <v>13000</v>
      </c>
      <c r="M11" s="32">
        <v>0</v>
      </c>
      <c r="N11" s="33">
        <f t="shared" si="1"/>
        <v>52000</v>
      </c>
      <c r="O11" s="33">
        <v>0</v>
      </c>
      <c r="P11" s="32">
        <v>13000</v>
      </c>
      <c r="Q11" s="29" t="s">
        <v>839</v>
      </c>
      <c r="R11" s="29" t="s">
        <v>840</v>
      </c>
      <c r="S11" s="29" t="s">
        <v>15</v>
      </c>
      <c r="T11" s="29" t="s">
        <v>807</v>
      </c>
      <c r="U11" s="29" t="s">
        <v>15</v>
      </c>
      <c r="V11" s="29" t="s">
        <v>841</v>
      </c>
      <c r="W11" s="29" t="s">
        <v>841</v>
      </c>
    </row>
    <row r="12" spans="1:23" ht="10.5" customHeight="1" x14ac:dyDescent="0.25">
      <c r="A12" s="28">
        <v>46023</v>
      </c>
      <c r="B12" s="29" t="str">
        <f t="shared" si="0"/>
        <v>01/01/2026NL300053</v>
      </c>
      <c r="C12" s="30" t="s">
        <v>834</v>
      </c>
      <c r="D12" s="30" t="s">
        <v>835</v>
      </c>
      <c r="E12" s="29" t="s">
        <v>836</v>
      </c>
      <c r="F12" s="29" t="s">
        <v>837</v>
      </c>
      <c r="G12" s="29" t="s">
        <v>838</v>
      </c>
      <c r="H12" s="29" t="s">
        <v>475</v>
      </c>
      <c r="I12" s="29" t="s">
        <v>476</v>
      </c>
      <c r="J12" s="29" t="s">
        <v>237</v>
      </c>
      <c r="K12" s="31">
        <v>0.5</v>
      </c>
      <c r="L12" s="32">
        <v>30000</v>
      </c>
      <c r="M12" s="32">
        <v>0</v>
      </c>
      <c r="N12" s="33">
        <f t="shared" si="1"/>
        <v>15000</v>
      </c>
      <c r="O12" s="33">
        <v>0</v>
      </c>
      <c r="P12" s="32">
        <v>30000</v>
      </c>
      <c r="Q12" s="29" t="s">
        <v>839</v>
      </c>
      <c r="R12" s="29" t="s">
        <v>840</v>
      </c>
      <c r="S12" s="29" t="s">
        <v>15</v>
      </c>
      <c r="T12" s="29" t="s">
        <v>807</v>
      </c>
      <c r="U12" s="29" t="s">
        <v>15</v>
      </c>
      <c r="V12" s="29" t="s">
        <v>841</v>
      </c>
      <c r="W12" s="29" t="s">
        <v>841</v>
      </c>
    </row>
    <row r="13" spans="1:23" ht="10.5" customHeight="1" x14ac:dyDescent="0.25">
      <c r="A13" s="28">
        <v>46023</v>
      </c>
      <c r="B13" s="29" t="str">
        <f t="shared" si="0"/>
        <v>01/01/2026NL600004</v>
      </c>
      <c r="C13" s="30" t="s">
        <v>834</v>
      </c>
      <c r="D13" s="30" t="s">
        <v>835</v>
      </c>
      <c r="E13" s="29" t="s">
        <v>836</v>
      </c>
      <c r="F13" s="29" t="s">
        <v>837</v>
      </c>
      <c r="G13" s="29" t="s">
        <v>838</v>
      </c>
      <c r="H13" s="29" t="s">
        <v>462</v>
      </c>
      <c r="I13" s="29" t="s">
        <v>52</v>
      </c>
      <c r="J13" s="29" t="s">
        <v>237</v>
      </c>
      <c r="K13" s="31">
        <v>21</v>
      </c>
      <c r="L13" s="32">
        <v>18000</v>
      </c>
      <c r="M13" s="32">
        <v>0</v>
      </c>
      <c r="N13" s="33">
        <f t="shared" si="1"/>
        <v>378000</v>
      </c>
      <c r="O13" s="33">
        <v>0</v>
      </c>
      <c r="P13" s="32">
        <v>18000</v>
      </c>
      <c r="Q13" s="29" t="s">
        <v>839</v>
      </c>
      <c r="R13" s="29" t="s">
        <v>840</v>
      </c>
      <c r="S13" s="29" t="s">
        <v>15</v>
      </c>
      <c r="T13" s="29" t="s">
        <v>807</v>
      </c>
      <c r="U13" s="29" t="s">
        <v>15</v>
      </c>
      <c r="V13" s="29" t="s">
        <v>841</v>
      </c>
      <c r="W13" s="29" t="s">
        <v>841</v>
      </c>
    </row>
    <row r="14" spans="1:23" ht="10.5" customHeight="1" x14ac:dyDescent="0.25">
      <c r="A14" s="28">
        <v>46023</v>
      </c>
      <c r="B14" s="29" t="str">
        <f t="shared" si="0"/>
        <v>01/01/2026NL300048</v>
      </c>
      <c r="C14" s="30" t="s">
        <v>834</v>
      </c>
      <c r="D14" s="30" t="s">
        <v>835</v>
      </c>
      <c r="E14" s="29" t="s">
        <v>836</v>
      </c>
      <c r="F14" s="29" t="s">
        <v>837</v>
      </c>
      <c r="G14" s="29" t="s">
        <v>838</v>
      </c>
      <c r="H14" s="29" t="s">
        <v>460</v>
      </c>
      <c r="I14" s="29" t="s">
        <v>461</v>
      </c>
      <c r="J14" s="29" t="s">
        <v>237</v>
      </c>
      <c r="K14" s="31">
        <v>4</v>
      </c>
      <c r="L14" s="32">
        <v>18000</v>
      </c>
      <c r="M14" s="32">
        <v>0</v>
      </c>
      <c r="N14" s="33">
        <f t="shared" si="1"/>
        <v>72000</v>
      </c>
      <c r="O14" s="33">
        <v>0</v>
      </c>
      <c r="P14" s="32">
        <v>18000</v>
      </c>
      <c r="Q14" s="29" t="s">
        <v>839</v>
      </c>
      <c r="R14" s="29" t="s">
        <v>840</v>
      </c>
      <c r="S14" s="29" t="s">
        <v>15</v>
      </c>
      <c r="T14" s="29" t="s">
        <v>807</v>
      </c>
      <c r="U14" s="29" t="s">
        <v>15</v>
      </c>
      <c r="V14" s="29" t="s">
        <v>841</v>
      </c>
      <c r="W14" s="29" t="s">
        <v>841</v>
      </c>
    </row>
    <row r="15" spans="1:23" ht="10.5" customHeight="1" x14ac:dyDescent="0.25">
      <c r="A15" s="28">
        <v>46023</v>
      </c>
      <c r="B15" s="29" t="str">
        <f t="shared" si="0"/>
        <v>01/01/2026NL300038</v>
      </c>
      <c r="C15" s="30" t="s">
        <v>834</v>
      </c>
      <c r="D15" s="30" t="s">
        <v>835</v>
      </c>
      <c r="E15" s="29" t="s">
        <v>836</v>
      </c>
      <c r="F15" s="29" t="s">
        <v>837</v>
      </c>
      <c r="G15" s="29" t="s">
        <v>838</v>
      </c>
      <c r="H15" s="29" t="s">
        <v>408</v>
      </c>
      <c r="I15" s="29" t="s">
        <v>20</v>
      </c>
      <c r="J15" s="29" t="s">
        <v>237</v>
      </c>
      <c r="K15" s="31">
        <v>3</v>
      </c>
      <c r="L15" s="32">
        <v>32000</v>
      </c>
      <c r="M15" s="32">
        <v>0</v>
      </c>
      <c r="N15" s="33">
        <f t="shared" si="1"/>
        <v>96000</v>
      </c>
      <c r="O15" s="33">
        <v>0</v>
      </c>
      <c r="P15" s="32">
        <v>32000</v>
      </c>
      <c r="Q15" s="29" t="s">
        <v>839</v>
      </c>
      <c r="R15" s="29" t="s">
        <v>840</v>
      </c>
      <c r="S15" s="29" t="s">
        <v>15</v>
      </c>
      <c r="T15" s="29" t="s">
        <v>807</v>
      </c>
      <c r="U15" s="29" t="s">
        <v>15</v>
      </c>
      <c r="V15" s="29" t="s">
        <v>841</v>
      </c>
      <c r="W15" s="29" t="s">
        <v>841</v>
      </c>
    </row>
    <row r="16" spans="1:23" ht="10.5" customHeight="1" x14ac:dyDescent="0.25">
      <c r="A16" s="28">
        <v>46023</v>
      </c>
      <c r="B16" s="29" t="str">
        <f t="shared" si="0"/>
        <v>01/01/2026NL300041</v>
      </c>
      <c r="C16" s="30" t="s">
        <v>834</v>
      </c>
      <c r="D16" s="30" t="s">
        <v>835</v>
      </c>
      <c r="E16" s="29" t="s">
        <v>836</v>
      </c>
      <c r="F16" s="29" t="s">
        <v>837</v>
      </c>
      <c r="G16" s="29" t="s">
        <v>838</v>
      </c>
      <c r="H16" s="29" t="s">
        <v>418</v>
      </c>
      <c r="I16" s="29" t="s">
        <v>419</v>
      </c>
      <c r="J16" s="29" t="s">
        <v>420</v>
      </c>
      <c r="K16" s="31">
        <v>6</v>
      </c>
      <c r="L16" s="32">
        <v>15000</v>
      </c>
      <c r="M16" s="32">
        <v>0</v>
      </c>
      <c r="N16" s="33">
        <f t="shared" si="1"/>
        <v>90000</v>
      </c>
      <c r="O16" s="33">
        <v>0</v>
      </c>
      <c r="P16" s="32">
        <v>15000</v>
      </c>
      <c r="Q16" s="29" t="s">
        <v>839</v>
      </c>
      <c r="R16" s="29" t="s">
        <v>840</v>
      </c>
      <c r="S16" s="29" t="s">
        <v>15</v>
      </c>
      <c r="T16" s="29" t="s">
        <v>807</v>
      </c>
      <c r="U16" s="29" t="s">
        <v>15</v>
      </c>
      <c r="V16" s="29" t="s">
        <v>841</v>
      </c>
      <c r="W16" s="29" t="s">
        <v>841</v>
      </c>
    </row>
    <row r="17" spans="1:23" ht="10.5" customHeight="1" x14ac:dyDescent="0.25">
      <c r="A17" s="28">
        <v>46023</v>
      </c>
      <c r="B17" s="29" t="str">
        <f t="shared" si="0"/>
        <v>01/01/2026NL300050</v>
      </c>
      <c r="C17" s="30" t="s">
        <v>834</v>
      </c>
      <c r="D17" s="30" t="s">
        <v>835</v>
      </c>
      <c r="E17" s="29" t="s">
        <v>836</v>
      </c>
      <c r="F17" s="29" t="s">
        <v>837</v>
      </c>
      <c r="G17" s="29" t="s">
        <v>838</v>
      </c>
      <c r="H17" s="29" t="s">
        <v>804</v>
      </c>
      <c r="I17" s="29" t="s">
        <v>805</v>
      </c>
      <c r="J17" s="29" t="s">
        <v>237</v>
      </c>
      <c r="K17" s="31">
        <v>0.5</v>
      </c>
      <c r="L17" s="32">
        <v>9000</v>
      </c>
      <c r="M17" s="32">
        <v>0</v>
      </c>
      <c r="N17" s="33">
        <f t="shared" si="1"/>
        <v>4500</v>
      </c>
      <c r="O17" s="33">
        <v>0</v>
      </c>
      <c r="P17" s="32">
        <v>9000</v>
      </c>
      <c r="Q17" s="29" t="s">
        <v>839</v>
      </c>
      <c r="R17" s="29" t="s">
        <v>840</v>
      </c>
      <c r="S17" s="29" t="s">
        <v>15</v>
      </c>
      <c r="T17" s="29" t="s">
        <v>807</v>
      </c>
      <c r="U17" s="29" t="s">
        <v>15</v>
      </c>
      <c r="V17" s="29" t="s">
        <v>841</v>
      </c>
      <c r="W17" s="29" t="s">
        <v>841</v>
      </c>
    </row>
    <row r="18" spans="1:23" ht="10.5" customHeight="1" x14ac:dyDescent="0.25">
      <c r="A18" s="28">
        <v>46023</v>
      </c>
      <c r="B18" s="29" t="str">
        <f t="shared" si="0"/>
        <v>01/01/2026NL300058</v>
      </c>
      <c r="C18" s="30" t="s">
        <v>834</v>
      </c>
      <c r="D18" s="30" t="s">
        <v>835</v>
      </c>
      <c r="E18" s="29" t="s">
        <v>836</v>
      </c>
      <c r="F18" s="29" t="s">
        <v>837</v>
      </c>
      <c r="G18" s="29" t="s">
        <v>838</v>
      </c>
      <c r="H18" s="29" t="s">
        <v>481</v>
      </c>
      <c r="I18" s="29" t="s">
        <v>22</v>
      </c>
      <c r="J18" s="29" t="s">
        <v>237</v>
      </c>
      <c r="K18" s="31">
        <v>0.3</v>
      </c>
      <c r="L18" s="32">
        <v>55000</v>
      </c>
      <c r="M18" s="32">
        <v>0</v>
      </c>
      <c r="N18" s="33">
        <f t="shared" si="1"/>
        <v>16500</v>
      </c>
      <c r="O18" s="33">
        <v>0</v>
      </c>
      <c r="P18" s="32">
        <v>55000</v>
      </c>
      <c r="Q18" s="29" t="s">
        <v>839</v>
      </c>
      <c r="R18" s="29" t="s">
        <v>840</v>
      </c>
      <c r="S18" s="29" t="s">
        <v>15</v>
      </c>
      <c r="T18" s="29" t="s">
        <v>807</v>
      </c>
      <c r="U18" s="29" t="s">
        <v>15</v>
      </c>
      <c r="V18" s="29" t="s">
        <v>841</v>
      </c>
      <c r="W18" s="29" t="s">
        <v>841</v>
      </c>
    </row>
    <row r="19" spans="1:23" ht="10.5" customHeight="1" x14ac:dyDescent="0.25">
      <c r="A19" s="28">
        <v>46023</v>
      </c>
      <c r="B19" s="29" t="str">
        <f t="shared" si="0"/>
        <v>01/01/2026NL300061</v>
      </c>
      <c r="C19" s="30" t="s">
        <v>834</v>
      </c>
      <c r="D19" s="30" t="s">
        <v>835</v>
      </c>
      <c r="E19" s="29" t="s">
        <v>836</v>
      </c>
      <c r="F19" s="29" t="s">
        <v>837</v>
      </c>
      <c r="G19" s="29" t="s">
        <v>838</v>
      </c>
      <c r="H19" s="29" t="s">
        <v>482</v>
      </c>
      <c r="I19" s="29" t="s">
        <v>844</v>
      </c>
      <c r="J19" s="29" t="s">
        <v>237</v>
      </c>
      <c r="K19" s="31">
        <v>0.6</v>
      </c>
      <c r="L19" s="32">
        <v>38000</v>
      </c>
      <c r="M19" s="32">
        <v>0</v>
      </c>
      <c r="N19" s="33">
        <f t="shared" si="1"/>
        <v>22800</v>
      </c>
      <c r="O19" s="33">
        <v>0</v>
      </c>
      <c r="P19" s="32">
        <v>38000</v>
      </c>
      <c r="Q19" s="29" t="s">
        <v>839</v>
      </c>
      <c r="R19" s="29" t="s">
        <v>840</v>
      </c>
      <c r="S19" s="29" t="s">
        <v>15</v>
      </c>
      <c r="T19" s="29" t="s">
        <v>807</v>
      </c>
      <c r="U19" s="29" t="s">
        <v>15</v>
      </c>
      <c r="V19" s="29" t="s">
        <v>841</v>
      </c>
      <c r="W19" s="29" t="s">
        <v>841</v>
      </c>
    </row>
    <row r="20" spans="1:23" ht="10.5" customHeight="1" x14ac:dyDescent="0.25">
      <c r="A20" s="28">
        <v>46023</v>
      </c>
      <c r="B20" s="29" t="str">
        <f t="shared" si="0"/>
        <v>01/01/2026NL300059</v>
      </c>
      <c r="C20" s="30" t="s">
        <v>834</v>
      </c>
      <c r="D20" s="30" t="s">
        <v>835</v>
      </c>
      <c r="E20" s="29" t="s">
        <v>836</v>
      </c>
      <c r="F20" s="29" t="s">
        <v>837</v>
      </c>
      <c r="G20" s="29" t="s">
        <v>838</v>
      </c>
      <c r="H20" s="29" t="s">
        <v>484</v>
      </c>
      <c r="I20" s="29" t="s">
        <v>24</v>
      </c>
      <c r="J20" s="29" t="s">
        <v>237</v>
      </c>
      <c r="K20" s="31">
        <v>2.2000000000000002</v>
      </c>
      <c r="L20" s="32">
        <v>13000</v>
      </c>
      <c r="M20" s="32">
        <v>0</v>
      </c>
      <c r="N20" s="33">
        <f t="shared" si="1"/>
        <v>28600.000000000004</v>
      </c>
      <c r="O20" s="33">
        <v>0</v>
      </c>
      <c r="P20" s="32">
        <v>13000</v>
      </c>
      <c r="Q20" s="29" t="s">
        <v>839</v>
      </c>
      <c r="R20" s="29" t="s">
        <v>840</v>
      </c>
      <c r="S20" s="29" t="s">
        <v>15</v>
      </c>
      <c r="T20" s="29" t="s">
        <v>807</v>
      </c>
      <c r="U20" s="29" t="s">
        <v>15</v>
      </c>
      <c r="V20" s="29" t="s">
        <v>841</v>
      </c>
      <c r="W20" s="29" t="s">
        <v>841</v>
      </c>
    </row>
    <row r="21" spans="1:23" ht="10.5" customHeight="1" x14ac:dyDescent="0.25">
      <c r="A21" s="28">
        <v>46023</v>
      </c>
      <c r="B21" s="29" t="str">
        <f t="shared" si="0"/>
        <v>01/01/2026NL300070</v>
      </c>
      <c r="C21" s="30" t="s">
        <v>834</v>
      </c>
      <c r="D21" s="30" t="s">
        <v>835</v>
      </c>
      <c r="E21" s="29" t="s">
        <v>836</v>
      </c>
      <c r="F21" s="29" t="s">
        <v>837</v>
      </c>
      <c r="G21" s="29" t="s">
        <v>838</v>
      </c>
      <c r="H21" s="29" t="s">
        <v>507</v>
      </c>
      <c r="I21" s="29" t="s">
        <v>508</v>
      </c>
      <c r="J21" s="29" t="s">
        <v>237</v>
      </c>
      <c r="K21" s="31">
        <v>3</v>
      </c>
      <c r="L21" s="32">
        <v>23000</v>
      </c>
      <c r="M21" s="32">
        <v>0</v>
      </c>
      <c r="N21" s="33">
        <f t="shared" si="1"/>
        <v>69000</v>
      </c>
      <c r="O21" s="33">
        <v>0</v>
      </c>
      <c r="P21" s="32">
        <v>23000</v>
      </c>
      <c r="Q21" s="29" t="s">
        <v>839</v>
      </c>
      <c r="R21" s="29" t="s">
        <v>840</v>
      </c>
      <c r="S21" s="29" t="s">
        <v>15</v>
      </c>
      <c r="T21" s="29" t="s">
        <v>807</v>
      </c>
      <c r="U21" s="29" t="s">
        <v>15</v>
      </c>
      <c r="V21" s="29" t="s">
        <v>841</v>
      </c>
      <c r="W21" s="29" t="s">
        <v>841</v>
      </c>
    </row>
    <row r="22" spans="1:23" ht="10.5" customHeight="1" x14ac:dyDescent="0.25">
      <c r="A22" s="28">
        <v>46023</v>
      </c>
      <c r="B22" s="29" t="str">
        <f t="shared" si="0"/>
        <v>01/01/2026NL300080</v>
      </c>
      <c r="C22" s="30" t="s">
        <v>834</v>
      </c>
      <c r="D22" s="30" t="s">
        <v>835</v>
      </c>
      <c r="E22" s="29" t="s">
        <v>836</v>
      </c>
      <c r="F22" s="29" t="s">
        <v>837</v>
      </c>
      <c r="G22" s="29" t="s">
        <v>838</v>
      </c>
      <c r="H22" s="29" t="s">
        <v>553</v>
      </c>
      <c r="I22" s="29" t="s">
        <v>554</v>
      </c>
      <c r="J22" s="29" t="s">
        <v>237</v>
      </c>
      <c r="K22" s="31">
        <v>4</v>
      </c>
      <c r="L22" s="32">
        <v>95000</v>
      </c>
      <c r="M22" s="32">
        <v>0</v>
      </c>
      <c r="N22" s="33">
        <f t="shared" si="1"/>
        <v>380000</v>
      </c>
      <c r="O22" s="33">
        <v>0</v>
      </c>
      <c r="P22" s="32">
        <v>95000</v>
      </c>
      <c r="Q22" s="29" t="s">
        <v>839</v>
      </c>
      <c r="R22" s="29" t="s">
        <v>840</v>
      </c>
      <c r="S22" s="29" t="s">
        <v>15</v>
      </c>
      <c r="T22" s="29" t="s">
        <v>807</v>
      </c>
      <c r="U22" s="29" t="s">
        <v>15</v>
      </c>
      <c r="V22" s="29" t="s">
        <v>841</v>
      </c>
      <c r="W22" s="29" t="s">
        <v>841</v>
      </c>
    </row>
    <row r="23" spans="1:23" ht="10.5" customHeight="1" x14ac:dyDescent="0.25">
      <c r="A23" s="28">
        <v>46023</v>
      </c>
      <c r="B23" s="29" t="str">
        <f t="shared" si="0"/>
        <v>01/01/2026NL300090</v>
      </c>
      <c r="C23" s="30" t="s">
        <v>834</v>
      </c>
      <c r="D23" s="30" t="s">
        <v>835</v>
      </c>
      <c r="E23" s="29" t="s">
        <v>836</v>
      </c>
      <c r="F23" s="29" t="s">
        <v>837</v>
      </c>
      <c r="G23" s="29" t="s">
        <v>838</v>
      </c>
      <c r="H23" s="29" t="s">
        <v>604</v>
      </c>
      <c r="I23" s="29" t="s">
        <v>40</v>
      </c>
      <c r="J23" s="29" t="s">
        <v>237</v>
      </c>
      <c r="K23" s="31">
        <v>7</v>
      </c>
      <c r="L23" s="32">
        <v>145000</v>
      </c>
      <c r="M23" s="32">
        <v>0</v>
      </c>
      <c r="N23" s="33">
        <f t="shared" si="1"/>
        <v>1015000</v>
      </c>
      <c r="O23" s="33">
        <v>0</v>
      </c>
      <c r="P23" s="32">
        <v>145000</v>
      </c>
      <c r="Q23" s="29" t="s">
        <v>839</v>
      </c>
      <c r="R23" s="29" t="s">
        <v>840</v>
      </c>
      <c r="S23" s="29" t="s">
        <v>15</v>
      </c>
      <c r="T23" s="29" t="s">
        <v>807</v>
      </c>
      <c r="U23" s="29" t="s">
        <v>15</v>
      </c>
      <c r="V23" s="29" t="s">
        <v>841</v>
      </c>
      <c r="W23" s="29" t="s">
        <v>841</v>
      </c>
    </row>
    <row r="24" spans="1:23" ht="10.5" customHeight="1" x14ac:dyDescent="0.25">
      <c r="A24" s="28">
        <v>46023</v>
      </c>
      <c r="B24" s="29" t="str">
        <f t="shared" si="0"/>
        <v>01/01/2026NL300091</v>
      </c>
      <c r="C24" s="30" t="s">
        <v>834</v>
      </c>
      <c r="D24" s="30" t="s">
        <v>835</v>
      </c>
      <c r="E24" s="29" t="s">
        <v>836</v>
      </c>
      <c r="F24" s="29" t="s">
        <v>837</v>
      </c>
      <c r="G24" s="29" t="s">
        <v>838</v>
      </c>
      <c r="H24" s="29" t="s">
        <v>606</v>
      </c>
      <c r="I24" s="29" t="s">
        <v>54</v>
      </c>
      <c r="J24" s="29" t="s">
        <v>237</v>
      </c>
      <c r="K24" s="31">
        <v>2</v>
      </c>
      <c r="L24" s="32">
        <v>47000</v>
      </c>
      <c r="M24" s="32">
        <v>0</v>
      </c>
      <c r="N24" s="33">
        <f t="shared" si="1"/>
        <v>94000</v>
      </c>
      <c r="O24" s="33">
        <v>0</v>
      </c>
      <c r="P24" s="32">
        <v>47000</v>
      </c>
      <c r="Q24" s="29" t="s">
        <v>839</v>
      </c>
      <c r="R24" s="29" t="s">
        <v>840</v>
      </c>
      <c r="S24" s="29" t="s">
        <v>15</v>
      </c>
      <c r="T24" s="29" t="s">
        <v>807</v>
      </c>
      <c r="U24" s="29" t="s">
        <v>15</v>
      </c>
      <c r="V24" s="29" t="s">
        <v>841</v>
      </c>
      <c r="W24" s="29" t="s">
        <v>841</v>
      </c>
    </row>
    <row r="25" spans="1:23" ht="10.5" customHeight="1" x14ac:dyDescent="0.25">
      <c r="A25" s="28">
        <v>46023</v>
      </c>
      <c r="B25" s="29" t="str">
        <f t="shared" si="0"/>
        <v>01/01/2026NL300096</v>
      </c>
      <c r="C25" s="30" t="s">
        <v>834</v>
      </c>
      <c r="D25" s="30" t="s">
        <v>835</v>
      </c>
      <c r="E25" s="29" t="s">
        <v>836</v>
      </c>
      <c r="F25" s="29" t="s">
        <v>837</v>
      </c>
      <c r="G25" s="29" t="s">
        <v>838</v>
      </c>
      <c r="H25" s="29" t="s">
        <v>610</v>
      </c>
      <c r="I25" s="29" t="s">
        <v>30</v>
      </c>
      <c r="J25" s="29" t="s">
        <v>237</v>
      </c>
      <c r="K25" s="31">
        <v>1</v>
      </c>
      <c r="L25" s="32">
        <v>45000</v>
      </c>
      <c r="M25" s="32">
        <v>0</v>
      </c>
      <c r="N25" s="33">
        <f t="shared" si="1"/>
        <v>45000</v>
      </c>
      <c r="O25" s="33">
        <v>0</v>
      </c>
      <c r="P25" s="32">
        <v>45000</v>
      </c>
      <c r="Q25" s="29" t="s">
        <v>839</v>
      </c>
      <c r="R25" s="29" t="s">
        <v>840</v>
      </c>
      <c r="S25" s="29" t="s">
        <v>15</v>
      </c>
      <c r="T25" s="29" t="s">
        <v>807</v>
      </c>
      <c r="U25" s="29" t="s">
        <v>15</v>
      </c>
      <c r="V25" s="29" t="s">
        <v>841</v>
      </c>
      <c r="W25" s="29" t="s">
        <v>841</v>
      </c>
    </row>
    <row r="26" spans="1:23" ht="10.5" customHeight="1" x14ac:dyDescent="0.25">
      <c r="A26" s="28">
        <v>46023</v>
      </c>
      <c r="B26" s="29" t="str">
        <f t="shared" si="0"/>
        <v>01/01/2026NL300085</v>
      </c>
      <c r="C26" s="30" t="s">
        <v>834</v>
      </c>
      <c r="D26" s="30" t="s">
        <v>835</v>
      </c>
      <c r="E26" s="29" t="s">
        <v>836</v>
      </c>
      <c r="F26" s="29" t="s">
        <v>837</v>
      </c>
      <c r="G26" s="29" t="s">
        <v>838</v>
      </c>
      <c r="H26" s="29" t="s">
        <v>592</v>
      </c>
      <c r="I26" s="29" t="s">
        <v>593</v>
      </c>
      <c r="J26" s="29" t="s">
        <v>237</v>
      </c>
      <c r="K26" s="31">
        <v>0.1</v>
      </c>
      <c r="L26" s="32">
        <v>45000</v>
      </c>
      <c r="M26" s="32">
        <v>0</v>
      </c>
      <c r="N26" s="33">
        <f t="shared" si="1"/>
        <v>4500</v>
      </c>
      <c r="O26" s="33">
        <v>0</v>
      </c>
      <c r="P26" s="32">
        <v>45000</v>
      </c>
      <c r="Q26" s="29" t="s">
        <v>839</v>
      </c>
      <c r="R26" s="29" t="s">
        <v>840</v>
      </c>
      <c r="S26" s="29" t="s">
        <v>15</v>
      </c>
      <c r="T26" s="29" t="s">
        <v>807</v>
      </c>
      <c r="U26" s="29" t="s">
        <v>15</v>
      </c>
      <c r="V26" s="29" t="s">
        <v>841</v>
      </c>
      <c r="W26" s="29" t="s">
        <v>841</v>
      </c>
    </row>
    <row r="27" spans="1:23" ht="10.5" customHeight="1" x14ac:dyDescent="0.25">
      <c r="A27" s="28">
        <v>46023</v>
      </c>
      <c r="B27" s="29" t="str">
        <f t="shared" si="0"/>
        <v>01/01/2026NL300126</v>
      </c>
      <c r="C27" s="30" t="s">
        <v>834</v>
      </c>
      <c r="D27" s="30" t="s">
        <v>835</v>
      </c>
      <c r="E27" s="29" t="s">
        <v>836</v>
      </c>
      <c r="F27" s="29" t="s">
        <v>837</v>
      </c>
      <c r="G27" s="29" t="s">
        <v>838</v>
      </c>
      <c r="H27" s="29" t="s">
        <v>721</v>
      </c>
      <c r="I27" s="29" t="s">
        <v>722</v>
      </c>
      <c r="J27" s="29" t="s">
        <v>237</v>
      </c>
      <c r="K27" s="31">
        <v>0.5</v>
      </c>
      <c r="L27" s="32">
        <v>70000</v>
      </c>
      <c r="M27" s="32">
        <v>0</v>
      </c>
      <c r="N27" s="33">
        <f t="shared" si="1"/>
        <v>35000</v>
      </c>
      <c r="O27" s="33">
        <v>0</v>
      </c>
      <c r="P27" s="32">
        <v>70000</v>
      </c>
      <c r="Q27" s="29" t="s">
        <v>839</v>
      </c>
      <c r="R27" s="29" t="s">
        <v>840</v>
      </c>
      <c r="S27" s="29" t="s">
        <v>15</v>
      </c>
      <c r="T27" s="29" t="s">
        <v>807</v>
      </c>
      <c r="U27" s="29" t="s">
        <v>15</v>
      </c>
      <c r="V27" s="29" t="s">
        <v>841</v>
      </c>
      <c r="W27" s="29" t="s">
        <v>841</v>
      </c>
    </row>
    <row r="28" spans="1:23" ht="10.5" customHeight="1" x14ac:dyDescent="0.25">
      <c r="A28" s="28">
        <v>46023</v>
      </c>
      <c r="B28" s="29" t="str">
        <f t="shared" si="0"/>
        <v>01/01/2026NL300113</v>
      </c>
      <c r="C28" s="30" t="s">
        <v>834</v>
      </c>
      <c r="D28" s="30" t="s">
        <v>835</v>
      </c>
      <c r="E28" s="29" t="s">
        <v>836</v>
      </c>
      <c r="F28" s="29" t="s">
        <v>837</v>
      </c>
      <c r="G28" s="29" t="s">
        <v>838</v>
      </c>
      <c r="H28" s="29" t="s">
        <v>649</v>
      </c>
      <c r="I28" s="29" t="s">
        <v>42</v>
      </c>
      <c r="J28" s="29" t="s">
        <v>237</v>
      </c>
      <c r="K28" s="31">
        <v>1</v>
      </c>
      <c r="L28" s="32">
        <v>145000</v>
      </c>
      <c r="M28" s="32">
        <v>0</v>
      </c>
      <c r="N28" s="33">
        <f t="shared" si="1"/>
        <v>145000</v>
      </c>
      <c r="O28" s="33">
        <v>0</v>
      </c>
      <c r="P28" s="32">
        <v>145000</v>
      </c>
      <c r="Q28" s="29" t="s">
        <v>839</v>
      </c>
      <c r="R28" s="29" t="s">
        <v>840</v>
      </c>
      <c r="S28" s="29" t="s">
        <v>15</v>
      </c>
      <c r="T28" s="29" t="s">
        <v>807</v>
      </c>
      <c r="U28" s="29" t="s">
        <v>15</v>
      </c>
      <c r="V28" s="29" t="s">
        <v>841</v>
      </c>
      <c r="W28" s="29" t="s">
        <v>841</v>
      </c>
    </row>
    <row r="29" spans="1:23" ht="10.5" customHeight="1" x14ac:dyDescent="0.25">
      <c r="A29" s="28">
        <v>46023</v>
      </c>
      <c r="B29" s="29" t="str">
        <f t="shared" si="0"/>
        <v>01/01/2026NL300119</v>
      </c>
      <c r="C29" s="30" t="s">
        <v>834</v>
      </c>
      <c r="D29" s="30" t="s">
        <v>835</v>
      </c>
      <c r="E29" s="29" t="s">
        <v>836</v>
      </c>
      <c r="F29" s="29" t="s">
        <v>837</v>
      </c>
      <c r="G29" s="29" t="s">
        <v>838</v>
      </c>
      <c r="H29" s="29" t="s">
        <v>672</v>
      </c>
      <c r="I29" s="29" t="s">
        <v>673</v>
      </c>
      <c r="J29" s="29" t="s">
        <v>237</v>
      </c>
      <c r="K29" s="31">
        <v>1.7</v>
      </c>
      <c r="L29" s="32">
        <v>21000</v>
      </c>
      <c r="M29" s="32">
        <v>0</v>
      </c>
      <c r="N29" s="33">
        <f t="shared" si="1"/>
        <v>35700</v>
      </c>
      <c r="O29" s="33">
        <v>0</v>
      </c>
      <c r="P29" s="32">
        <v>21000</v>
      </c>
      <c r="Q29" s="29" t="s">
        <v>839</v>
      </c>
      <c r="R29" s="29" t="s">
        <v>840</v>
      </c>
      <c r="S29" s="29" t="s">
        <v>15</v>
      </c>
      <c r="T29" s="29" t="s">
        <v>807</v>
      </c>
      <c r="U29" s="29" t="s">
        <v>15</v>
      </c>
      <c r="V29" s="29" t="s">
        <v>841</v>
      </c>
      <c r="W29" s="29" t="s">
        <v>841</v>
      </c>
    </row>
    <row r="30" spans="1:23" ht="10.5" customHeight="1" x14ac:dyDescent="0.25">
      <c r="A30" s="28">
        <v>46023</v>
      </c>
      <c r="B30" s="29" t="str">
        <f t="shared" si="0"/>
        <v>01/01/2026NL300142</v>
      </c>
      <c r="C30" s="30" t="s">
        <v>834</v>
      </c>
      <c r="D30" s="30" t="s">
        <v>835</v>
      </c>
      <c r="E30" s="29" t="s">
        <v>836</v>
      </c>
      <c r="F30" s="29" t="s">
        <v>837</v>
      </c>
      <c r="G30" s="29" t="s">
        <v>838</v>
      </c>
      <c r="H30" s="29" t="s">
        <v>777</v>
      </c>
      <c r="I30" s="29" t="s">
        <v>845</v>
      </c>
      <c r="J30" s="29" t="s">
        <v>237</v>
      </c>
      <c r="K30" s="31">
        <v>0.5</v>
      </c>
      <c r="L30" s="32">
        <v>50000</v>
      </c>
      <c r="M30" s="32">
        <v>0</v>
      </c>
      <c r="N30" s="33">
        <f t="shared" si="1"/>
        <v>25000</v>
      </c>
      <c r="O30" s="33">
        <v>0</v>
      </c>
      <c r="P30" s="32">
        <v>50000</v>
      </c>
      <c r="Q30" s="29" t="s">
        <v>839</v>
      </c>
      <c r="R30" s="29" t="s">
        <v>840</v>
      </c>
      <c r="S30" s="29" t="s">
        <v>15</v>
      </c>
      <c r="T30" s="29" t="s">
        <v>807</v>
      </c>
      <c r="U30" s="29" t="s">
        <v>15</v>
      </c>
      <c r="V30" s="29" t="s">
        <v>841</v>
      </c>
      <c r="W30" s="29" t="s">
        <v>841</v>
      </c>
    </row>
    <row r="31" spans="1:23" ht="10.5" customHeight="1" x14ac:dyDescent="0.25">
      <c r="A31" s="28">
        <v>46023</v>
      </c>
      <c r="B31" s="29" t="str">
        <f t="shared" si="0"/>
        <v>01/01/2026NL300146</v>
      </c>
      <c r="C31" s="30" t="s">
        <v>834</v>
      </c>
      <c r="D31" s="30" t="s">
        <v>835</v>
      </c>
      <c r="E31" s="29" t="s">
        <v>836</v>
      </c>
      <c r="F31" s="29" t="s">
        <v>837</v>
      </c>
      <c r="G31" s="29" t="s">
        <v>838</v>
      </c>
      <c r="H31" s="29" t="s">
        <v>792</v>
      </c>
      <c r="I31" s="29" t="s">
        <v>793</v>
      </c>
      <c r="J31" s="29" t="s">
        <v>237</v>
      </c>
      <c r="K31" s="31">
        <v>1</v>
      </c>
      <c r="L31" s="32">
        <v>65000</v>
      </c>
      <c r="M31" s="32">
        <v>0</v>
      </c>
      <c r="N31" s="33">
        <f t="shared" si="1"/>
        <v>65000</v>
      </c>
      <c r="O31" s="33">
        <v>0</v>
      </c>
      <c r="P31" s="32">
        <v>65000</v>
      </c>
      <c r="Q31" s="29" t="s">
        <v>839</v>
      </c>
      <c r="R31" s="29" t="s">
        <v>840</v>
      </c>
      <c r="S31" s="29" t="s">
        <v>15</v>
      </c>
      <c r="T31" s="29" t="s">
        <v>807</v>
      </c>
      <c r="U31" s="29" t="s">
        <v>15</v>
      </c>
      <c r="V31" s="29" t="s">
        <v>841</v>
      </c>
      <c r="W31" s="29" t="s">
        <v>841</v>
      </c>
    </row>
    <row r="32" spans="1:23" ht="10.5" customHeight="1" x14ac:dyDescent="0.25">
      <c r="A32" s="28">
        <v>46023</v>
      </c>
      <c r="B32" s="29" t="str">
        <f t="shared" si="0"/>
        <v>01/01/2026NL300232</v>
      </c>
      <c r="C32" s="30" t="s">
        <v>834</v>
      </c>
      <c r="D32" s="30" t="s">
        <v>835</v>
      </c>
      <c r="E32" s="29" t="s">
        <v>836</v>
      </c>
      <c r="F32" s="29" t="s">
        <v>837</v>
      </c>
      <c r="G32" s="29" t="s">
        <v>838</v>
      </c>
      <c r="H32" s="29" t="s">
        <v>846</v>
      </c>
      <c r="I32" s="29" t="s">
        <v>847</v>
      </c>
      <c r="J32" s="29" t="s">
        <v>237</v>
      </c>
      <c r="K32" s="31">
        <v>2.2000000000000002</v>
      </c>
      <c r="L32" s="32">
        <v>68000</v>
      </c>
      <c r="M32" s="32">
        <v>0</v>
      </c>
      <c r="N32" s="33">
        <f t="shared" si="1"/>
        <v>149600</v>
      </c>
      <c r="O32" s="33">
        <v>0</v>
      </c>
      <c r="P32" s="32">
        <v>75000</v>
      </c>
      <c r="Q32" s="29" t="s">
        <v>839</v>
      </c>
      <c r="R32" s="29" t="s">
        <v>840</v>
      </c>
      <c r="S32" s="29" t="s">
        <v>15</v>
      </c>
      <c r="T32" s="29" t="s">
        <v>807</v>
      </c>
      <c r="U32" s="29" t="s">
        <v>15</v>
      </c>
      <c r="V32" s="29" t="s">
        <v>841</v>
      </c>
      <c r="W32" s="29" t="s">
        <v>841</v>
      </c>
    </row>
    <row r="33" spans="1:23" ht="10.5" customHeight="1" x14ac:dyDescent="0.25">
      <c r="A33" s="28">
        <v>46023</v>
      </c>
      <c r="B33" s="29" t="str">
        <f t="shared" si="0"/>
        <v>01/01/2026NL300145</v>
      </c>
      <c r="C33" s="30" t="s">
        <v>834</v>
      </c>
      <c r="D33" s="30" t="s">
        <v>835</v>
      </c>
      <c r="E33" s="29" t="s">
        <v>836</v>
      </c>
      <c r="F33" s="29" t="s">
        <v>837</v>
      </c>
      <c r="G33" s="29" t="s">
        <v>838</v>
      </c>
      <c r="H33" s="29" t="s">
        <v>790</v>
      </c>
      <c r="I33" s="29" t="s">
        <v>791</v>
      </c>
      <c r="J33" s="29" t="s">
        <v>237</v>
      </c>
      <c r="K33" s="31">
        <v>12</v>
      </c>
      <c r="L33" s="32">
        <v>38000</v>
      </c>
      <c r="M33" s="32">
        <v>0</v>
      </c>
      <c r="N33" s="33">
        <f t="shared" si="1"/>
        <v>456000</v>
      </c>
      <c r="O33" s="33">
        <v>0</v>
      </c>
      <c r="P33" s="32">
        <v>38000</v>
      </c>
      <c r="Q33" s="29" t="s">
        <v>839</v>
      </c>
      <c r="R33" s="29" t="s">
        <v>840</v>
      </c>
      <c r="S33" s="29" t="s">
        <v>15</v>
      </c>
      <c r="T33" s="29" t="s">
        <v>807</v>
      </c>
      <c r="U33" s="29" t="s">
        <v>15</v>
      </c>
      <c r="V33" s="29" t="s">
        <v>841</v>
      </c>
      <c r="W33" s="29" t="s">
        <v>841</v>
      </c>
    </row>
    <row r="34" spans="1:23" ht="10.5" customHeight="1" x14ac:dyDescent="0.25">
      <c r="A34" s="28">
        <v>46023</v>
      </c>
      <c r="B34" s="29" t="str">
        <f t="shared" si="0"/>
        <v>01/01/2026NL300147</v>
      </c>
      <c r="C34" s="30" t="s">
        <v>834</v>
      </c>
      <c r="D34" s="30" t="s">
        <v>835</v>
      </c>
      <c r="E34" s="29" t="s">
        <v>836</v>
      </c>
      <c r="F34" s="29" t="s">
        <v>837</v>
      </c>
      <c r="G34" s="29" t="s">
        <v>838</v>
      </c>
      <c r="H34" s="29" t="s">
        <v>795</v>
      </c>
      <c r="I34" s="29" t="s">
        <v>796</v>
      </c>
      <c r="J34" s="29" t="s">
        <v>237</v>
      </c>
      <c r="K34" s="31">
        <v>2.1</v>
      </c>
      <c r="L34" s="32">
        <v>62000</v>
      </c>
      <c r="M34" s="32">
        <v>0</v>
      </c>
      <c r="N34" s="33">
        <f t="shared" si="1"/>
        <v>130200</v>
      </c>
      <c r="O34" s="33">
        <v>0</v>
      </c>
      <c r="P34" s="32">
        <v>62000</v>
      </c>
      <c r="Q34" s="29" t="s">
        <v>839</v>
      </c>
      <c r="R34" s="29" t="s">
        <v>840</v>
      </c>
      <c r="S34" s="29" t="s">
        <v>15</v>
      </c>
      <c r="T34" s="29" t="s">
        <v>807</v>
      </c>
      <c r="U34" s="29" t="s">
        <v>15</v>
      </c>
      <c r="V34" s="29" t="s">
        <v>841</v>
      </c>
      <c r="W34" s="29" t="s">
        <v>841</v>
      </c>
    </row>
    <row r="35" spans="1:23" ht="10.5" customHeight="1" x14ac:dyDescent="0.25">
      <c r="A35" s="28">
        <v>46024</v>
      </c>
      <c r="B35" s="29" t="str">
        <f t="shared" si="0"/>
        <v>02/01/2026NL300004</v>
      </c>
      <c r="C35" s="30" t="s">
        <v>848</v>
      </c>
      <c r="D35" s="30" t="s">
        <v>835</v>
      </c>
      <c r="E35" s="29" t="s">
        <v>836</v>
      </c>
      <c r="F35" s="29" t="s">
        <v>837</v>
      </c>
      <c r="G35" s="29" t="s">
        <v>849</v>
      </c>
      <c r="H35" s="29" t="s">
        <v>244</v>
      </c>
      <c r="I35" s="29" t="s">
        <v>13</v>
      </c>
      <c r="J35" s="29" t="s">
        <v>237</v>
      </c>
      <c r="K35" s="31">
        <v>0</v>
      </c>
      <c r="L35" s="32">
        <v>19000</v>
      </c>
      <c r="M35" s="32">
        <v>0</v>
      </c>
      <c r="N35" s="33">
        <f t="shared" si="1"/>
        <v>0</v>
      </c>
      <c r="O35" s="33">
        <v>0</v>
      </c>
      <c r="P35" s="32">
        <v>19000</v>
      </c>
      <c r="Q35" s="29" t="s">
        <v>839</v>
      </c>
      <c r="R35" s="29" t="s">
        <v>840</v>
      </c>
      <c r="S35" s="29" t="s">
        <v>15</v>
      </c>
      <c r="T35" s="29" t="s">
        <v>807</v>
      </c>
      <c r="U35" s="29" t="s">
        <v>15</v>
      </c>
      <c r="V35" s="29" t="s">
        <v>841</v>
      </c>
      <c r="W35" s="29" t="s">
        <v>841</v>
      </c>
    </row>
    <row r="36" spans="1:23" ht="10.5" customHeight="1" x14ac:dyDescent="0.25">
      <c r="A36" s="28">
        <v>46024</v>
      </c>
      <c r="B36" s="29" t="str">
        <f t="shared" si="0"/>
        <v>02/01/2026NL300146</v>
      </c>
      <c r="C36" s="30" t="s">
        <v>848</v>
      </c>
      <c r="D36" s="30" t="s">
        <v>835</v>
      </c>
      <c r="E36" s="29" t="s">
        <v>836</v>
      </c>
      <c r="F36" s="29" t="s">
        <v>837</v>
      </c>
      <c r="G36" s="29" t="s">
        <v>849</v>
      </c>
      <c r="H36" s="29" t="s">
        <v>792</v>
      </c>
      <c r="I36" s="29" t="s">
        <v>793</v>
      </c>
      <c r="J36" s="29" t="s">
        <v>237</v>
      </c>
      <c r="K36" s="31">
        <v>1</v>
      </c>
      <c r="L36" s="32">
        <v>65000</v>
      </c>
      <c r="M36" s="32">
        <v>0</v>
      </c>
      <c r="N36" s="33">
        <f t="shared" si="1"/>
        <v>65000</v>
      </c>
      <c r="O36" s="33">
        <v>0</v>
      </c>
      <c r="P36" s="32">
        <v>65000</v>
      </c>
      <c r="Q36" s="29" t="s">
        <v>839</v>
      </c>
      <c r="R36" s="29" t="s">
        <v>840</v>
      </c>
      <c r="S36" s="29" t="s">
        <v>15</v>
      </c>
      <c r="T36" s="29" t="s">
        <v>807</v>
      </c>
      <c r="U36" s="29" t="s">
        <v>15</v>
      </c>
      <c r="V36" s="29" t="s">
        <v>841</v>
      </c>
      <c r="W36" s="29" t="s">
        <v>841</v>
      </c>
    </row>
    <row r="37" spans="1:23" ht="10.5" customHeight="1" x14ac:dyDescent="0.25">
      <c r="A37" s="28">
        <v>46024</v>
      </c>
      <c r="B37" s="29" t="str">
        <f t="shared" si="0"/>
        <v>02/01/2026NL300061</v>
      </c>
      <c r="C37" s="30" t="s">
        <v>848</v>
      </c>
      <c r="D37" s="30" t="s">
        <v>835</v>
      </c>
      <c r="E37" s="29" t="s">
        <v>836</v>
      </c>
      <c r="F37" s="29" t="s">
        <v>837</v>
      </c>
      <c r="G37" s="29" t="s">
        <v>849</v>
      </c>
      <c r="H37" s="29" t="s">
        <v>482</v>
      </c>
      <c r="I37" s="29" t="s">
        <v>844</v>
      </c>
      <c r="J37" s="29" t="s">
        <v>237</v>
      </c>
      <c r="K37" s="31">
        <v>0.6</v>
      </c>
      <c r="L37" s="32">
        <v>38000</v>
      </c>
      <c r="M37" s="32">
        <v>0</v>
      </c>
      <c r="N37" s="33">
        <f t="shared" si="1"/>
        <v>22800</v>
      </c>
      <c r="O37" s="33">
        <v>0</v>
      </c>
      <c r="P37" s="32">
        <v>38000</v>
      </c>
      <c r="Q37" s="29" t="s">
        <v>839</v>
      </c>
      <c r="R37" s="29" t="s">
        <v>840</v>
      </c>
      <c r="S37" s="29" t="s">
        <v>15</v>
      </c>
      <c r="T37" s="29" t="s">
        <v>807</v>
      </c>
      <c r="U37" s="29" t="s">
        <v>15</v>
      </c>
      <c r="V37" s="29" t="s">
        <v>841</v>
      </c>
      <c r="W37" s="29" t="s">
        <v>841</v>
      </c>
    </row>
    <row r="38" spans="1:23" ht="10.5" customHeight="1" x14ac:dyDescent="0.25">
      <c r="A38" s="28">
        <v>46024</v>
      </c>
      <c r="B38" s="29" t="str">
        <f t="shared" si="0"/>
        <v>02/01/2026NL300027</v>
      </c>
      <c r="C38" s="30" t="s">
        <v>848</v>
      </c>
      <c r="D38" s="30" t="s">
        <v>835</v>
      </c>
      <c r="E38" s="29" t="s">
        <v>836</v>
      </c>
      <c r="F38" s="29" t="s">
        <v>837</v>
      </c>
      <c r="G38" s="29" t="s">
        <v>849</v>
      </c>
      <c r="H38" s="29" t="s">
        <v>314</v>
      </c>
      <c r="I38" s="29" t="s">
        <v>126</v>
      </c>
      <c r="J38" s="29" t="s">
        <v>237</v>
      </c>
      <c r="K38" s="31">
        <v>2.8</v>
      </c>
      <c r="L38" s="32">
        <v>18000</v>
      </c>
      <c r="M38" s="32">
        <v>0</v>
      </c>
      <c r="N38" s="33">
        <f t="shared" si="1"/>
        <v>50400</v>
      </c>
      <c r="O38" s="33">
        <v>0</v>
      </c>
      <c r="P38" s="32">
        <v>18000</v>
      </c>
      <c r="Q38" s="29" t="s">
        <v>839</v>
      </c>
      <c r="R38" s="29" t="s">
        <v>840</v>
      </c>
      <c r="S38" s="29" t="s">
        <v>15</v>
      </c>
      <c r="T38" s="29" t="s">
        <v>807</v>
      </c>
      <c r="U38" s="29" t="s">
        <v>15</v>
      </c>
      <c r="V38" s="29" t="s">
        <v>841</v>
      </c>
      <c r="W38" s="29" t="s">
        <v>841</v>
      </c>
    </row>
    <row r="39" spans="1:23" ht="10.5" customHeight="1" x14ac:dyDescent="0.25">
      <c r="A39" s="28">
        <v>46024</v>
      </c>
      <c r="B39" s="29" t="str">
        <f t="shared" si="0"/>
        <v>02/01/2026NL300090</v>
      </c>
      <c r="C39" s="30" t="s">
        <v>848</v>
      </c>
      <c r="D39" s="30" t="s">
        <v>835</v>
      </c>
      <c r="E39" s="29" t="s">
        <v>836</v>
      </c>
      <c r="F39" s="29" t="s">
        <v>837</v>
      </c>
      <c r="G39" s="29" t="s">
        <v>849</v>
      </c>
      <c r="H39" s="29" t="s">
        <v>604</v>
      </c>
      <c r="I39" s="29" t="s">
        <v>40</v>
      </c>
      <c r="J39" s="29" t="s">
        <v>237</v>
      </c>
      <c r="K39" s="31">
        <v>3</v>
      </c>
      <c r="L39" s="32">
        <v>145000</v>
      </c>
      <c r="M39" s="32">
        <v>0</v>
      </c>
      <c r="N39" s="33">
        <f t="shared" si="1"/>
        <v>435000</v>
      </c>
      <c r="O39" s="33">
        <v>0</v>
      </c>
      <c r="P39" s="32">
        <v>145000</v>
      </c>
      <c r="Q39" s="29" t="s">
        <v>839</v>
      </c>
      <c r="R39" s="29" t="s">
        <v>840</v>
      </c>
      <c r="S39" s="29" t="s">
        <v>15</v>
      </c>
      <c r="T39" s="29" t="s">
        <v>807</v>
      </c>
      <c r="U39" s="29" t="s">
        <v>15</v>
      </c>
      <c r="V39" s="29" t="s">
        <v>841</v>
      </c>
      <c r="W39" s="29" t="s">
        <v>841</v>
      </c>
    </row>
    <row r="40" spans="1:23" ht="10.5" customHeight="1" x14ac:dyDescent="0.25">
      <c r="A40" s="28">
        <v>46024</v>
      </c>
      <c r="B40" s="29" t="str">
        <f t="shared" si="0"/>
        <v>02/01/2026NL300038</v>
      </c>
      <c r="C40" s="30" t="s">
        <v>848</v>
      </c>
      <c r="D40" s="30" t="s">
        <v>835</v>
      </c>
      <c r="E40" s="29" t="s">
        <v>836</v>
      </c>
      <c r="F40" s="29" t="s">
        <v>837</v>
      </c>
      <c r="G40" s="29" t="s">
        <v>849</v>
      </c>
      <c r="H40" s="29" t="s">
        <v>408</v>
      </c>
      <c r="I40" s="29" t="s">
        <v>20</v>
      </c>
      <c r="J40" s="29" t="s">
        <v>237</v>
      </c>
      <c r="K40" s="31">
        <v>2.8</v>
      </c>
      <c r="L40" s="32">
        <v>32000</v>
      </c>
      <c r="M40" s="32">
        <v>0</v>
      </c>
      <c r="N40" s="33">
        <f t="shared" si="1"/>
        <v>89600</v>
      </c>
      <c r="O40" s="33">
        <v>0</v>
      </c>
      <c r="P40" s="32">
        <v>32000</v>
      </c>
      <c r="Q40" s="29" t="s">
        <v>839</v>
      </c>
      <c r="R40" s="29" t="s">
        <v>840</v>
      </c>
      <c r="S40" s="29" t="s">
        <v>15</v>
      </c>
      <c r="T40" s="29" t="s">
        <v>807</v>
      </c>
      <c r="U40" s="29" t="s">
        <v>15</v>
      </c>
      <c r="V40" s="29" t="s">
        <v>841</v>
      </c>
      <c r="W40" s="29" t="s">
        <v>841</v>
      </c>
    </row>
    <row r="41" spans="1:23" ht="10.5" customHeight="1" x14ac:dyDescent="0.25">
      <c r="A41" s="28">
        <v>46024</v>
      </c>
      <c r="B41" s="29" t="str">
        <f t="shared" si="0"/>
        <v>02/01/2026NL300059</v>
      </c>
      <c r="C41" s="30" t="s">
        <v>848</v>
      </c>
      <c r="D41" s="30" t="s">
        <v>835</v>
      </c>
      <c r="E41" s="29" t="s">
        <v>836</v>
      </c>
      <c r="F41" s="29" t="s">
        <v>837</v>
      </c>
      <c r="G41" s="29" t="s">
        <v>849</v>
      </c>
      <c r="H41" s="29" t="s">
        <v>484</v>
      </c>
      <c r="I41" s="29" t="s">
        <v>24</v>
      </c>
      <c r="J41" s="29" t="s">
        <v>237</v>
      </c>
      <c r="K41" s="31">
        <v>2.8</v>
      </c>
      <c r="L41" s="32">
        <v>13000</v>
      </c>
      <c r="M41" s="32">
        <v>0</v>
      </c>
      <c r="N41" s="33">
        <f t="shared" si="1"/>
        <v>36400</v>
      </c>
      <c r="O41" s="33">
        <v>0</v>
      </c>
      <c r="P41" s="32">
        <v>13000</v>
      </c>
      <c r="Q41" s="29" t="s">
        <v>839</v>
      </c>
      <c r="R41" s="29" t="s">
        <v>840</v>
      </c>
      <c r="S41" s="29" t="s">
        <v>15</v>
      </c>
      <c r="T41" s="29" t="s">
        <v>807</v>
      </c>
      <c r="U41" s="29" t="s">
        <v>15</v>
      </c>
      <c r="V41" s="29" t="s">
        <v>841</v>
      </c>
      <c r="W41" s="29" t="s">
        <v>841</v>
      </c>
    </row>
    <row r="42" spans="1:23" ht="10.5" customHeight="1" x14ac:dyDescent="0.25">
      <c r="A42" s="28">
        <v>46024</v>
      </c>
      <c r="B42" s="29" t="str">
        <f t="shared" si="0"/>
        <v>02/01/2026NL300107</v>
      </c>
      <c r="C42" s="30" t="s">
        <v>848</v>
      </c>
      <c r="D42" s="30" t="s">
        <v>835</v>
      </c>
      <c r="E42" s="29" t="s">
        <v>836</v>
      </c>
      <c r="F42" s="29" t="s">
        <v>837</v>
      </c>
      <c r="G42" s="29" t="s">
        <v>849</v>
      </c>
      <c r="H42" s="29" t="s">
        <v>638</v>
      </c>
      <c r="I42" s="29" t="s">
        <v>842</v>
      </c>
      <c r="J42" s="29" t="s">
        <v>420</v>
      </c>
      <c r="K42" s="31">
        <v>20</v>
      </c>
      <c r="L42" s="32">
        <v>8500</v>
      </c>
      <c r="M42" s="32">
        <v>0</v>
      </c>
      <c r="N42" s="33">
        <f t="shared" si="1"/>
        <v>170000</v>
      </c>
      <c r="O42" s="33">
        <v>0</v>
      </c>
      <c r="P42" s="32">
        <v>8500</v>
      </c>
      <c r="Q42" s="29" t="s">
        <v>839</v>
      </c>
      <c r="R42" s="29" t="s">
        <v>840</v>
      </c>
      <c r="S42" s="29" t="s">
        <v>15</v>
      </c>
      <c r="T42" s="29" t="s">
        <v>807</v>
      </c>
      <c r="U42" s="29" t="s">
        <v>15</v>
      </c>
      <c r="V42" s="29" t="s">
        <v>841</v>
      </c>
      <c r="W42" s="29" t="s">
        <v>841</v>
      </c>
    </row>
    <row r="43" spans="1:23" ht="10.5" customHeight="1" x14ac:dyDescent="0.25">
      <c r="A43" s="28">
        <v>46024</v>
      </c>
      <c r="B43" s="29" t="str">
        <f t="shared" si="0"/>
        <v>02/01/2026NL300091</v>
      </c>
      <c r="C43" s="30" t="s">
        <v>848</v>
      </c>
      <c r="D43" s="30" t="s">
        <v>835</v>
      </c>
      <c r="E43" s="29" t="s">
        <v>836</v>
      </c>
      <c r="F43" s="29" t="s">
        <v>837</v>
      </c>
      <c r="G43" s="29" t="s">
        <v>849</v>
      </c>
      <c r="H43" s="29" t="s">
        <v>606</v>
      </c>
      <c r="I43" s="29" t="s">
        <v>54</v>
      </c>
      <c r="J43" s="29" t="s">
        <v>237</v>
      </c>
      <c r="K43" s="31">
        <v>0</v>
      </c>
      <c r="L43" s="32">
        <v>47000</v>
      </c>
      <c r="M43" s="32">
        <v>0</v>
      </c>
      <c r="N43" s="33">
        <f t="shared" si="1"/>
        <v>0</v>
      </c>
      <c r="O43" s="33">
        <v>0</v>
      </c>
      <c r="P43" s="32">
        <v>47000</v>
      </c>
      <c r="Q43" s="29" t="s">
        <v>839</v>
      </c>
      <c r="R43" s="29" t="s">
        <v>840</v>
      </c>
      <c r="S43" s="29" t="s">
        <v>15</v>
      </c>
      <c r="T43" s="29" t="s">
        <v>807</v>
      </c>
      <c r="U43" s="29" t="s">
        <v>15</v>
      </c>
      <c r="V43" s="29" t="s">
        <v>841</v>
      </c>
      <c r="W43" s="29" t="s">
        <v>841</v>
      </c>
    </row>
    <row r="44" spans="1:23" ht="10.5" customHeight="1" x14ac:dyDescent="0.25">
      <c r="A44" s="28">
        <v>46024</v>
      </c>
      <c r="B44" s="29" t="str">
        <f t="shared" si="0"/>
        <v>02/01/2026NL300008</v>
      </c>
      <c r="C44" s="30" t="s">
        <v>848</v>
      </c>
      <c r="D44" s="30" t="s">
        <v>835</v>
      </c>
      <c r="E44" s="29" t="s">
        <v>836</v>
      </c>
      <c r="F44" s="29" t="s">
        <v>837</v>
      </c>
      <c r="G44" s="29" t="s">
        <v>849</v>
      </c>
      <c r="H44" s="29" t="s">
        <v>255</v>
      </c>
      <c r="I44" s="29" t="s">
        <v>256</v>
      </c>
      <c r="J44" s="29" t="s">
        <v>237</v>
      </c>
      <c r="K44" s="31">
        <v>3</v>
      </c>
      <c r="L44" s="32">
        <v>40000</v>
      </c>
      <c r="M44" s="32">
        <v>0</v>
      </c>
      <c r="N44" s="33">
        <f t="shared" si="1"/>
        <v>120000</v>
      </c>
      <c r="O44" s="33">
        <v>0</v>
      </c>
      <c r="P44" s="32">
        <v>40000</v>
      </c>
      <c r="Q44" s="29" t="s">
        <v>839</v>
      </c>
      <c r="R44" s="29" t="s">
        <v>840</v>
      </c>
      <c r="S44" s="29" t="s">
        <v>15</v>
      </c>
      <c r="T44" s="29" t="s">
        <v>807</v>
      </c>
      <c r="U44" s="29" t="s">
        <v>15</v>
      </c>
      <c r="V44" s="29" t="s">
        <v>841</v>
      </c>
      <c r="W44" s="29" t="s">
        <v>841</v>
      </c>
    </row>
    <row r="45" spans="1:23" ht="10.5" customHeight="1" x14ac:dyDescent="0.25">
      <c r="A45" s="28">
        <v>46024</v>
      </c>
      <c r="B45" s="29" t="str">
        <f t="shared" si="0"/>
        <v>02/01/2026NL300119</v>
      </c>
      <c r="C45" s="30" t="s">
        <v>848</v>
      </c>
      <c r="D45" s="30" t="s">
        <v>835</v>
      </c>
      <c r="E45" s="29" t="s">
        <v>836</v>
      </c>
      <c r="F45" s="29" t="s">
        <v>837</v>
      </c>
      <c r="G45" s="29" t="s">
        <v>849</v>
      </c>
      <c r="H45" s="29" t="s">
        <v>672</v>
      </c>
      <c r="I45" s="29" t="s">
        <v>673</v>
      </c>
      <c r="J45" s="29" t="s">
        <v>237</v>
      </c>
      <c r="K45" s="31">
        <v>0</v>
      </c>
      <c r="L45" s="32">
        <v>21000</v>
      </c>
      <c r="M45" s="32">
        <v>0</v>
      </c>
      <c r="N45" s="33">
        <f t="shared" si="1"/>
        <v>0</v>
      </c>
      <c r="O45" s="33">
        <v>0</v>
      </c>
      <c r="P45" s="32">
        <v>21000</v>
      </c>
      <c r="Q45" s="29" t="s">
        <v>839</v>
      </c>
      <c r="R45" s="29" t="s">
        <v>840</v>
      </c>
      <c r="S45" s="29" t="s">
        <v>15</v>
      </c>
      <c r="T45" s="29" t="s">
        <v>807</v>
      </c>
      <c r="U45" s="29" t="s">
        <v>15</v>
      </c>
      <c r="V45" s="29" t="s">
        <v>841</v>
      </c>
      <c r="W45" s="29" t="s">
        <v>841</v>
      </c>
    </row>
    <row r="46" spans="1:23" ht="10.5" customHeight="1" x14ac:dyDescent="0.25">
      <c r="A46" s="28">
        <v>46024</v>
      </c>
      <c r="B46" s="29" t="str">
        <f t="shared" si="0"/>
        <v>02/01/2026NL300113</v>
      </c>
      <c r="C46" s="30" t="s">
        <v>848</v>
      </c>
      <c r="D46" s="30" t="s">
        <v>835</v>
      </c>
      <c r="E46" s="29" t="s">
        <v>836</v>
      </c>
      <c r="F46" s="29" t="s">
        <v>837</v>
      </c>
      <c r="G46" s="29" t="s">
        <v>849</v>
      </c>
      <c r="H46" s="29" t="s">
        <v>649</v>
      </c>
      <c r="I46" s="29" t="s">
        <v>42</v>
      </c>
      <c r="J46" s="29" t="s">
        <v>237</v>
      </c>
      <c r="K46" s="31">
        <v>0.8</v>
      </c>
      <c r="L46" s="32">
        <v>145000</v>
      </c>
      <c r="M46" s="32">
        <v>0</v>
      </c>
      <c r="N46" s="33">
        <f t="shared" si="1"/>
        <v>116000</v>
      </c>
      <c r="O46" s="33">
        <v>0</v>
      </c>
      <c r="P46" s="32">
        <v>145000</v>
      </c>
      <c r="Q46" s="29" t="s">
        <v>839</v>
      </c>
      <c r="R46" s="29" t="s">
        <v>840</v>
      </c>
      <c r="S46" s="29" t="s">
        <v>15</v>
      </c>
      <c r="T46" s="29" t="s">
        <v>807</v>
      </c>
      <c r="U46" s="29" t="s">
        <v>15</v>
      </c>
      <c r="V46" s="29" t="s">
        <v>841</v>
      </c>
      <c r="W46" s="29" t="s">
        <v>841</v>
      </c>
    </row>
    <row r="47" spans="1:23" ht="10.5" customHeight="1" x14ac:dyDescent="0.25">
      <c r="A47" s="28">
        <v>46024</v>
      </c>
      <c r="B47" s="29" t="str">
        <f t="shared" si="0"/>
        <v>02/01/2026NL300029</v>
      </c>
      <c r="C47" s="30" t="s">
        <v>848</v>
      </c>
      <c r="D47" s="30" t="s">
        <v>835</v>
      </c>
      <c r="E47" s="29" t="s">
        <v>836</v>
      </c>
      <c r="F47" s="29" t="s">
        <v>837</v>
      </c>
      <c r="G47" s="29" t="s">
        <v>849</v>
      </c>
      <c r="H47" s="29" t="s">
        <v>361</v>
      </c>
      <c r="I47" s="29" t="s">
        <v>362</v>
      </c>
      <c r="J47" s="29" t="s">
        <v>237</v>
      </c>
      <c r="K47" s="31">
        <v>1</v>
      </c>
      <c r="L47" s="32">
        <v>22000</v>
      </c>
      <c r="M47" s="32">
        <v>0</v>
      </c>
      <c r="N47" s="33">
        <f t="shared" si="1"/>
        <v>22000</v>
      </c>
      <c r="O47" s="33">
        <v>0</v>
      </c>
      <c r="P47" s="32">
        <v>22000</v>
      </c>
      <c r="Q47" s="29" t="s">
        <v>839</v>
      </c>
      <c r="R47" s="29" t="s">
        <v>840</v>
      </c>
      <c r="S47" s="29" t="s">
        <v>15</v>
      </c>
      <c r="T47" s="29" t="s">
        <v>807</v>
      </c>
      <c r="U47" s="29" t="s">
        <v>15</v>
      </c>
      <c r="V47" s="29" t="s">
        <v>841</v>
      </c>
      <c r="W47" s="29" t="s">
        <v>841</v>
      </c>
    </row>
    <row r="48" spans="1:23" ht="10.5" customHeight="1" x14ac:dyDescent="0.25">
      <c r="A48" s="28">
        <v>46024</v>
      </c>
      <c r="B48" s="29" t="str">
        <f t="shared" si="0"/>
        <v>02/01/2026NL300080</v>
      </c>
      <c r="C48" s="30" t="s">
        <v>848</v>
      </c>
      <c r="D48" s="30" t="s">
        <v>835</v>
      </c>
      <c r="E48" s="29" t="s">
        <v>836</v>
      </c>
      <c r="F48" s="29" t="s">
        <v>837</v>
      </c>
      <c r="G48" s="29" t="s">
        <v>849</v>
      </c>
      <c r="H48" s="29" t="s">
        <v>553</v>
      </c>
      <c r="I48" s="29" t="s">
        <v>554</v>
      </c>
      <c r="J48" s="29" t="s">
        <v>237</v>
      </c>
      <c r="K48" s="31">
        <v>2.7</v>
      </c>
      <c r="L48" s="32">
        <v>95000</v>
      </c>
      <c r="M48" s="32">
        <v>0</v>
      </c>
      <c r="N48" s="33">
        <f t="shared" si="1"/>
        <v>256500.00000000003</v>
      </c>
      <c r="O48" s="33">
        <v>0</v>
      </c>
      <c r="P48" s="32">
        <v>95000</v>
      </c>
      <c r="Q48" s="29" t="s">
        <v>839</v>
      </c>
      <c r="R48" s="29" t="s">
        <v>840</v>
      </c>
      <c r="S48" s="29" t="s">
        <v>15</v>
      </c>
      <c r="T48" s="29" t="s">
        <v>807</v>
      </c>
      <c r="U48" s="29" t="s">
        <v>15</v>
      </c>
      <c r="V48" s="29" t="s">
        <v>841</v>
      </c>
      <c r="W48" s="29" t="s">
        <v>841</v>
      </c>
    </row>
    <row r="49" spans="1:23" ht="10.5" customHeight="1" x14ac:dyDescent="0.25">
      <c r="A49" s="28">
        <v>46024</v>
      </c>
      <c r="B49" s="29" t="str">
        <f t="shared" si="0"/>
        <v>02/01/2026NL300145</v>
      </c>
      <c r="C49" s="30" t="s">
        <v>848</v>
      </c>
      <c r="D49" s="30" t="s">
        <v>835</v>
      </c>
      <c r="E49" s="29" t="s">
        <v>836</v>
      </c>
      <c r="F49" s="29" t="s">
        <v>837</v>
      </c>
      <c r="G49" s="29" t="s">
        <v>849</v>
      </c>
      <c r="H49" s="29" t="s">
        <v>790</v>
      </c>
      <c r="I49" s="29" t="s">
        <v>791</v>
      </c>
      <c r="J49" s="29" t="s">
        <v>237</v>
      </c>
      <c r="K49" s="31">
        <v>8</v>
      </c>
      <c r="L49" s="32">
        <v>38000</v>
      </c>
      <c r="M49" s="32">
        <v>0</v>
      </c>
      <c r="N49" s="33">
        <f t="shared" si="1"/>
        <v>304000</v>
      </c>
      <c r="O49" s="33">
        <v>0</v>
      </c>
      <c r="P49" s="32">
        <v>38000</v>
      </c>
      <c r="Q49" s="29" t="s">
        <v>839</v>
      </c>
      <c r="R49" s="29" t="s">
        <v>840</v>
      </c>
      <c r="S49" s="29" t="s">
        <v>15</v>
      </c>
      <c r="T49" s="29" t="s">
        <v>807</v>
      </c>
      <c r="U49" s="29" t="s">
        <v>15</v>
      </c>
      <c r="V49" s="29" t="s">
        <v>841</v>
      </c>
      <c r="W49" s="29" t="s">
        <v>841</v>
      </c>
    </row>
    <row r="50" spans="1:23" ht="10.5" customHeight="1" x14ac:dyDescent="0.25">
      <c r="A50" s="28">
        <v>46024</v>
      </c>
      <c r="B50" s="29" t="str">
        <f t="shared" si="0"/>
        <v>02/01/2026NL300142</v>
      </c>
      <c r="C50" s="30" t="s">
        <v>848</v>
      </c>
      <c r="D50" s="30" t="s">
        <v>835</v>
      </c>
      <c r="E50" s="29" t="s">
        <v>836</v>
      </c>
      <c r="F50" s="29" t="s">
        <v>837</v>
      </c>
      <c r="G50" s="29" t="s">
        <v>849</v>
      </c>
      <c r="H50" s="29" t="s">
        <v>777</v>
      </c>
      <c r="I50" s="29" t="s">
        <v>845</v>
      </c>
      <c r="J50" s="29" t="s">
        <v>237</v>
      </c>
      <c r="K50" s="31">
        <v>0.4</v>
      </c>
      <c r="L50" s="32">
        <v>50000</v>
      </c>
      <c r="M50" s="32">
        <v>0</v>
      </c>
      <c r="N50" s="33">
        <f t="shared" si="1"/>
        <v>20000</v>
      </c>
      <c r="O50" s="33">
        <v>0</v>
      </c>
      <c r="P50" s="32">
        <v>50000</v>
      </c>
      <c r="Q50" s="29" t="s">
        <v>839</v>
      </c>
      <c r="R50" s="29" t="s">
        <v>840</v>
      </c>
      <c r="S50" s="29" t="s">
        <v>15</v>
      </c>
      <c r="T50" s="29" t="s">
        <v>807</v>
      </c>
      <c r="U50" s="29" t="s">
        <v>15</v>
      </c>
      <c r="V50" s="29" t="s">
        <v>841</v>
      </c>
      <c r="W50" s="29" t="s">
        <v>841</v>
      </c>
    </row>
    <row r="51" spans="1:23" ht="10.5" customHeight="1" x14ac:dyDescent="0.25">
      <c r="A51" s="28">
        <v>46024</v>
      </c>
      <c r="B51" s="29" t="str">
        <f t="shared" si="0"/>
        <v>02/01/2026NL300033</v>
      </c>
      <c r="C51" s="30" t="s">
        <v>848</v>
      </c>
      <c r="D51" s="30" t="s">
        <v>835</v>
      </c>
      <c r="E51" s="29" t="s">
        <v>836</v>
      </c>
      <c r="F51" s="29" t="s">
        <v>837</v>
      </c>
      <c r="G51" s="29" t="s">
        <v>849</v>
      </c>
      <c r="H51" s="29" t="s">
        <v>374</v>
      </c>
      <c r="I51" s="29" t="s">
        <v>843</v>
      </c>
      <c r="J51" s="29" t="s">
        <v>237</v>
      </c>
      <c r="K51" s="31">
        <v>3.1</v>
      </c>
      <c r="L51" s="32">
        <v>13000</v>
      </c>
      <c r="M51" s="32">
        <v>0</v>
      </c>
      <c r="N51" s="33">
        <f t="shared" si="1"/>
        <v>40300</v>
      </c>
      <c r="O51" s="33">
        <v>0</v>
      </c>
      <c r="P51" s="32">
        <v>13000</v>
      </c>
      <c r="Q51" s="29" t="s">
        <v>839</v>
      </c>
      <c r="R51" s="29" t="s">
        <v>840</v>
      </c>
      <c r="S51" s="29" t="s">
        <v>15</v>
      </c>
      <c r="T51" s="29" t="s">
        <v>807</v>
      </c>
      <c r="U51" s="29" t="s">
        <v>15</v>
      </c>
      <c r="V51" s="29" t="s">
        <v>841</v>
      </c>
      <c r="W51" s="29" t="s">
        <v>841</v>
      </c>
    </row>
    <row r="52" spans="1:23" ht="10.5" customHeight="1" x14ac:dyDescent="0.25">
      <c r="A52" s="28">
        <v>46024</v>
      </c>
      <c r="B52" s="29" t="str">
        <f t="shared" si="0"/>
        <v>02/01/2026NL300048</v>
      </c>
      <c r="C52" s="30" t="s">
        <v>848</v>
      </c>
      <c r="D52" s="30" t="s">
        <v>835</v>
      </c>
      <c r="E52" s="29" t="s">
        <v>836</v>
      </c>
      <c r="F52" s="29" t="s">
        <v>837</v>
      </c>
      <c r="G52" s="29" t="s">
        <v>849</v>
      </c>
      <c r="H52" s="29" t="s">
        <v>460</v>
      </c>
      <c r="I52" s="29" t="s">
        <v>461</v>
      </c>
      <c r="J52" s="29" t="s">
        <v>237</v>
      </c>
      <c r="K52" s="31">
        <v>2.5</v>
      </c>
      <c r="L52" s="32">
        <v>18000</v>
      </c>
      <c r="M52" s="32">
        <v>0</v>
      </c>
      <c r="N52" s="33">
        <f t="shared" si="1"/>
        <v>45000</v>
      </c>
      <c r="O52" s="33">
        <v>0</v>
      </c>
      <c r="P52" s="32">
        <v>18000</v>
      </c>
      <c r="Q52" s="29" t="s">
        <v>839</v>
      </c>
      <c r="R52" s="29" t="s">
        <v>840</v>
      </c>
      <c r="S52" s="29" t="s">
        <v>15</v>
      </c>
      <c r="T52" s="29" t="s">
        <v>807</v>
      </c>
      <c r="U52" s="29" t="s">
        <v>15</v>
      </c>
      <c r="V52" s="29" t="s">
        <v>841</v>
      </c>
      <c r="W52" s="29" t="s">
        <v>841</v>
      </c>
    </row>
    <row r="53" spans="1:23" ht="10.5" customHeight="1" x14ac:dyDescent="0.25">
      <c r="A53" s="28">
        <v>46024</v>
      </c>
      <c r="B53" s="29" t="str">
        <f t="shared" si="0"/>
        <v>02/01/2026NL300147</v>
      </c>
      <c r="C53" s="30" t="s">
        <v>848</v>
      </c>
      <c r="D53" s="30" t="s">
        <v>835</v>
      </c>
      <c r="E53" s="29" t="s">
        <v>836</v>
      </c>
      <c r="F53" s="29" t="s">
        <v>837</v>
      </c>
      <c r="G53" s="29" t="s">
        <v>849</v>
      </c>
      <c r="H53" s="29" t="s">
        <v>795</v>
      </c>
      <c r="I53" s="29" t="s">
        <v>796</v>
      </c>
      <c r="J53" s="29" t="s">
        <v>237</v>
      </c>
      <c r="K53" s="31">
        <v>1</v>
      </c>
      <c r="L53" s="32">
        <v>62000</v>
      </c>
      <c r="M53" s="32">
        <v>0</v>
      </c>
      <c r="N53" s="33">
        <f t="shared" si="1"/>
        <v>62000</v>
      </c>
      <c r="O53" s="33">
        <v>0</v>
      </c>
      <c r="P53" s="32">
        <v>62000</v>
      </c>
      <c r="Q53" s="29" t="s">
        <v>839</v>
      </c>
      <c r="R53" s="29" t="s">
        <v>840</v>
      </c>
      <c r="S53" s="29" t="s">
        <v>15</v>
      </c>
      <c r="T53" s="29" t="s">
        <v>807</v>
      </c>
      <c r="U53" s="29" t="s">
        <v>15</v>
      </c>
      <c r="V53" s="29" t="s">
        <v>841</v>
      </c>
      <c r="W53" s="29" t="s">
        <v>841</v>
      </c>
    </row>
    <row r="54" spans="1:23" ht="10.5" customHeight="1" x14ac:dyDescent="0.25">
      <c r="A54" s="28">
        <v>46024</v>
      </c>
      <c r="B54" s="29" t="str">
        <f t="shared" si="0"/>
        <v>02/01/2026NL300232</v>
      </c>
      <c r="C54" s="30" t="s">
        <v>848</v>
      </c>
      <c r="D54" s="30" t="s">
        <v>835</v>
      </c>
      <c r="E54" s="29" t="s">
        <v>836</v>
      </c>
      <c r="F54" s="29" t="s">
        <v>837</v>
      </c>
      <c r="G54" s="29" t="s">
        <v>849</v>
      </c>
      <c r="H54" s="29" t="s">
        <v>846</v>
      </c>
      <c r="I54" s="29" t="s">
        <v>847</v>
      </c>
      <c r="J54" s="29" t="s">
        <v>237</v>
      </c>
      <c r="K54" s="31">
        <v>0.8</v>
      </c>
      <c r="L54" s="32">
        <v>68000</v>
      </c>
      <c r="M54" s="32">
        <v>0</v>
      </c>
      <c r="N54" s="33">
        <f t="shared" si="1"/>
        <v>54400</v>
      </c>
      <c r="O54" s="33">
        <v>0</v>
      </c>
      <c r="P54" s="32">
        <v>75000</v>
      </c>
      <c r="Q54" s="29" t="s">
        <v>839</v>
      </c>
      <c r="R54" s="29" t="s">
        <v>840</v>
      </c>
      <c r="S54" s="29" t="s">
        <v>15</v>
      </c>
      <c r="T54" s="29" t="s">
        <v>807</v>
      </c>
      <c r="U54" s="29" t="s">
        <v>15</v>
      </c>
      <c r="V54" s="29" t="s">
        <v>841</v>
      </c>
      <c r="W54" s="29" t="s">
        <v>841</v>
      </c>
    </row>
    <row r="55" spans="1:23" ht="10.5" customHeight="1" x14ac:dyDescent="0.25">
      <c r="A55" s="28">
        <v>46024</v>
      </c>
      <c r="B55" s="29" t="str">
        <f t="shared" si="0"/>
        <v>02/01/2026NL300096</v>
      </c>
      <c r="C55" s="30" t="s">
        <v>848</v>
      </c>
      <c r="D55" s="30" t="s">
        <v>835</v>
      </c>
      <c r="E55" s="29" t="s">
        <v>836</v>
      </c>
      <c r="F55" s="29" t="s">
        <v>837</v>
      </c>
      <c r="G55" s="29" t="s">
        <v>849</v>
      </c>
      <c r="H55" s="29" t="s">
        <v>610</v>
      </c>
      <c r="I55" s="29" t="s">
        <v>30</v>
      </c>
      <c r="J55" s="29" t="s">
        <v>237</v>
      </c>
      <c r="K55" s="31">
        <v>1</v>
      </c>
      <c r="L55" s="32">
        <v>45000</v>
      </c>
      <c r="M55" s="32">
        <v>0</v>
      </c>
      <c r="N55" s="33">
        <f t="shared" si="1"/>
        <v>45000</v>
      </c>
      <c r="O55" s="33">
        <v>0</v>
      </c>
      <c r="P55" s="32">
        <v>45000</v>
      </c>
      <c r="Q55" s="29" t="s">
        <v>839</v>
      </c>
      <c r="R55" s="29" t="s">
        <v>840</v>
      </c>
      <c r="S55" s="29" t="s">
        <v>15</v>
      </c>
      <c r="T55" s="29" t="s">
        <v>807</v>
      </c>
      <c r="U55" s="29" t="s">
        <v>15</v>
      </c>
      <c r="V55" s="29" t="s">
        <v>841</v>
      </c>
      <c r="W55" s="29" t="s">
        <v>841</v>
      </c>
    </row>
    <row r="56" spans="1:23" ht="10.5" customHeight="1" x14ac:dyDescent="0.25">
      <c r="A56" s="28">
        <v>46024</v>
      </c>
      <c r="B56" s="29" t="str">
        <f t="shared" si="0"/>
        <v>02/01/2026NL300184</v>
      </c>
      <c r="C56" s="30" t="s">
        <v>848</v>
      </c>
      <c r="D56" s="30" t="s">
        <v>835</v>
      </c>
      <c r="E56" s="29" t="s">
        <v>836</v>
      </c>
      <c r="F56" s="29" t="s">
        <v>837</v>
      </c>
      <c r="G56" s="29" t="s">
        <v>849</v>
      </c>
      <c r="H56" s="29" t="s">
        <v>533</v>
      </c>
      <c r="I56" s="29" t="s">
        <v>850</v>
      </c>
      <c r="J56" s="29" t="s">
        <v>237</v>
      </c>
      <c r="K56" s="31">
        <v>0.3</v>
      </c>
      <c r="L56" s="32">
        <v>18000</v>
      </c>
      <c r="M56" s="32">
        <v>0</v>
      </c>
      <c r="N56" s="33">
        <f t="shared" si="1"/>
        <v>5400</v>
      </c>
      <c r="O56" s="33">
        <v>0</v>
      </c>
      <c r="P56" s="32">
        <v>18000</v>
      </c>
      <c r="Q56" s="29" t="s">
        <v>839</v>
      </c>
      <c r="R56" s="29" t="s">
        <v>840</v>
      </c>
      <c r="S56" s="29" t="s">
        <v>15</v>
      </c>
      <c r="T56" s="29" t="s">
        <v>807</v>
      </c>
      <c r="U56" s="29" t="s">
        <v>15</v>
      </c>
      <c r="V56" s="29" t="s">
        <v>841</v>
      </c>
      <c r="W56" s="29" t="s">
        <v>841</v>
      </c>
    </row>
    <row r="57" spans="1:23" ht="10.5" customHeight="1" x14ac:dyDescent="0.25">
      <c r="A57" s="28">
        <v>46024</v>
      </c>
      <c r="B57" s="29" t="str">
        <f t="shared" si="0"/>
        <v>02/01/2026NL300071</v>
      </c>
      <c r="C57" s="30" t="s">
        <v>848</v>
      </c>
      <c r="D57" s="30" t="s">
        <v>835</v>
      </c>
      <c r="E57" s="29" t="s">
        <v>836</v>
      </c>
      <c r="F57" s="29" t="s">
        <v>837</v>
      </c>
      <c r="G57" s="29" t="s">
        <v>849</v>
      </c>
      <c r="H57" s="29" t="s">
        <v>524</v>
      </c>
      <c r="I57" s="29" t="s">
        <v>806</v>
      </c>
      <c r="J57" s="29" t="s">
        <v>237</v>
      </c>
      <c r="K57" s="31">
        <v>0</v>
      </c>
      <c r="L57" s="32">
        <v>20000</v>
      </c>
      <c r="M57" s="32">
        <v>0</v>
      </c>
      <c r="N57" s="33">
        <f t="shared" si="1"/>
        <v>0</v>
      </c>
      <c r="O57" s="33">
        <v>0</v>
      </c>
      <c r="P57" s="32">
        <v>20000</v>
      </c>
      <c r="Q57" s="29" t="s">
        <v>839</v>
      </c>
      <c r="R57" s="29" t="s">
        <v>840</v>
      </c>
      <c r="S57" s="29" t="s">
        <v>15</v>
      </c>
      <c r="T57" s="29" t="s">
        <v>807</v>
      </c>
      <c r="U57" s="29" t="s">
        <v>15</v>
      </c>
      <c r="V57" s="29" t="s">
        <v>841</v>
      </c>
      <c r="W57" s="29" t="s">
        <v>841</v>
      </c>
    </row>
    <row r="58" spans="1:23" ht="10.5" customHeight="1" x14ac:dyDescent="0.25">
      <c r="A58" s="28">
        <v>46024</v>
      </c>
      <c r="B58" s="29" t="str">
        <f t="shared" si="0"/>
        <v>02/01/2026NL300085</v>
      </c>
      <c r="C58" s="30" t="s">
        <v>848</v>
      </c>
      <c r="D58" s="30" t="s">
        <v>835</v>
      </c>
      <c r="E58" s="29" t="s">
        <v>836</v>
      </c>
      <c r="F58" s="29" t="s">
        <v>837</v>
      </c>
      <c r="G58" s="29" t="s">
        <v>849</v>
      </c>
      <c r="H58" s="29" t="s">
        <v>592</v>
      </c>
      <c r="I58" s="29" t="s">
        <v>593</v>
      </c>
      <c r="J58" s="29" t="s">
        <v>237</v>
      </c>
      <c r="K58" s="31">
        <v>0.1</v>
      </c>
      <c r="L58" s="32">
        <v>45000</v>
      </c>
      <c r="M58" s="32">
        <v>0</v>
      </c>
      <c r="N58" s="33">
        <f t="shared" si="1"/>
        <v>4500</v>
      </c>
      <c r="O58" s="33">
        <v>0</v>
      </c>
      <c r="P58" s="32">
        <v>45000</v>
      </c>
      <c r="Q58" s="29" t="s">
        <v>839</v>
      </c>
      <c r="R58" s="29" t="s">
        <v>840</v>
      </c>
      <c r="S58" s="29" t="s">
        <v>15</v>
      </c>
      <c r="T58" s="29" t="s">
        <v>807</v>
      </c>
      <c r="U58" s="29" t="s">
        <v>15</v>
      </c>
      <c r="V58" s="29" t="s">
        <v>841</v>
      </c>
      <c r="W58" s="29" t="s">
        <v>841</v>
      </c>
    </row>
    <row r="59" spans="1:23" ht="10.5" customHeight="1" x14ac:dyDescent="0.25">
      <c r="A59" s="28">
        <v>46024</v>
      </c>
      <c r="B59" s="29" t="str">
        <f t="shared" si="0"/>
        <v>02/01/2026NL300007</v>
      </c>
      <c r="C59" s="30" t="s">
        <v>848</v>
      </c>
      <c r="D59" s="30" t="s">
        <v>835</v>
      </c>
      <c r="E59" s="29" t="s">
        <v>836</v>
      </c>
      <c r="F59" s="29" t="s">
        <v>837</v>
      </c>
      <c r="G59" s="29" t="s">
        <v>849</v>
      </c>
      <c r="H59" s="29" t="s">
        <v>253</v>
      </c>
      <c r="I59" s="29" t="s">
        <v>254</v>
      </c>
      <c r="J59" s="29" t="s">
        <v>237</v>
      </c>
      <c r="K59" s="31">
        <v>0</v>
      </c>
      <c r="L59" s="32">
        <v>30000</v>
      </c>
      <c r="M59" s="32">
        <v>0</v>
      </c>
      <c r="N59" s="33">
        <f t="shared" si="1"/>
        <v>0</v>
      </c>
      <c r="O59" s="33">
        <v>0</v>
      </c>
      <c r="P59" s="32">
        <v>30000</v>
      </c>
      <c r="Q59" s="29" t="s">
        <v>839</v>
      </c>
      <c r="R59" s="29" t="s">
        <v>840</v>
      </c>
      <c r="S59" s="29" t="s">
        <v>15</v>
      </c>
      <c r="T59" s="29" t="s">
        <v>807</v>
      </c>
      <c r="U59" s="29" t="s">
        <v>15</v>
      </c>
      <c r="V59" s="29" t="s">
        <v>841</v>
      </c>
      <c r="W59" s="29" t="s">
        <v>841</v>
      </c>
    </row>
    <row r="60" spans="1:23" ht="10.5" customHeight="1" x14ac:dyDescent="0.25">
      <c r="A60" s="28">
        <v>46024</v>
      </c>
      <c r="B60" s="29" t="str">
        <f t="shared" si="0"/>
        <v>02/01/2026NL300041</v>
      </c>
      <c r="C60" s="30" t="s">
        <v>848</v>
      </c>
      <c r="D60" s="30" t="s">
        <v>835</v>
      </c>
      <c r="E60" s="29" t="s">
        <v>836</v>
      </c>
      <c r="F60" s="29" t="s">
        <v>837</v>
      </c>
      <c r="G60" s="29" t="s">
        <v>849</v>
      </c>
      <c r="H60" s="29" t="s">
        <v>418</v>
      </c>
      <c r="I60" s="29" t="s">
        <v>419</v>
      </c>
      <c r="J60" s="29" t="s">
        <v>420</v>
      </c>
      <c r="K60" s="31">
        <v>6</v>
      </c>
      <c r="L60" s="32">
        <v>15000</v>
      </c>
      <c r="M60" s="32">
        <v>0</v>
      </c>
      <c r="N60" s="33">
        <f t="shared" si="1"/>
        <v>90000</v>
      </c>
      <c r="O60" s="33">
        <v>0</v>
      </c>
      <c r="P60" s="32">
        <v>15000</v>
      </c>
      <c r="Q60" s="29" t="s">
        <v>839</v>
      </c>
      <c r="R60" s="29" t="s">
        <v>840</v>
      </c>
      <c r="S60" s="29" t="s">
        <v>15</v>
      </c>
      <c r="T60" s="29" t="s">
        <v>807</v>
      </c>
      <c r="U60" s="29" t="s">
        <v>15</v>
      </c>
      <c r="V60" s="29" t="s">
        <v>841</v>
      </c>
      <c r="W60" s="29" t="s">
        <v>841</v>
      </c>
    </row>
    <row r="61" spans="1:23" ht="10.5" customHeight="1" x14ac:dyDescent="0.25">
      <c r="A61" s="28">
        <v>46024</v>
      </c>
      <c r="B61" s="29" t="str">
        <f t="shared" si="0"/>
        <v>02/01/2026NL600004</v>
      </c>
      <c r="C61" s="30" t="s">
        <v>848</v>
      </c>
      <c r="D61" s="30" t="s">
        <v>835</v>
      </c>
      <c r="E61" s="29" t="s">
        <v>836</v>
      </c>
      <c r="F61" s="29" t="s">
        <v>837</v>
      </c>
      <c r="G61" s="29" t="s">
        <v>849</v>
      </c>
      <c r="H61" s="29" t="s">
        <v>462</v>
      </c>
      <c r="I61" s="29" t="s">
        <v>52</v>
      </c>
      <c r="J61" s="29" t="s">
        <v>237</v>
      </c>
      <c r="K61" s="31">
        <v>26</v>
      </c>
      <c r="L61" s="32">
        <v>18000</v>
      </c>
      <c r="M61" s="32">
        <v>0</v>
      </c>
      <c r="N61" s="33">
        <f t="shared" si="1"/>
        <v>468000</v>
      </c>
      <c r="O61" s="33">
        <v>0</v>
      </c>
      <c r="P61" s="32">
        <v>18000</v>
      </c>
      <c r="Q61" s="29" t="s">
        <v>839</v>
      </c>
      <c r="R61" s="29" t="s">
        <v>840</v>
      </c>
      <c r="S61" s="29" t="s">
        <v>15</v>
      </c>
      <c r="T61" s="29" t="s">
        <v>807</v>
      </c>
      <c r="U61" s="29" t="s">
        <v>15</v>
      </c>
      <c r="V61" s="29" t="s">
        <v>841</v>
      </c>
      <c r="W61" s="29" t="s">
        <v>841</v>
      </c>
    </row>
    <row r="62" spans="1:23" ht="10.5" customHeight="1" x14ac:dyDescent="0.25">
      <c r="A62" s="28">
        <v>46024</v>
      </c>
      <c r="B62" s="29" t="str">
        <f t="shared" si="0"/>
        <v>02/01/2026NL300013</v>
      </c>
      <c r="C62" s="30" t="s">
        <v>848</v>
      </c>
      <c r="D62" s="30" t="s">
        <v>835</v>
      </c>
      <c r="E62" s="29" t="s">
        <v>836</v>
      </c>
      <c r="F62" s="29" t="s">
        <v>837</v>
      </c>
      <c r="G62" s="29" t="s">
        <v>849</v>
      </c>
      <c r="H62" s="29" t="s">
        <v>279</v>
      </c>
      <c r="I62" s="29" t="s">
        <v>151</v>
      </c>
      <c r="J62" s="29" t="s">
        <v>237</v>
      </c>
      <c r="K62" s="31">
        <v>0.9</v>
      </c>
      <c r="L62" s="32">
        <v>50000</v>
      </c>
      <c r="M62" s="32">
        <v>0</v>
      </c>
      <c r="N62" s="33">
        <f t="shared" si="1"/>
        <v>45000</v>
      </c>
      <c r="O62" s="33">
        <v>0</v>
      </c>
      <c r="P62" s="32">
        <v>50000</v>
      </c>
      <c r="Q62" s="29" t="s">
        <v>839</v>
      </c>
      <c r="R62" s="29" t="s">
        <v>840</v>
      </c>
      <c r="S62" s="29" t="s">
        <v>15</v>
      </c>
      <c r="T62" s="29" t="s">
        <v>807</v>
      </c>
      <c r="U62" s="29" t="s">
        <v>15</v>
      </c>
      <c r="V62" s="29" t="s">
        <v>841</v>
      </c>
      <c r="W62" s="29" t="s">
        <v>841</v>
      </c>
    </row>
    <row r="63" spans="1:23" ht="10.5" customHeight="1" x14ac:dyDescent="0.25">
      <c r="A63" s="28">
        <v>46024</v>
      </c>
      <c r="B63" s="29" t="str">
        <f t="shared" si="0"/>
        <v>02/01/2026NL300126</v>
      </c>
      <c r="C63" s="30" t="s">
        <v>848</v>
      </c>
      <c r="D63" s="30" t="s">
        <v>835</v>
      </c>
      <c r="E63" s="29" t="s">
        <v>836</v>
      </c>
      <c r="F63" s="29" t="s">
        <v>837</v>
      </c>
      <c r="G63" s="29" t="s">
        <v>849</v>
      </c>
      <c r="H63" s="29" t="s">
        <v>721</v>
      </c>
      <c r="I63" s="29" t="s">
        <v>722</v>
      </c>
      <c r="J63" s="29" t="s">
        <v>237</v>
      </c>
      <c r="K63" s="31">
        <v>0.8</v>
      </c>
      <c r="L63" s="32">
        <v>70000</v>
      </c>
      <c r="M63" s="32">
        <v>0</v>
      </c>
      <c r="N63" s="33">
        <f t="shared" si="1"/>
        <v>56000</v>
      </c>
      <c r="O63" s="33">
        <v>0</v>
      </c>
      <c r="P63" s="32">
        <v>70000</v>
      </c>
      <c r="Q63" s="29" t="s">
        <v>839</v>
      </c>
      <c r="R63" s="29" t="s">
        <v>840</v>
      </c>
      <c r="S63" s="29" t="s">
        <v>15</v>
      </c>
      <c r="T63" s="29" t="s">
        <v>807</v>
      </c>
      <c r="U63" s="29" t="s">
        <v>15</v>
      </c>
      <c r="V63" s="29" t="s">
        <v>841</v>
      </c>
      <c r="W63" s="29" t="s">
        <v>841</v>
      </c>
    </row>
    <row r="64" spans="1:23" ht="10.5" customHeight="1" x14ac:dyDescent="0.25">
      <c r="A64" s="28">
        <v>46024</v>
      </c>
      <c r="B64" s="29" t="str">
        <f t="shared" si="0"/>
        <v>02/01/2026NL600068</v>
      </c>
      <c r="C64" s="30" t="s">
        <v>848</v>
      </c>
      <c r="D64" s="30" t="s">
        <v>835</v>
      </c>
      <c r="E64" s="29" t="s">
        <v>836</v>
      </c>
      <c r="F64" s="29" t="s">
        <v>837</v>
      </c>
      <c r="G64" s="29" t="s">
        <v>849</v>
      </c>
      <c r="H64" s="29" t="s">
        <v>363</v>
      </c>
      <c r="I64" s="29" t="s">
        <v>92</v>
      </c>
      <c r="J64" s="29" t="s">
        <v>237</v>
      </c>
      <c r="K64" s="31">
        <v>0.3</v>
      </c>
      <c r="L64" s="32">
        <v>95000</v>
      </c>
      <c r="M64" s="32">
        <v>0</v>
      </c>
      <c r="N64" s="33">
        <f t="shared" si="1"/>
        <v>28500</v>
      </c>
      <c r="O64" s="33">
        <v>0</v>
      </c>
      <c r="P64" s="32">
        <v>95000</v>
      </c>
      <c r="Q64" s="29" t="s">
        <v>839</v>
      </c>
      <c r="R64" s="29" t="s">
        <v>840</v>
      </c>
      <c r="S64" s="29" t="s">
        <v>15</v>
      </c>
      <c r="T64" s="29" t="s">
        <v>807</v>
      </c>
      <c r="U64" s="29" t="s">
        <v>15</v>
      </c>
      <c r="V64" s="29" t="s">
        <v>841</v>
      </c>
      <c r="W64" s="29" t="s">
        <v>841</v>
      </c>
    </row>
    <row r="65" spans="1:23" ht="10.5" customHeight="1" x14ac:dyDescent="0.25">
      <c r="A65" s="28">
        <v>46024</v>
      </c>
      <c r="B65" s="29" t="str">
        <f t="shared" si="0"/>
        <v>02/01/2026NL300070</v>
      </c>
      <c r="C65" s="30" t="s">
        <v>848</v>
      </c>
      <c r="D65" s="30" t="s">
        <v>835</v>
      </c>
      <c r="E65" s="29" t="s">
        <v>836</v>
      </c>
      <c r="F65" s="29" t="s">
        <v>837</v>
      </c>
      <c r="G65" s="29" t="s">
        <v>849</v>
      </c>
      <c r="H65" s="29" t="s">
        <v>507</v>
      </c>
      <c r="I65" s="29" t="s">
        <v>508</v>
      </c>
      <c r="J65" s="29" t="s">
        <v>237</v>
      </c>
      <c r="K65" s="31">
        <v>0.9</v>
      </c>
      <c r="L65" s="32">
        <v>23000</v>
      </c>
      <c r="M65" s="32">
        <v>0</v>
      </c>
      <c r="N65" s="33">
        <f t="shared" si="1"/>
        <v>20700</v>
      </c>
      <c r="O65" s="33">
        <v>0</v>
      </c>
      <c r="P65" s="32">
        <v>23000</v>
      </c>
      <c r="Q65" s="29" t="s">
        <v>839</v>
      </c>
      <c r="R65" s="29" t="s">
        <v>840</v>
      </c>
      <c r="S65" s="29" t="s">
        <v>15</v>
      </c>
      <c r="T65" s="29" t="s">
        <v>807</v>
      </c>
      <c r="U65" s="29" t="s">
        <v>15</v>
      </c>
      <c r="V65" s="29" t="s">
        <v>841</v>
      </c>
      <c r="W65" s="29" t="s">
        <v>841</v>
      </c>
    </row>
    <row r="66" spans="1:23" ht="10.5" customHeight="1" x14ac:dyDescent="0.25">
      <c r="A66" s="28">
        <v>46024</v>
      </c>
      <c r="B66" s="29" t="str">
        <f t="shared" si="0"/>
        <v>02/01/2026NL300230</v>
      </c>
      <c r="C66" s="30" t="s">
        <v>848</v>
      </c>
      <c r="D66" s="30" t="s">
        <v>835</v>
      </c>
      <c r="E66" s="29" t="s">
        <v>836</v>
      </c>
      <c r="F66" s="29" t="s">
        <v>837</v>
      </c>
      <c r="G66" s="29" t="s">
        <v>849</v>
      </c>
      <c r="H66" s="29" t="s">
        <v>802</v>
      </c>
      <c r="I66" s="29" t="s">
        <v>803</v>
      </c>
      <c r="J66" s="29" t="s">
        <v>237</v>
      </c>
      <c r="K66" s="31">
        <v>0.1</v>
      </c>
      <c r="L66" s="32">
        <v>80000</v>
      </c>
      <c r="M66" s="32">
        <v>0</v>
      </c>
      <c r="N66" s="33">
        <f t="shared" si="1"/>
        <v>8000</v>
      </c>
      <c r="O66" s="33">
        <v>0</v>
      </c>
      <c r="P66" s="32">
        <v>80000</v>
      </c>
      <c r="Q66" s="29" t="s">
        <v>839</v>
      </c>
      <c r="R66" s="29" t="s">
        <v>840</v>
      </c>
      <c r="S66" s="29" t="s">
        <v>15</v>
      </c>
      <c r="T66" s="29" t="s">
        <v>807</v>
      </c>
      <c r="U66" s="29" t="s">
        <v>15</v>
      </c>
      <c r="V66" s="29" t="s">
        <v>841</v>
      </c>
      <c r="W66" s="29" t="s">
        <v>841</v>
      </c>
    </row>
    <row r="67" spans="1:23" ht="10.5" customHeight="1" x14ac:dyDescent="0.25">
      <c r="A67" s="28">
        <v>46024</v>
      </c>
      <c r="B67" s="29" t="str">
        <f t="shared" ref="B67:B125" si="2">"0"&amp;DAY(A67)&amp;"/01/2026"&amp;H67</f>
        <v>02/01/2026NL300229</v>
      </c>
      <c r="C67" s="30" t="s">
        <v>848</v>
      </c>
      <c r="D67" s="30" t="s">
        <v>835</v>
      </c>
      <c r="E67" s="29" t="s">
        <v>836</v>
      </c>
      <c r="F67" s="29" t="s">
        <v>837</v>
      </c>
      <c r="G67" s="29" t="s">
        <v>849</v>
      </c>
      <c r="H67" s="29" t="s">
        <v>396</v>
      </c>
      <c r="I67" s="29" t="s">
        <v>851</v>
      </c>
      <c r="J67" s="29" t="s">
        <v>237</v>
      </c>
      <c r="K67" s="31">
        <v>0</v>
      </c>
      <c r="L67" s="32">
        <v>100000</v>
      </c>
      <c r="M67" s="32">
        <v>0</v>
      </c>
      <c r="N67" s="33">
        <f t="shared" ref="N67:N125" si="3">L67*K67</f>
        <v>0</v>
      </c>
      <c r="O67" s="33">
        <v>0</v>
      </c>
      <c r="P67" s="32">
        <v>100000</v>
      </c>
      <c r="Q67" s="29" t="s">
        <v>839</v>
      </c>
      <c r="R67" s="29" t="s">
        <v>840</v>
      </c>
      <c r="S67" s="29" t="s">
        <v>15</v>
      </c>
      <c r="T67" s="29" t="s">
        <v>807</v>
      </c>
      <c r="U67" s="29" t="s">
        <v>15</v>
      </c>
      <c r="V67" s="29" t="s">
        <v>841</v>
      </c>
      <c r="W67" s="29" t="s">
        <v>841</v>
      </c>
    </row>
    <row r="68" spans="1:23" ht="10.5" customHeight="1" x14ac:dyDescent="0.25">
      <c r="A68" s="28">
        <v>46024</v>
      </c>
      <c r="B68" s="29" t="str">
        <f t="shared" si="2"/>
        <v>02/01/2026NL300058</v>
      </c>
      <c r="C68" s="30" t="s">
        <v>848</v>
      </c>
      <c r="D68" s="30" t="s">
        <v>835</v>
      </c>
      <c r="E68" s="29" t="s">
        <v>836</v>
      </c>
      <c r="F68" s="29" t="s">
        <v>837</v>
      </c>
      <c r="G68" s="29" t="s">
        <v>849</v>
      </c>
      <c r="H68" s="29" t="s">
        <v>481</v>
      </c>
      <c r="I68" s="29" t="s">
        <v>22</v>
      </c>
      <c r="J68" s="29" t="s">
        <v>237</v>
      </c>
      <c r="K68" s="31">
        <v>0.3</v>
      </c>
      <c r="L68" s="32">
        <v>55000</v>
      </c>
      <c r="M68" s="32">
        <v>0</v>
      </c>
      <c r="N68" s="33">
        <f t="shared" si="3"/>
        <v>16500</v>
      </c>
      <c r="O68" s="33">
        <v>0</v>
      </c>
      <c r="P68" s="32">
        <v>55000</v>
      </c>
      <c r="Q68" s="29" t="s">
        <v>839</v>
      </c>
      <c r="R68" s="29" t="s">
        <v>840</v>
      </c>
      <c r="S68" s="29" t="s">
        <v>15</v>
      </c>
      <c r="T68" s="29" t="s">
        <v>807</v>
      </c>
      <c r="U68" s="29" t="s">
        <v>15</v>
      </c>
      <c r="V68" s="29" t="s">
        <v>841</v>
      </c>
      <c r="W68" s="29" t="s">
        <v>841</v>
      </c>
    </row>
    <row r="69" spans="1:23" ht="10.5" customHeight="1" x14ac:dyDescent="0.25">
      <c r="A69" s="28">
        <v>46024</v>
      </c>
      <c r="B69" s="29" t="str">
        <f t="shared" si="2"/>
        <v>02/01/2026NL300053</v>
      </c>
      <c r="C69" s="30" t="s">
        <v>848</v>
      </c>
      <c r="D69" s="30" t="s">
        <v>835</v>
      </c>
      <c r="E69" s="29" t="s">
        <v>836</v>
      </c>
      <c r="F69" s="29" t="s">
        <v>837</v>
      </c>
      <c r="G69" s="29" t="s">
        <v>849</v>
      </c>
      <c r="H69" s="29" t="s">
        <v>475</v>
      </c>
      <c r="I69" s="29" t="s">
        <v>476</v>
      </c>
      <c r="J69" s="29" t="s">
        <v>237</v>
      </c>
      <c r="K69" s="31">
        <v>0.5</v>
      </c>
      <c r="L69" s="32">
        <v>30000</v>
      </c>
      <c r="M69" s="32">
        <v>0</v>
      </c>
      <c r="N69" s="33">
        <f t="shared" si="3"/>
        <v>15000</v>
      </c>
      <c r="O69" s="33">
        <v>0</v>
      </c>
      <c r="P69" s="32">
        <v>30000</v>
      </c>
      <c r="Q69" s="29" t="s">
        <v>839</v>
      </c>
      <c r="R69" s="29" t="s">
        <v>840</v>
      </c>
      <c r="S69" s="29" t="s">
        <v>15</v>
      </c>
      <c r="T69" s="29" t="s">
        <v>807</v>
      </c>
      <c r="U69" s="29" t="s">
        <v>15</v>
      </c>
      <c r="V69" s="29" t="s">
        <v>841</v>
      </c>
      <c r="W69" s="29" t="s">
        <v>841</v>
      </c>
    </row>
    <row r="70" spans="1:23" ht="10.5" customHeight="1" x14ac:dyDescent="0.25">
      <c r="A70" s="28">
        <v>46024</v>
      </c>
      <c r="B70" s="29" t="str">
        <f t="shared" si="2"/>
        <v>02/01/2026NL300034</v>
      </c>
      <c r="C70" s="30" t="s">
        <v>848</v>
      </c>
      <c r="D70" s="30" t="s">
        <v>835</v>
      </c>
      <c r="E70" s="29" t="s">
        <v>836</v>
      </c>
      <c r="F70" s="29" t="s">
        <v>837</v>
      </c>
      <c r="G70" s="29" t="s">
        <v>849</v>
      </c>
      <c r="H70" s="29" t="s">
        <v>376</v>
      </c>
      <c r="I70" s="29" t="s">
        <v>377</v>
      </c>
      <c r="J70" s="29" t="s">
        <v>237</v>
      </c>
      <c r="K70" s="31">
        <v>0.2</v>
      </c>
      <c r="L70" s="32">
        <v>40000</v>
      </c>
      <c r="M70" s="32">
        <v>0</v>
      </c>
      <c r="N70" s="33">
        <f t="shared" si="3"/>
        <v>8000</v>
      </c>
      <c r="O70" s="33">
        <v>0</v>
      </c>
      <c r="P70" s="32">
        <v>40000</v>
      </c>
      <c r="Q70" s="29" t="s">
        <v>839</v>
      </c>
      <c r="R70" s="29" t="s">
        <v>840</v>
      </c>
      <c r="S70" s="29" t="s">
        <v>15</v>
      </c>
      <c r="T70" s="29" t="s">
        <v>807</v>
      </c>
      <c r="U70" s="29" t="s">
        <v>15</v>
      </c>
      <c r="V70" s="29" t="s">
        <v>841</v>
      </c>
      <c r="W70" s="29" t="s">
        <v>841</v>
      </c>
    </row>
    <row r="71" spans="1:23" ht="10.5" customHeight="1" x14ac:dyDescent="0.25">
      <c r="A71" s="28">
        <v>46024</v>
      </c>
      <c r="B71" s="29" t="str">
        <f t="shared" si="2"/>
        <v>02/01/2026NL300014</v>
      </c>
      <c r="C71" s="30" t="s">
        <v>848</v>
      </c>
      <c r="D71" s="30" t="s">
        <v>835</v>
      </c>
      <c r="E71" s="29" t="s">
        <v>836</v>
      </c>
      <c r="F71" s="29" t="s">
        <v>837</v>
      </c>
      <c r="G71" s="29" t="s">
        <v>849</v>
      </c>
      <c r="H71" s="29" t="s">
        <v>280</v>
      </c>
      <c r="I71" s="29" t="s">
        <v>132</v>
      </c>
      <c r="J71" s="29" t="s">
        <v>237</v>
      </c>
      <c r="K71" s="31">
        <v>0.9</v>
      </c>
      <c r="L71" s="32">
        <v>55000</v>
      </c>
      <c r="M71" s="32">
        <v>0</v>
      </c>
      <c r="N71" s="33">
        <f t="shared" si="3"/>
        <v>49500</v>
      </c>
      <c r="O71" s="33">
        <v>0</v>
      </c>
      <c r="P71" s="32">
        <v>55000</v>
      </c>
      <c r="Q71" s="29" t="s">
        <v>839</v>
      </c>
      <c r="R71" s="29" t="s">
        <v>840</v>
      </c>
      <c r="S71" s="29" t="s">
        <v>15</v>
      </c>
      <c r="T71" s="29" t="s">
        <v>807</v>
      </c>
      <c r="U71" s="29" t="s">
        <v>15</v>
      </c>
      <c r="V71" s="29" t="s">
        <v>841</v>
      </c>
      <c r="W71" s="29" t="s">
        <v>841</v>
      </c>
    </row>
    <row r="72" spans="1:23" ht="10.5" customHeight="1" x14ac:dyDescent="0.25">
      <c r="A72" s="28">
        <v>46025</v>
      </c>
      <c r="B72" s="29" t="str">
        <f t="shared" si="2"/>
        <v>03/01/2026NL300096</v>
      </c>
      <c r="C72" s="30" t="s">
        <v>852</v>
      </c>
      <c r="D72" s="30" t="s">
        <v>835</v>
      </c>
      <c r="E72" s="29" t="s">
        <v>836</v>
      </c>
      <c r="F72" s="29" t="s">
        <v>837</v>
      </c>
      <c r="G72" s="29" t="s">
        <v>853</v>
      </c>
      <c r="H72" s="29" t="s">
        <v>610</v>
      </c>
      <c r="I72" s="29" t="s">
        <v>30</v>
      </c>
      <c r="J72" s="29" t="s">
        <v>237</v>
      </c>
      <c r="K72" s="31">
        <v>1</v>
      </c>
      <c r="L72" s="32">
        <v>45000</v>
      </c>
      <c r="M72" s="32">
        <v>0</v>
      </c>
      <c r="N72" s="33">
        <f t="shared" si="3"/>
        <v>45000</v>
      </c>
      <c r="O72" s="33">
        <v>0</v>
      </c>
      <c r="P72" s="32">
        <v>45000</v>
      </c>
      <c r="Q72" s="29" t="s">
        <v>839</v>
      </c>
      <c r="R72" s="29" t="s">
        <v>840</v>
      </c>
      <c r="S72" s="29" t="s">
        <v>15</v>
      </c>
      <c r="T72" s="29" t="s">
        <v>807</v>
      </c>
      <c r="U72" s="29" t="s">
        <v>15</v>
      </c>
      <c r="V72" s="29" t="s">
        <v>841</v>
      </c>
      <c r="W72" s="29" t="s">
        <v>841</v>
      </c>
    </row>
    <row r="73" spans="1:23" ht="10.5" customHeight="1" x14ac:dyDescent="0.25">
      <c r="A73" s="28">
        <v>46025</v>
      </c>
      <c r="B73" s="29" t="str">
        <f t="shared" si="2"/>
        <v>03/01/2026NL300184</v>
      </c>
      <c r="C73" s="30" t="s">
        <v>852</v>
      </c>
      <c r="D73" s="30" t="s">
        <v>835</v>
      </c>
      <c r="E73" s="29" t="s">
        <v>836</v>
      </c>
      <c r="F73" s="29" t="s">
        <v>837</v>
      </c>
      <c r="G73" s="29" t="s">
        <v>853</v>
      </c>
      <c r="H73" s="29" t="s">
        <v>533</v>
      </c>
      <c r="I73" s="29" t="s">
        <v>850</v>
      </c>
      <c r="J73" s="29" t="s">
        <v>237</v>
      </c>
      <c r="K73" s="31">
        <v>0.3</v>
      </c>
      <c r="L73" s="32">
        <v>18000</v>
      </c>
      <c r="M73" s="32">
        <v>0</v>
      </c>
      <c r="N73" s="33">
        <f t="shared" si="3"/>
        <v>5400</v>
      </c>
      <c r="O73" s="33">
        <v>0</v>
      </c>
      <c r="P73" s="32">
        <v>18000</v>
      </c>
      <c r="Q73" s="29" t="s">
        <v>839</v>
      </c>
      <c r="R73" s="29" t="s">
        <v>840</v>
      </c>
      <c r="S73" s="29" t="s">
        <v>15</v>
      </c>
      <c r="T73" s="29" t="s">
        <v>807</v>
      </c>
      <c r="U73" s="29" t="s">
        <v>15</v>
      </c>
      <c r="V73" s="29" t="s">
        <v>841</v>
      </c>
      <c r="W73" s="29" t="s">
        <v>841</v>
      </c>
    </row>
    <row r="74" spans="1:23" ht="10.5" customHeight="1" x14ac:dyDescent="0.25">
      <c r="A74" s="28">
        <v>46025</v>
      </c>
      <c r="B74" s="29" t="str">
        <f t="shared" si="2"/>
        <v>03/01/2026NL300071</v>
      </c>
      <c r="C74" s="30" t="s">
        <v>852</v>
      </c>
      <c r="D74" s="30" t="s">
        <v>835</v>
      </c>
      <c r="E74" s="29" t="s">
        <v>836</v>
      </c>
      <c r="F74" s="29" t="s">
        <v>837</v>
      </c>
      <c r="G74" s="29" t="s">
        <v>853</v>
      </c>
      <c r="H74" s="29" t="s">
        <v>524</v>
      </c>
      <c r="I74" s="29" t="s">
        <v>806</v>
      </c>
      <c r="J74" s="29" t="s">
        <v>237</v>
      </c>
      <c r="K74" s="31">
        <v>0.4</v>
      </c>
      <c r="L74" s="32">
        <v>20000</v>
      </c>
      <c r="M74" s="32">
        <v>0</v>
      </c>
      <c r="N74" s="33">
        <f t="shared" si="3"/>
        <v>8000</v>
      </c>
      <c r="O74" s="33">
        <v>0</v>
      </c>
      <c r="P74" s="32">
        <v>20000</v>
      </c>
      <c r="Q74" s="29" t="s">
        <v>839</v>
      </c>
      <c r="R74" s="29" t="s">
        <v>840</v>
      </c>
      <c r="S74" s="29" t="s">
        <v>15</v>
      </c>
      <c r="T74" s="29" t="s">
        <v>807</v>
      </c>
      <c r="U74" s="29" t="s">
        <v>15</v>
      </c>
      <c r="V74" s="29" t="s">
        <v>841</v>
      </c>
      <c r="W74" s="29" t="s">
        <v>841</v>
      </c>
    </row>
    <row r="75" spans="1:23" ht="10.5" customHeight="1" x14ac:dyDescent="0.25">
      <c r="A75" s="28">
        <v>46025</v>
      </c>
      <c r="B75" s="29" t="str">
        <f t="shared" si="2"/>
        <v>03/01/2026NL300085</v>
      </c>
      <c r="C75" s="30" t="s">
        <v>852</v>
      </c>
      <c r="D75" s="30" t="s">
        <v>835</v>
      </c>
      <c r="E75" s="29" t="s">
        <v>836</v>
      </c>
      <c r="F75" s="29" t="s">
        <v>837</v>
      </c>
      <c r="G75" s="29" t="s">
        <v>853</v>
      </c>
      <c r="H75" s="29" t="s">
        <v>592</v>
      </c>
      <c r="I75" s="29" t="s">
        <v>593</v>
      </c>
      <c r="J75" s="29" t="s">
        <v>237</v>
      </c>
      <c r="K75" s="31">
        <v>0.1</v>
      </c>
      <c r="L75" s="32">
        <v>45000</v>
      </c>
      <c r="M75" s="32">
        <v>0</v>
      </c>
      <c r="N75" s="33">
        <f t="shared" si="3"/>
        <v>4500</v>
      </c>
      <c r="O75" s="33">
        <v>0</v>
      </c>
      <c r="P75" s="32">
        <v>45000</v>
      </c>
      <c r="Q75" s="29" t="s">
        <v>839</v>
      </c>
      <c r="R75" s="29" t="s">
        <v>840</v>
      </c>
      <c r="S75" s="29" t="s">
        <v>15</v>
      </c>
      <c r="T75" s="29" t="s">
        <v>807</v>
      </c>
      <c r="U75" s="29" t="s">
        <v>15</v>
      </c>
      <c r="V75" s="29" t="s">
        <v>841</v>
      </c>
      <c r="W75" s="29" t="s">
        <v>841</v>
      </c>
    </row>
    <row r="76" spans="1:23" ht="10.5" customHeight="1" x14ac:dyDescent="0.25">
      <c r="A76" s="28">
        <v>46025</v>
      </c>
      <c r="B76" s="29" t="str">
        <f t="shared" si="2"/>
        <v>03/01/2026NL300007</v>
      </c>
      <c r="C76" s="30" t="s">
        <v>852</v>
      </c>
      <c r="D76" s="30" t="s">
        <v>835</v>
      </c>
      <c r="E76" s="29" t="s">
        <v>836</v>
      </c>
      <c r="F76" s="29" t="s">
        <v>837</v>
      </c>
      <c r="G76" s="29" t="s">
        <v>853</v>
      </c>
      <c r="H76" s="29" t="s">
        <v>253</v>
      </c>
      <c r="I76" s="29" t="s">
        <v>254</v>
      </c>
      <c r="J76" s="29" t="s">
        <v>237</v>
      </c>
      <c r="K76" s="31">
        <v>3.1</v>
      </c>
      <c r="L76" s="32">
        <v>30000</v>
      </c>
      <c r="M76" s="32">
        <v>0</v>
      </c>
      <c r="N76" s="33">
        <f t="shared" si="3"/>
        <v>93000</v>
      </c>
      <c r="O76" s="33">
        <v>0</v>
      </c>
      <c r="P76" s="32">
        <v>30000</v>
      </c>
      <c r="Q76" s="29" t="s">
        <v>839</v>
      </c>
      <c r="R76" s="29" t="s">
        <v>840</v>
      </c>
      <c r="S76" s="29" t="s">
        <v>15</v>
      </c>
      <c r="T76" s="29" t="s">
        <v>807</v>
      </c>
      <c r="U76" s="29" t="s">
        <v>15</v>
      </c>
      <c r="V76" s="29" t="s">
        <v>841</v>
      </c>
      <c r="W76" s="29" t="s">
        <v>841</v>
      </c>
    </row>
    <row r="77" spans="1:23" ht="10.5" customHeight="1" x14ac:dyDescent="0.25">
      <c r="A77" s="28">
        <v>46025</v>
      </c>
      <c r="B77" s="29" t="str">
        <f t="shared" si="2"/>
        <v>03/01/2026NL600004</v>
      </c>
      <c r="C77" s="30" t="s">
        <v>852</v>
      </c>
      <c r="D77" s="30" t="s">
        <v>835</v>
      </c>
      <c r="E77" s="29" t="s">
        <v>836</v>
      </c>
      <c r="F77" s="29" t="s">
        <v>837</v>
      </c>
      <c r="G77" s="29" t="s">
        <v>853</v>
      </c>
      <c r="H77" s="29" t="s">
        <v>462</v>
      </c>
      <c r="I77" s="29" t="s">
        <v>52</v>
      </c>
      <c r="J77" s="29" t="s">
        <v>237</v>
      </c>
      <c r="K77" s="31">
        <v>28.5</v>
      </c>
      <c r="L77" s="32">
        <v>18000</v>
      </c>
      <c r="M77" s="32">
        <v>0</v>
      </c>
      <c r="N77" s="33">
        <f t="shared" si="3"/>
        <v>513000</v>
      </c>
      <c r="O77" s="33">
        <v>0</v>
      </c>
      <c r="P77" s="32">
        <v>18000</v>
      </c>
      <c r="Q77" s="29" t="s">
        <v>839</v>
      </c>
      <c r="R77" s="29" t="s">
        <v>840</v>
      </c>
      <c r="S77" s="29" t="s">
        <v>15</v>
      </c>
      <c r="T77" s="29" t="s">
        <v>807</v>
      </c>
      <c r="U77" s="29" t="s">
        <v>15</v>
      </c>
      <c r="V77" s="29" t="s">
        <v>841</v>
      </c>
      <c r="W77" s="29" t="s">
        <v>841</v>
      </c>
    </row>
    <row r="78" spans="1:23" ht="10.5" customHeight="1" x14ac:dyDescent="0.25">
      <c r="A78" s="28">
        <v>46025</v>
      </c>
      <c r="B78" s="29" t="str">
        <f t="shared" si="2"/>
        <v>03/01/2026NL300126</v>
      </c>
      <c r="C78" s="30" t="s">
        <v>852</v>
      </c>
      <c r="D78" s="30" t="s">
        <v>835</v>
      </c>
      <c r="E78" s="29" t="s">
        <v>836</v>
      </c>
      <c r="F78" s="29" t="s">
        <v>837</v>
      </c>
      <c r="G78" s="29" t="s">
        <v>853</v>
      </c>
      <c r="H78" s="29" t="s">
        <v>721</v>
      </c>
      <c r="I78" s="29" t="s">
        <v>722</v>
      </c>
      <c r="J78" s="29" t="s">
        <v>237</v>
      </c>
      <c r="K78" s="31">
        <v>0.3</v>
      </c>
      <c r="L78" s="32">
        <v>70000</v>
      </c>
      <c r="M78" s="32">
        <v>0</v>
      </c>
      <c r="N78" s="33">
        <f t="shared" si="3"/>
        <v>21000</v>
      </c>
      <c r="O78" s="33">
        <v>0</v>
      </c>
      <c r="P78" s="32">
        <v>70000</v>
      </c>
      <c r="Q78" s="29" t="s">
        <v>839</v>
      </c>
      <c r="R78" s="29" t="s">
        <v>840</v>
      </c>
      <c r="S78" s="29" t="s">
        <v>15</v>
      </c>
      <c r="T78" s="29" t="s">
        <v>807</v>
      </c>
      <c r="U78" s="29" t="s">
        <v>15</v>
      </c>
      <c r="V78" s="29" t="s">
        <v>841</v>
      </c>
      <c r="W78" s="29" t="s">
        <v>841</v>
      </c>
    </row>
    <row r="79" spans="1:23" ht="10.5" customHeight="1" x14ac:dyDescent="0.25">
      <c r="A79" s="28">
        <v>46025</v>
      </c>
      <c r="B79" s="29" t="str">
        <f t="shared" si="2"/>
        <v>03/01/2026NL300070</v>
      </c>
      <c r="C79" s="30" t="s">
        <v>852</v>
      </c>
      <c r="D79" s="30" t="s">
        <v>835</v>
      </c>
      <c r="E79" s="29" t="s">
        <v>836</v>
      </c>
      <c r="F79" s="29" t="s">
        <v>837</v>
      </c>
      <c r="G79" s="29" t="s">
        <v>853</v>
      </c>
      <c r="H79" s="29" t="s">
        <v>507</v>
      </c>
      <c r="I79" s="29" t="s">
        <v>508</v>
      </c>
      <c r="J79" s="29" t="s">
        <v>237</v>
      </c>
      <c r="K79" s="31">
        <v>1.8</v>
      </c>
      <c r="L79" s="32">
        <v>23000</v>
      </c>
      <c r="M79" s="32">
        <v>0</v>
      </c>
      <c r="N79" s="33">
        <f t="shared" si="3"/>
        <v>41400</v>
      </c>
      <c r="O79" s="33">
        <v>0</v>
      </c>
      <c r="P79" s="32">
        <v>23000</v>
      </c>
      <c r="Q79" s="29" t="s">
        <v>839</v>
      </c>
      <c r="R79" s="29" t="s">
        <v>840</v>
      </c>
      <c r="S79" s="29" t="s">
        <v>15</v>
      </c>
      <c r="T79" s="29" t="s">
        <v>807</v>
      </c>
      <c r="U79" s="29" t="s">
        <v>15</v>
      </c>
      <c r="V79" s="29" t="s">
        <v>841</v>
      </c>
      <c r="W79" s="29" t="s">
        <v>841</v>
      </c>
    </row>
    <row r="80" spans="1:23" ht="10.5" customHeight="1" x14ac:dyDescent="0.25">
      <c r="A80" s="28">
        <v>46025</v>
      </c>
      <c r="B80" s="29" t="str">
        <f t="shared" si="2"/>
        <v>03/01/2026NL300230</v>
      </c>
      <c r="C80" s="30" t="s">
        <v>852</v>
      </c>
      <c r="D80" s="30" t="s">
        <v>835</v>
      </c>
      <c r="E80" s="29" t="s">
        <v>836</v>
      </c>
      <c r="F80" s="29" t="s">
        <v>837</v>
      </c>
      <c r="G80" s="29" t="s">
        <v>853</v>
      </c>
      <c r="H80" s="29" t="s">
        <v>802</v>
      </c>
      <c r="I80" s="29" t="s">
        <v>803</v>
      </c>
      <c r="J80" s="29" t="s">
        <v>237</v>
      </c>
      <c r="K80" s="31">
        <v>0.1</v>
      </c>
      <c r="L80" s="32">
        <v>80000</v>
      </c>
      <c r="M80" s="32">
        <v>0</v>
      </c>
      <c r="N80" s="33">
        <f t="shared" si="3"/>
        <v>8000</v>
      </c>
      <c r="O80" s="33">
        <v>0</v>
      </c>
      <c r="P80" s="32">
        <v>80000</v>
      </c>
      <c r="Q80" s="29" t="s">
        <v>839</v>
      </c>
      <c r="R80" s="29" t="s">
        <v>840</v>
      </c>
      <c r="S80" s="29" t="s">
        <v>15</v>
      </c>
      <c r="T80" s="29" t="s">
        <v>807</v>
      </c>
      <c r="U80" s="29" t="s">
        <v>15</v>
      </c>
      <c r="V80" s="29" t="s">
        <v>841</v>
      </c>
      <c r="W80" s="29" t="s">
        <v>841</v>
      </c>
    </row>
    <row r="81" spans="1:23" ht="10.5" customHeight="1" x14ac:dyDescent="0.25">
      <c r="A81" s="28">
        <v>46025</v>
      </c>
      <c r="B81" s="29" t="str">
        <f t="shared" si="2"/>
        <v>03/01/2026NL300229</v>
      </c>
      <c r="C81" s="30" t="s">
        <v>852</v>
      </c>
      <c r="D81" s="30" t="s">
        <v>835</v>
      </c>
      <c r="E81" s="29" t="s">
        <v>836</v>
      </c>
      <c r="F81" s="29" t="s">
        <v>837</v>
      </c>
      <c r="G81" s="29" t="s">
        <v>853</v>
      </c>
      <c r="H81" s="29" t="s">
        <v>396</v>
      </c>
      <c r="I81" s="29" t="s">
        <v>851</v>
      </c>
      <c r="J81" s="29" t="s">
        <v>237</v>
      </c>
      <c r="K81" s="31">
        <v>0</v>
      </c>
      <c r="L81" s="32">
        <v>100000</v>
      </c>
      <c r="M81" s="32">
        <v>0</v>
      </c>
      <c r="N81" s="33">
        <f t="shared" si="3"/>
        <v>0</v>
      </c>
      <c r="O81" s="33">
        <v>0</v>
      </c>
      <c r="P81" s="32">
        <v>100000</v>
      </c>
      <c r="Q81" s="29" t="s">
        <v>839</v>
      </c>
      <c r="R81" s="29" t="s">
        <v>840</v>
      </c>
      <c r="S81" s="29" t="s">
        <v>15</v>
      </c>
      <c r="T81" s="29" t="s">
        <v>807</v>
      </c>
      <c r="U81" s="29" t="s">
        <v>15</v>
      </c>
      <c r="V81" s="29" t="s">
        <v>841</v>
      </c>
      <c r="W81" s="29" t="s">
        <v>841</v>
      </c>
    </row>
    <row r="82" spans="1:23" ht="10.5" customHeight="1" x14ac:dyDescent="0.25">
      <c r="A82" s="28">
        <v>46025</v>
      </c>
      <c r="B82" s="29" t="str">
        <f t="shared" si="2"/>
        <v>03/01/2026NL300058</v>
      </c>
      <c r="C82" s="30" t="s">
        <v>852</v>
      </c>
      <c r="D82" s="30" t="s">
        <v>835</v>
      </c>
      <c r="E82" s="29" t="s">
        <v>836</v>
      </c>
      <c r="F82" s="29" t="s">
        <v>837</v>
      </c>
      <c r="G82" s="29" t="s">
        <v>853</v>
      </c>
      <c r="H82" s="29" t="s">
        <v>481</v>
      </c>
      <c r="I82" s="29" t="s">
        <v>22</v>
      </c>
      <c r="J82" s="29" t="s">
        <v>237</v>
      </c>
      <c r="K82" s="31">
        <v>0.2</v>
      </c>
      <c r="L82" s="32">
        <v>55000</v>
      </c>
      <c r="M82" s="32">
        <v>0</v>
      </c>
      <c r="N82" s="33">
        <f t="shared" si="3"/>
        <v>11000</v>
      </c>
      <c r="O82" s="33">
        <v>0</v>
      </c>
      <c r="P82" s="32">
        <v>55000</v>
      </c>
      <c r="Q82" s="29" t="s">
        <v>839</v>
      </c>
      <c r="R82" s="29" t="s">
        <v>840</v>
      </c>
      <c r="S82" s="29" t="s">
        <v>15</v>
      </c>
      <c r="T82" s="29" t="s">
        <v>807</v>
      </c>
      <c r="U82" s="29" t="s">
        <v>15</v>
      </c>
      <c r="V82" s="29" t="s">
        <v>841</v>
      </c>
      <c r="W82" s="29" t="s">
        <v>841</v>
      </c>
    </row>
    <row r="83" spans="1:23" ht="10.5" customHeight="1" x14ac:dyDescent="0.25">
      <c r="A83" s="28">
        <v>46025</v>
      </c>
      <c r="B83" s="29" t="str">
        <f t="shared" si="2"/>
        <v>03/01/2026NL300053</v>
      </c>
      <c r="C83" s="30" t="s">
        <v>852</v>
      </c>
      <c r="D83" s="30" t="s">
        <v>835</v>
      </c>
      <c r="E83" s="29" t="s">
        <v>836</v>
      </c>
      <c r="F83" s="29" t="s">
        <v>837</v>
      </c>
      <c r="G83" s="29" t="s">
        <v>853</v>
      </c>
      <c r="H83" s="29" t="s">
        <v>475</v>
      </c>
      <c r="I83" s="29" t="s">
        <v>476</v>
      </c>
      <c r="J83" s="29" t="s">
        <v>237</v>
      </c>
      <c r="K83" s="31">
        <v>0.3</v>
      </c>
      <c r="L83" s="32">
        <v>30000</v>
      </c>
      <c r="M83" s="32">
        <v>0</v>
      </c>
      <c r="N83" s="33">
        <f t="shared" si="3"/>
        <v>9000</v>
      </c>
      <c r="O83" s="33">
        <v>0</v>
      </c>
      <c r="P83" s="32">
        <v>30000</v>
      </c>
      <c r="Q83" s="29" t="s">
        <v>839</v>
      </c>
      <c r="R83" s="29" t="s">
        <v>840</v>
      </c>
      <c r="S83" s="29" t="s">
        <v>15</v>
      </c>
      <c r="T83" s="29" t="s">
        <v>807</v>
      </c>
      <c r="U83" s="29" t="s">
        <v>15</v>
      </c>
      <c r="V83" s="29" t="s">
        <v>841</v>
      </c>
      <c r="W83" s="29" t="s">
        <v>841</v>
      </c>
    </row>
    <row r="84" spans="1:23" ht="10.5" customHeight="1" x14ac:dyDescent="0.25">
      <c r="A84" s="28">
        <v>46025</v>
      </c>
      <c r="B84" s="29" t="str">
        <f t="shared" si="2"/>
        <v>03/01/2026NL300034</v>
      </c>
      <c r="C84" s="30" t="s">
        <v>852</v>
      </c>
      <c r="D84" s="30" t="s">
        <v>835</v>
      </c>
      <c r="E84" s="29" t="s">
        <v>836</v>
      </c>
      <c r="F84" s="29" t="s">
        <v>837</v>
      </c>
      <c r="G84" s="29" t="s">
        <v>853</v>
      </c>
      <c r="H84" s="29" t="s">
        <v>376</v>
      </c>
      <c r="I84" s="29" t="s">
        <v>377</v>
      </c>
      <c r="J84" s="29" t="s">
        <v>237</v>
      </c>
      <c r="K84" s="31">
        <v>0.1</v>
      </c>
      <c r="L84" s="32">
        <v>40000</v>
      </c>
      <c r="M84" s="32">
        <v>0</v>
      </c>
      <c r="N84" s="33">
        <f t="shared" si="3"/>
        <v>4000</v>
      </c>
      <c r="O84" s="33">
        <v>0</v>
      </c>
      <c r="P84" s="32">
        <v>40000</v>
      </c>
      <c r="Q84" s="29" t="s">
        <v>839</v>
      </c>
      <c r="R84" s="29" t="s">
        <v>840</v>
      </c>
      <c r="S84" s="29" t="s">
        <v>15</v>
      </c>
      <c r="T84" s="29" t="s">
        <v>807</v>
      </c>
      <c r="U84" s="29" t="s">
        <v>15</v>
      </c>
      <c r="V84" s="29" t="s">
        <v>841</v>
      </c>
      <c r="W84" s="29" t="s">
        <v>841</v>
      </c>
    </row>
    <row r="85" spans="1:23" ht="10.5" customHeight="1" x14ac:dyDescent="0.25">
      <c r="A85" s="28">
        <v>46025</v>
      </c>
      <c r="B85" s="29" t="str">
        <f t="shared" si="2"/>
        <v>03/01/2026NL300050</v>
      </c>
      <c r="C85" s="30" t="s">
        <v>852</v>
      </c>
      <c r="D85" s="30" t="s">
        <v>835</v>
      </c>
      <c r="E85" s="29" t="s">
        <v>836</v>
      </c>
      <c r="F85" s="29" t="s">
        <v>837</v>
      </c>
      <c r="G85" s="29" t="s">
        <v>853</v>
      </c>
      <c r="H85" s="29" t="s">
        <v>804</v>
      </c>
      <c r="I85" s="29" t="s">
        <v>805</v>
      </c>
      <c r="J85" s="29" t="s">
        <v>237</v>
      </c>
      <c r="K85" s="31">
        <v>0.3</v>
      </c>
      <c r="L85" s="32">
        <v>9000</v>
      </c>
      <c r="M85" s="32">
        <v>0</v>
      </c>
      <c r="N85" s="33">
        <f t="shared" si="3"/>
        <v>2700</v>
      </c>
      <c r="O85" s="33">
        <v>0</v>
      </c>
      <c r="P85" s="32">
        <v>9000</v>
      </c>
      <c r="Q85" s="29" t="s">
        <v>839</v>
      </c>
      <c r="R85" s="29" t="s">
        <v>840</v>
      </c>
      <c r="S85" s="29" t="s">
        <v>15</v>
      </c>
      <c r="T85" s="29" t="s">
        <v>807</v>
      </c>
      <c r="U85" s="29" t="s">
        <v>15</v>
      </c>
      <c r="V85" s="29" t="s">
        <v>841</v>
      </c>
      <c r="W85" s="29" t="s">
        <v>841</v>
      </c>
    </row>
    <row r="86" spans="1:23" ht="10.5" customHeight="1" x14ac:dyDescent="0.25">
      <c r="A86" s="28">
        <v>46025</v>
      </c>
      <c r="B86" s="29" t="str">
        <f t="shared" si="2"/>
        <v>03/01/2026NL300014</v>
      </c>
      <c r="C86" s="30" t="s">
        <v>852</v>
      </c>
      <c r="D86" s="30" t="s">
        <v>835</v>
      </c>
      <c r="E86" s="29" t="s">
        <v>836</v>
      </c>
      <c r="F86" s="29" t="s">
        <v>837</v>
      </c>
      <c r="G86" s="29" t="s">
        <v>853</v>
      </c>
      <c r="H86" s="29" t="s">
        <v>280</v>
      </c>
      <c r="I86" s="29" t="s">
        <v>132</v>
      </c>
      <c r="J86" s="29" t="s">
        <v>237</v>
      </c>
      <c r="K86" s="31">
        <v>0.5</v>
      </c>
      <c r="L86" s="32">
        <v>55000</v>
      </c>
      <c r="M86" s="32">
        <v>0</v>
      </c>
      <c r="N86" s="33">
        <f t="shared" si="3"/>
        <v>27500</v>
      </c>
      <c r="O86" s="33">
        <v>0</v>
      </c>
      <c r="P86" s="32">
        <v>55000</v>
      </c>
      <c r="Q86" s="29" t="s">
        <v>839</v>
      </c>
      <c r="R86" s="29" t="s">
        <v>840</v>
      </c>
      <c r="S86" s="29" t="s">
        <v>15</v>
      </c>
      <c r="T86" s="29" t="s">
        <v>807</v>
      </c>
      <c r="U86" s="29" t="s">
        <v>15</v>
      </c>
      <c r="V86" s="29" t="s">
        <v>841</v>
      </c>
      <c r="W86" s="29" t="s">
        <v>841</v>
      </c>
    </row>
    <row r="87" spans="1:23" ht="10.5" customHeight="1" x14ac:dyDescent="0.25">
      <c r="A87" s="28">
        <v>46025</v>
      </c>
      <c r="B87" s="29" t="str">
        <f t="shared" si="2"/>
        <v>03/01/2026NL300061</v>
      </c>
      <c r="C87" s="30" t="s">
        <v>852</v>
      </c>
      <c r="D87" s="30" t="s">
        <v>835</v>
      </c>
      <c r="E87" s="29" t="s">
        <v>836</v>
      </c>
      <c r="F87" s="29" t="s">
        <v>837</v>
      </c>
      <c r="G87" s="29" t="s">
        <v>853</v>
      </c>
      <c r="H87" s="29" t="s">
        <v>482</v>
      </c>
      <c r="I87" s="29" t="s">
        <v>844</v>
      </c>
      <c r="J87" s="29" t="s">
        <v>237</v>
      </c>
      <c r="K87" s="31">
        <v>1</v>
      </c>
      <c r="L87" s="32">
        <v>38000</v>
      </c>
      <c r="M87" s="32">
        <v>0</v>
      </c>
      <c r="N87" s="33">
        <f t="shared" si="3"/>
        <v>38000</v>
      </c>
      <c r="O87" s="33">
        <v>0</v>
      </c>
      <c r="P87" s="32">
        <v>38000</v>
      </c>
      <c r="Q87" s="29" t="s">
        <v>839</v>
      </c>
      <c r="R87" s="29" t="s">
        <v>840</v>
      </c>
      <c r="S87" s="29" t="s">
        <v>15</v>
      </c>
      <c r="T87" s="29" t="s">
        <v>807</v>
      </c>
      <c r="U87" s="29" t="s">
        <v>15</v>
      </c>
      <c r="V87" s="29" t="s">
        <v>841</v>
      </c>
      <c r="W87" s="29" t="s">
        <v>841</v>
      </c>
    </row>
    <row r="88" spans="1:23" ht="10.5" customHeight="1" x14ac:dyDescent="0.25">
      <c r="A88" s="28">
        <v>46025</v>
      </c>
      <c r="B88" s="29" t="str">
        <f t="shared" si="2"/>
        <v>03/01/2026NL300027</v>
      </c>
      <c r="C88" s="30" t="s">
        <v>852</v>
      </c>
      <c r="D88" s="30" t="s">
        <v>835</v>
      </c>
      <c r="E88" s="29" t="s">
        <v>836</v>
      </c>
      <c r="F88" s="29" t="s">
        <v>837</v>
      </c>
      <c r="G88" s="29" t="s">
        <v>853</v>
      </c>
      <c r="H88" s="29" t="s">
        <v>314</v>
      </c>
      <c r="I88" s="29" t="s">
        <v>126</v>
      </c>
      <c r="J88" s="29" t="s">
        <v>237</v>
      </c>
      <c r="K88" s="31">
        <v>4</v>
      </c>
      <c r="L88" s="32">
        <v>18000</v>
      </c>
      <c r="M88" s="32">
        <v>0</v>
      </c>
      <c r="N88" s="33">
        <f t="shared" si="3"/>
        <v>72000</v>
      </c>
      <c r="O88" s="33">
        <v>0</v>
      </c>
      <c r="P88" s="32">
        <v>18000</v>
      </c>
      <c r="Q88" s="29" t="s">
        <v>839</v>
      </c>
      <c r="R88" s="29" t="s">
        <v>840</v>
      </c>
      <c r="S88" s="29" t="s">
        <v>15</v>
      </c>
      <c r="T88" s="29" t="s">
        <v>807</v>
      </c>
      <c r="U88" s="29" t="s">
        <v>15</v>
      </c>
      <c r="V88" s="29" t="s">
        <v>841</v>
      </c>
      <c r="W88" s="29" t="s">
        <v>841</v>
      </c>
    </row>
    <row r="89" spans="1:23" ht="10.5" customHeight="1" x14ac:dyDescent="0.25">
      <c r="A89" s="28">
        <v>46025</v>
      </c>
      <c r="B89" s="29" t="str">
        <f t="shared" si="2"/>
        <v>03/01/2026NL300090</v>
      </c>
      <c r="C89" s="30" t="s">
        <v>852</v>
      </c>
      <c r="D89" s="30" t="s">
        <v>835</v>
      </c>
      <c r="E89" s="29" t="s">
        <v>836</v>
      </c>
      <c r="F89" s="29" t="s">
        <v>837</v>
      </c>
      <c r="G89" s="29" t="s">
        <v>853</v>
      </c>
      <c r="H89" s="29" t="s">
        <v>604</v>
      </c>
      <c r="I89" s="29" t="s">
        <v>40</v>
      </c>
      <c r="J89" s="29" t="s">
        <v>237</v>
      </c>
      <c r="K89" s="31">
        <v>2</v>
      </c>
      <c r="L89" s="32">
        <v>145000</v>
      </c>
      <c r="M89" s="32">
        <v>0</v>
      </c>
      <c r="N89" s="33">
        <f t="shared" si="3"/>
        <v>290000</v>
      </c>
      <c r="O89" s="33">
        <v>0</v>
      </c>
      <c r="P89" s="32">
        <v>145000</v>
      </c>
      <c r="Q89" s="29" t="s">
        <v>839</v>
      </c>
      <c r="R89" s="29" t="s">
        <v>840</v>
      </c>
      <c r="S89" s="29" t="s">
        <v>15</v>
      </c>
      <c r="T89" s="29" t="s">
        <v>807</v>
      </c>
      <c r="U89" s="29" t="s">
        <v>15</v>
      </c>
      <c r="V89" s="29" t="s">
        <v>841</v>
      </c>
      <c r="W89" s="29" t="s">
        <v>841</v>
      </c>
    </row>
    <row r="90" spans="1:23" ht="10.5" customHeight="1" x14ac:dyDescent="0.25">
      <c r="A90" s="28">
        <v>46025</v>
      </c>
      <c r="B90" s="29" t="str">
        <f t="shared" si="2"/>
        <v>03/01/2026NL300038</v>
      </c>
      <c r="C90" s="30" t="s">
        <v>852</v>
      </c>
      <c r="D90" s="30" t="s">
        <v>835</v>
      </c>
      <c r="E90" s="29" t="s">
        <v>836</v>
      </c>
      <c r="F90" s="29" t="s">
        <v>837</v>
      </c>
      <c r="G90" s="29" t="s">
        <v>853</v>
      </c>
      <c r="H90" s="29" t="s">
        <v>408</v>
      </c>
      <c r="I90" s="29" t="s">
        <v>20</v>
      </c>
      <c r="J90" s="29" t="s">
        <v>237</v>
      </c>
      <c r="K90" s="31">
        <v>2</v>
      </c>
      <c r="L90" s="32">
        <v>32000</v>
      </c>
      <c r="M90" s="32">
        <v>0</v>
      </c>
      <c r="N90" s="33">
        <f t="shared" si="3"/>
        <v>64000</v>
      </c>
      <c r="O90" s="33">
        <v>0</v>
      </c>
      <c r="P90" s="32">
        <v>32000</v>
      </c>
      <c r="Q90" s="29" t="s">
        <v>839</v>
      </c>
      <c r="R90" s="29" t="s">
        <v>840</v>
      </c>
      <c r="S90" s="29" t="s">
        <v>15</v>
      </c>
      <c r="T90" s="29" t="s">
        <v>807</v>
      </c>
      <c r="U90" s="29" t="s">
        <v>15</v>
      </c>
      <c r="V90" s="29" t="s">
        <v>841</v>
      </c>
      <c r="W90" s="29" t="s">
        <v>841</v>
      </c>
    </row>
    <row r="91" spans="1:23" ht="10.5" customHeight="1" x14ac:dyDescent="0.25">
      <c r="A91" s="28">
        <v>46025</v>
      </c>
      <c r="B91" s="29" t="str">
        <f t="shared" si="2"/>
        <v>03/01/2026NL300059</v>
      </c>
      <c r="C91" s="30" t="s">
        <v>852</v>
      </c>
      <c r="D91" s="30" t="s">
        <v>835</v>
      </c>
      <c r="E91" s="29" t="s">
        <v>836</v>
      </c>
      <c r="F91" s="29" t="s">
        <v>837</v>
      </c>
      <c r="G91" s="29" t="s">
        <v>853</v>
      </c>
      <c r="H91" s="29" t="s">
        <v>484</v>
      </c>
      <c r="I91" s="29" t="s">
        <v>24</v>
      </c>
      <c r="J91" s="29" t="s">
        <v>237</v>
      </c>
      <c r="K91" s="31">
        <v>2</v>
      </c>
      <c r="L91" s="32">
        <v>13000</v>
      </c>
      <c r="M91" s="32">
        <v>0</v>
      </c>
      <c r="N91" s="33">
        <f t="shared" si="3"/>
        <v>26000</v>
      </c>
      <c r="O91" s="33">
        <v>0</v>
      </c>
      <c r="P91" s="32">
        <v>13000</v>
      </c>
      <c r="Q91" s="29" t="s">
        <v>839</v>
      </c>
      <c r="R91" s="29" t="s">
        <v>840</v>
      </c>
      <c r="S91" s="29" t="s">
        <v>15</v>
      </c>
      <c r="T91" s="29" t="s">
        <v>807</v>
      </c>
      <c r="U91" s="29" t="s">
        <v>15</v>
      </c>
      <c r="V91" s="29" t="s">
        <v>841</v>
      </c>
      <c r="W91" s="29" t="s">
        <v>841</v>
      </c>
    </row>
    <row r="92" spans="1:23" ht="10.5" customHeight="1" x14ac:dyDescent="0.25">
      <c r="A92" s="28">
        <v>46025</v>
      </c>
      <c r="B92" s="29" t="str">
        <f t="shared" si="2"/>
        <v>03/01/2026NL300107</v>
      </c>
      <c r="C92" s="30" t="s">
        <v>852</v>
      </c>
      <c r="D92" s="30" t="s">
        <v>835</v>
      </c>
      <c r="E92" s="29" t="s">
        <v>836</v>
      </c>
      <c r="F92" s="29" t="s">
        <v>837</v>
      </c>
      <c r="G92" s="29" t="s">
        <v>853</v>
      </c>
      <c r="H92" s="29" t="s">
        <v>638</v>
      </c>
      <c r="I92" s="29" t="s">
        <v>842</v>
      </c>
      <c r="J92" s="29" t="s">
        <v>420</v>
      </c>
      <c r="K92" s="31">
        <v>15</v>
      </c>
      <c r="L92" s="32">
        <v>8500</v>
      </c>
      <c r="M92" s="32">
        <v>0</v>
      </c>
      <c r="N92" s="33">
        <f t="shared" si="3"/>
        <v>127500</v>
      </c>
      <c r="O92" s="33">
        <v>0</v>
      </c>
      <c r="P92" s="32">
        <v>8500</v>
      </c>
      <c r="Q92" s="29" t="s">
        <v>839</v>
      </c>
      <c r="R92" s="29" t="s">
        <v>840</v>
      </c>
      <c r="S92" s="29" t="s">
        <v>15</v>
      </c>
      <c r="T92" s="29" t="s">
        <v>807</v>
      </c>
      <c r="U92" s="29" t="s">
        <v>15</v>
      </c>
      <c r="V92" s="29" t="s">
        <v>841</v>
      </c>
      <c r="W92" s="29" t="s">
        <v>841</v>
      </c>
    </row>
    <row r="93" spans="1:23" ht="10.5" customHeight="1" x14ac:dyDescent="0.25">
      <c r="A93" s="28">
        <v>46025</v>
      </c>
      <c r="B93" s="29" t="str">
        <f t="shared" si="2"/>
        <v>03/01/2026NL300008</v>
      </c>
      <c r="C93" s="30" t="s">
        <v>852</v>
      </c>
      <c r="D93" s="30" t="s">
        <v>835</v>
      </c>
      <c r="E93" s="29" t="s">
        <v>836</v>
      </c>
      <c r="F93" s="29" t="s">
        <v>837</v>
      </c>
      <c r="G93" s="29" t="s">
        <v>853</v>
      </c>
      <c r="H93" s="29" t="s">
        <v>255</v>
      </c>
      <c r="I93" s="29" t="s">
        <v>256</v>
      </c>
      <c r="J93" s="29" t="s">
        <v>237</v>
      </c>
      <c r="K93" s="31">
        <v>2.2999999999999998</v>
      </c>
      <c r="L93" s="32">
        <v>40000</v>
      </c>
      <c r="M93" s="32">
        <v>0</v>
      </c>
      <c r="N93" s="33">
        <f t="shared" si="3"/>
        <v>92000</v>
      </c>
      <c r="O93" s="33">
        <v>0</v>
      </c>
      <c r="P93" s="32">
        <v>40000</v>
      </c>
      <c r="Q93" s="29" t="s">
        <v>839</v>
      </c>
      <c r="R93" s="29" t="s">
        <v>840</v>
      </c>
      <c r="S93" s="29" t="s">
        <v>15</v>
      </c>
      <c r="T93" s="29" t="s">
        <v>807</v>
      </c>
      <c r="U93" s="29" t="s">
        <v>15</v>
      </c>
      <c r="V93" s="29" t="s">
        <v>841</v>
      </c>
      <c r="W93" s="29" t="s">
        <v>841</v>
      </c>
    </row>
    <row r="94" spans="1:23" ht="10.5" customHeight="1" x14ac:dyDescent="0.25">
      <c r="A94" s="28">
        <v>46025</v>
      </c>
      <c r="B94" s="29" t="str">
        <f t="shared" si="2"/>
        <v>03/01/2026NL300119</v>
      </c>
      <c r="C94" s="30" t="s">
        <v>852</v>
      </c>
      <c r="D94" s="30" t="s">
        <v>835</v>
      </c>
      <c r="E94" s="29" t="s">
        <v>836</v>
      </c>
      <c r="F94" s="29" t="s">
        <v>837</v>
      </c>
      <c r="G94" s="29" t="s">
        <v>853</v>
      </c>
      <c r="H94" s="29" t="s">
        <v>672</v>
      </c>
      <c r="I94" s="29" t="s">
        <v>673</v>
      </c>
      <c r="J94" s="29" t="s">
        <v>237</v>
      </c>
      <c r="K94" s="31">
        <v>0</v>
      </c>
      <c r="L94" s="32">
        <v>21000</v>
      </c>
      <c r="M94" s="32">
        <v>0</v>
      </c>
      <c r="N94" s="33">
        <f t="shared" si="3"/>
        <v>0</v>
      </c>
      <c r="O94" s="33">
        <v>0</v>
      </c>
      <c r="P94" s="32">
        <v>21000</v>
      </c>
      <c r="Q94" s="29" t="s">
        <v>839</v>
      </c>
      <c r="R94" s="29" t="s">
        <v>840</v>
      </c>
      <c r="S94" s="29" t="s">
        <v>15</v>
      </c>
      <c r="T94" s="29" t="s">
        <v>807</v>
      </c>
      <c r="U94" s="29" t="s">
        <v>15</v>
      </c>
      <c r="V94" s="29" t="s">
        <v>841</v>
      </c>
      <c r="W94" s="29" t="s">
        <v>841</v>
      </c>
    </row>
    <row r="95" spans="1:23" ht="10.5" customHeight="1" x14ac:dyDescent="0.25">
      <c r="A95" s="28">
        <v>46025</v>
      </c>
      <c r="B95" s="29" t="str">
        <f t="shared" si="2"/>
        <v>03/01/2026NL300029</v>
      </c>
      <c r="C95" s="30" t="s">
        <v>852</v>
      </c>
      <c r="D95" s="30" t="s">
        <v>835</v>
      </c>
      <c r="E95" s="29" t="s">
        <v>836</v>
      </c>
      <c r="F95" s="29" t="s">
        <v>837</v>
      </c>
      <c r="G95" s="29" t="s">
        <v>853</v>
      </c>
      <c r="H95" s="29" t="s">
        <v>361</v>
      </c>
      <c r="I95" s="29" t="s">
        <v>362</v>
      </c>
      <c r="J95" s="29" t="s">
        <v>237</v>
      </c>
      <c r="K95" s="31">
        <v>2</v>
      </c>
      <c r="L95" s="32">
        <v>22000</v>
      </c>
      <c r="M95" s="32">
        <v>0</v>
      </c>
      <c r="N95" s="33">
        <f t="shared" si="3"/>
        <v>44000</v>
      </c>
      <c r="O95" s="33">
        <v>0</v>
      </c>
      <c r="P95" s="32">
        <v>22000</v>
      </c>
      <c r="Q95" s="29" t="s">
        <v>839</v>
      </c>
      <c r="R95" s="29" t="s">
        <v>840</v>
      </c>
      <c r="S95" s="29" t="s">
        <v>15</v>
      </c>
      <c r="T95" s="29" t="s">
        <v>807</v>
      </c>
      <c r="U95" s="29" t="s">
        <v>15</v>
      </c>
      <c r="V95" s="29" t="s">
        <v>841</v>
      </c>
      <c r="W95" s="29" t="s">
        <v>841</v>
      </c>
    </row>
    <row r="96" spans="1:23" ht="10.5" customHeight="1" x14ac:dyDescent="0.25">
      <c r="A96" s="28">
        <v>46025</v>
      </c>
      <c r="B96" s="29" t="str">
        <f t="shared" si="2"/>
        <v>03/01/2026NL300080</v>
      </c>
      <c r="C96" s="30" t="s">
        <v>852</v>
      </c>
      <c r="D96" s="30" t="s">
        <v>835</v>
      </c>
      <c r="E96" s="29" t="s">
        <v>836</v>
      </c>
      <c r="F96" s="29" t="s">
        <v>837</v>
      </c>
      <c r="G96" s="29" t="s">
        <v>853</v>
      </c>
      <c r="H96" s="29" t="s">
        <v>553</v>
      </c>
      <c r="I96" s="29" t="s">
        <v>554</v>
      </c>
      <c r="J96" s="29" t="s">
        <v>237</v>
      </c>
      <c r="K96" s="31">
        <v>1</v>
      </c>
      <c r="L96" s="32">
        <v>95000</v>
      </c>
      <c r="M96" s="32">
        <v>0</v>
      </c>
      <c r="N96" s="33">
        <f t="shared" si="3"/>
        <v>95000</v>
      </c>
      <c r="O96" s="33">
        <v>0</v>
      </c>
      <c r="P96" s="32">
        <v>95000</v>
      </c>
      <c r="Q96" s="29" t="s">
        <v>839</v>
      </c>
      <c r="R96" s="29" t="s">
        <v>840</v>
      </c>
      <c r="S96" s="29" t="s">
        <v>15</v>
      </c>
      <c r="T96" s="29" t="s">
        <v>807</v>
      </c>
      <c r="U96" s="29" t="s">
        <v>15</v>
      </c>
      <c r="V96" s="29" t="s">
        <v>841</v>
      </c>
      <c r="W96" s="29" t="s">
        <v>841</v>
      </c>
    </row>
    <row r="97" spans="1:23" ht="10.5" customHeight="1" x14ac:dyDescent="0.25">
      <c r="A97" s="28">
        <v>46025</v>
      </c>
      <c r="B97" s="29" t="str">
        <f t="shared" si="2"/>
        <v>03/01/2026NL300145</v>
      </c>
      <c r="C97" s="30" t="s">
        <v>852</v>
      </c>
      <c r="D97" s="30" t="s">
        <v>835</v>
      </c>
      <c r="E97" s="29" t="s">
        <v>836</v>
      </c>
      <c r="F97" s="29" t="s">
        <v>837</v>
      </c>
      <c r="G97" s="29" t="s">
        <v>853</v>
      </c>
      <c r="H97" s="29" t="s">
        <v>790</v>
      </c>
      <c r="I97" s="29" t="s">
        <v>791</v>
      </c>
      <c r="J97" s="29" t="s">
        <v>237</v>
      </c>
      <c r="K97" s="31">
        <v>6</v>
      </c>
      <c r="L97" s="32">
        <v>38000</v>
      </c>
      <c r="M97" s="32">
        <v>0</v>
      </c>
      <c r="N97" s="33">
        <f t="shared" si="3"/>
        <v>228000</v>
      </c>
      <c r="O97" s="33">
        <v>0</v>
      </c>
      <c r="P97" s="32">
        <v>38000</v>
      </c>
      <c r="Q97" s="29" t="s">
        <v>839</v>
      </c>
      <c r="R97" s="29" t="s">
        <v>840</v>
      </c>
      <c r="S97" s="29" t="s">
        <v>15</v>
      </c>
      <c r="T97" s="29" t="s">
        <v>807</v>
      </c>
      <c r="U97" s="29" t="s">
        <v>15</v>
      </c>
      <c r="V97" s="29" t="s">
        <v>841</v>
      </c>
      <c r="W97" s="29" t="s">
        <v>841</v>
      </c>
    </row>
    <row r="98" spans="1:23" ht="10.5" customHeight="1" x14ac:dyDescent="0.25">
      <c r="A98" s="28">
        <v>46025</v>
      </c>
      <c r="B98" s="29" t="str">
        <f t="shared" si="2"/>
        <v>03/01/2026NL300033</v>
      </c>
      <c r="C98" s="30" t="s">
        <v>852</v>
      </c>
      <c r="D98" s="30" t="s">
        <v>835</v>
      </c>
      <c r="E98" s="29" t="s">
        <v>836</v>
      </c>
      <c r="F98" s="29" t="s">
        <v>837</v>
      </c>
      <c r="G98" s="29" t="s">
        <v>853</v>
      </c>
      <c r="H98" s="29" t="s">
        <v>374</v>
      </c>
      <c r="I98" s="29" t="s">
        <v>843</v>
      </c>
      <c r="J98" s="29" t="s">
        <v>237</v>
      </c>
      <c r="K98" s="31">
        <v>1.9</v>
      </c>
      <c r="L98" s="32">
        <v>13000</v>
      </c>
      <c r="M98" s="32">
        <v>0</v>
      </c>
      <c r="N98" s="33">
        <f t="shared" si="3"/>
        <v>24700</v>
      </c>
      <c r="O98" s="33">
        <v>0</v>
      </c>
      <c r="P98" s="32">
        <v>13000</v>
      </c>
      <c r="Q98" s="29" t="s">
        <v>839</v>
      </c>
      <c r="R98" s="29" t="s">
        <v>840</v>
      </c>
      <c r="S98" s="29" t="s">
        <v>15</v>
      </c>
      <c r="T98" s="29" t="s">
        <v>807</v>
      </c>
      <c r="U98" s="29" t="s">
        <v>15</v>
      </c>
      <c r="V98" s="29" t="s">
        <v>841</v>
      </c>
      <c r="W98" s="29" t="s">
        <v>841</v>
      </c>
    </row>
    <row r="99" spans="1:23" ht="10.5" customHeight="1" x14ac:dyDescent="0.25">
      <c r="A99" s="28">
        <v>46025</v>
      </c>
      <c r="B99" s="29" t="str">
        <f t="shared" si="2"/>
        <v>03/01/2026NL300048</v>
      </c>
      <c r="C99" s="30" t="s">
        <v>852</v>
      </c>
      <c r="D99" s="30" t="s">
        <v>835</v>
      </c>
      <c r="E99" s="29" t="s">
        <v>836</v>
      </c>
      <c r="F99" s="29" t="s">
        <v>837</v>
      </c>
      <c r="G99" s="29" t="s">
        <v>853</v>
      </c>
      <c r="H99" s="29" t="s">
        <v>460</v>
      </c>
      <c r="I99" s="29" t="s">
        <v>461</v>
      </c>
      <c r="J99" s="29" t="s">
        <v>237</v>
      </c>
      <c r="K99" s="31">
        <v>3</v>
      </c>
      <c r="L99" s="32">
        <v>18000</v>
      </c>
      <c r="M99" s="32">
        <v>0</v>
      </c>
      <c r="N99" s="33">
        <f t="shared" si="3"/>
        <v>54000</v>
      </c>
      <c r="O99" s="33">
        <v>0</v>
      </c>
      <c r="P99" s="32">
        <v>18000</v>
      </c>
      <c r="Q99" s="29" t="s">
        <v>839</v>
      </c>
      <c r="R99" s="29" t="s">
        <v>840</v>
      </c>
      <c r="S99" s="29" t="s">
        <v>15</v>
      </c>
      <c r="T99" s="29" t="s">
        <v>807</v>
      </c>
      <c r="U99" s="29" t="s">
        <v>15</v>
      </c>
      <c r="V99" s="29" t="s">
        <v>841</v>
      </c>
      <c r="W99" s="29" t="s">
        <v>841</v>
      </c>
    </row>
    <row r="100" spans="1:23" ht="10.5" customHeight="1" x14ac:dyDescent="0.25">
      <c r="A100" s="28">
        <v>46025</v>
      </c>
      <c r="B100" s="29" t="str">
        <f t="shared" si="2"/>
        <v>03/01/2026NL300116</v>
      </c>
      <c r="C100" s="30" t="s">
        <v>854</v>
      </c>
      <c r="D100" s="30" t="s">
        <v>835</v>
      </c>
      <c r="E100" s="29" t="s">
        <v>836</v>
      </c>
      <c r="F100" s="29" t="s">
        <v>837</v>
      </c>
      <c r="G100" s="29" t="s">
        <v>853</v>
      </c>
      <c r="H100" s="29" t="s">
        <v>664</v>
      </c>
      <c r="I100" s="29" t="s">
        <v>855</v>
      </c>
      <c r="J100" s="29" t="s">
        <v>237</v>
      </c>
      <c r="K100" s="31">
        <v>0.1</v>
      </c>
      <c r="L100" s="32">
        <v>148000</v>
      </c>
      <c r="M100" s="32">
        <v>0</v>
      </c>
      <c r="N100" s="33">
        <f t="shared" si="3"/>
        <v>14800</v>
      </c>
      <c r="O100" s="33">
        <v>0</v>
      </c>
      <c r="P100" s="32">
        <v>148000</v>
      </c>
      <c r="Q100" s="29" t="s">
        <v>839</v>
      </c>
      <c r="R100" s="29" t="s">
        <v>840</v>
      </c>
      <c r="S100" s="29" t="s">
        <v>15</v>
      </c>
      <c r="T100" s="29" t="s">
        <v>807</v>
      </c>
      <c r="U100" s="29" t="s">
        <v>15</v>
      </c>
      <c r="V100" s="29" t="s">
        <v>841</v>
      </c>
      <c r="W100" s="29" t="s">
        <v>841</v>
      </c>
    </row>
    <row r="101" spans="1:23" ht="10.5" customHeight="1" x14ac:dyDescent="0.25">
      <c r="A101" s="28">
        <v>46025</v>
      </c>
      <c r="B101" s="29" t="str">
        <f t="shared" si="2"/>
        <v>03/01/2026NL300232</v>
      </c>
      <c r="C101" s="30" t="s">
        <v>854</v>
      </c>
      <c r="D101" s="30" t="s">
        <v>835</v>
      </c>
      <c r="E101" s="29" t="s">
        <v>836</v>
      </c>
      <c r="F101" s="29" t="s">
        <v>837</v>
      </c>
      <c r="G101" s="29" t="s">
        <v>853</v>
      </c>
      <c r="H101" s="29" t="s">
        <v>846</v>
      </c>
      <c r="I101" s="29" t="s">
        <v>847</v>
      </c>
      <c r="J101" s="29" t="s">
        <v>237</v>
      </c>
      <c r="K101" s="31">
        <v>1.2</v>
      </c>
      <c r="L101" s="32">
        <v>68000</v>
      </c>
      <c r="M101" s="32">
        <v>0</v>
      </c>
      <c r="N101" s="33">
        <f t="shared" si="3"/>
        <v>81600</v>
      </c>
      <c r="O101" s="33">
        <v>0</v>
      </c>
      <c r="P101" s="32">
        <v>75000</v>
      </c>
      <c r="Q101" s="29" t="s">
        <v>839</v>
      </c>
      <c r="R101" s="29" t="s">
        <v>840</v>
      </c>
      <c r="S101" s="29" t="s">
        <v>15</v>
      </c>
      <c r="T101" s="29" t="s">
        <v>807</v>
      </c>
      <c r="U101" s="29" t="s">
        <v>15</v>
      </c>
      <c r="V101" s="29" t="s">
        <v>841</v>
      </c>
      <c r="W101" s="29" t="s">
        <v>841</v>
      </c>
    </row>
    <row r="102" spans="1:23" ht="10.5" customHeight="1" x14ac:dyDescent="0.25">
      <c r="A102" s="28">
        <v>46025</v>
      </c>
      <c r="B102" s="29" t="str">
        <f t="shared" si="2"/>
        <v>03/01/2026NL300147</v>
      </c>
      <c r="C102" s="30" t="s">
        <v>854</v>
      </c>
      <c r="D102" s="30" t="s">
        <v>835</v>
      </c>
      <c r="E102" s="29" t="s">
        <v>836</v>
      </c>
      <c r="F102" s="29" t="s">
        <v>837</v>
      </c>
      <c r="G102" s="29" t="s">
        <v>853</v>
      </c>
      <c r="H102" s="29" t="s">
        <v>795</v>
      </c>
      <c r="I102" s="29" t="s">
        <v>796</v>
      </c>
      <c r="J102" s="29" t="s">
        <v>237</v>
      </c>
      <c r="K102" s="31">
        <v>1</v>
      </c>
      <c r="L102" s="32">
        <v>62000</v>
      </c>
      <c r="M102" s="32">
        <v>0</v>
      </c>
      <c r="N102" s="33">
        <f t="shared" si="3"/>
        <v>62000</v>
      </c>
      <c r="O102" s="33">
        <v>0</v>
      </c>
      <c r="P102" s="32">
        <v>62000</v>
      </c>
      <c r="Q102" s="29" t="s">
        <v>839</v>
      </c>
      <c r="R102" s="29" t="s">
        <v>840</v>
      </c>
      <c r="S102" s="29" t="s">
        <v>15</v>
      </c>
      <c r="T102" s="29" t="s">
        <v>807</v>
      </c>
      <c r="U102" s="29" t="s">
        <v>15</v>
      </c>
      <c r="V102" s="29" t="s">
        <v>841</v>
      </c>
      <c r="W102" s="29" t="s">
        <v>841</v>
      </c>
    </row>
    <row r="103" spans="1:23" ht="10.5" customHeight="1" x14ac:dyDescent="0.25">
      <c r="A103" s="28">
        <v>46026</v>
      </c>
      <c r="B103" s="29" t="str">
        <f t="shared" si="2"/>
        <v>04/01/2026NL600004</v>
      </c>
      <c r="C103" s="30" t="s">
        <v>856</v>
      </c>
      <c r="D103" s="30" t="s">
        <v>835</v>
      </c>
      <c r="E103" s="29" t="s">
        <v>836</v>
      </c>
      <c r="F103" s="29" t="s">
        <v>837</v>
      </c>
      <c r="G103" s="29" t="s">
        <v>857</v>
      </c>
      <c r="H103" s="29" t="s">
        <v>462</v>
      </c>
      <c r="I103" s="29" t="s">
        <v>52</v>
      </c>
      <c r="J103" s="29" t="s">
        <v>237</v>
      </c>
      <c r="K103" s="31">
        <v>24.5</v>
      </c>
      <c r="L103" s="32">
        <v>18000</v>
      </c>
      <c r="M103" s="32">
        <v>0</v>
      </c>
      <c r="N103" s="33">
        <f t="shared" si="3"/>
        <v>441000</v>
      </c>
      <c r="O103" s="33">
        <v>0</v>
      </c>
      <c r="P103" s="32">
        <v>18000</v>
      </c>
      <c r="Q103" s="29" t="s">
        <v>839</v>
      </c>
      <c r="R103" s="29" t="s">
        <v>840</v>
      </c>
      <c r="S103" s="29" t="s">
        <v>15</v>
      </c>
      <c r="T103" s="29" t="s">
        <v>807</v>
      </c>
      <c r="U103" s="29" t="s">
        <v>15</v>
      </c>
      <c r="V103" s="29" t="s">
        <v>841</v>
      </c>
      <c r="W103" s="29" t="s">
        <v>841</v>
      </c>
    </row>
    <row r="104" spans="1:23" ht="10.5" customHeight="1" x14ac:dyDescent="0.25">
      <c r="A104" s="28">
        <v>46026</v>
      </c>
      <c r="B104" s="29" t="str">
        <f t="shared" si="2"/>
        <v>04/01/2026NL300070</v>
      </c>
      <c r="C104" s="30" t="s">
        <v>856</v>
      </c>
      <c r="D104" s="30" t="s">
        <v>835</v>
      </c>
      <c r="E104" s="29" t="s">
        <v>836</v>
      </c>
      <c r="F104" s="29" t="s">
        <v>837</v>
      </c>
      <c r="G104" s="29" t="s">
        <v>857</v>
      </c>
      <c r="H104" s="29" t="s">
        <v>507</v>
      </c>
      <c r="I104" s="29" t="s">
        <v>508</v>
      </c>
      <c r="J104" s="29" t="s">
        <v>237</v>
      </c>
      <c r="K104" s="31">
        <v>1.6</v>
      </c>
      <c r="L104" s="32">
        <v>23000</v>
      </c>
      <c r="M104" s="32">
        <v>0</v>
      </c>
      <c r="N104" s="33">
        <f t="shared" si="3"/>
        <v>36800</v>
      </c>
      <c r="O104" s="33">
        <v>0</v>
      </c>
      <c r="P104" s="32">
        <v>23000</v>
      </c>
      <c r="Q104" s="29" t="s">
        <v>839</v>
      </c>
      <c r="R104" s="29" t="s">
        <v>840</v>
      </c>
      <c r="S104" s="29" t="s">
        <v>15</v>
      </c>
      <c r="T104" s="29" t="s">
        <v>807</v>
      </c>
      <c r="U104" s="29" t="s">
        <v>15</v>
      </c>
      <c r="V104" s="29" t="s">
        <v>841</v>
      </c>
      <c r="W104" s="29" t="s">
        <v>841</v>
      </c>
    </row>
    <row r="105" spans="1:23" ht="10.5" customHeight="1" x14ac:dyDescent="0.25">
      <c r="A105" s="28">
        <v>46026</v>
      </c>
      <c r="B105" s="29" t="str">
        <f t="shared" si="2"/>
        <v>04/01/2026NL300058</v>
      </c>
      <c r="C105" s="30" t="s">
        <v>856</v>
      </c>
      <c r="D105" s="30" t="s">
        <v>835</v>
      </c>
      <c r="E105" s="29" t="s">
        <v>836</v>
      </c>
      <c r="F105" s="29" t="s">
        <v>837</v>
      </c>
      <c r="G105" s="29" t="s">
        <v>857</v>
      </c>
      <c r="H105" s="29" t="s">
        <v>481</v>
      </c>
      <c r="I105" s="29" t="s">
        <v>22</v>
      </c>
      <c r="J105" s="29" t="s">
        <v>237</v>
      </c>
      <c r="K105" s="31">
        <v>0.2</v>
      </c>
      <c r="L105" s="32">
        <v>55000</v>
      </c>
      <c r="M105" s="32">
        <v>0</v>
      </c>
      <c r="N105" s="33">
        <f t="shared" si="3"/>
        <v>11000</v>
      </c>
      <c r="O105" s="33">
        <v>0</v>
      </c>
      <c r="P105" s="32">
        <v>55000</v>
      </c>
      <c r="Q105" s="29" t="s">
        <v>839</v>
      </c>
      <c r="R105" s="29" t="s">
        <v>840</v>
      </c>
      <c r="S105" s="29" t="s">
        <v>15</v>
      </c>
      <c r="T105" s="29" t="s">
        <v>807</v>
      </c>
      <c r="U105" s="29" t="s">
        <v>15</v>
      </c>
      <c r="V105" s="29" t="s">
        <v>841</v>
      </c>
      <c r="W105" s="29" t="s">
        <v>841</v>
      </c>
    </row>
    <row r="106" spans="1:23" ht="10.5" customHeight="1" x14ac:dyDescent="0.25">
      <c r="A106" s="28">
        <v>46026</v>
      </c>
      <c r="B106" s="29" t="str">
        <f t="shared" si="2"/>
        <v>04/01/2026NL300050</v>
      </c>
      <c r="C106" s="30" t="s">
        <v>856</v>
      </c>
      <c r="D106" s="30" t="s">
        <v>835</v>
      </c>
      <c r="E106" s="29" t="s">
        <v>836</v>
      </c>
      <c r="F106" s="29" t="s">
        <v>837</v>
      </c>
      <c r="G106" s="29" t="s">
        <v>857</v>
      </c>
      <c r="H106" s="29" t="s">
        <v>804</v>
      </c>
      <c r="I106" s="29" t="s">
        <v>805</v>
      </c>
      <c r="J106" s="29" t="s">
        <v>237</v>
      </c>
      <c r="K106" s="31">
        <v>0.3</v>
      </c>
      <c r="L106" s="32">
        <v>9000</v>
      </c>
      <c r="M106" s="32">
        <v>0</v>
      </c>
      <c r="N106" s="33">
        <f t="shared" si="3"/>
        <v>2700</v>
      </c>
      <c r="O106" s="33">
        <v>0</v>
      </c>
      <c r="P106" s="32">
        <v>9000</v>
      </c>
      <c r="Q106" s="29" t="s">
        <v>839</v>
      </c>
      <c r="R106" s="29" t="s">
        <v>840</v>
      </c>
      <c r="S106" s="29" t="s">
        <v>15</v>
      </c>
      <c r="T106" s="29" t="s">
        <v>807</v>
      </c>
      <c r="U106" s="29" t="s">
        <v>15</v>
      </c>
      <c r="V106" s="29" t="s">
        <v>841</v>
      </c>
      <c r="W106" s="29" t="s">
        <v>841</v>
      </c>
    </row>
    <row r="107" spans="1:23" ht="10.5" customHeight="1" x14ac:dyDescent="0.25">
      <c r="A107" s="28">
        <v>46026</v>
      </c>
      <c r="B107" s="29" t="str">
        <f t="shared" si="2"/>
        <v>04/01/2026NL300061</v>
      </c>
      <c r="C107" s="30" t="s">
        <v>856</v>
      </c>
      <c r="D107" s="30" t="s">
        <v>835</v>
      </c>
      <c r="E107" s="29" t="s">
        <v>836</v>
      </c>
      <c r="F107" s="29" t="s">
        <v>837</v>
      </c>
      <c r="G107" s="29" t="s">
        <v>857</v>
      </c>
      <c r="H107" s="29" t="s">
        <v>482</v>
      </c>
      <c r="I107" s="29" t="s">
        <v>844</v>
      </c>
      <c r="J107" s="29" t="s">
        <v>237</v>
      </c>
      <c r="K107" s="31">
        <v>0.5</v>
      </c>
      <c r="L107" s="32">
        <v>38000</v>
      </c>
      <c r="M107" s="32">
        <v>0</v>
      </c>
      <c r="N107" s="33">
        <f t="shared" si="3"/>
        <v>19000</v>
      </c>
      <c r="O107" s="33">
        <v>0</v>
      </c>
      <c r="P107" s="32">
        <v>38000</v>
      </c>
      <c r="Q107" s="29" t="s">
        <v>839</v>
      </c>
      <c r="R107" s="29" t="s">
        <v>840</v>
      </c>
      <c r="S107" s="29" t="s">
        <v>15</v>
      </c>
      <c r="T107" s="29" t="s">
        <v>807</v>
      </c>
      <c r="U107" s="29" t="s">
        <v>15</v>
      </c>
      <c r="V107" s="29" t="s">
        <v>841</v>
      </c>
      <c r="W107" s="29" t="s">
        <v>841</v>
      </c>
    </row>
    <row r="108" spans="1:23" ht="10.5" customHeight="1" x14ac:dyDescent="0.25">
      <c r="A108" s="28">
        <v>46026</v>
      </c>
      <c r="B108" s="29" t="str">
        <f t="shared" si="2"/>
        <v>04/01/2026NL300027</v>
      </c>
      <c r="C108" s="30" t="s">
        <v>856</v>
      </c>
      <c r="D108" s="30" t="s">
        <v>835</v>
      </c>
      <c r="E108" s="29" t="s">
        <v>836</v>
      </c>
      <c r="F108" s="29" t="s">
        <v>837</v>
      </c>
      <c r="G108" s="29" t="s">
        <v>857</v>
      </c>
      <c r="H108" s="29" t="s">
        <v>314</v>
      </c>
      <c r="I108" s="29" t="s">
        <v>126</v>
      </c>
      <c r="J108" s="29" t="s">
        <v>237</v>
      </c>
      <c r="K108" s="31">
        <v>2.0499999999999998</v>
      </c>
      <c r="L108" s="32">
        <v>18000</v>
      </c>
      <c r="M108" s="32">
        <v>0</v>
      </c>
      <c r="N108" s="33">
        <f t="shared" si="3"/>
        <v>36900</v>
      </c>
      <c r="O108" s="33">
        <v>0</v>
      </c>
      <c r="P108" s="32">
        <v>18000</v>
      </c>
      <c r="Q108" s="29" t="s">
        <v>839</v>
      </c>
      <c r="R108" s="29" t="s">
        <v>840</v>
      </c>
      <c r="S108" s="29" t="s">
        <v>15</v>
      </c>
      <c r="T108" s="29" t="s">
        <v>807</v>
      </c>
      <c r="U108" s="29" t="s">
        <v>15</v>
      </c>
      <c r="V108" s="29" t="s">
        <v>841</v>
      </c>
      <c r="W108" s="29" t="s">
        <v>841</v>
      </c>
    </row>
    <row r="109" spans="1:23" ht="10.5" customHeight="1" x14ac:dyDescent="0.25">
      <c r="A109" s="28">
        <v>46026</v>
      </c>
      <c r="B109" s="29" t="str">
        <f t="shared" si="2"/>
        <v>04/01/2026NL300107</v>
      </c>
      <c r="C109" s="30" t="s">
        <v>856</v>
      </c>
      <c r="D109" s="30" t="s">
        <v>835</v>
      </c>
      <c r="E109" s="29" t="s">
        <v>836</v>
      </c>
      <c r="F109" s="29" t="s">
        <v>837</v>
      </c>
      <c r="G109" s="29" t="s">
        <v>857</v>
      </c>
      <c r="H109" s="29" t="s">
        <v>638</v>
      </c>
      <c r="I109" s="29" t="s">
        <v>842</v>
      </c>
      <c r="J109" s="29" t="s">
        <v>420</v>
      </c>
      <c r="K109" s="31">
        <v>5</v>
      </c>
      <c r="L109" s="32">
        <v>8500</v>
      </c>
      <c r="M109" s="32">
        <v>0</v>
      </c>
      <c r="N109" s="33">
        <f t="shared" si="3"/>
        <v>42500</v>
      </c>
      <c r="O109" s="33">
        <v>0</v>
      </c>
      <c r="P109" s="32">
        <v>8500</v>
      </c>
      <c r="Q109" s="29" t="s">
        <v>839</v>
      </c>
      <c r="R109" s="29" t="s">
        <v>840</v>
      </c>
      <c r="S109" s="29" t="s">
        <v>15</v>
      </c>
      <c r="T109" s="29" t="s">
        <v>807</v>
      </c>
      <c r="U109" s="29" t="s">
        <v>15</v>
      </c>
      <c r="V109" s="29" t="s">
        <v>841</v>
      </c>
      <c r="W109" s="29" t="s">
        <v>841</v>
      </c>
    </row>
    <row r="110" spans="1:23" ht="10.5" customHeight="1" x14ac:dyDescent="0.25">
      <c r="A110" s="28">
        <v>46026</v>
      </c>
      <c r="B110" s="29" t="str">
        <f t="shared" si="2"/>
        <v>04/01/2026NL300008</v>
      </c>
      <c r="C110" s="30" t="s">
        <v>856</v>
      </c>
      <c r="D110" s="30" t="s">
        <v>835</v>
      </c>
      <c r="E110" s="29" t="s">
        <v>836</v>
      </c>
      <c r="F110" s="29" t="s">
        <v>837</v>
      </c>
      <c r="G110" s="29" t="s">
        <v>857</v>
      </c>
      <c r="H110" s="29" t="s">
        <v>255</v>
      </c>
      <c r="I110" s="29" t="s">
        <v>256</v>
      </c>
      <c r="J110" s="29" t="s">
        <v>237</v>
      </c>
      <c r="K110" s="31">
        <v>0.7</v>
      </c>
      <c r="L110" s="32">
        <v>40000</v>
      </c>
      <c r="M110" s="32">
        <v>0</v>
      </c>
      <c r="N110" s="33">
        <f t="shared" si="3"/>
        <v>28000</v>
      </c>
      <c r="O110" s="33">
        <v>0</v>
      </c>
      <c r="P110" s="32">
        <v>40000</v>
      </c>
      <c r="Q110" s="29" t="s">
        <v>839</v>
      </c>
      <c r="R110" s="29" t="s">
        <v>840</v>
      </c>
      <c r="S110" s="29" t="s">
        <v>15</v>
      </c>
      <c r="T110" s="29" t="s">
        <v>807</v>
      </c>
      <c r="U110" s="29" t="s">
        <v>15</v>
      </c>
      <c r="V110" s="29" t="s">
        <v>841</v>
      </c>
      <c r="W110" s="29" t="s">
        <v>841</v>
      </c>
    </row>
    <row r="111" spans="1:23" ht="10.5" customHeight="1" x14ac:dyDescent="0.25">
      <c r="A111" s="28">
        <v>46026</v>
      </c>
      <c r="B111" s="29" t="str">
        <f t="shared" si="2"/>
        <v>04/01/2026NL300119</v>
      </c>
      <c r="C111" s="30" t="s">
        <v>856</v>
      </c>
      <c r="D111" s="30" t="s">
        <v>835</v>
      </c>
      <c r="E111" s="29" t="s">
        <v>836</v>
      </c>
      <c r="F111" s="29" t="s">
        <v>837</v>
      </c>
      <c r="G111" s="29" t="s">
        <v>857</v>
      </c>
      <c r="H111" s="29" t="s">
        <v>672</v>
      </c>
      <c r="I111" s="29" t="s">
        <v>673</v>
      </c>
      <c r="J111" s="29" t="s">
        <v>237</v>
      </c>
      <c r="K111" s="31">
        <v>1</v>
      </c>
      <c r="L111" s="32">
        <v>21000</v>
      </c>
      <c r="M111" s="32">
        <v>0</v>
      </c>
      <c r="N111" s="33">
        <f t="shared" si="3"/>
        <v>21000</v>
      </c>
      <c r="O111" s="33">
        <v>0</v>
      </c>
      <c r="P111" s="32">
        <v>21000</v>
      </c>
      <c r="Q111" s="29" t="s">
        <v>839</v>
      </c>
      <c r="R111" s="29" t="s">
        <v>840</v>
      </c>
      <c r="S111" s="29" t="s">
        <v>15</v>
      </c>
      <c r="T111" s="29" t="s">
        <v>807</v>
      </c>
      <c r="U111" s="29" t="s">
        <v>15</v>
      </c>
      <c r="V111" s="29" t="s">
        <v>841</v>
      </c>
      <c r="W111" s="29" t="s">
        <v>841</v>
      </c>
    </row>
    <row r="112" spans="1:23" ht="10.5" customHeight="1" x14ac:dyDescent="0.25">
      <c r="A112" s="28">
        <v>46026</v>
      </c>
      <c r="B112" s="29" t="str">
        <f t="shared" si="2"/>
        <v>04/01/2026NL300080</v>
      </c>
      <c r="C112" s="30" t="s">
        <v>856</v>
      </c>
      <c r="D112" s="30" t="s">
        <v>835</v>
      </c>
      <c r="E112" s="29" t="s">
        <v>836</v>
      </c>
      <c r="F112" s="29" t="s">
        <v>837</v>
      </c>
      <c r="G112" s="29" t="s">
        <v>857</v>
      </c>
      <c r="H112" s="29" t="s">
        <v>553</v>
      </c>
      <c r="I112" s="29" t="s">
        <v>554</v>
      </c>
      <c r="J112" s="29" t="s">
        <v>237</v>
      </c>
      <c r="K112" s="31">
        <v>1.7</v>
      </c>
      <c r="L112" s="32">
        <v>95000</v>
      </c>
      <c r="M112" s="32">
        <v>0</v>
      </c>
      <c r="N112" s="33">
        <f t="shared" si="3"/>
        <v>161500</v>
      </c>
      <c r="O112" s="33">
        <v>0</v>
      </c>
      <c r="P112" s="32">
        <v>95000</v>
      </c>
      <c r="Q112" s="29" t="s">
        <v>839</v>
      </c>
      <c r="R112" s="29" t="s">
        <v>840</v>
      </c>
      <c r="S112" s="29" t="s">
        <v>15</v>
      </c>
      <c r="T112" s="29" t="s">
        <v>807</v>
      </c>
      <c r="U112" s="29" t="s">
        <v>15</v>
      </c>
      <c r="V112" s="29" t="s">
        <v>841</v>
      </c>
      <c r="W112" s="29" t="s">
        <v>841</v>
      </c>
    </row>
    <row r="113" spans="1:23" ht="10.5" customHeight="1" x14ac:dyDescent="0.25">
      <c r="A113" s="28">
        <v>46026</v>
      </c>
      <c r="B113" s="29" t="str">
        <f t="shared" si="2"/>
        <v>04/01/2026NL300145</v>
      </c>
      <c r="C113" s="30" t="s">
        <v>856</v>
      </c>
      <c r="D113" s="30" t="s">
        <v>835</v>
      </c>
      <c r="E113" s="29" t="s">
        <v>836</v>
      </c>
      <c r="F113" s="29" t="s">
        <v>837</v>
      </c>
      <c r="G113" s="29" t="s">
        <v>857</v>
      </c>
      <c r="H113" s="29" t="s">
        <v>790</v>
      </c>
      <c r="I113" s="29" t="s">
        <v>791</v>
      </c>
      <c r="J113" s="29" t="s">
        <v>237</v>
      </c>
      <c r="K113" s="31">
        <v>2.5</v>
      </c>
      <c r="L113" s="32">
        <v>38000</v>
      </c>
      <c r="M113" s="32">
        <v>0</v>
      </c>
      <c r="N113" s="33">
        <f t="shared" si="3"/>
        <v>95000</v>
      </c>
      <c r="O113" s="33">
        <v>0</v>
      </c>
      <c r="P113" s="32">
        <v>38000</v>
      </c>
      <c r="Q113" s="29" t="s">
        <v>839</v>
      </c>
      <c r="R113" s="29" t="s">
        <v>840</v>
      </c>
      <c r="S113" s="29" t="s">
        <v>15</v>
      </c>
      <c r="T113" s="29" t="s">
        <v>807</v>
      </c>
      <c r="U113" s="29" t="s">
        <v>15</v>
      </c>
      <c r="V113" s="29" t="s">
        <v>841</v>
      </c>
      <c r="W113" s="29" t="s">
        <v>841</v>
      </c>
    </row>
    <row r="114" spans="1:23" ht="10.5" customHeight="1" x14ac:dyDescent="0.25">
      <c r="A114" s="28">
        <v>46026</v>
      </c>
      <c r="B114" s="29" t="str">
        <f t="shared" si="2"/>
        <v>04/01/2026NL300142</v>
      </c>
      <c r="C114" s="30" t="s">
        <v>856</v>
      </c>
      <c r="D114" s="30" t="s">
        <v>835</v>
      </c>
      <c r="E114" s="29" t="s">
        <v>836</v>
      </c>
      <c r="F114" s="29" t="s">
        <v>837</v>
      </c>
      <c r="G114" s="29" t="s">
        <v>857</v>
      </c>
      <c r="H114" s="29" t="s">
        <v>777</v>
      </c>
      <c r="I114" s="29" t="s">
        <v>845</v>
      </c>
      <c r="J114" s="29" t="s">
        <v>237</v>
      </c>
      <c r="K114" s="31">
        <v>0.3</v>
      </c>
      <c r="L114" s="32">
        <v>50000</v>
      </c>
      <c r="M114" s="32">
        <v>0</v>
      </c>
      <c r="N114" s="33">
        <f t="shared" si="3"/>
        <v>15000</v>
      </c>
      <c r="O114" s="33">
        <v>0</v>
      </c>
      <c r="P114" s="32">
        <v>50000</v>
      </c>
      <c r="Q114" s="29" t="s">
        <v>839</v>
      </c>
      <c r="R114" s="29" t="s">
        <v>840</v>
      </c>
      <c r="S114" s="29" t="s">
        <v>15</v>
      </c>
      <c r="T114" s="29" t="s">
        <v>807</v>
      </c>
      <c r="U114" s="29" t="s">
        <v>15</v>
      </c>
      <c r="V114" s="29" t="s">
        <v>841</v>
      </c>
      <c r="W114" s="29" t="s">
        <v>841</v>
      </c>
    </row>
    <row r="115" spans="1:23" ht="10.5" customHeight="1" x14ac:dyDescent="0.25">
      <c r="A115" s="28">
        <v>46026</v>
      </c>
      <c r="B115" s="29" t="str">
        <f t="shared" si="2"/>
        <v>04/01/2026NL300033</v>
      </c>
      <c r="C115" s="30" t="s">
        <v>856</v>
      </c>
      <c r="D115" s="30" t="s">
        <v>835</v>
      </c>
      <c r="E115" s="29" t="s">
        <v>836</v>
      </c>
      <c r="F115" s="29" t="s">
        <v>837</v>
      </c>
      <c r="G115" s="29" t="s">
        <v>857</v>
      </c>
      <c r="H115" s="29" t="s">
        <v>374</v>
      </c>
      <c r="I115" s="29" t="s">
        <v>843</v>
      </c>
      <c r="J115" s="29" t="s">
        <v>237</v>
      </c>
      <c r="K115" s="31">
        <v>0.9</v>
      </c>
      <c r="L115" s="32">
        <v>13000</v>
      </c>
      <c r="M115" s="32">
        <v>0</v>
      </c>
      <c r="N115" s="33">
        <f t="shared" si="3"/>
        <v>11700</v>
      </c>
      <c r="O115" s="33">
        <v>0</v>
      </c>
      <c r="P115" s="32">
        <v>13000</v>
      </c>
      <c r="Q115" s="29" t="s">
        <v>839</v>
      </c>
      <c r="R115" s="29" t="s">
        <v>840</v>
      </c>
      <c r="S115" s="29" t="s">
        <v>15</v>
      </c>
      <c r="T115" s="29" t="s">
        <v>807</v>
      </c>
      <c r="U115" s="29" t="s">
        <v>15</v>
      </c>
      <c r="V115" s="29" t="s">
        <v>841</v>
      </c>
      <c r="W115" s="29" t="s">
        <v>841</v>
      </c>
    </row>
    <row r="116" spans="1:23" ht="10.5" customHeight="1" x14ac:dyDescent="0.25">
      <c r="A116" s="28">
        <v>46026</v>
      </c>
      <c r="B116" s="29" t="str">
        <f t="shared" si="2"/>
        <v>04/01/2026NL300071</v>
      </c>
      <c r="C116" s="30" t="s">
        <v>856</v>
      </c>
      <c r="D116" s="30" t="s">
        <v>835</v>
      </c>
      <c r="E116" s="29" t="s">
        <v>836</v>
      </c>
      <c r="F116" s="29" t="s">
        <v>837</v>
      </c>
      <c r="G116" s="29" t="s">
        <v>857</v>
      </c>
      <c r="H116" s="29" t="s">
        <v>524</v>
      </c>
      <c r="I116" s="29" t="s">
        <v>806</v>
      </c>
      <c r="J116" s="29" t="s">
        <v>237</v>
      </c>
      <c r="K116" s="31">
        <v>6</v>
      </c>
      <c r="L116" s="32">
        <v>20000</v>
      </c>
      <c r="M116" s="32">
        <v>0</v>
      </c>
      <c r="N116" s="33">
        <f t="shared" si="3"/>
        <v>120000</v>
      </c>
      <c r="O116" s="33">
        <v>0</v>
      </c>
      <c r="P116" s="32">
        <v>20000</v>
      </c>
      <c r="Q116" s="29" t="s">
        <v>839</v>
      </c>
      <c r="R116" s="29" t="s">
        <v>840</v>
      </c>
      <c r="S116" s="29" t="s">
        <v>15</v>
      </c>
      <c r="T116" s="29" t="s">
        <v>807</v>
      </c>
      <c r="U116" s="29" t="s">
        <v>15</v>
      </c>
      <c r="V116" s="29" t="s">
        <v>841</v>
      </c>
      <c r="W116" s="29" t="s">
        <v>841</v>
      </c>
    </row>
    <row r="117" spans="1:23" ht="10.5" customHeight="1" x14ac:dyDescent="0.25">
      <c r="A117" s="28">
        <v>46027</v>
      </c>
      <c r="B117" s="29" t="str">
        <f t="shared" si="2"/>
        <v>05/01/2026NL300071</v>
      </c>
      <c r="C117" s="30" t="s">
        <v>858</v>
      </c>
      <c r="D117" s="30" t="s">
        <v>835</v>
      </c>
      <c r="E117" s="29" t="s">
        <v>836</v>
      </c>
      <c r="F117" s="29" t="s">
        <v>837</v>
      </c>
      <c r="G117" s="29" t="s">
        <v>859</v>
      </c>
      <c r="H117" s="29" t="s">
        <v>524</v>
      </c>
      <c r="I117" s="29" t="s">
        <v>806</v>
      </c>
      <c r="J117" s="29" t="s">
        <v>237</v>
      </c>
      <c r="K117" s="31">
        <v>0</v>
      </c>
      <c r="L117" s="32">
        <v>20000</v>
      </c>
      <c r="M117" s="32">
        <v>0</v>
      </c>
      <c r="N117" s="33">
        <f t="shared" si="3"/>
        <v>0</v>
      </c>
      <c r="O117" s="33">
        <v>0</v>
      </c>
      <c r="P117" s="32">
        <v>20000</v>
      </c>
      <c r="Q117" s="29" t="s">
        <v>839</v>
      </c>
      <c r="R117" s="29" t="s">
        <v>840</v>
      </c>
      <c r="S117" s="29" t="s">
        <v>15</v>
      </c>
      <c r="T117" s="29" t="s">
        <v>807</v>
      </c>
      <c r="U117" s="29" t="s">
        <v>15</v>
      </c>
      <c r="V117" s="29" t="s">
        <v>841</v>
      </c>
      <c r="W117" s="29" t="s">
        <v>841</v>
      </c>
    </row>
    <row r="118" spans="1:23" ht="10.5" customHeight="1" x14ac:dyDescent="0.25">
      <c r="A118" s="28">
        <v>46027</v>
      </c>
      <c r="B118" s="29" t="str">
        <f t="shared" si="2"/>
        <v>05/01/2026NL600004</v>
      </c>
      <c r="C118" s="30" t="s">
        <v>858</v>
      </c>
      <c r="D118" s="30" t="s">
        <v>835</v>
      </c>
      <c r="E118" s="29" t="s">
        <v>836</v>
      </c>
      <c r="F118" s="29" t="s">
        <v>837</v>
      </c>
      <c r="G118" s="29" t="s">
        <v>859</v>
      </c>
      <c r="H118" s="29" t="s">
        <v>462</v>
      </c>
      <c r="I118" s="29" t="s">
        <v>52</v>
      </c>
      <c r="J118" s="29" t="s">
        <v>237</v>
      </c>
      <c r="K118" s="31">
        <v>18.3</v>
      </c>
      <c r="L118" s="32">
        <v>18000</v>
      </c>
      <c r="M118" s="32">
        <v>0</v>
      </c>
      <c r="N118" s="33">
        <f t="shared" si="3"/>
        <v>329400</v>
      </c>
      <c r="O118" s="33">
        <v>0</v>
      </c>
      <c r="P118" s="32">
        <v>18000</v>
      </c>
      <c r="Q118" s="29" t="s">
        <v>839</v>
      </c>
      <c r="R118" s="29" t="s">
        <v>840</v>
      </c>
      <c r="S118" s="29" t="s">
        <v>15</v>
      </c>
      <c r="T118" s="29" t="s">
        <v>807</v>
      </c>
      <c r="U118" s="29" t="s">
        <v>15</v>
      </c>
      <c r="V118" s="29" t="s">
        <v>841</v>
      </c>
      <c r="W118" s="29" t="s">
        <v>841</v>
      </c>
    </row>
    <row r="119" spans="1:23" ht="10.5" customHeight="1" x14ac:dyDescent="0.25">
      <c r="A119" s="28">
        <v>46027</v>
      </c>
      <c r="B119" s="29" t="str">
        <f t="shared" si="2"/>
        <v>05/01/2026NL300070</v>
      </c>
      <c r="C119" s="30" t="s">
        <v>858</v>
      </c>
      <c r="D119" s="30" t="s">
        <v>835</v>
      </c>
      <c r="E119" s="29" t="s">
        <v>836</v>
      </c>
      <c r="F119" s="29" t="s">
        <v>837</v>
      </c>
      <c r="G119" s="29" t="s">
        <v>859</v>
      </c>
      <c r="H119" s="29" t="s">
        <v>507</v>
      </c>
      <c r="I119" s="29" t="s">
        <v>508</v>
      </c>
      <c r="J119" s="29" t="s">
        <v>237</v>
      </c>
      <c r="K119" s="31">
        <v>0</v>
      </c>
      <c r="L119" s="32">
        <v>23000</v>
      </c>
      <c r="M119" s="32">
        <v>0</v>
      </c>
      <c r="N119" s="33">
        <f t="shared" si="3"/>
        <v>0</v>
      </c>
      <c r="O119" s="33">
        <v>0</v>
      </c>
      <c r="P119" s="32">
        <v>23000</v>
      </c>
      <c r="Q119" s="29" t="s">
        <v>839</v>
      </c>
      <c r="R119" s="29" t="s">
        <v>840</v>
      </c>
      <c r="S119" s="29" t="s">
        <v>15</v>
      </c>
      <c r="T119" s="29" t="s">
        <v>807</v>
      </c>
      <c r="U119" s="29" t="s">
        <v>15</v>
      </c>
      <c r="V119" s="29" t="s">
        <v>841</v>
      </c>
      <c r="W119" s="29" t="s">
        <v>841</v>
      </c>
    </row>
    <row r="120" spans="1:23" ht="10.5" customHeight="1" x14ac:dyDescent="0.25">
      <c r="A120" s="28">
        <v>46027</v>
      </c>
      <c r="B120" s="29" t="str">
        <f t="shared" si="2"/>
        <v>05/01/2026NL300058</v>
      </c>
      <c r="C120" s="30" t="s">
        <v>858</v>
      </c>
      <c r="D120" s="30" t="s">
        <v>835</v>
      </c>
      <c r="E120" s="29" t="s">
        <v>836</v>
      </c>
      <c r="F120" s="29" t="s">
        <v>837</v>
      </c>
      <c r="G120" s="29" t="s">
        <v>859</v>
      </c>
      <c r="H120" s="29" t="s">
        <v>481</v>
      </c>
      <c r="I120" s="29" t="s">
        <v>22</v>
      </c>
      <c r="J120" s="29" t="s">
        <v>237</v>
      </c>
      <c r="K120" s="31">
        <v>0.2</v>
      </c>
      <c r="L120" s="32">
        <v>55000</v>
      </c>
      <c r="M120" s="32">
        <v>0</v>
      </c>
      <c r="N120" s="33">
        <f t="shared" si="3"/>
        <v>11000</v>
      </c>
      <c r="O120" s="33">
        <v>0</v>
      </c>
      <c r="P120" s="32">
        <v>55000</v>
      </c>
      <c r="Q120" s="29" t="s">
        <v>839</v>
      </c>
      <c r="R120" s="29" t="s">
        <v>840</v>
      </c>
      <c r="S120" s="29" t="s">
        <v>15</v>
      </c>
      <c r="T120" s="29" t="s">
        <v>807</v>
      </c>
      <c r="U120" s="29" t="s">
        <v>15</v>
      </c>
      <c r="V120" s="29" t="s">
        <v>841</v>
      </c>
      <c r="W120" s="29" t="s">
        <v>841</v>
      </c>
    </row>
    <row r="121" spans="1:23" ht="10.5" customHeight="1" x14ac:dyDescent="0.25">
      <c r="A121" s="28">
        <v>46027</v>
      </c>
      <c r="B121" s="29" t="str">
        <f t="shared" si="2"/>
        <v>05/01/2026NL300050</v>
      </c>
      <c r="C121" s="30" t="s">
        <v>858</v>
      </c>
      <c r="D121" s="30" t="s">
        <v>835</v>
      </c>
      <c r="E121" s="29" t="s">
        <v>836</v>
      </c>
      <c r="F121" s="29" t="s">
        <v>837</v>
      </c>
      <c r="G121" s="29" t="s">
        <v>859</v>
      </c>
      <c r="H121" s="29" t="s">
        <v>804</v>
      </c>
      <c r="I121" s="29" t="s">
        <v>805</v>
      </c>
      <c r="J121" s="29" t="s">
        <v>237</v>
      </c>
      <c r="K121" s="31">
        <v>0.3</v>
      </c>
      <c r="L121" s="32">
        <v>9000</v>
      </c>
      <c r="M121" s="32">
        <v>0</v>
      </c>
      <c r="N121" s="33">
        <f t="shared" si="3"/>
        <v>2700</v>
      </c>
      <c r="O121" s="33">
        <v>0</v>
      </c>
      <c r="P121" s="32">
        <v>9000</v>
      </c>
      <c r="Q121" s="29" t="s">
        <v>839</v>
      </c>
      <c r="R121" s="29" t="s">
        <v>840</v>
      </c>
      <c r="S121" s="29" t="s">
        <v>15</v>
      </c>
      <c r="T121" s="29" t="s">
        <v>807</v>
      </c>
      <c r="U121" s="29" t="s">
        <v>15</v>
      </c>
      <c r="V121" s="29" t="s">
        <v>841</v>
      </c>
      <c r="W121" s="29" t="s">
        <v>841</v>
      </c>
    </row>
    <row r="122" spans="1:23" ht="10.5" customHeight="1" x14ac:dyDescent="0.25">
      <c r="A122" s="28">
        <v>46027</v>
      </c>
      <c r="B122" s="29" t="str">
        <f t="shared" si="2"/>
        <v>05/01/2026NL300061</v>
      </c>
      <c r="C122" s="30" t="s">
        <v>858</v>
      </c>
      <c r="D122" s="30" t="s">
        <v>835</v>
      </c>
      <c r="E122" s="29" t="s">
        <v>836</v>
      </c>
      <c r="F122" s="29" t="s">
        <v>837</v>
      </c>
      <c r="G122" s="29" t="s">
        <v>859</v>
      </c>
      <c r="H122" s="29" t="s">
        <v>482</v>
      </c>
      <c r="I122" s="29" t="s">
        <v>844</v>
      </c>
      <c r="J122" s="29" t="s">
        <v>237</v>
      </c>
      <c r="K122" s="31">
        <v>0.2</v>
      </c>
      <c r="L122" s="32">
        <v>38000</v>
      </c>
      <c r="M122" s="32">
        <v>0</v>
      </c>
      <c r="N122" s="33">
        <f t="shared" si="3"/>
        <v>7600</v>
      </c>
      <c r="O122" s="33">
        <v>0</v>
      </c>
      <c r="P122" s="32">
        <v>38000</v>
      </c>
      <c r="Q122" s="29" t="s">
        <v>839</v>
      </c>
      <c r="R122" s="29" t="s">
        <v>840</v>
      </c>
      <c r="S122" s="29" t="s">
        <v>15</v>
      </c>
      <c r="T122" s="29" t="s">
        <v>807</v>
      </c>
      <c r="U122" s="29" t="s">
        <v>15</v>
      </c>
      <c r="V122" s="29" t="s">
        <v>841</v>
      </c>
      <c r="W122" s="29" t="s">
        <v>841</v>
      </c>
    </row>
    <row r="123" spans="1:23" ht="10.5" customHeight="1" x14ac:dyDescent="0.25">
      <c r="A123" s="28">
        <v>46027</v>
      </c>
      <c r="B123" s="29" t="str">
        <f t="shared" si="2"/>
        <v>05/01/2026NL300027</v>
      </c>
      <c r="C123" s="30" t="s">
        <v>858</v>
      </c>
      <c r="D123" s="30" t="s">
        <v>835</v>
      </c>
      <c r="E123" s="29" t="s">
        <v>836</v>
      </c>
      <c r="F123" s="29" t="s">
        <v>837</v>
      </c>
      <c r="G123" s="29" t="s">
        <v>859</v>
      </c>
      <c r="H123" s="29" t="s">
        <v>314</v>
      </c>
      <c r="I123" s="29" t="s">
        <v>126</v>
      </c>
      <c r="J123" s="29" t="s">
        <v>237</v>
      </c>
      <c r="K123" s="31">
        <v>1.8</v>
      </c>
      <c r="L123" s="32">
        <v>18000</v>
      </c>
      <c r="M123" s="32">
        <v>0</v>
      </c>
      <c r="N123" s="33">
        <f t="shared" si="3"/>
        <v>32400</v>
      </c>
      <c r="O123" s="33">
        <v>0</v>
      </c>
      <c r="P123" s="32">
        <v>18000</v>
      </c>
      <c r="Q123" s="29" t="s">
        <v>839</v>
      </c>
      <c r="R123" s="29" t="s">
        <v>840</v>
      </c>
      <c r="S123" s="29" t="s">
        <v>15</v>
      </c>
      <c r="T123" s="29" t="s">
        <v>807</v>
      </c>
      <c r="U123" s="29" t="s">
        <v>15</v>
      </c>
      <c r="V123" s="29" t="s">
        <v>841</v>
      </c>
      <c r="W123" s="29" t="s">
        <v>841</v>
      </c>
    </row>
    <row r="124" spans="1:23" ht="10.5" customHeight="1" x14ac:dyDescent="0.25">
      <c r="A124" s="28">
        <v>46027</v>
      </c>
      <c r="B124" s="29" t="str">
        <f t="shared" si="2"/>
        <v>05/01/2026NL300038</v>
      </c>
      <c r="C124" s="30" t="s">
        <v>858</v>
      </c>
      <c r="D124" s="30" t="s">
        <v>835</v>
      </c>
      <c r="E124" s="29" t="s">
        <v>836</v>
      </c>
      <c r="F124" s="29" t="s">
        <v>837</v>
      </c>
      <c r="G124" s="29" t="s">
        <v>859</v>
      </c>
      <c r="H124" s="29" t="s">
        <v>408</v>
      </c>
      <c r="I124" s="29" t="s">
        <v>20</v>
      </c>
      <c r="J124" s="29" t="s">
        <v>237</v>
      </c>
      <c r="K124" s="31">
        <v>1.8</v>
      </c>
      <c r="L124" s="32">
        <v>32000</v>
      </c>
      <c r="M124" s="32">
        <v>0</v>
      </c>
      <c r="N124" s="33">
        <f t="shared" si="3"/>
        <v>57600</v>
      </c>
      <c r="O124" s="33">
        <v>0</v>
      </c>
      <c r="P124" s="32">
        <v>32000</v>
      </c>
      <c r="Q124" s="29" t="s">
        <v>839</v>
      </c>
      <c r="R124" s="29" t="s">
        <v>840</v>
      </c>
      <c r="S124" s="29" t="s">
        <v>15</v>
      </c>
      <c r="T124" s="29" t="s">
        <v>807</v>
      </c>
      <c r="U124" s="29" t="s">
        <v>15</v>
      </c>
      <c r="V124" s="29" t="s">
        <v>841</v>
      </c>
      <c r="W124" s="29" t="s">
        <v>841</v>
      </c>
    </row>
    <row r="125" spans="1:23" ht="10.5" customHeight="1" x14ac:dyDescent="0.25">
      <c r="A125" s="28">
        <v>46027</v>
      </c>
      <c r="B125" s="29" t="str">
        <f t="shared" si="2"/>
        <v>05/01/2026NL300059</v>
      </c>
      <c r="C125" s="30" t="s">
        <v>858</v>
      </c>
      <c r="D125" s="30" t="s">
        <v>835</v>
      </c>
      <c r="E125" s="29" t="s">
        <v>836</v>
      </c>
      <c r="F125" s="29" t="s">
        <v>837</v>
      </c>
      <c r="G125" s="29" t="s">
        <v>859</v>
      </c>
      <c r="H125" s="29" t="s">
        <v>484</v>
      </c>
      <c r="I125" s="29" t="s">
        <v>24</v>
      </c>
      <c r="J125" s="29" t="s">
        <v>237</v>
      </c>
      <c r="K125" s="31">
        <v>0.8</v>
      </c>
      <c r="L125" s="32">
        <v>13000</v>
      </c>
      <c r="M125" s="32">
        <v>0</v>
      </c>
      <c r="N125" s="33">
        <f t="shared" si="3"/>
        <v>10400</v>
      </c>
      <c r="O125" s="33">
        <v>0</v>
      </c>
      <c r="P125" s="32">
        <v>13000</v>
      </c>
      <c r="Q125" s="29" t="s">
        <v>839</v>
      </c>
      <c r="R125" s="29" t="s">
        <v>840</v>
      </c>
      <c r="S125" s="29" t="s">
        <v>15</v>
      </c>
      <c r="T125" s="29" t="s">
        <v>807</v>
      </c>
      <c r="U125" s="29" t="s">
        <v>15</v>
      </c>
      <c r="V125" s="29" t="s">
        <v>841</v>
      </c>
      <c r="W125" s="29" t="s">
        <v>841</v>
      </c>
    </row>
    <row r="126" spans="1:23" ht="10.5" customHeight="1" x14ac:dyDescent="0.25">
      <c r="A126" s="28">
        <v>46027</v>
      </c>
      <c r="B126" s="29" t="str">
        <f t="shared" ref="B126:B189" si="4">"0"&amp;DAY(A126)&amp;"/01/2026"&amp;H126</f>
        <v>05/01/2026NL300107</v>
      </c>
      <c r="C126" s="30" t="s">
        <v>858</v>
      </c>
      <c r="D126" s="30" t="s">
        <v>835</v>
      </c>
      <c r="E126" s="29" t="s">
        <v>836</v>
      </c>
      <c r="F126" s="29" t="s">
        <v>837</v>
      </c>
      <c r="G126" s="29" t="s">
        <v>859</v>
      </c>
      <c r="H126" s="29" t="s">
        <v>638</v>
      </c>
      <c r="I126" s="29" t="s">
        <v>842</v>
      </c>
      <c r="J126" s="29" t="s">
        <v>420</v>
      </c>
      <c r="K126" s="31">
        <v>0</v>
      </c>
      <c r="L126" s="32">
        <v>8500</v>
      </c>
      <c r="M126" s="32">
        <v>0</v>
      </c>
      <c r="N126" s="33">
        <f t="shared" ref="N126:N189" si="5">L126*K126</f>
        <v>0</v>
      </c>
      <c r="O126" s="33">
        <v>0</v>
      </c>
      <c r="P126" s="32">
        <v>8500</v>
      </c>
      <c r="Q126" s="29" t="s">
        <v>839</v>
      </c>
      <c r="R126" s="29" t="s">
        <v>840</v>
      </c>
      <c r="S126" s="29" t="s">
        <v>15</v>
      </c>
      <c r="T126" s="29" t="s">
        <v>807</v>
      </c>
      <c r="U126" s="29" t="s">
        <v>15</v>
      </c>
      <c r="V126" s="29" t="s">
        <v>841</v>
      </c>
      <c r="W126" s="29" t="s">
        <v>841</v>
      </c>
    </row>
    <row r="127" spans="1:23" ht="10.5" customHeight="1" x14ac:dyDescent="0.25">
      <c r="A127" s="28">
        <v>46027</v>
      </c>
      <c r="B127" s="29" t="str">
        <f t="shared" si="4"/>
        <v>05/01/2026NL300008</v>
      </c>
      <c r="C127" s="30" t="s">
        <v>858</v>
      </c>
      <c r="D127" s="30" t="s">
        <v>835</v>
      </c>
      <c r="E127" s="29" t="s">
        <v>836</v>
      </c>
      <c r="F127" s="29" t="s">
        <v>837</v>
      </c>
      <c r="G127" s="29" t="s">
        <v>859</v>
      </c>
      <c r="H127" s="29" t="s">
        <v>255</v>
      </c>
      <c r="I127" s="29" t="s">
        <v>256</v>
      </c>
      <c r="J127" s="29" t="s">
        <v>237</v>
      </c>
      <c r="K127" s="31">
        <v>1.8</v>
      </c>
      <c r="L127" s="32">
        <v>40000</v>
      </c>
      <c r="M127" s="32">
        <v>0</v>
      </c>
      <c r="N127" s="33">
        <f t="shared" si="5"/>
        <v>72000</v>
      </c>
      <c r="O127" s="33">
        <v>0</v>
      </c>
      <c r="P127" s="32">
        <v>40000</v>
      </c>
      <c r="Q127" s="29" t="s">
        <v>839</v>
      </c>
      <c r="R127" s="29" t="s">
        <v>840</v>
      </c>
      <c r="S127" s="29" t="s">
        <v>15</v>
      </c>
      <c r="T127" s="29" t="s">
        <v>807</v>
      </c>
      <c r="U127" s="29" t="s">
        <v>15</v>
      </c>
      <c r="V127" s="29" t="s">
        <v>841</v>
      </c>
      <c r="W127" s="29" t="s">
        <v>841</v>
      </c>
    </row>
    <row r="128" spans="1:23" ht="10.5" customHeight="1" x14ac:dyDescent="0.25">
      <c r="A128" s="28">
        <v>46027</v>
      </c>
      <c r="B128" s="29" t="str">
        <f t="shared" si="4"/>
        <v>05/01/2026NL300119</v>
      </c>
      <c r="C128" s="30" t="s">
        <v>858</v>
      </c>
      <c r="D128" s="30" t="s">
        <v>835</v>
      </c>
      <c r="E128" s="29" t="s">
        <v>836</v>
      </c>
      <c r="F128" s="29" t="s">
        <v>837</v>
      </c>
      <c r="G128" s="29" t="s">
        <v>859</v>
      </c>
      <c r="H128" s="29" t="s">
        <v>672</v>
      </c>
      <c r="I128" s="29" t="s">
        <v>673</v>
      </c>
      <c r="J128" s="29" t="s">
        <v>237</v>
      </c>
      <c r="K128" s="31">
        <v>0</v>
      </c>
      <c r="L128" s="32">
        <v>21000</v>
      </c>
      <c r="M128" s="32">
        <v>0</v>
      </c>
      <c r="N128" s="33">
        <f t="shared" si="5"/>
        <v>0</v>
      </c>
      <c r="O128" s="33">
        <v>0</v>
      </c>
      <c r="P128" s="32">
        <v>21000</v>
      </c>
      <c r="Q128" s="29" t="s">
        <v>839</v>
      </c>
      <c r="R128" s="29" t="s">
        <v>840</v>
      </c>
      <c r="S128" s="29" t="s">
        <v>15</v>
      </c>
      <c r="T128" s="29" t="s">
        <v>807</v>
      </c>
      <c r="U128" s="29" t="s">
        <v>15</v>
      </c>
      <c r="V128" s="29" t="s">
        <v>841</v>
      </c>
      <c r="W128" s="29" t="s">
        <v>841</v>
      </c>
    </row>
    <row r="129" spans="1:23" ht="10.5" customHeight="1" x14ac:dyDescent="0.25">
      <c r="A129" s="28">
        <v>46027</v>
      </c>
      <c r="B129" s="29" t="str">
        <f t="shared" si="4"/>
        <v>05/01/2026NL300145</v>
      </c>
      <c r="C129" s="30" t="s">
        <v>858</v>
      </c>
      <c r="D129" s="30" t="s">
        <v>835</v>
      </c>
      <c r="E129" s="29" t="s">
        <v>836</v>
      </c>
      <c r="F129" s="29" t="s">
        <v>837</v>
      </c>
      <c r="G129" s="29" t="s">
        <v>859</v>
      </c>
      <c r="H129" s="29" t="s">
        <v>790</v>
      </c>
      <c r="I129" s="29" t="s">
        <v>791</v>
      </c>
      <c r="J129" s="29" t="s">
        <v>237</v>
      </c>
      <c r="K129" s="31">
        <v>5</v>
      </c>
      <c r="L129" s="32">
        <v>38000</v>
      </c>
      <c r="M129" s="32">
        <v>0</v>
      </c>
      <c r="N129" s="33">
        <f t="shared" si="5"/>
        <v>190000</v>
      </c>
      <c r="O129" s="33">
        <v>0</v>
      </c>
      <c r="P129" s="32">
        <v>38000</v>
      </c>
      <c r="Q129" s="29" t="s">
        <v>839</v>
      </c>
      <c r="R129" s="29" t="s">
        <v>840</v>
      </c>
      <c r="S129" s="29" t="s">
        <v>15</v>
      </c>
      <c r="T129" s="29" t="s">
        <v>807</v>
      </c>
      <c r="U129" s="29" t="s">
        <v>15</v>
      </c>
      <c r="V129" s="29" t="s">
        <v>841</v>
      </c>
      <c r="W129" s="29" t="s">
        <v>841</v>
      </c>
    </row>
    <row r="130" spans="1:23" ht="10.5" customHeight="1" x14ac:dyDescent="0.25">
      <c r="A130" s="28">
        <v>46027</v>
      </c>
      <c r="B130" s="29" t="str">
        <f t="shared" si="4"/>
        <v>05/01/2026NL300033</v>
      </c>
      <c r="C130" s="30" t="s">
        <v>858</v>
      </c>
      <c r="D130" s="30" t="s">
        <v>835</v>
      </c>
      <c r="E130" s="29" t="s">
        <v>836</v>
      </c>
      <c r="F130" s="29" t="s">
        <v>837</v>
      </c>
      <c r="G130" s="29" t="s">
        <v>859</v>
      </c>
      <c r="H130" s="29" t="s">
        <v>374</v>
      </c>
      <c r="I130" s="29" t="s">
        <v>843</v>
      </c>
      <c r="J130" s="29" t="s">
        <v>237</v>
      </c>
      <c r="K130" s="31">
        <v>0.9</v>
      </c>
      <c r="L130" s="32">
        <v>13000</v>
      </c>
      <c r="M130" s="32">
        <v>0</v>
      </c>
      <c r="N130" s="33">
        <f t="shared" si="5"/>
        <v>11700</v>
      </c>
      <c r="O130" s="33">
        <v>0</v>
      </c>
      <c r="P130" s="32">
        <v>13000</v>
      </c>
      <c r="Q130" s="29" t="s">
        <v>839</v>
      </c>
      <c r="R130" s="29" t="s">
        <v>840</v>
      </c>
      <c r="S130" s="29" t="s">
        <v>15</v>
      </c>
      <c r="T130" s="29" t="s">
        <v>807</v>
      </c>
      <c r="U130" s="29" t="s">
        <v>15</v>
      </c>
      <c r="V130" s="29" t="s">
        <v>841</v>
      </c>
      <c r="W130" s="29" t="s">
        <v>841</v>
      </c>
    </row>
    <row r="131" spans="1:23" ht="10.5" customHeight="1" x14ac:dyDescent="0.25">
      <c r="A131" s="28">
        <v>46027</v>
      </c>
      <c r="B131" s="29" t="str">
        <f t="shared" si="4"/>
        <v>05/01/2026NL300048</v>
      </c>
      <c r="C131" s="30" t="s">
        <v>858</v>
      </c>
      <c r="D131" s="30" t="s">
        <v>835</v>
      </c>
      <c r="E131" s="29" t="s">
        <v>836</v>
      </c>
      <c r="F131" s="29" t="s">
        <v>837</v>
      </c>
      <c r="G131" s="29" t="s">
        <v>859</v>
      </c>
      <c r="H131" s="29" t="s">
        <v>460</v>
      </c>
      <c r="I131" s="29" t="s">
        <v>461</v>
      </c>
      <c r="J131" s="29" t="s">
        <v>237</v>
      </c>
      <c r="K131" s="31">
        <v>1.5</v>
      </c>
      <c r="L131" s="32">
        <v>18000</v>
      </c>
      <c r="M131" s="32">
        <v>0</v>
      </c>
      <c r="N131" s="33">
        <f t="shared" si="5"/>
        <v>27000</v>
      </c>
      <c r="O131" s="33">
        <v>0</v>
      </c>
      <c r="P131" s="32">
        <v>18000</v>
      </c>
      <c r="Q131" s="29" t="s">
        <v>839</v>
      </c>
      <c r="R131" s="29" t="s">
        <v>840</v>
      </c>
      <c r="S131" s="29" t="s">
        <v>15</v>
      </c>
      <c r="T131" s="29" t="s">
        <v>807</v>
      </c>
      <c r="U131" s="29" t="s">
        <v>15</v>
      </c>
      <c r="V131" s="29" t="s">
        <v>841</v>
      </c>
      <c r="W131" s="29" t="s">
        <v>841</v>
      </c>
    </row>
    <row r="132" spans="1:23" ht="10.5" customHeight="1" x14ac:dyDescent="0.25">
      <c r="A132" s="28">
        <v>46028</v>
      </c>
      <c r="B132" s="29" t="str">
        <f t="shared" si="4"/>
        <v>06/01/2026NL300071</v>
      </c>
      <c r="C132" s="30" t="s">
        <v>860</v>
      </c>
      <c r="D132" s="30" t="s">
        <v>835</v>
      </c>
      <c r="E132" s="29" t="s">
        <v>836</v>
      </c>
      <c r="F132" s="29" t="s">
        <v>837</v>
      </c>
      <c r="G132" s="29" t="s">
        <v>861</v>
      </c>
      <c r="H132" s="29" t="s">
        <v>524</v>
      </c>
      <c r="I132" s="29" t="s">
        <v>806</v>
      </c>
      <c r="J132" s="29" t="s">
        <v>237</v>
      </c>
      <c r="K132" s="31">
        <v>2</v>
      </c>
      <c r="L132" s="32">
        <v>20000</v>
      </c>
      <c r="M132" s="32">
        <v>0</v>
      </c>
      <c r="N132" s="33">
        <f t="shared" si="5"/>
        <v>40000</v>
      </c>
      <c r="O132" s="33">
        <v>0</v>
      </c>
      <c r="P132" s="32">
        <v>20000</v>
      </c>
      <c r="Q132" s="29" t="s">
        <v>839</v>
      </c>
      <c r="R132" s="29" t="s">
        <v>840</v>
      </c>
      <c r="S132" s="29" t="s">
        <v>15</v>
      </c>
      <c r="T132" s="29" t="s">
        <v>807</v>
      </c>
      <c r="U132" s="29" t="s">
        <v>15</v>
      </c>
      <c r="V132" s="29" t="s">
        <v>841</v>
      </c>
      <c r="W132" s="29" t="s">
        <v>841</v>
      </c>
    </row>
    <row r="133" spans="1:23" ht="10.5" customHeight="1" x14ac:dyDescent="0.25">
      <c r="A133" s="28">
        <v>46028</v>
      </c>
      <c r="B133" s="29" t="str">
        <f t="shared" si="4"/>
        <v>06/01/2026NL300085</v>
      </c>
      <c r="C133" s="30" t="s">
        <v>860</v>
      </c>
      <c r="D133" s="30" t="s">
        <v>835</v>
      </c>
      <c r="E133" s="29" t="s">
        <v>836</v>
      </c>
      <c r="F133" s="29" t="s">
        <v>837</v>
      </c>
      <c r="G133" s="29" t="s">
        <v>861</v>
      </c>
      <c r="H133" s="29" t="s">
        <v>592</v>
      </c>
      <c r="I133" s="29" t="s">
        <v>593</v>
      </c>
      <c r="J133" s="29" t="s">
        <v>237</v>
      </c>
      <c r="K133" s="31">
        <v>0.1</v>
      </c>
      <c r="L133" s="32">
        <v>45000</v>
      </c>
      <c r="M133" s="32">
        <v>0</v>
      </c>
      <c r="N133" s="33">
        <f t="shared" si="5"/>
        <v>4500</v>
      </c>
      <c r="O133" s="33">
        <v>0</v>
      </c>
      <c r="P133" s="32">
        <v>45000</v>
      </c>
      <c r="Q133" s="29" t="s">
        <v>839</v>
      </c>
      <c r="R133" s="29" t="s">
        <v>840</v>
      </c>
      <c r="S133" s="29" t="s">
        <v>15</v>
      </c>
      <c r="T133" s="29" t="s">
        <v>807</v>
      </c>
      <c r="U133" s="29" t="s">
        <v>15</v>
      </c>
      <c r="V133" s="29" t="s">
        <v>841</v>
      </c>
      <c r="W133" s="29" t="s">
        <v>841</v>
      </c>
    </row>
    <row r="134" spans="1:23" ht="10.5" customHeight="1" x14ac:dyDescent="0.25">
      <c r="A134" s="28">
        <v>46028</v>
      </c>
      <c r="B134" s="29" t="str">
        <f t="shared" si="4"/>
        <v>06/01/2026NL300041</v>
      </c>
      <c r="C134" s="30" t="s">
        <v>860</v>
      </c>
      <c r="D134" s="30" t="s">
        <v>835</v>
      </c>
      <c r="E134" s="29" t="s">
        <v>836</v>
      </c>
      <c r="F134" s="29" t="s">
        <v>837</v>
      </c>
      <c r="G134" s="29" t="s">
        <v>861</v>
      </c>
      <c r="H134" s="29" t="s">
        <v>418</v>
      </c>
      <c r="I134" s="29" t="s">
        <v>419</v>
      </c>
      <c r="J134" s="29" t="s">
        <v>420</v>
      </c>
      <c r="K134" s="31">
        <v>3</v>
      </c>
      <c r="L134" s="32">
        <v>15000</v>
      </c>
      <c r="M134" s="32">
        <v>0</v>
      </c>
      <c r="N134" s="33">
        <f t="shared" si="5"/>
        <v>45000</v>
      </c>
      <c r="O134" s="33">
        <v>0</v>
      </c>
      <c r="P134" s="32">
        <v>15000</v>
      </c>
      <c r="Q134" s="29" t="s">
        <v>839</v>
      </c>
      <c r="R134" s="29" t="s">
        <v>840</v>
      </c>
      <c r="S134" s="29" t="s">
        <v>15</v>
      </c>
      <c r="T134" s="29" t="s">
        <v>807</v>
      </c>
      <c r="U134" s="29" t="s">
        <v>15</v>
      </c>
      <c r="V134" s="29" t="s">
        <v>841</v>
      </c>
      <c r="W134" s="29" t="s">
        <v>841</v>
      </c>
    </row>
    <row r="135" spans="1:23" ht="10.5" customHeight="1" x14ac:dyDescent="0.25">
      <c r="A135" s="28">
        <v>46028</v>
      </c>
      <c r="B135" s="29" t="str">
        <f t="shared" si="4"/>
        <v>06/01/2026NL600004</v>
      </c>
      <c r="C135" s="30" t="s">
        <v>860</v>
      </c>
      <c r="D135" s="30" t="s">
        <v>835</v>
      </c>
      <c r="E135" s="29" t="s">
        <v>836</v>
      </c>
      <c r="F135" s="29" t="s">
        <v>837</v>
      </c>
      <c r="G135" s="29" t="s">
        <v>861</v>
      </c>
      <c r="H135" s="29" t="s">
        <v>462</v>
      </c>
      <c r="I135" s="29" t="s">
        <v>52</v>
      </c>
      <c r="J135" s="29" t="s">
        <v>237</v>
      </c>
      <c r="K135" s="31">
        <v>10.199999999999999</v>
      </c>
      <c r="L135" s="32">
        <v>18000</v>
      </c>
      <c r="M135" s="32">
        <v>0</v>
      </c>
      <c r="N135" s="33">
        <f t="shared" si="5"/>
        <v>183600</v>
      </c>
      <c r="O135" s="33">
        <v>0</v>
      </c>
      <c r="P135" s="32">
        <v>18000</v>
      </c>
      <c r="Q135" s="29" t="s">
        <v>839</v>
      </c>
      <c r="R135" s="29" t="s">
        <v>840</v>
      </c>
      <c r="S135" s="29" t="s">
        <v>15</v>
      </c>
      <c r="T135" s="29" t="s">
        <v>807</v>
      </c>
      <c r="U135" s="29" t="s">
        <v>15</v>
      </c>
      <c r="V135" s="29" t="s">
        <v>841</v>
      </c>
      <c r="W135" s="29" t="s">
        <v>841</v>
      </c>
    </row>
    <row r="136" spans="1:23" ht="10.5" customHeight="1" x14ac:dyDescent="0.25">
      <c r="A136" s="28">
        <v>46028</v>
      </c>
      <c r="B136" s="29" t="str">
        <f t="shared" si="4"/>
        <v>06/01/2026NL300126</v>
      </c>
      <c r="C136" s="30" t="s">
        <v>860</v>
      </c>
      <c r="D136" s="30" t="s">
        <v>835</v>
      </c>
      <c r="E136" s="29" t="s">
        <v>836</v>
      </c>
      <c r="F136" s="29" t="s">
        <v>837</v>
      </c>
      <c r="G136" s="29" t="s">
        <v>861</v>
      </c>
      <c r="H136" s="29" t="s">
        <v>721</v>
      </c>
      <c r="I136" s="29" t="s">
        <v>722</v>
      </c>
      <c r="J136" s="29" t="s">
        <v>237</v>
      </c>
      <c r="K136" s="31">
        <v>0.2</v>
      </c>
      <c r="L136" s="32">
        <v>70000</v>
      </c>
      <c r="M136" s="32">
        <v>0</v>
      </c>
      <c r="N136" s="33">
        <f t="shared" si="5"/>
        <v>14000</v>
      </c>
      <c r="O136" s="33">
        <v>0</v>
      </c>
      <c r="P136" s="32">
        <v>70000</v>
      </c>
      <c r="Q136" s="29" t="s">
        <v>839</v>
      </c>
      <c r="R136" s="29" t="s">
        <v>840</v>
      </c>
      <c r="S136" s="29" t="s">
        <v>15</v>
      </c>
      <c r="T136" s="29" t="s">
        <v>807</v>
      </c>
      <c r="U136" s="29" t="s">
        <v>15</v>
      </c>
      <c r="V136" s="29" t="s">
        <v>841</v>
      </c>
      <c r="W136" s="29" t="s">
        <v>841</v>
      </c>
    </row>
    <row r="137" spans="1:23" ht="10.5" customHeight="1" x14ac:dyDescent="0.25">
      <c r="A137" s="28">
        <v>46028</v>
      </c>
      <c r="B137" s="29" t="str">
        <f t="shared" si="4"/>
        <v>06/01/2026NL300070</v>
      </c>
      <c r="C137" s="30" t="s">
        <v>860</v>
      </c>
      <c r="D137" s="30" t="s">
        <v>835</v>
      </c>
      <c r="E137" s="29" t="s">
        <v>836</v>
      </c>
      <c r="F137" s="29" t="s">
        <v>837</v>
      </c>
      <c r="G137" s="29" t="s">
        <v>861</v>
      </c>
      <c r="H137" s="29" t="s">
        <v>507</v>
      </c>
      <c r="I137" s="29" t="s">
        <v>508</v>
      </c>
      <c r="J137" s="29" t="s">
        <v>237</v>
      </c>
      <c r="K137" s="31">
        <v>1.9</v>
      </c>
      <c r="L137" s="32">
        <v>23000</v>
      </c>
      <c r="M137" s="32">
        <v>0</v>
      </c>
      <c r="N137" s="33">
        <f t="shared" si="5"/>
        <v>43700</v>
      </c>
      <c r="O137" s="33">
        <v>0</v>
      </c>
      <c r="P137" s="32">
        <v>23000</v>
      </c>
      <c r="Q137" s="29" t="s">
        <v>839</v>
      </c>
      <c r="R137" s="29" t="s">
        <v>840</v>
      </c>
      <c r="S137" s="29" t="s">
        <v>15</v>
      </c>
      <c r="T137" s="29" t="s">
        <v>807</v>
      </c>
      <c r="U137" s="29" t="s">
        <v>15</v>
      </c>
      <c r="V137" s="29" t="s">
        <v>841</v>
      </c>
      <c r="W137" s="29" t="s">
        <v>841</v>
      </c>
    </row>
    <row r="138" spans="1:23" ht="10.5" customHeight="1" x14ac:dyDescent="0.25">
      <c r="A138" s="28">
        <v>46028</v>
      </c>
      <c r="B138" s="29" t="str">
        <f t="shared" si="4"/>
        <v>06/01/2026NL300058</v>
      </c>
      <c r="C138" s="30" t="s">
        <v>860</v>
      </c>
      <c r="D138" s="30" t="s">
        <v>835</v>
      </c>
      <c r="E138" s="29" t="s">
        <v>836</v>
      </c>
      <c r="F138" s="29" t="s">
        <v>837</v>
      </c>
      <c r="G138" s="29" t="s">
        <v>861</v>
      </c>
      <c r="H138" s="29" t="s">
        <v>481</v>
      </c>
      <c r="I138" s="29" t="s">
        <v>22</v>
      </c>
      <c r="J138" s="29" t="s">
        <v>237</v>
      </c>
      <c r="K138" s="31">
        <v>0.2</v>
      </c>
      <c r="L138" s="32">
        <v>55000</v>
      </c>
      <c r="M138" s="32">
        <v>0</v>
      </c>
      <c r="N138" s="33">
        <f t="shared" si="5"/>
        <v>11000</v>
      </c>
      <c r="O138" s="33">
        <v>0</v>
      </c>
      <c r="P138" s="32">
        <v>55000</v>
      </c>
      <c r="Q138" s="29" t="s">
        <v>839</v>
      </c>
      <c r="R138" s="29" t="s">
        <v>840</v>
      </c>
      <c r="S138" s="29" t="s">
        <v>15</v>
      </c>
      <c r="T138" s="29" t="s">
        <v>807</v>
      </c>
      <c r="U138" s="29" t="s">
        <v>15</v>
      </c>
      <c r="V138" s="29" t="s">
        <v>841</v>
      </c>
      <c r="W138" s="29" t="s">
        <v>841</v>
      </c>
    </row>
    <row r="139" spans="1:23" ht="10.5" customHeight="1" x14ac:dyDescent="0.25">
      <c r="A139" s="28">
        <v>46028</v>
      </c>
      <c r="B139" s="29" t="str">
        <f t="shared" si="4"/>
        <v>06/01/2026NL300053</v>
      </c>
      <c r="C139" s="30" t="s">
        <v>860</v>
      </c>
      <c r="D139" s="30" t="s">
        <v>835</v>
      </c>
      <c r="E139" s="29" t="s">
        <v>836</v>
      </c>
      <c r="F139" s="29" t="s">
        <v>837</v>
      </c>
      <c r="G139" s="29" t="s">
        <v>861</v>
      </c>
      <c r="H139" s="29" t="s">
        <v>475</v>
      </c>
      <c r="I139" s="29" t="s">
        <v>476</v>
      </c>
      <c r="J139" s="29" t="s">
        <v>237</v>
      </c>
      <c r="K139" s="31">
        <v>0.3</v>
      </c>
      <c r="L139" s="32">
        <v>30000</v>
      </c>
      <c r="M139" s="32">
        <v>0</v>
      </c>
      <c r="N139" s="33">
        <f t="shared" si="5"/>
        <v>9000</v>
      </c>
      <c r="O139" s="33">
        <v>0</v>
      </c>
      <c r="P139" s="32">
        <v>30000</v>
      </c>
      <c r="Q139" s="29" t="s">
        <v>839</v>
      </c>
      <c r="R139" s="29" t="s">
        <v>840</v>
      </c>
      <c r="S139" s="29" t="s">
        <v>15</v>
      </c>
      <c r="T139" s="29" t="s">
        <v>807</v>
      </c>
      <c r="U139" s="29" t="s">
        <v>15</v>
      </c>
      <c r="V139" s="29" t="s">
        <v>841</v>
      </c>
      <c r="W139" s="29" t="s">
        <v>841</v>
      </c>
    </row>
    <row r="140" spans="1:23" ht="10.5" customHeight="1" x14ac:dyDescent="0.25">
      <c r="A140" s="28">
        <v>46028</v>
      </c>
      <c r="B140" s="29" t="str">
        <f t="shared" si="4"/>
        <v>06/01/2026NL300014</v>
      </c>
      <c r="C140" s="30" t="s">
        <v>860</v>
      </c>
      <c r="D140" s="30" t="s">
        <v>835</v>
      </c>
      <c r="E140" s="29" t="s">
        <v>836</v>
      </c>
      <c r="F140" s="29" t="s">
        <v>837</v>
      </c>
      <c r="G140" s="29" t="s">
        <v>861</v>
      </c>
      <c r="H140" s="29" t="s">
        <v>280</v>
      </c>
      <c r="I140" s="29" t="s">
        <v>132</v>
      </c>
      <c r="J140" s="29" t="s">
        <v>237</v>
      </c>
      <c r="K140" s="31">
        <v>0.2</v>
      </c>
      <c r="L140" s="32">
        <v>55000</v>
      </c>
      <c r="M140" s="32">
        <v>0</v>
      </c>
      <c r="N140" s="33">
        <f t="shared" si="5"/>
        <v>11000</v>
      </c>
      <c r="O140" s="33">
        <v>0</v>
      </c>
      <c r="P140" s="32">
        <v>55000</v>
      </c>
      <c r="Q140" s="29" t="s">
        <v>839</v>
      </c>
      <c r="R140" s="29" t="s">
        <v>840</v>
      </c>
      <c r="S140" s="29" t="s">
        <v>15</v>
      </c>
      <c r="T140" s="29" t="s">
        <v>807</v>
      </c>
      <c r="U140" s="29" t="s">
        <v>15</v>
      </c>
      <c r="V140" s="29" t="s">
        <v>841</v>
      </c>
      <c r="W140" s="29" t="s">
        <v>841</v>
      </c>
    </row>
    <row r="141" spans="1:23" ht="10.5" customHeight="1" x14ac:dyDescent="0.25">
      <c r="A141" s="28">
        <v>46028</v>
      </c>
      <c r="B141" s="29" t="str">
        <f t="shared" si="4"/>
        <v>06/01/2026NL300004</v>
      </c>
      <c r="C141" s="30" t="s">
        <v>860</v>
      </c>
      <c r="D141" s="30" t="s">
        <v>835</v>
      </c>
      <c r="E141" s="29" t="s">
        <v>836</v>
      </c>
      <c r="F141" s="29" t="s">
        <v>837</v>
      </c>
      <c r="G141" s="29" t="s">
        <v>861</v>
      </c>
      <c r="H141" s="29" t="s">
        <v>244</v>
      </c>
      <c r="I141" s="29" t="s">
        <v>13</v>
      </c>
      <c r="J141" s="29" t="s">
        <v>237</v>
      </c>
      <c r="K141" s="31">
        <v>2.5</v>
      </c>
      <c r="L141" s="32">
        <v>19000</v>
      </c>
      <c r="M141" s="32">
        <v>0</v>
      </c>
      <c r="N141" s="33">
        <f t="shared" si="5"/>
        <v>47500</v>
      </c>
      <c r="O141" s="33">
        <v>0</v>
      </c>
      <c r="P141" s="32">
        <v>19000</v>
      </c>
      <c r="Q141" s="29" t="s">
        <v>839</v>
      </c>
      <c r="R141" s="29" t="s">
        <v>840</v>
      </c>
      <c r="S141" s="29" t="s">
        <v>15</v>
      </c>
      <c r="T141" s="29" t="s">
        <v>807</v>
      </c>
      <c r="U141" s="29" t="s">
        <v>15</v>
      </c>
      <c r="V141" s="29" t="s">
        <v>841</v>
      </c>
      <c r="W141" s="29" t="s">
        <v>841</v>
      </c>
    </row>
    <row r="142" spans="1:23" ht="10.5" customHeight="1" x14ac:dyDescent="0.25">
      <c r="A142" s="28">
        <v>46028</v>
      </c>
      <c r="B142" s="29" t="str">
        <f t="shared" si="4"/>
        <v>06/01/2026NL300027</v>
      </c>
      <c r="C142" s="30" t="s">
        <v>860</v>
      </c>
      <c r="D142" s="30" t="s">
        <v>835</v>
      </c>
      <c r="E142" s="29" t="s">
        <v>836</v>
      </c>
      <c r="F142" s="29" t="s">
        <v>837</v>
      </c>
      <c r="G142" s="29" t="s">
        <v>861</v>
      </c>
      <c r="H142" s="29" t="s">
        <v>314</v>
      </c>
      <c r="I142" s="29" t="s">
        <v>126</v>
      </c>
      <c r="J142" s="29" t="s">
        <v>237</v>
      </c>
      <c r="K142" s="31">
        <v>2</v>
      </c>
      <c r="L142" s="32">
        <v>18000</v>
      </c>
      <c r="M142" s="32">
        <v>0</v>
      </c>
      <c r="N142" s="33">
        <f t="shared" si="5"/>
        <v>36000</v>
      </c>
      <c r="O142" s="33">
        <v>0</v>
      </c>
      <c r="P142" s="32">
        <v>18000</v>
      </c>
      <c r="Q142" s="29" t="s">
        <v>839</v>
      </c>
      <c r="R142" s="29" t="s">
        <v>840</v>
      </c>
      <c r="S142" s="29" t="s">
        <v>15</v>
      </c>
      <c r="T142" s="29" t="s">
        <v>807</v>
      </c>
      <c r="U142" s="29" t="s">
        <v>15</v>
      </c>
      <c r="V142" s="29" t="s">
        <v>841</v>
      </c>
      <c r="W142" s="29" t="s">
        <v>841</v>
      </c>
    </row>
    <row r="143" spans="1:23" ht="10.5" customHeight="1" x14ac:dyDescent="0.25">
      <c r="A143" s="28">
        <v>46028</v>
      </c>
      <c r="B143" s="29" t="str">
        <f t="shared" si="4"/>
        <v>06/01/2026NL300090</v>
      </c>
      <c r="C143" s="30" t="s">
        <v>860</v>
      </c>
      <c r="D143" s="30" t="s">
        <v>835</v>
      </c>
      <c r="E143" s="29" t="s">
        <v>836</v>
      </c>
      <c r="F143" s="29" t="s">
        <v>837</v>
      </c>
      <c r="G143" s="29" t="s">
        <v>861</v>
      </c>
      <c r="H143" s="29" t="s">
        <v>604</v>
      </c>
      <c r="I143" s="29" t="s">
        <v>40</v>
      </c>
      <c r="J143" s="29" t="s">
        <v>237</v>
      </c>
      <c r="K143" s="31">
        <v>2</v>
      </c>
      <c r="L143" s="32">
        <v>145000</v>
      </c>
      <c r="M143" s="32">
        <v>0</v>
      </c>
      <c r="N143" s="33">
        <f t="shared" si="5"/>
        <v>290000</v>
      </c>
      <c r="O143" s="33">
        <v>0</v>
      </c>
      <c r="P143" s="32">
        <v>145000</v>
      </c>
      <c r="Q143" s="29" t="s">
        <v>839</v>
      </c>
      <c r="R143" s="29" t="s">
        <v>840</v>
      </c>
      <c r="S143" s="29" t="s">
        <v>15</v>
      </c>
      <c r="T143" s="29" t="s">
        <v>807</v>
      </c>
      <c r="U143" s="29" t="s">
        <v>15</v>
      </c>
      <c r="V143" s="29" t="s">
        <v>841</v>
      </c>
      <c r="W143" s="29" t="s">
        <v>841</v>
      </c>
    </row>
    <row r="144" spans="1:23" ht="10.5" customHeight="1" x14ac:dyDescent="0.25">
      <c r="A144" s="28">
        <v>46028</v>
      </c>
      <c r="B144" s="29" t="str">
        <f t="shared" si="4"/>
        <v>06/01/2026NL300038</v>
      </c>
      <c r="C144" s="30" t="s">
        <v>860</v>
      </c>
      <c r="D144" s="30" t="s">
        <v>835</v>
      </c>
      <c r="E144" s="29" t="s">
        <v>836</v>
      </c>
      <c r="F144" s="29" t="s">
        <v>837</v>
      </c>
      <c r="G144" s="29" t="s">
        <v>861</v>
      </c>
      <c r="H144" s="29" t="s">
        <v>408</v>
      </c>
      <c r="I144" s="29" t="s">
        <v>20</v>
      </c>
      <c r="J144" s="29" t="s">
        <v>237</v>
      </c>
      <c r="K144" s="31">
        <v>1</v>
      </c>
      <c r="L144" s="32">
        <v>32000</v>
      </c>
      <c r="M144" s="32">
        <v>0</v>
      </c>
      <c r="N144" s="33">
        <f t="shared" si="5"/>
        <v>32000</v>
      </c>
      <c r="O144" s="33">
        <v>0</v>
      </c>
      <c r="P144" s="32">
        <v>32000</v>
      </c>
      <c r="Q144" s="29" t="s">
        <v>839</v>
      </c>
      <c r="R144" s="29" t="s">
        <v>840</v>
      </c>
      <c r="S144" s="29" t="s">
        <v>15</v>
      </c>
      <c r="T144" s="29" t="s">
        <v>807</v>
      </c>
      <c r="U144" s="29" t="s">
        <v>15</v>
      </c>
      <c r="V144" s="29" t="s">
        <v>841</v>
      </c>
      <c r="W144" s="29" t="s">
        <v>841</v>
      </c>
    </row>
    <row r="145" spans="1:23" ht="10.5" customHeight="1" x14ac:dyDescent="0.25">
      <c r="A145" s="28">
        <v>46028</v>
      </c>
      <c r="B145" s="29" t="str">
        <f t="shared" si="4"/>
        <v>06/01/2026NL300059</v>
      </c>
      <c r="C145" s="30" t="s">
        <v>860</v>
      </c>
      <c r="D145" s="30" t="s">
        <v>835</v>
      </c>
      <c r="E145" s="29" t="s">
        <v>836</v>
      </c>
      <c r="F145" s="29" t="s">
        <v>837</v>
      </c>
      <c r="G145" s="29" t="s">
        <v>861</v>
      </c>
      <c r="H145" s="29" t="s">
        <v>484</v>
      </c>
      <c r="I145" s="29" t="s">
        <v>24</v>
      </c>
      <c r="J145" s="29" t="s">
        <v>237</v>
      </c>
      <c r="K145" s="31">
        <v>1.4</v>
      </c>
      <c r="L145" s="32">
        <v>13000</v>
      </c>
      <c r="M145" s="32">
        <v>0</v>
      </c>
      <c r="N145" s="33">
        <f t="shared" si="5"/>
        <v>18200</v>
      </c>
      <c r="O145" s="33">
        <v>0</v>
      </c>
      <c r="P145" s="32">
        <v>13000</v>
      </c>
      <c r="Q145" s="29" t="s">
        <v>839</v>
      </c>
      <c r="R145" s="29" t="s">
        <v>840</v>
      </c>
      <c r="S145" s="29" t="s">
        <v>15</v>
      </c>
      <c r="T145" s="29" t="s">
        <v>807</v>
      </c>
      <c r="U145" s="29" t="s">
        <v>15</v>
      </c>
      <c r="V145" s="29" t="s">
        <v>841</v>
      </c>
      <c r="W145" s="29" t="s">
        <v>841</v>
      </c>
    </row>
    <row r="146" spans="1:23" ht="10.5" customHeight="1" x14ac:dyDescent="0.25">
      <c r="A146" s="28">
        <v>46028</v>
      </c>
      <c r="B146" s="29" t="str">
        <f t="shared" si="4"/>
        <v>06/01/2026NL300107</v>
      </c>
      <c r="C146" s="30" t="s">
        <v>860</v>
      </c>
      <c r="D146" s="30" t="s">
        <v>835</v>
      </c>
      <c r="E146" s="29" t="s">
        <v>836</v>
      </c>
      <c r="F146" s="29" t="s">
        <v>837</v>
      </c>
      <c r="G146" s="29" t="s">
        <v>861</v>
      </c>
      <c r="H146" s="29" t="s">
        <v>638</v>
      </c>
      <c r="I146" s="29" t="s">
        <v>842</v>
      </c>
      <c r="J146" s="29" t="s">
        <v>420</v>
      </c>
      <c r="K146" s="31">
        <v>7</v>
      </c>
      <c r="L146" s="32">
        <v>8500</v>
      </c>
      <c r="M146" s="32">
        <v>0</v>
      </c>
      <c r="N146" s="33">
        <f t="shared" si="5"/>
        <v>59500</v>
      </c>
      <c r="O146" s="33">
        <v>0</v>
      </c>
      <c r="P146" s="32">
        <v>8500</v>
      </c>
      <c r="Q146" s="29" t="s">
        <v>839</v>
      </c>
      <c r="R146" s="29" t="s">
        <v>840</v>
      </c>
      <c r="S146" s="29" t="s">
        <v>15</v>
      </c>
      <c r="T146" s="29" t="s">
        <v>807</v>
      </c>
      <c r="U146" s="29" t="s">
        <v>15</v>
      </c>
      <c r="V146" s="29" t="s">
        <v>841</v>
      </c>
      <c r="W146" s="29" t="s">
        <v>841</v>
      </c>
    </row>
    <row r="147" spans="1:23" ht="10.5" customHeight="1" x14ac:dyDescent="0.25">
      <c r="A147" s="28">
        <v>46028</v>
      </c>
      <c r="B147" s="29" t="str">
        <f t="shared" si="4"/>
        <v>06/01/2026NL300008</v>
      </c>
      <c r="C147" s="30" t="s">
        <v>860</v>
      </c>
      <c r="D147" s="30" t="s">
        <v>835</v>
      </c>
      <c r="E147" s="29" t="s">
        <v>836</v>
      </c>
      <c r="F147" s="29" t="s">
        <v>837</v>
      </c>
      <c r="G147" s="29" t="s">
        <v>861</v>
      </c>
      <c r="H147" s="29" t="s">
        <v>255</v>
      </c>
      <c r="I147" s="29" t="s">
        <v>256</v>
      </c>
      <c r="J147" s="29" t="s">
        <v>237</v>
      </c>
      <c r="K147" s="31">
        <v>1</v>
      </c>
      <c r="L147" s="32">
        <v>40000</v>
      </c>
      <c r="M147" s="32">
        <v>0</v>
      </c>
      <c r="N147" s="33">
        <f t="shared" si="5"/>
        <v>40000</v>
      </c>
      <c r="O147" s="33">
        <v>0</v>
      </c>
      <c r="P147" s="32">
        <v>40000</v>
      </c>
      <c r="Q147" s="29" t="s">
        <v>839</v>
      </c>
      <c r="R147" s="29" t="s">
        <v>840</v>
      </c>
      <c r="S147" s="29" t="s">
        <v>15</v>
      </c>
      <c r="T147" s="29" t="s">
        <v>807</v>
      </c>
      <c r="U147" s="29" t="s">
        <v>15</v>
      </c>
      <c r="V147" s="29" t="s">
        <v>841</v>
      </c>
      <c r="W147" s="29" t="s">
        <v>841</v>
      </c>
    </row>
    <row r="148" spans="1:23" ht="10.5" customHeight="1" x14ac:dyDescent="0.25">
      <c r="A148" s="28">
        <v>46028</v>
      </c>
      <c r="B148" s="29" t="str">
        <f t="shared" si="4"/>
        <v>06/01/2026NL300119</v>
      </c>
      <c r="C148" s="30" t="s">
        <v>860</v>
      </c>
      <c r="D148" s="30" t="s">
        <v>835</v>
      </c>
      <c r="E148" s="29" t="s">
        <v>836</v>
      </c>
      <c r="F148" s="29" t="s">
        <v>837</v>
      </c>
      <c r="G148" s="29" t="s">
        <v>861</v>
      </c>
      <c r="H148" s="29" t="s">
        <v>672</v>
      </c>
      <c r="I148" s="29" t="s">
        <v>673</v>
      </c>
      <c r="J148" s="29" t="s">
        <v>237</v>
      </c>
      <c r="K148" s="31">
        <v>0.3</v>
      </c>
      <c r="L148" s="32">
        <v>21000</v>
      </c>
      <c r="M148" s="32">
        <v>0</v>
      </c>
      <c r="N148" s="33">
        <f t="shared" si="5"/>
        <v>6300</v>
      </c>
      <c r="O148" s="33">
        <v>0</v>
      </c>
      <c r="P148" s="32">
        <v>21000</v>
      </c>
      <c r="Q148" s="29" t="s">
        <v>839</v>
      </c>
      <c r="R148" s="29" t="s">
        <v>840</v>
      </c>
      <c r="S148" s="29" t="s">
        <v>15</v>
      </c>
      <c r="T148" s="29" t="s">
        <v>807</v>
      </c>
      <c r="U148" s="29" t="s">
        <v>15</v>
      </c>
      <c r="V148" s="29" t="s">
        <v>841</v>
      </c>
      <c r="W148" s="29" t="s">
        <v>841</v>
      </c>
    </row>
    <row r="149" spans="1:23" ht="10.5" customHeight="1" x14ac:dyDescent="0.25">
      <c r="A149" s="28">
        <v>46028</v>
      </c>
      <c r="B149" s="29" t="str">
        <f t="shared" si="4"/>
        <v>06/01/2026NL300080</v>
      </c>
      <c r="C149" s="30" t="s">
        <v>860</v>
      </c>
      <c r="D149" s="30" t="s">
        <v>835</v>
      </c>
      <c r="E149" s="29" t="s">
        <v>836</v>
      </c>
      <c r="F149" s="29" t="s">
        <v>837</v>
      </c>
      <c r="G149" s="29" t="s">
        <v>861</v>
      </c>
      <c r="H149" s="29" t="s">
        <v>553</v>
      </c>
      <c r="I149" s="29" t="s">
        <v>554</v>
      </c>
      <c r="J149" s="29" t="s">
        <v>237</v>
      </c>
      <c r="K149" s="31">
        <v>1</v>
      </c>
      <c r="L149" s="32">
        <v>95000</v>
      </c>
      <c r="M149" s="32">
        <v>0</v>
      </c>
      <c r="N149" s="33">
        <f t="shared" si="5"/>
        <v>95000</v>
      </c>
      <c r="O149" s="33">
        <v>0</v>
      </c>
      <c r="P149" s="32">
        <v>95000</v>
      </c>
      <c r="Q149" s="29" t="s">
        <v>839</v>
      </c>
      <c r="R149" s="29" t="s">
        <v>840</v>
      </c>
      <c r="S149" s="29" t="s">
        <v>15</v>
      </c>
      <c r="T149" s="29" t="s">
        <v>807</v>
      </c>
      <c r="U149" s="29" t="s">
        <v>15</v>
      </c>
      <c r="V149" s="29" t="s">
        <v>841</v>
      </c>
      <c r="W149" s="29" t="s">
        <v>841</v>
      </c>
    </row>
    <row r="150" spans="1:23" ht="10.5" customHeight="1" x14ac:dyDescent="0.25">
      <c r="A150" s="28">
        <v>46028</v>
      </c>
      <c r="B150" s="29" t="str">
        <f t="shared" si="4"/>
        <v>06/01/2026NL300145</v>
      </c>
      <c r="C150" s="30" t="s">
        <v>860</v>
      </c>
      <c r="D150" s="30" t="s">
        <v>835</v>
      </c>
      <c r="E150" s="29" t="s">
        <v>836</v>
      </c>
      <c r="F150" s="29" t="s">
        <v>837</v>
      </c>
      <c r="G150" s="29" t="s">
        <v>861</v>
      </c>
      <c r="H150" s="29" t="s">
        <v>790</v>
      </c>
      <c r="I150" s="29" t="s">
        <v>791</v>
      </c>
      <c r="J150" s="29" t="s">
        <v>237</v>
      </c>
      <c r="K150" s="31">
        <v>4</v>
      </c>
      <c r="L150" s="32">
        <v>38000</v>
      </c>
      <c r="M150" s="32">
        <v>0</v>
      </c>
      <c r="N150" s="33">
        <f t="shared" si="5"/>
        <v>152000</v>
      </c>
      <c r="O150" s="33">
        <v>0</v>
      </c>
      <c r="P150" s="32">
        <v>38000</v>
      </c>
      <c r="Q150" s="29" t="s">
        <v>839</v>
      </c>
      <c r="R150" s="29" t="s">
        <v>840</v>
      </c>
      <c r="S150" s="29" t="s">
        <v>15</v>
      </c>
      <c r="T150" s="29" t="s">
        <v>807</v>
      </c>
      <c r="U150" s="29" t="s">
        <v>15</v>
      </c>
      <c r="V150" s="29" t="s">
        <v>841</v>
      </c>
      <c r="W150" s="29" t="s">
        <v>841</v>
      </c>
    </row>
    <row r="151" spans="1:23" ht="10.5" customHeight="1" x14ac:dyDescent="0.25">
      <c r="A151" s="28">
        <v>46028</v>
      </c>
      <c r="B151" s="29" t="str">
        <f t="shared" si="4"/>
        <v>06/01/2026NL300033</v>
      </c>
      <c r="C151" s="30" t="s">
        <v>860</v>
      </c>
      <c r="D151" s="30" t="s">
        <v>835</v>
      </c>
      <c r="E151" s="29" t="s">
        <v>836</v>
      </c>
      <c r="F151" s="29" t="s">
        <v>837</v>
      </c>
      <c r="G151" s="29" t="s">
        <v>861</v>
      </c>
      <c r="H151" s="29" t="s">
        <v>374</v>
      </c>
      <c r="I151" s="29" t="s">
        <v>843</v>
      </c>
      <c r="J151" s="29" t="s">
        <v>237</v>
      </c>
      <c r="K151" s="31">
        <v>1.3</v>
      </c>
      <c r="L151" s="32">
        <v>13000</v>
      </c>
      <c r="M151" s="32">
        <v>0</v>
      </c>
      <c r="N151" s="33">
        <f t="shared" si="5"/>
        <v>16900</v>
      </c>
      <c r="O151" s="33">
        <v>0</v>
      </c>
      <c r="P151" s="32">
        <v>13000</v>
      </c>
      <c r="Q151" s="29" t="s">
        <v>839</v>
      </c>
      <c r="R151" s="29" t="s">
        <v>840</v>
      </c>
      <c r="S151" s="29" t="s">
        <v>15</v>
      </c>
      <c r="T151" s="29" t="s">
        <v>807</v>
      </c>
      <c r="U151" s="29" t="s">
        <v>15</v>
      </c>
      <c r="V151" s="29" t="s">
        <v>841</v>
      </c>
      <c r="W151" s="29" t="s">
        <v>841</v>
      </c>
    </row>
    <row r="152" spans="1:23" ht="10.5" customHeight="1" x14ac:dyDescent="0.25">
      <c r="A152" s="28">
        <v>46028</v>
      </c>
      <c r="B152" s="29" t="str">
        <f t="shared" si="4"/>
        <v>06/01/2026NL300048</v>
      </c>
      <c r="C152" s="30" t="s">
        <v>860</v>
      </c>
      <c r="D152" s="30" t="s">
        <v>835</v>
      </c>
      <c r="E152" s="29" t="s">
        <v>836</v>
      </c>
      <c r="F152" s="29" t="s">
        <v>837</v>
      </c>
      <c r="G152" s="29" t="s">
        <v>861</v>
      </c>
      <c r="H152" s="29" t="s">
        <v>460</v>
      </c>
      <c r="I152" s="29" t="s">
        <v>461</v>
      </c>
      <c r="J152" s="29" t="s">
        <v>237</v>
      </c>
      <c r="K152" s="31">
        <v>2</v>
      </c>
      <c r="L152" s="32">
        <v>18000</v>
      </c>
      <c r="M152" s="32">
        <v>0</v>
      </c>
      <c r="N152" s="33">
        <f t="shared" si="5"/>
        <v>36000</v>
      </c>
      <c r="O152" s="33">
        <v>0</v>
      </c>
      <c r="P152" s="32">
        <v>18000</v>
      </c>
      <c r="Q152" s="29" t="s">
        <v>839</v>
      </c>
      <c r="R152" s="29" t="s">
        <v>840</v>
      </c>
      <c r="S152" s="29" t="s">
        <v>15</v>
      </c>
      <c r="T152" s="29" t="s">
        <v>807</v>
      </c>
      <c r="U152" s="29" t="s">
        <v>15</v>
      </c>
      <c r="V152" s="29" t="s">
        <v>841</v>
      </c>
      <c r="W152" s="29" t="s">
        <v>841</v>
      </c>
    </row>
    <row r="153" spans="1:23" ht="10.5" customHeight="1" x14ac:dyDescent="0.25">
      <c r="A153" s="28">
        <v>46029</v>
      </c>
      <c r="B153" s="29" t="str">
        <f t="shared" si="4"/>
        <v>07/01/2026NL300096</v>
      </c>
      <c r="C153" s="30" t="s">
        <v>862</v>
      </c>
      <c r="D153" s="30" t="s">
        <v>835</v>
      </c>
      <c r="E153" s="29" t="s">
        <v>836</v>
      </c>
      <c r="F153" s="29" t="s">
        <v>837</v>
      </c>
      <c r="G153" s="29" t="s">
        <v>863</v>
      </c>
      <c r="H153" s="29" t="s">
        <v>610</v>
      </c>
      <c r="I153" s="29" t="s">
        <v>30</v>
      </c>
      <c r="J153" s="29" t="s">
        <v>237</v>
      </c>
      <c r="K153" s="31">
        <v>0.2</v>
      </c>
      <c r="L153" s="32">
        <v>45000</v>
      </c>
      <c r="M153" s="32">
        <v>0</v>
      </c>
      <c r="N153" s="33">
        <f t="shared" si="5"/>
        <v>9000</v>
      </c>
      <c r="O153" s="33">
        <v>0</v>
      </c>
      <c r="P153" s="32">
        <v>45000</v>
      </c>
      <c r="Q153" s="29" t="s">
        <v>839</v>
      </c>
      <c r="R153" s="29" t="s">
        <v>840</v>
      </c>
      <c r="S153" s="29" t="s">
        <v>15</v>
      </c>
      <c r="T153" s="29" t="s">
        <v>807</v>
      </c>
      <c r="U153" s="29" t="s">
        <v>15</v>
      </c>
      <c r="V153" s="29" t="s">
        <v>841</v>
      </c>
      <c r="W153" s="29" t="s">
        <v>841</v>
      </c>
    </row>
    <row r="154" spans="1:23" ht="10.5" customHeight="1" x14ac:dyDescent="0.25">
      <c r="A154" s="28">
        <v>46029</v>
      </c>
      <c r="B154" s="29" t="str">
        <f t="shared" si="4"/>
        <v>07/01/2026NL300071</v>
      </c>
      <c r="C154" s="30" t="s">
        <v>862</v>
      </c>
      <c r="D154" s="30" t="s">
        <v>835</v>
      </c>
      <c r="E154" s="29" t="s">
        <v>836</v>
      </c>
      <c r="F154" s="29" t="s">
        <v>837</v>
      </c>
      <c r="G154" s="29" t="s">
        <v>863</v>
      </c>
      <c r="H154" s="29" t="s">
        <v>524</v>
      </c>
      <c r="I154" s="29" t="s">
        <v>806</v>
      </c>
      <c r="J154" s="29" t="s">
        <v>237</v>
      </c>
      <c r="K154" s="31">
        <v>0</v>
      </c>
      <c r="L154" s="32">
        <v>20000</v>
      </c>
      <c r="M154" s="32">
        <v>0</v>
      </c>
      <c r="N154" s="33">
        <f t="shared" si="5"/>
        <v>0</v>
      </c>
      <c r="O154" s="33">
        <v>0</v>
      </c>
      <c r="P154" s="32">
        <v>20000</v>
      </c>
      <c r="Q154" s="29" t="s">
        <v>839</v>
      </c>
      <c r="R154" s="29" t="s">
        <v>840</v>
      </c>
      <c r="S154" s="29" t="s">
        <v>15</v>
      </c>
      <c r="T154" s="29" t="s">
        <v>807</v>
      </c>
      <c r="U154" s="29" t="s">
        <v>15</v>
      </c>
      <c r="V154" s="29" t="s">
        <v>841</v>
      </c>
      <c r="W154" s="29" t="s">
        <v>841</v>
      </c>
    </row>
    <row r="155" spans="1:23" ht="10.5" customHeight="1" x14ac:dyDescent="0.25">
      <c r="A155" s="28">
        <v>46029</v>
      </c>
      <c r="B155" s="29" t="str">
        <f t="shared" si="4"/>
        <v>07/01/2026NL300126</v>
      </c>
      <c r="C155" s="30" t="s">
        <v>862</v>
      </c>
      <c r="D155" s="30" t="s">
        <v>835</v>
      </c>
      <c r="E155" s="29" t="s">
        <v>836</v>
      </c>
      <c r="F155" s="29" t="s">
        <v>837</v>
      </c>
      <c r="G155" s="29" t="s">
        <v>863</v>
      </c>
      <c r="H155" s="29" t="s">
        <v>721</v>
      </c>
      <c r="I155" s="29" t="s">
        <v>722</v>
      </c>
      <c r="J155" s="29" t="s">
        <v>237</v>
      </c>
      <c r="K155" s="31">
        <v>0.3</v>
      </c>
      <c r="L155" s="32">
        <v>70000</v>
      </c>
      <c r="M155" s="32">
        <v>0</v>
      </c>
      <c r="N155" s="33">
        <f t="shared" si="5"/>
        <v>21000</v>
      </c>
      <c r="O155" s="33">
        <v>0</v>
      </c>
      <c r="P155" s="32">
        <v>70000</v>
      </c>
      <c r="Q155" s="29" t="s">
        <v>839</v>
      </c>
      <c r="R155" s="29" t="s">
        <v>840</v>
      </c>
      <c r="S155" s="29" t="s">
        <v>15</v>
      </c>
      <c r="T155" s="29" t="s">
        <v>807</v>
      </c>
      <c r="U155" s="29" t="s">
        <v>15</v>
      </c>
      <c r="V155" s="29" t="s">
        <v>841</v>
      </c>
      <c r="W155" s="29" t="s">
        <v>841</v>
      </c>
    </row>
    <row r="156" spans="1:23" ht="10.5" customHeight="1" x14ac:dyDescent="0.25">
      <c r="A156" s="28">
        <v>46029</v>
      </c>
      <c r="B156" s="29" t="str">
        <f t="shared" si="4"/>
        <v>07/01/2026NL600068</v>
      </c>
      <c r="C156" s="30" t="s">
        <v>862</v>
      </c>
      <c r="D156" s="30" t="s">
        <v>835</v>
      </c>
      <c r="E156" s="29" t="s">
        <v>836</v>
      </c>
      <c r="F156" s="29" t="s">
        <v>837</v>
      </c>
      <c r="G156" s="29" t="s">
        <v>863</v>
      </c>
      <c r="H156" s="29" t="s">
        <v>363</v>
      </c>
      <c r="I156" s="29" t="s">
        <v>92</v>
      </c>
      <c r="J156" s="29" t="s">
        <v>237</v>
      </c>
      <c r="K156" s="31">
        <v>0.5</v>
      </c>
      <c r="L156" s="32">
        <v>95000</v>
      </c>
      <c r="M156" s="32">
        <v>0</v>
      </c>
      <c r="N156" s="33">
        <f t="shared" si="5"/>
        <v>47500</v>
      </c>
      <c r="O156" s="33">
        <v>0</v>
      </c>
      <c r="P156" s="32">
        <v>95000</v>
      </c>
      <c r="Q156" s="29" t="s">
        <v>839</v>
      </c>
      <c r="R156" s="29" t="s">
        <v>840</v>
      </c>
      <c r="S156" s="29" t="s">
        <v>15</v>
      </c>
      <c r="T156" s="29" t="s">
        <v>807</v>
      </c>
      <c r="U156" s="29" t="s">
        <v>15</v>
      </c>
      <c r="V156" s="29" t="s">
        <v>841</v>
      </c>
      <c r="W156" s="29" t="s">
        <v>841</v>
      </c>
    </row>
    <row r="157" spans="1:23" ht="10.5" customHeight="1" x14ac:dyDescent="0.25">
      <c r="A157" s="28">
        <v>46029</v>
      </c>
      <c r="B157" s="29" t="str">
        <f t="shared" si="4"/>
        <v>07/01/2026NL300070</v>
      </c>
      <c r="C157" s="30" t="s">
        <v>862</v>
      </c>
      <c r="D157" s="30" t="s">
        <v>835</v>
      </c>
      <c r="E157" s="29" t="s">
        <v>836</v>
      </c>
      <c r="F157" s="29" t="s">
        <v>837</v>
      </c>
      <c r="G157" s="29" t="s">
        <v>863</v>
      </c>
      <c r="H157" s="29" t="s">
        <v>507</v>
      </c>
      <c r="I157" s="29" t="s">
        <v>508</v>
      </c>
      <c r="J157" s="29" t="s">
        <v>237</v>
      </c>
      <c r="K157" s="31">
        <v>1</v>
      </c>
      <c r="L157" s="32">
        <v>23000</v>
      </c>
      <c r="M157" s="32">
        <v>0</v>
      </c>
      <c r="N157" s="33">
        <f t="shared" si="5"/>
        <v>23000</v>
      </c>
      <c r="O157" s="33">
        <v>0</v>
      </c>
      <c r="P157" s="32">
        <v>23000</v>
      </c>
      <c r="Q157" s="29" t="s">
        <v>839</v>
      </c>
      <c r="R157" s="29" t="s">
        <v>840</v>
      </c>
      <c r="S157" s="29" t="s">
        <v>15</v>
      </c>
      <c r="T157" s="29" t="s">
        <v>807</v>
      </c>
      <c r="U157" s="29" t="s">
        <v>15</v>
      </c>
      <c r="V157" s="29" t="s">
        <v>841</v>
      </c>
      <c r="W157" s="29" t="s">
        <v>841</v>
      </c>
    </row>
    <row r="158" spans="1:23" ht="10.5" customHeight="1" x14ac:dyDescent="0.25">
      <c r="A158" s="28">
        <v>46029</v>
      </c>
      <c r="B158" s="29" t="str">
        <f t="shared" si="4"/>
        <v>07/01/2026NL300058</v>
      </c>
      <c r="C158" s="30" t="s">
        <v>862</v>
      </c>
      <c r="D158" s="30" t="s">
        <v>835</v>
      </c>
      <c r="E158" s="29" t="s">
        <v>836</v>
      </c>
      <c r="F158" s="29" t="s">
        <v>837</v>
      </c>
      <c r="G158" s="29" t="s">
        <v>863</v>
      </c>
      <c r="H158" s="29" t="s">
        <v>481</v>
      </c>
      <c r="I158" s="29" t="s">
        <v>22</v>
      </c>
      <c r="J158" s="29" t="s">
        <v>237</v>
      </c>
      <c r="K158" s="31">
        <v>0.2</v>
      </c>
      <c r="L158" s="32">
        <v>55000</v>
      </c>
      <c r="M158" s="32">
        <v>0</v>
      </c>
      <c r="N158" s="33">
        <f t="shared" si="5"/>
        <v>11000</v>
      </c>
      <c r="O158" s="33">
        <v>0</v>
      </c>
      <c r="P158" s="32">
        <v>55000</v>
      </c>
      <c r="Q158" s="29" t="s">
        <v>839</v>
      </c>
      <c r="R158" s="29" t="s">
        <v>840</v>
      </c>
      <c r="S158" s="29" t="s">
        <v>15</v>
      </c>
      <c r="T158" s="29" t="s">
        <v>807</v>
      </c>
      <c r="U158" s="29" t="s">
        <v>15</v>
      </c>
      <c r="V158" s="29" t="s">
        <v>841</v>
      </c>
      <c r="W158" s="29" t="s">
        <v>841</v>
      </c>
    </row>
    <row r="159" spans="1:23" ht="10.5" customHeight="1" x14ac:dyDescent="0.25">
      <c r="A159" s="28">
        <v>46029</v>
      </c>
      <c r="B159" s="29" t="str">
        <f t="shared" si="4"/>
        <v>07/01/2026NL300053</v>
      </c>
      <c r="C159" s="30" t="s">
        <v>862</v>
      </c>
      <c r="D159" s="30" t="s">
        <v>835</v>
      </c>
      <c r="E159" s="29" t="s">
        <v>836</v>
      </c>
      <c r="F159" s="29" t="s">
        <v>837</v>
      </c>
      <c r="G159" s="29" t="s">
        <v>863</v>
      </c>
      <c r="H159" s="29" t="s">
        <v>475</v>
      </c>
      <c r="I159" s="29" t="s">
        <v>476</v>
      </c>
      <c r="J159" s="29" t="s">
        <v>237</v>
      </c>
      <c r="K159" s="31">
        <v>0</v>
      </c>
      <c r="L159" s="32">
        <v>30000</v>
      </c>
      <c r="M159" s="32">
        <v>0</v>
      </c>
      <c r="N159" s="33">
        <f t="shared" si="5"/>
        <v>0</v>
      </c>
      <c r="O159" s="33">
        <v>0</v>
      </c>
      <c r="P159" s="32">
        <v>30000</v>
      </c>
      <c r="Q159" s="29" t="s">
        <v>839</v>
      </c>
      <c r="R159" s="29" t="s">
        <v>840</v>
      </c>
      <c r="S159" s="29" t="s">
        <v>15</v>
      </c>
      <c r="T159" s="29" t="s">
        <v>807</v>
      </c>
      <c r="U159" s="29" t="s">
        <v>15</v>
      </c>
      <c r="V159" s="29" t="s">
        <v>841</v>
      </c>
      <c r="W159" s="29" t="s">
        <v>841</v>
      </c>
    </row>
    <row r="160" spans="1:23" ht="10.5" customHeight="1" x14ac:dyDescent="0.25">
      <c r="A160" s="28">
        <v>46029</v>
      </c>
      <c r="B160" s="29" t="str">
        <f t="shared" si="4"/>
        <v>07/01/2026NL300050</v>
      </c>
      <c r="C160" s="30" t="s">
        <v>862</v>
      </c>
      <c r="D160" s="30" t="s">
        <v>835</v>
      </c>
      <c r="E160" s="29" t="s">
        <v>836</v>
      </c>
      <c r="F160" s="29" t="s">
        <v>837</v>
      </c>
      <c r="G160" s="29" t="s">
        <v>863</v>
      </c>
      <c r="H160" s="29" t="s">
        <v>804</v>
      </c>
      <c r="I160" s="29" t="s">
        <v>805</v>
      </c>
      <c r="J160" s="29" t="s">
        <v>237</v>
      </c>
      <c r="K160" s="31">
        <v>0.5</v>
      </c>
      <c r="L160" s="32">
        <v>9000</v>
      </c>
      <c r="M160" s="32">
        <v>0</v>
      </c>
      <c r="N160" s="33">
        <f t="shared" si="5"/>
        <v>4500</v>
      </c>
      <c r="O160" s="33">
        <v>0</v>
      </c>
      <c r="P160" s="32">
        <v>9000</v>
      </c>
      <c r="Q160" s="29" t="s">
        <v>839</v>
      </c>
      <c r="R160" s="29" t="s">
        <v>840</v>
      </c>
      <c r="S160" s="29" t="s">
        <v>15</v>
      </c>
      <c r="T160" s="29" t="s">
        <v>807</v>
      </c>
      <c r="U160" s="29" t="s">
        <v>15</v>
      </c>
      <c r="V160" s="29" t="s">
        <v>841</v>
      </c>
      <c r="W160" s="29" t="s">
        <v>841</v>
      </c>
    </row>
    <row r="161" spans="1:23" ht="10.5" customHeight="1" x14ac:dyDescent="0.25">
      <c r="A161" s="28">
        <v>46029</v>
      </c>
      <c r="B161" s="29" t="str">
        <f t="shared" si="4"/>
        <v>07/01/2026NL300014</v>
      </c>
      <c r="C161" s="30" t="s">
        <v>862</v>
      </c>
      <c r="D161" s="30" t="s">
        <v>835</v>
      </c>
      <c r="E161" s="29" t="s">
        <v>836</v>
      </c>
      <c r="F161" s="29" t="s">
        <v>837</v>
      </c>
      <c r="G161" s="29" t="s">
        <v>863</v>
      </c>
      <c r="H161" s="29" t="s">
        <v>280</v>
      </c>
      <c r="I161" s="29" t="s">
        <v>132</v>
      </c>
      <c r="J161" s="29" t="s">
        <v>237</v>
      </c>
      <c r="K161" s="31">
        <v>0.2</v>
      </c>
      <c r="L161" s="32">
        <v>55000</v>
      </c>
      <c r="M161" s="32">
        <v>0</v>
      </c>
      <c r="N161" s="33">
        <f t="shared" si="5"/>
        <v>11000</v>
      </c>
      <c r="O161" s="33">
        <v>0</v>
      </c>
      <c r="P161" s="32">
        <v>55000</v>
      </c>
      <c r="Q161" s="29" t="s">
        <v>839</v>
      </c>
      <c r="R161" s="29" t="s">
        <v>840</v>
      </c>
      <c r="S161" s="29" t="s">
        <v>15</v>
      </c>
      <c r="T161" s="29" t="s">
        <v>807</v>
      </c>
      <c r="U161" s="29" t="s">
        <v>15</v>
      </c>
      <c r="V161" s="29" t="s">
        <v>841</v>
      </c>
      <c r="W161" s="29" t="s">
        <v>841</v>
      </c>
    </row>
    <row r="162" spans="1:23" ht="10.5" customHeight="1" x14ac:dyDescent="0.25">
      <c r="A162" s="28">
        <v>46029</v>
      </c>
      <c r="B162" s="29" t="str">
        <f t="shared" si="4"/>
        <v>07/01/2026NL300004</v>
      </c>
      <c r="C162" s="30" t="s">
        <v>862</v>
      </c>
      <c r="D162" s="30" t="s">
        <v>835</v>
      </c>
      <c r="E162" s="29" t="s">
        <v>836</v>
      </c>
      <c r="F162" s="29" t="s">
        <v>837</v>
      </c>
      <c r="G162" s="29" t="s">
        <v>863</v>
      </c>
      <c r="H162" s="29" t="s">
        <v>244</v>
      </c>
      <c r="I162" s="29" t="s">
        <v>13</v>
      </c>
      <c r="J162" s="29" t="s">
        <v>237</v>
      </c>
      <c r="K162" s="31">
        <v>3.7</v>
      </c>
      <c r="L162" s="32">
        <v>19000</v>
      </c>
      <c r="M162" s="32">
        <v>0</v>
      </c>
      <c r="N162" s="33">
        <f t="shared" si="5"/>
        <v>70300</v>
      </c>
      <c r="O162" s="33">
        <v>0</v>
      </c>
      <c r="P162" s="32">
        <v>19000</v>
      </c>
      <c r="Q162" s="29" t="s">
        <v>839</v>
      </c>
      <c r="R162" s="29" t="s">
        <v>840</v>
      </c>
      <c r="S162" s="29" t="s">
        <v>15</v>
      </c>
      <c r="T162" s="29" t="s">
        <v>807</v>
      </c>
      <c r="U162" s="29" t="s">
        <v>15</v>
      </c>
      <c r="V162" s="29" t="s">
        <v>841</v>
      </c>
      <c r="W162" s="29" t="s">
        <v>841</v>
      </c>
    </row>
    <row r="163" spans="1:23" ht="10.5" customHeight="1" x14ac:dyDescent="0.25">
      <c r="A163" s="28">
        <v>46029</v>
      </c>
      <c r="B163" s="29" t="str">
        <f t="shared" si="4"/>
        <v>07/01/2026NL300116</v>
      </c>
      <c r="C163" s="30" t="s">
        <v>862</v>
      </c>
      <c r="D163" s="30" t="s">
        <v>835</v>
      </c>
      <c r="E163" s="29" t="s">
        <v>836</v>
      </c>
      <c r="F163" s="29" t="s">
        <v>837</v>
      </c>
      <c r="G163" s="29" t="s">
        <v>863</v>
      </c>
      <c r="H163" s="29" t="s">
        <v>664</v>
      </c>
      <c r="I163" s="29" t="s">
        <v>855</v>
      </c>
      <c r="J163" s="29" t="s">
        <v>237</v>
      </c>
      <c r="K163" s="31">
        <v>0.3</v>
      </c>
      <c r="L163" s="32">
        <v>148000</v>
      </c>
      <c r="M163" s="32">
        <v>0</v>
      </c>
      <c r="N163" s="33">
        <f t="shared" si="5"/>
        <v>44400</v>
      </c>
      <c r="O163" s="33">
        <v>0</v>
      </c>
      <c r="P163" s="32">
        <v>148000</v>
      </c>
      <c r="Q163" s="29" t="s">
        <v>839</v>
      </c>
      <c r="R163" s="29" t="s">
        <v>840</v>
      </c>
      <c r="S163" s="29" t="s">
        <v>15</v>
      </c>
      <c r="T163" s="29" t="s">
        <v>807</v>
      </c>
      <c r="U163" s="29" t="s">
        <v>15</v>
      </c>
      <c r="V163" s="29" t="s">
        <v>841</v>
      </c>
      <c r="W163" s="29" t="s">
        <v>841</v>
      </c>
    </row>
    <row r="164" spans="1:23" ht="10.5" customHeight="1" x14ac:dyDescent="0.25">
      <c r="A164" s="28">
        <v>46029</v>
      </c>
      <c r="B164" s="29" t="str">
        <f t="shared" si="4"/>
        <v>07/01/2026NL300061</v>
      </c>
      <c r="C164" s="30" t="s">
        <v>862</v>
      </c>
      <c r="D164" s="30" t="s">
        <v>835</v>
      </c>
      <c r="E164" s="29" t="s">
        <v>836</v>
      </c>
      <c r="F164" s="29" t="s">
        <v>837</v>
      </c>
      <c r="G164" s="29" t="s">
        <v>863</v>
      </c>
      <c r="H164" s="29" t="s">
        <v>482</v>
      </c>
      <c r="I164" s="29" t="s">
        <v>844</v>
      </c>
      <c r="J164" s="29" t="s">
        <v>237</v>
      </c>
      <c r="K164" s="31">
        <v>1</v>
      </c>
      <c r="L164" s="32">
        <v>38000</v>
      </c>
      <c r="M164" s="32">
        <v>0</v>
      </c>
      <c r="N164" s="33">
        <f t="shared" si="5"/>
        <v>38000</v>
      </c>
      <c r="O164" s="33">
        <v>0</v>
      </c>
      <c r="P164" s="32">
        <v>38000</v>
      </c>
      <c r="Q164" s="29" t="s">
        <v>839</v>
      </c>
      <c r="R164" s="29" t="s">
        <v>840</v>
      </c>
      <c r="S164" s="29" t="s">
        <v>15</v>
      </c>
      <c r="T164" s="29" t="s">
        <v>807</v>
      </c>
      <c r="U164" s="29" t="s">
        <v>15</v>
      </c>
      <c r="V164" s="29" t="s">
        <v>841</v>
      </c>
      <c r="W164" s="29" t="s">
        <v>841</v>
      </c>
    </row>
    <row r="165" spans="1:23" ht="10.5" customHeight="1" x14ac:dyDescent="0.25">
      <c r="A165" s="28">
        <v>46029</v>
      </c>
      <c r="B165" s="29" t="str">
        <f t="shared" si="4"/>
        <v>07/01/2026NL300027</v>
      </c>
      <c r="C165" s="30" t="s">
        <v>862</v>
      </c>
      <c r="D165" s="30" t="s">
        <v>835</v>
      </c>
      <c r="E165" s="29" t="s">
        <v>836</v>
      </c>
      <c r="F165" s="29" t="s">
        <v>837</v>
      </c>
      <c r="G165" s="29" t="s">
        <v>863</v>
      </c>
      <c r="H165" s="29" t="s">
        <v>314</v>
      </c>
      <c r="I165" s="29" t="s">
        <v>126</v>
      </c>
      <c r="J165" s="29" t="s">
        <v>237</v>
      </c>
      <c r="K165" s="31">
        <v>2</v>
      </c>
      <c r="L165" s="32">
        <v>18000</v>
      </c>
      <c r="M165" s="32">
        <v>0</v>
      </c>
      <c r="N165" s="33">
        <f t="shared" si="5"/>
        <v>36000</v>
      </c>
      <c r="O165" s="33">
        <v>0</v>
      </c>
      <c r="P165" s="32">
        <v>18000</v>
      </c>
      <c r="Q165" s="29" t="s">
        <v>839</v>
      </c>
      <c r="R165" s="29" t="s">
        <v>840</v>
      </c>
      <c r="S165" s="29" t="s">
        <v>15</v>
      </c>
      <c r="T165" s="29" t="s">
        <v>807</v>
      </c>
      <c r="U165" s="29" t="s">
        <v>15</v>
      </c>
      <c r="V165" s="29" t="s">
        <v>841</v>
      </c>
      <c r="W165" s="29" t="s">
        <v>841</v>
      </c>
    </row>
    <row r="166" spans="1:23" ht="10.5" customHeight="1" x14ac:dyDescent="0.25">
      <c r="A166" s="28">
        <v>46029</v>
      </c>
      <c r="B166" s="29" t="str">
        <f t="shared" si="4"/>
        <v>07/01/2026NL300090</v>
      </c>
      <c r="C166" s="30" t="s">
        <v>862</v>
      </c>
      <c r="D166" s="30" t="s">
        <v>835</v>
      </c>
      <c r="E166" s="29" t="s">
        <v>836</v>
      </c>
      <c r="F166" s="29" t="s">
        <v>837</v>
      </c>
      <c r="G166" s="29" t="s">
        <v>863</v>
      </c>
      <c r="H166" s="29" t="s">
        <v>604</v>
      </c>
      <c r="I166" s="29" t="s">
        <v>40</v>
      </c>
      <c r="J166" s="29" t="s">
        <v>237</v>
      </c>
      <c r="K166" s="31">
        <v>1.4</v>
      </c>
      <c r="L166" s="32">
        <v>145000</v>
      </c>
      <c r="M166" s="32">
        <v>0</v>
      </c>
      <c r="N166" s="33">
        <f t="shared" si="5"/>
        <v>203000</v>
      </c>
      <c r="O166" s="33">
        <v>0</v>
      </c>
      <c r="P166" s="32">
        <v>145000</v>
      </c>
      <c r="Q166" s="29" t="s">
        <v>839</v>
      </c>
      <c r="R166" s="29" t="s">
        <v>840</v>
      </c>
      <c r="S166" s="29" t="s">
        <v>15</v>
      </c>
      <c r="T166" s="29" t="s">
        <v>807</v>
      </c>
      <c r="U166" s="29" t="s">
        <v>15</v>
      </c>
      <c r="V166" s="29" t="s">
        <v>841</v>
      </c>
      <c r="W166" s="29" t="s">
        <v>841</v>
      </c>
    </row>
    <row r="167" spans="1:23" ht="10.5" customHeight="1" x14ac:dyDescent="0.25">
      <c r="A167" s="28">
        <v>46029</v>
      </c>
      <c r="B167" s="29" t="str">
        <f t="shared" si="4"/>
        <v>07/01/2026NL300038</v>
      </c>
      <c r="C167" s="30" t="s">
        <v>862</v>
      </c>
      <c r="D167" s="30" t="s">
        <v>835</v>
      </c>
      <c r="E167" s="29" t="s">
        <v>836</v>
      </c>
      <c r="F167" s="29" t="s">
        <v>837</v>
      </c>
      <c r="G167" s="29" t="s">
        <v>863</v>
      </c>
      <c r="H167" s="29" t="s">
        <v>408</v>
      </c>
      <c r="I167" s="29" t="s">
        <v>20</v>
      </c>
      <c r="J167" s="29" t="s">
        <v>237</v>
      </c>
      <c r="K167" s="31">
        <v>1.8</v>
      </c>
      <c r="L167" s="32">
        <v>32000</v>
      </c>
      <c r="M167" s="32">
        <v>0</v>
      </c>
      <c r="N167" s="33">
        <f t="shared" si="5"/>
        <v>57600</v>
      </c>
      <c r="O167" s="33">
        <v>0</v>
      </c>
      <c r="P167" s="32">
        <v>32000</v>
      </c>
      <c r="Q167" s="29" t="s">
        <v>839</v>
      </c>
      <c r="R167" s="29" t="s">
        <v>840</v>
      </c>
      <c r="S167" s="29" t="s">
        <v>15</v>
      </c>
      <c r="T167" s="29" t="s">
        <v>807</v>
      </c>
      <c r="U167" s="29" t="s">
        <v>15</v>
      </c>
      <c r="V167" s="29" t="s">
        <v>841</v>
      </c>
      <c r="W167" s="29" t="s">
        <v>841</v>
      </c>
    </row>
    <row r="168" spans="1:23" ht="10.5" customHeight="1" x14ac:dyDescent="0.25">
      <c r="A168" s="28">
        <v>46029</v>
      </c>
      <c r="B168" s="29" t="str">
        <f t="shared" si="4"/>
        <v>07/01/2026NL300107</v>
      </c>
      <c r="C168" s="30" t="s">
        <v>862</v>
      </c>
      <c r="D168" s="30" t="s">
        <v>835</v>
      </c>
      <c r="E168" s="29" t="s">
        <v>836</v>
      </c>
      <c r="F168" s="29" t="s">
        <v>837</v>
      </c>
      <c r="G168" s="29" t="s">
        <v>863</v>
      </c>
      <c r="H168" s="29" t="s">
        <v>638</v>
      </c>
      <c r="I168" s="29" t="s">
        <v>842</v>
      </c>
      <c r="J168" s="29" t="s">
        <v>420</v>
      </c>
      <c r="K168" s="31">
        <v>11</v>
      </c>
      <c r="L168" s="32">
        <v>8500</v>
      </c>
      <c r="M168" s="32">
        <v>0</v>
      </c>
      <c r="N168" s="33">
        <f t="shared" si="5"/>
        <v>93500</v>
      </c>
      <c r="O168" s="33">
        <v>0</v>
      </c>
      <c r="P168" s="32">
        <v>8500</v>
      </c>
      <c r="Q168" s="29" t="s">
        <v>839</v>
      </c>
      <c r="R168" s="29" t="s">
        <v>840</v>
      </c>
      <c r="S168" s="29" t="s">
        <v>15</v>
      </c>
      <c r="T168" s="29" t="s">
        <v>807</v>
      </c>
      <c r="U168" s="29" t="s">
        <v>15</v>
      </c>
      <c r="V168" s="29" t="s">
        <v>841</v>
      </c>
      <c r="W168" s="29" t="s">
        <v>841</v>
      </c>
    </row>
    <row r="169" spans="1:23" ht="10.5" customHeight="1" x14ac:dyDescent="0.25">
      <c r="A169" s="28">
        <v>46029</v>
      </c>
      <c r="B169" s="29" t="str">
        <f t="shared" si="4"/>
        <v>07/01/2026NL300091</v>
      </c>
      <c r="C169" s="30" t="s">
        <v>862</v>
      </c>
      <c r="D169" s="30" t="s">
        <v>835</v>
      </c>
      <c r="E169" s="29" t="s">
        <v>836</v>
      </c>
      <c r="F169" s="29" t="s">
        <v>837</v>
      </c>
      <c r="G169" s="29" t="s">
        <v>863</v>
      </c>
      <c r="H169" s="29" t="s">
        <v>606</v>
      </c>
      <c r="I169" s="29" t="s">
        <v>54</v>
      </c>
      <c r="J169" s="29" t="s">
        <v>237</v>
      </c>
      <c r="K169" s="31">
        <v>1</v>
      </c>
      <c r="L169" s="32">
        <v>47000</v>
      </c>
      <c r="M169" s="32">
        <v>0</v>
      </c>
      <c r="N169" s="33">
        <f t="shared" si="5"/>
        <v>47000</v>
      </c>
      <c r="O169" s="33">
        <v>0</v>
      </c>
      <c r="P169" s="32">
        <v>47000</v>
      </c>
      <c r="Q169" s="29" t="s">
        <v>839</v>
      </c>
      <c r="R169" s="29" t="s">
        <v>840</v>
      </c>
      <c r="S169" s="29" t="s">
        <v>15</v>
      </c>
      <c r="T169" s="29" t="s">
        <v>807</v>
      </c>
      <c r="U169" s="29" t="s">
        <v>15</v>
      </c>
      <c r="V169" s="29" t="s">
        <v>841</v>
      </c>
      <c r="W169" s="29" t="s">
        <v>841</v>
      </c>
    </row>
    <row r="170" spans="1:23" ht="10.5" customHeight="1" x14ac:dyDescent="0.25">
      <c r="A170" s="28">
        <v>46029</v>
      </c>
      <c r="B170" s="29" t="str">
        <f t="shared" si="4"/>
        <v>07/01/2026NL300008</v>
      </c>
      <c r="C170" s="30" t="s">
        <v>862</v>
      </c>
      <c r="D170" s="30" t="s">
        <v>835</v>
      </c>
      <c r="E170" s="29" t="s">
        <v>836</v>
      </c>
      <c r="F170" s="29" t="s">
        <v>837</v>
      </c>
      <c r="G170" s="29" t="s">
        <v>863</v>
      </c>
      <c r="H170" s="29" t="s">
        <v>255</v>
      </c>
      <c r="I170" s="29" t="s">
        <v>256</v>
      </c>
      <c r="J170" s="29" t="s">
        <v>237</v>
      </c>
      <c r="K170" s="31">
        <v>1.3</v>
      </c>
      <c r="L170" s="32">
        <v>40000</v>
      </c>
      <c r="M170" s="32">
        <v>0</v>
      </c>
      <c r="N170" s="33">
        <f t="shared" si="5"/>
        <v>52000</v>
      </c>
      <c r="O170" s="33">
        <v>0</v>
      </c>
      <c r="P170" s="32">
        <v>40000</v>
      </c>
      <c r="Q170" s="29" t="s">
        <v>839</v>
      </c>
      <c r="R170" s="29" t="s">
        <v>840</v>
      </c>
      <c r="S170" s="29" t="s">
        <v>15</v>
      </c>
      <c r="T170" s="29" t="s">
        <v>807</v>
      </c>
      <c r="U170" s="29" t="s">
        <v>15</v>
      </c>
      <c r="V170" s="29" t="s">
        <v>841</v>
      </c>
      <c r="W170" s="29" t="s">
        <v>841</v>
      </c>
    </row>
    <row r="171" spans="1:23" ht="10.5" customHeight="1" x14ac:dyDescent="0.25">
      <c r="A171" s="28">
        <v>46029</v>
      </c>
      <c r="B171" s="29" t="str">
        <f t="shared" si="4"/>
        <v>07/01/2026NL300119</v>
      </c>
      <c r="C171" s="30" t="s">
        <v>862</v>
      </c>
      <c r="D171" s="30" t="s">
        <v>835</v>
      </c>
      <c r="E171" s="29" t="s">
        <v>836</v>
      </c>
      <c r="F171" s="29" t="s">
        <v>837</v>
      </c>
      <c r="G171" s="29" t="s">
        <v>863</v>
      </c>
      <c r="H171" s="29" t="s">
        <v>672</v>
      </c>
      <c r="I171" s="29" t="s">
        <v>673</v>
      </c>
      <c r="J171" s="29" t="s">
        <v>237</v>
      </c>
      <c r="K171" s="31">
        <v>0.2</v>
      </c>
      <c r="L171" s="32">
        <v>21000</v>
      </c>
      <c r="M171" s="32">
        <v>0</v>
      </c>
      <c r="N171" s="33">
        <f t="shared" si="5"/>
        <v>4200</v>
      </c>
      <c r="O171" s="33">
        <v>0</v>
      </c>
      <c r="P171" s="32">
        <v>21000</v>
      </c>
      <c r="Q171" s="29" t="s">
        <v>839</v>
      </c>
      <c r="R171" s="29" t="s">
        <v>840</v>
      </c>
      <c r="S171" s="29" t="s">
        <v>15</v>
      </c>
      <c r="T171" s="29" t="s">
        <v>807</v>
      </c>
      <c r="U171" s="29" t="s">
        <v>15</v>
      </c>
      <c r="V171" s="29" t="s">
        <v>841</v>
      </c>
      <c r="W171" s="29" t="s">
        <v>841</v>
      </c>
    </row>
    <row r="172" spans="1:23" ht="10.5" customHeight="1" x14ac:dyDescent="0.25">
      <c r="A172" s="28">
        <v>46029</v>
      </c>
      <c r="B172" s="29" t="str">
        <f t="shared" si="4"/>
        <v>07/01/2026NL300113</v>
      </c>
      <c r="C172" s="30" t="s">
        <v>862</v>
      </c>
      <c r="D172" s="30" t="s">
        <v>835</v>
      </c>
      <c r="E172" s="29" t="s">
        <v>836</v>
      </c>
      <c r="F172" s="29" t="s">
        <v>837</v>
      </c>
      <c r="G172" s="29" t="s">
        <v>863</v>
      </c>
      <c r="H172" s="29" t="s">
        <v>649</v>
      </c>
      <c r="I172" s="29" t="s">
        <v>42</v>
      </c>
      <c r="J172" s="29" t="s">
        <v>237</v>
      </c>
      <c r="K172" s="31">
        <v>0.3</v>
      </c>
      <c r="L172" s="32">
        <v>145000</v>
      </c>
      <c r="M172" s="32">
        <v>0</v>
      </c>
      <c r="N172" s="33">
        <f t="shared" si="5"/>
        <v>43500</v>
      </c>
      <c r="O172" s="33">
        <v>0</v>
      </c>
      <c r="P172" s="32">
        <v>145000</v>
      </c>
      <c r="Q172" s="29" t="s">
        <v>839</v>
      </c>
      <c r="R172" s="29" t="s">
        <v>840</v>
      </c>
      <c r="S172" s="29" t="s">
        <v>15</v>
      </c>
      <c r="T172" s="29" t="s">
        <v>807</v>
      </c>
      <c r="U172" s="29" t="s">
        <v>15</v>
      </c>
      <c r="V172" s="29" t="s">
        <v>841</v>
      </c>
      <c r="W172" s="29" t="s">
        <v>841</v>
      </c>
    </row>
    <row r="173" spans="1:23" ht="10.5" customHeight="1" x14ac:dyDescent="0.25">
      <c r="A173" s="28">
        <v>46029</v>
      </c>
      <c r="B173" s="29" t="str">
        <f t="shared" si="4"/>
        <v>07/01/2026NL300080</v>
      </c>
      <c r="C173" s="30" t="s">
        <v>862</v>
      </c>
      <c r="D173" s="30" t="s">
        <v>835</v>
      </c>
      <c r="E173" s="29" t="s">
        <v>836</v>
      </c>
      <c r="F173" s="29" t="s">
        <v>837</v>
      </c>
      <c r="G173" s="29" t="s">
        <v>863</v>
      </c>
      <c r="H173" s="29" t="s">
        <v>553</v>
      </c>
      <c r="I173" s="29" t="s">
        <v>554</v>
      </c>
      <c r="J173" s="29" t="s">
        <v>237</v>
      </c>
      <c r="K173" s="31">
        <v>0.5</v>
      </c>
      <c r="L173" s="32">
        <v>95000</v>
      </c>
      <c r="M173" s="32">
        <v>0</v>
      </c>
      <c r="N173" s="33">
        <f t="shared" si="5"/>
        <v>47500</v>
      </c>
      <c r="O173" s="33">
        <v>0</v>
      </c>
      <c r="P173" s="32">
        <v>95000</v>
      </c>
      <c r="Q173" s="29" t="s">
        <v>839</v>
      </c>
      <c r="R173" s="29" t="s">
        <v>840</v>
      </c>
      <c r="S173" s="29" t="s">
        <v>15</v>
      </c>
      <c r="T173" s="29" t="s">
        <v>807</v>
      </c>
      <c r="U173" s="29" t="s">
        <v>15</v>
      </c>
      <c r="V173" s="29" t="s">
        <v>841</v>
      </c>
      <c r="W173" s="29" t="s">
        <v>841</v>
      </c>
    </row>
    <row r="174" spans="1:23" ht="10.5" customHeight="1" x14ac:dyDescent="0.25">
      <c r="A174" s="28">
        <v>46029</v>
      </c>
      <c r="B174" s="29" t="str">
        <f t="shared" si="4"/>
        <v>07/01/2026NL300145</v>
      </c>
      <c r="C174" s="30" t="s">
        <v>862</v>
      </c>
      <c r="D174" s="30" t="s">
        <v>835</v>
      </c>
      <c r="E174" s="29" t="s">
        <v>836</v>
      </c>
      <c r="F174" s="29" t="s">
        <v>837</v>
      </c>
      <c r="G174" s="29" t="s">
        <v>863</v>
      </c>
      <c r="H174" s="29" t="s">
        <v>790</v>
      </c>
      <c r="I174" s="29" t="s">
        <v>791</v>
      </c>
      <c r="J174" s="29" t="s">
        <v>237</v>
      </c>
      <c r="K174" s="31">
        <v>2.5</v>
      </c>
      <c r="L174" s="32">
        <v>38000</v>
      </c>
      <c r="M174" s="32">
        <v>0</v>
      </c>
      <c r="N174" s="33">
        <f t="shared" si="5"/>
        <v>95000</v>
      </c>
      <c r="O174" s="33">
        <v>0</v>
      </c>
      <c r="P174" s="32">
        <v>38000</v>
      </c>
      <c r="Q174" s="29" t="s">
        <v>839</v>
      </c>
      <c r="R174" s="29" t="s">
        <v>840</v>
      </c>
      <c r="S174" s="29" t="s">
        <v>15</v>
      </c>
      <c r="T174" s="29" t="s">
        <v>807</v>
      </c>
      <c r="U174" s="29" t="s">
        <v>15</v>
      </c>
      <c r="V174" s="29" t="s">
        <v>841</v>
      </c>
      <c r="W174" s="29" t="s">
        <v>841</v>
      </c>
    </row>
    <row r="175" spans="1:23" ht="10.5" customHeight="1" x14ac:dyDescent="0.25">
      <c r="A175" s="28">
        <v>46029</v>
      </c>
      <c r="B175" s="29" t="str">
        <f t="shared" si="4"/>
        <v>07/01/2026NL300142</v>
      </c>
      <c r="C175" s="30" t="s">
        <v>862</v>
      </c>
      <c r="D175" s="30" t="s">
        <v>835</v>
      </c>
      <c r="E175" s="29" t="s">
        <v>836</v>
      </c>
      <c r="F175" s="29" t="s">
        <v>837</v>
      </c>
      <c r="G175" s="29" t="s">
        <v>863</v>
      </c>
      <c r="H175" s="29" t="s">
        <v>777</v>
      </c>
      <c r="I175" s="29" t="s">
        <v>845</v>
      </c>
      <c r="J175" s="29" t="s">
        <v>237</v>
      </c>
      <c r="K175" s="31">
        <v>0.3</v>
      </c>
      <c r="L175" s="32">
        <v>50000</v>
      </c>
      <c r="M175" s="32">
        <v>0</v>
      </c>
      <c r="N175" s="33">
        <f t="shared" si="5"/>
        <v>15000</v>
      </c>
      <c r="O175" s="33">
        <v>0</v>
      </c>
      <c r="P175" s="32">
        <v>50000</v>
      </c>
      <c r="Q175" s="29" t="s">
        <v>839</v>
      </c>
      <c r="R175" s="29" t="s">
        <v>840</v>
      </c>
      <c r="S175" s="29" t="s">
        <v>15</v>
      </c>
      <c r="T175" s="29" t="s">
        <v>807</v>
      </c>
      <c r="U175" s="29" t="s">
        <v>15</v>
      </c>
      <c r="V175" s="29" t="s">
        <v>841</v>
      </c>
      <c r="W175" s="29" t="s">
        <v>841</v>
      </c>
    </row>
    <row r="176" spans="1:23" ht="10.5" customHeight="1" x14ac:dyDescent="0.25">
      <c r="A176" s="28">
        <v>46030</v>
      </c>
      <c r="B176" s="29" t="str">
        <f t="shared" si="4"/>
        <v>08/01/2026NL300071</v>
      </c>
      <c r="C176" s="30" t="s">
        <v>864</v>
      </c>
      <c r="D176" s="30" t="s">
        <v>835</v>
      </c>
      <c r="E176" s="29" t="s">
        <v>836</v>
      </c>
      <c r="F176" s="29" t="s">
        <v>837</v>
      </c>
      <c r="G176" s="29" t="s">
        <v>865</v>
      </c>
      <c r="H176" s="29" t="s">
        <v>524</v>
      </c>
      <c r="I176" s="29" t="s">
        <v>806</v>
      </c>
      <c r="J176" s="29" t="s">
        <v>237</v>
      </c>
      <c r="K176" s="31">
        <v>1</v>
      </c>
      <c r="L176" s="32">
        <v>20000</v>
      </c>
      <c r="M176" s="32">
        <v>0</v>
      </c>
      <c r="N176" s="33">
        <f t="shared" si="5"/>
        <v>20000</v>
      </c>
      <c r="O176" s="33">
        <v>0</v>
      </c>
      <c r="P176" s="32">
        <v>20000</v>
      </c>
      <c r="Q176" s="29" t="s">
        <v>839</v>
      </c>
      <c r="R176" s="29" t="s">
        <v>840</v>
      </c>
      <c r="S176" s="29" t="s">
        <v>15</v>
      </c>
      <c r="T176" s="29" t="s">
        <v>807</v>
      </c>
      <c r="U176" s="29" t="s">
        <v>15</v>
      </c>
      <c r="V176" s="29" t="s">
        <v>841</v>
      </c>
      <c r="W176" s="29" t="s">
        <v>841</v>
      </c>
    </row>
    <row r="177" spans="1:23" ht="10.5" customHeight="1" x14ac:dyDescent="0.25">
      <c r="A177" s="28">
        <v>46030</v>
      </c>
      <c r="B177" s="29" t="str">
        <f t="shared" si="4"/>
        <v>08/01/2026NL600004</v>
      </c>
      <c r="C177" s="30" t="s">
        <v>864</v>
      </c>
      <c r="D177" s="30" t="s">
        <v>835</v>
      </c>
      <c r="E177" s="29" t="s">
        <v>836</v>
      </c>
      <c r="F177" s="29" t="s">
        <v>837</v>
      </c>
      <c r="G177" s="29" t="s">
        <v>865</v>
      </c>
      <c r="H177" s="29" t="s">
        <v>462</v>
      </c>
      <c r="I177" s="29" t="s">
        <v>52</v>
      </c>
      <c r="J177" s="29" t="s">
        <v>237</v>
      </c>
      <c r="K177" s="31">
        <v>5</v>
      </c>
      <c r="L177" s="32">
        <v>18000</v>
      </c>
      <c r="M177" s="32">
        <v>0</v>
      </c>
      <c r="N177" s="33">
        <f t="shared" si="5"/>
        <v>90000</v>
      </c>
      <c r="O177" s="33">
        <v>0</v>
      </c>
      <c r="P177" s="32">
        <v>18000</v>
      </c>
      <c r="Q177" s="29" t="s">
        <v>839</v>
      </c>
      <c r="R177" s="29" t="s">
        <v>840</v>
      </c>
      <c r="S177" s="29" t="s">
        <v>15</v>
      </c>
      <c r="T177" s="29" t="s">
        <v>807</v>
      </c>
      <c r="U177" s="29" t="s">
        <v>15</v>
      </c>
      <c r="V177" s="29" t="s">
        <v>841</v>
      </c>
      <c r="W177" s="29" t="s">
        <v>841</v>
      </c>
    </row>
    <row r="178" spans="1:23" ht="10.5" customHeight="1" x14ac:dyDescent="0.25">
      <c r="A178" s="28">
        <v>46030</v>
      </c>
      <c r="B178" s="29" t="str">
        <f t="shared" si="4"/>
        <v>08/01/2026NL300126</v>
      </c>
      <c r="C178" s="30" t="s">
        <v>864</v>
      </c>
      <c r="D178" s="30" t="s">
        <v>835</v>
      </c>
      <c r="E178" s="29" t="s">
        <v>836</v>
      </c>
      <c r="F178" s="29" t="s">
        <v>837</v>
      </c>
      <c r="G178" s="29" t="s">
        <v>865</v>
      </c>
      <c r="H178" s="29" t="s">
        <v>721</v>
      </c>
      <c r="I178" s="29" t="s">
        <v>722</v>
      </c>
      <c r="J178" s="29" t="s">
        <v>237</v>
      </c>
      <c r="K178" s="31">
        <v>0.2</v>
      </c>
      <c r="L178" s="32">
        <v>70000</v>
      </c>
      <c r="M178" s="32">
        <v>0</v>
      </c>
      <c r="N178" s="33">
        <f t="shared" si="5"/>
        <v>14000</v>
      </c>
      <c r="O178" s="33">
        <v>0</v>
      </c>
      <c r="P178" s="32">
        <v>70000</v>
      </c>
      <c r="Q178" s="29" t="s">
        <v>839</v>
      </c>
      <c r="R178" s="29" t="s">
        <v>840</v>
      </c>
      <c r="S178" s="29" t="s">
        <v>15</v>
      </c>
      <c r="T178" s="29" t="s">
        <v>807</v>
      </c>
      <c r="U178" s="29" t="s">
        <v>15</v>
      </c>
      <c r="V178" s="29" t="s">
        <v>841</v>
      </c>
      <c r="W178" s="29" t="s">
        <v>841</v>
      </c>
    </row>
    <row r="179" spans="1:23" ht="10.5" customHeight="1" x14ac:dyDescent="0.25">
      <c r="A179" s="28">
        <v>46030</v>
      </c>
      <c r="B179" s="29" t="str">
        <f t="shared" si="4"/>
        <v>08/01/2026NL300070</v>
      </c>
      <c r="C179" s="30" t="s">
        <v>864</v>
      </c>
      <c r="D179" s="30" t="s">
        <v>835</v>
      </c>
      <c r="E179" s="29" t="s">
        <v>836</v>
      </c>
      <c r="F179" s="29" t="s">
        <v>837</v>
      </c>
      <c r="G179" s="29" t="s">
        <v>865</v>
      </c>
      <c r="H179" s="29" t="s">
        <v>507</v>
      </c>
      <c r="I179" s="29" t="s">
        <v>508</v>
      </c>
      <c r="J179" s="29" t="s">
        <v>237</v>
      </c>
      <c r="K179" s="31">
        <v>1.1000000000000001</v>
      </c>
      <c r="L179" s="32">
        <v>23000</v>
      </c>
      <c r="M179" s="32">
        <v>0</v>
      </c>
      <c r="N179" s="33">
        <f t="shared" si="5"/>
        <v>25300.000000000004</v>
      </c>
      <c r="O179" s="33">
        <v>0</v>
      </c>
      <c r="P179" s="32">
        <v>23000</v>
      </c>
      <c r="Q179" s="29" t="s">
        <v>839</v>
      </c>
      <c r="R179" s="29" t="s">
        <v>840</v>
      </c>
      <c r="S179" s="29" t="s">
        <v>15</v>
      </c>
      <c r="T179" s="29" t="s">
        <v>807</v>
      </c>
      <c r="U179" s="29" t="s">
        <v>15</v>
      </c>
      <c r="V179" s="29" t="s">
        <v>841</v>
      </c>
      <c r="W179" s="29" t="s">
        <v>841</v>
      </c>
    </row>
    <row r="180" spans="1:23" ht="10.5" customHeight="1" x14ac:dyDescent="0.25">
      <c r="A180" s="28">
        <v>46030</v>
      </c>
      <c r="B180" s="29" t="str">
        <f t="shared" si="4"/>
        <v>08/01/2026NL300058</v>
      </c>
      <c r="C180" s="30" t="s">
        <v>864</v>
      </c>
      <c r="D180" s="30" t="s">
        <v>835</v>
      </c>
      <c r="E180" s="29" t="s">
        <v>836</v>
      </c>
      <c r="F180" s="29" t="s">
        <v>837</v>
      </c>
      <c r="G180" s="29" t="s">
        <v>865</v>
      </c>
      <c r="H180" s="29" t="s">
        <v>481</v>
      </c>
      <c r="I180" s="29" t="s">
        <v>22</v>
      </c>
      <c r="J180" s="29" t="s">
        <v>237</v>
      </c>
      <c r="K180" s="31">
        <v>0.2</v>
      </c>
      <c r="L180" s="32">
        <v>55000</v>
      </c>
      <c r="M180" s="32">
        <v>0</v>
      </c>
      <c r="N180" s="33">
        <f t="shared" si="5"/>
        <v>11000</v>
      </c>
      <c r="O180" s="33">
        <v>0</v>
      </c>
      <c r="P180" s="32">
        <v>55000</v>
      </c>
      <c r="Q180" s="29" t="s">
        <v>839</v>
      </c>
      <c r="R180" s="29" t="s">
        <v>840</v>
      </c>
      <c r="S180" s="29" t="s">
        <v>15</v>
      </c>
      <c r="T180" s="29" t="s">
        <v>807</v>
      </c>
      <c r="U180" s="29" t="s">
        <v>15</v>
      </c>
      <c r="V180" s="29" t="s">
        <v>841</v>
      </c>
      <c r="W180" s="29" t="s">
        <v>841</v>
      </c>
    </row>
    <row r="181" spans="1:23" ht="10.5" customHeight="1" x14ac:dyDescent="0.25">
      <c r="A181" s="28">
        <v>46030</v>
      </c>
      <c r="B181" s="29" t="str">
        <f t="shared" si="4"/>
        <v>08/01/2026NL300053</v>
      </c>
      <c r="C181" s="30" t="s">
        <v>864</v>
      </c>
      <c r="D181" s="30" t="s">
        <v>835</v>
      </c>
      <c r="E181" s="29" t="s">
        <v>836</v>
      </c>
      <c r="F181" s="29" t="s">
        <v>837</v>
      </c>
      <c r="G181" s="29" t="s">
        <v>865</v>
      </c>
      <c r="H181" s="29" t="s">
        <v>475</v>
      </c>
      <c r="I181" s="29" t="s">
        <v>476</v>
      </c>
      <c r="J181" s="29" t="s">
        <v>237</v>
      </c>
      <c r="K181" s="31">
        <v>0.3</v>
      </c>
      <c r="L181" s="32">
        <v>30000</v>
      </c>
      <c r="M181" s="32">
        <v>0</v>
      </c>
      <c r="N181" s="33">
        <f t="shared" si="5"/>
        <v>9000</v>
      </c>
      <c r="O181" s="33">
        <v>0</v>
      </c>
      <c r="P181" s="32">
        <v>30000</v>
      </c>
      <c r="Q181" s="29" t="s">
        <v>839</v>
      </c>
      <c r="R181" s="29" t="s">
        <v>840</v>
      </c>
      <c r="S181" s="29" t="s">
        <v>15</v>
      </c>
      <c r="T181" s="29" t="s">
        <v>807</v>
      </c>
      <c r="U181" s="29" t="s">
        <v>15</v>
      </c>
      <c r="V181" s="29" t="s">
        <v>841</v>
      </c>
      <c r="W181" s="29" t="s">
        <v>841</v>
      </c>
    </row>
    <row r="182" spans="1:23" ht="10.5" customHeight="1" x14ac:dyDescent="0.25">
      <c r="A182" s="28">
        <v>46030</v>
      </c>
      <c r="B182" s="29" t="str">
        <f t="shared" si="4"/>
        <v>08/01/2026NL300004</v>
      </c>
      <c r="C182" s="30" t="s">
        <v>864</v>
      </c>
      <c r="D182" s="30" t="s">
        <v>835</v>
      </c>
      <c r="E182" s="29" t="s">
        <v>836</v>
      </c>
      <c r="F182" s="29" t="s">
        <v>837</v>
      </c>
      <c r="G182" s="29" t="s">
        <v>865</v>
      </c>
      <c r="H182" s="29" t="s">
        <v>244</v>
      </c>
      <c r="I182" s="29" t="s">
        <v>13</v>
      </c>
      <c r="J182" s="29" t="s">
        <v>237</v>
      </c>
      <c r="K182" s="31">
        <v>1.5</v>
      </c>
      <c r="L182" s="32">
        <v>19000</v>
      </c>
      <c r="M182" s="32">
        <v>0</v>
      </c>
      <c r="N182" s="33">
        <f t="shared" si="5"/>
        <v>28500</v>
      </c>
      <c r="O182" s="33">
        <v>0</v>
      </c>
      <c r="P182" s="32">
        <v>19000</v>
      </c>
      <c r="Q182" s="29" t="s">
        <v>839</v>
      </c>
      <c r="R182" s="29" t="s">
        <v>840</v>
      </c>
      <c r="S182" s="29" t="s">
        <v>15</v>
      </c>
      <c r="T182" s="29" t="s">
        <v>807</v>
      </c>
      <c r="U182" s="29" t="s">
        <v>15</v>
      </c>
      <c r="V182" s="29" t="s">
        <v>841</v>
      </c>
      <c r="W182" s="29" t="s">
        <v>841</v>
      </c>
    </row>
    <row r="183" spans="1:23" ht="10.5" customHeight="1" x14ac:dyDescent="0.25">
      <c r="A183" s="28">
        <v>46030</v>
      </c>
      <c r="B183" s="29" t="str">
        <f t="shared" si="4"/>
        <v>08/01/2026NL300061</v>
      </c>
      <c r="C183" s="30" t="s">
        <v>864</v>
      </c>
      <c r="D183" s="30" t="s">
        <v>835</v>
      </c>
      <c r="E183" s="29" t="s">
        <v>836</v>
      </c>
      <c r="F183" s="29" t="s">
        <v>837</v>
      </c>
      <c r="G183" s="29" t="s">
        <v>865</v>
      </c>
      <c r="H183" s="29" t="s">
        <v>482</v>
      </c>
      <c r="I183" s="29" t="s">
        <v>844</v>
      </c>
      <c r="J183" s="29" t="s">
        <v>237</v>
      </c>
      <c r="K183" s="31">
        <v>0.4</v>
      </c>
      <c r="L183" s="32">
        <v>38000</v>
      </c>
      <c r="M183" s="32">
        <v>0</v>
      </c>
      <c r="N183" s="33">
        <f t="shared" si="5"/>
        <v>15200</v>
      </c>
      <c r="O183" s="33">
        <v>0</v>
      </c>
      <c r="P183" s="32">
        <v>38000</v>
      </c>
      <c r="Q183" s="29" t="s">
        <v>839</v>
      </c>
      <c r="R183" s="29" t="s">
        <v>840</v>
      </c>
      <c r="S183" s="29" t="s">
        <v>15</v>
      </c>
      <c r="T183" s="29" t="s">
        <v>807</v>
      </c>
      <c r="U183" s="29" t="s">
        <v>15</v>
      </c>
      <c r="V183" s="29" t="s">
        <v>841</v>
      </c>
      <c r="W183" s="29" t="s">
        <v>841</v>
      </c>
    </row>
    <row r="184" spans="1:23" ht="10.5" customHeight="1" x14ac:dyDescent="0.25">
      <c r="A184" s="28">
        <v>46030</v>
      </c>
      <c r="B184" s="29" t="str">
        <f t="shared" si="4"/>
        <v>08/01/2026NL300027</v>
      </c>
      <c r="C184" s="30" t="s">
        <v>864</v>
      </c>
      <c r="D184" s="30" t="s">
        <v>835</v>
      </c>
      <c r="E184" s="29" t="s">
        <v>836</v>
      </c>
      <c r="F184" s="29" t="s">
        <v>837</v>
      </c>
      <c r="G184" s="29" t="s">
        <v>865</v>
      </c>
      <c r="H184" s="29" t="s">
        <v>314</v>
      </c>
      <c r="I184" s="29" t="s">
        <v>126</v>
      </c>
      <c r="J184" s="29" t="s">
        <v>237</v>
      </c>
      <c r="K184" s="31">
        <v>2</v>
      </c>
      <c r="L184" s="32">
        <v>18000</v>
      </c>
      <c r="M184" s="32">
        <v>0</v>
      </c>
      <c r="N184" s="33">
        <f t="shared" si="5"/>
        <v>36000</v>
      </c>
      <c r="O184" s="33">
        <v>0</v>
      </c>
      <c r="P184" s="32">
        <v>18000</v>
      </c>
      <c r="Q184" s="29" t="s">
        <v>839</v>
      </c>
      <c r="R184" s="29" t="s">
        <v>840</v>
      </c>
      <c r="S184" s="29" t="s">
        <v>15</v>
      </c>
      <c r="T184" s="29" t="s">
        <v>807</v>
      </c>
      <c r="U184" s="29" t="s">
        <v>15</v>
      </c>
      <c r="V184" s="29" t="s">
        <v>841</v>
      </c>
      <c r="W184" s="29" t="s">
        <v>841</v>
      </c>
    </row>
    <row r="185" spans="1:23" ht="10.5" customHeight="1" x14ac:dyDescent="0.25">
      <c r="A185" s="28">
        <v>46030</v>
      </c>
      <c r="B185" s="29" t="str">
        <f t="shared" si="4"/>
        <v>08/01/2026NL300090</v>
      </c>
      <c r="C185" s="30" t="s">
        <v>864</v>
      </c>
      <c r="D185" s="30" t="s">
        <v>835</v>
      </c>
      <c r="E185" s="29" t="s">
        <v>836</v>
      </c>
      <c r="F185" s="29" t="s">
        <v>837</v>
      </c>
      <c r="G185" s="29" t="s">
        <v>865</v>
      </c>
      <c r="H185" s="29" t="s">
        <v>604</v>
      </c>
      <c r="I185" s="29" t="s">
        <v>40</v>
      </c>
      <c r="J185" s="29" t="s">
        <v>237</v>
      </c>
      <c r="K185" s="31">
        <v>1</v>
      </c>
      <c r="L185" s="32">
        <v>145000</v>
      </c>
      <c r="M185" s="32">
        <v>0</v>
      </c>
      <c r="N185" s="33">
        <f t="shared" si="5"/>
        <v>145000</v>
      </c>
      <c r="O185" s="33">
        <v>0</v>
      </c>
      <c r="P185" s="32">
        <v>145000</v>
      </c>
      <c r="Q185" s="29" t="s">
        <v>839</v>
      </c>
      <c r="R185" s="29" t="s">
        <v>840</v>
      </c>
      <c r="S185" s="29" t="s">
        <v>15</v>
      </c>
      <c r="T185" s="29" t="s">
        <v>807</v>
      </c>
      <c r="U185" s="29" t="s">
        <v>15</v>
      </c>
      <c r="V185" s="29" t="s">
        <v>841</v>
      </c>
      <c r="W185" s="29" t="s">
        <v>841</v>
      </c>
    </row>
    <row r="186" spans="1:23" ht="10.5" customHeight="1" x14ac:dyDescent="0.25">
      <c r="A186" s="28">
        <v>46030</v>
      </c>
      <c r="B186" s="29" t="str">
        <f t="shared" si="4"/>
        <v>08/01/2026NL300038</v>
      </c>
      <c r="C186" s="30" t="s">
        <v>864</v>
      </c>
      <c r="D186" s="30" t="s">
        <v>835</v>
      </c>
      <c r="E186" s="29" t="s">
        <v>836</v>
      </c>
      <c r="F186" s="29" t="s">
        <v>837</v>
      </c>
      <c r="G186" s="29" t="s">
        <v>865</v>
      </c>
      <c r="H186" s="29" t="s">
        <v>408</v>
      </c>
      <c r="I186" s="29" t="s">
        <v>20</v>
      </c>
      <c r="J186" s="29" t="s">
        <v>237</v>
      </c>
      <c r="K186" s="31">
        <v>1</v>
      </c>
      <c r="L186" s="32">
        <v>32000</v>
      </c>
      <c r="M186" s="32">
        <v>0</v>
      </c>
      <c r="N186" s="33">
        <f t="shared" si="5"/>
        <v>32000</v>
      </c>
      <c r="O186" s="33">
        <v>0</v>
      </c>
      <c r="P186" s="32">
        <v>32000</v>
      </c>
      <c r="Q186" s="29" t="s">
        <v>839</v>
      </c>
      <c r="R186" s="29" t="s">
        <v>840</v>
      </c>
      <c r="S186" s="29" t="s">
        <v>15</v>
      </c>
      <c r="T186" s="29" t="s">
        <v>807</v>
      </c>
      <c r="U186" s="29" t="s">
        <v>15</v>
      </c>
      <c r="V186" s="29" t="s">
        <v>841</v>
      </c>
      <c r="W186" s="29" t="s">
        <v>841</v>
      </c>
    </row>
    <row r="187" spans="1:23" ht="10.5" customHeight="1" x14ac:dyDescent="0.25">
      <c r="A187" s="28">
        <v>46030</v>
      </c>
      <c r="B187" s="29" t="str">
        <f t="shared" si="4"/>
        <v>08/01/2026NL300059</v>
      </c>
      <c r="C187" s="30" t="s">
        <v>864</v>
      </c>
      <c r="D187" s="30" t="s">
        <v>835</v>
      </c>
      <c r="E187" s="29" t="s">
        <v>836</v>
      </c>
      <c r="F187" s="29" t="s">
        <v>837</v>
      </c>
      <c r="G187" s="29" t="s">
        <v>865</v>
      </c>
      <c r="H187" s="29" t="s">
        <v>484</v>
      </c>
      <c r="I187" s="29" t="s">
        <v>24</v>
      </c>
      <c r="J187" s="29" t="s">
        <v>237</v>
      </c>
      <c r="K187" s="31">
        <v>1</v>
      </c>
      <c r="L187" s="32">
        <v>13000</v>
      </c>
      <c r="M187" s="32">
        <v>0</v>
      </c>
      <c r="N187" s="33">
        <f t="shared" si="5"/>
        <v>13000</v>
      </c>
      <c r="O187" s="33">
        <v>0</v>
      </c>
      <c r="P187" s="32">
        <v>13000</v>
      </c>
      <c r="Q187" s="29" t="s">
        <v>839</v>
      </c>
      <c r="R187" s="29" t="s">
        <v>840</v>
      </c>
      <c r="S187" s="29" t="s">
        <v>15</v>
      </c>
      <c r="T187" s="29" t="s">
        <v>807</v>
      </c>
      <c r="U187" s="29" t="s">
        <v>15</v>
      </c>
      <c r="V187" s="29" t="s">
        <v>841</v>
      </c>
      <c r="W187" s="29" t="s">
        <v>841</v>
      </c>
    </row>
    <row r="188" spans="1:23" ht="10.5" customHeight="1" x14ac:dyDescent="0.25">
      <c r="A188" s="28">
        <v>46030</v>
      </c>
      <c r="B188" s="29" t="str">
        <f t="shared" si="4"/>
        <v>08/01/2026NL300107</v>
      </c>
      <c r="C188" s="30" t="s">
        <v>864</v>
      </c>
      <c r="D188" s="30" t="s">
        <v>835</v>
      </c>
      <c r="E188" s="29" t="s">
        <v>836</v>
      </c>
      <c r="F188" s="29" t="s">
        <v>837</v>
      </c>
      <c r="G188" s="29" t="s">
        <v>865</v>
      </c>
      <c r="H188" s="29" t="s">
        <v>638</v>
      </c>
      <c r="I188" s="29" t="s">
        <v>842</v>
      </c>
      <c r="J188" s="29" t="s">
        <v>420</v>
      </c>
      <c r="K188" s="31">
        <v>4</v>
      </c>
      <c r="L188" s="32">
        <v>8500</v>
      </c>
      <c r="M188" s="32">
        <v>0</v>
      </c>
      <c r="N188" s="33">
        <f t="shared" si="5"/>
        <v>34000</v>
      </c>
      <c r="O188" s="33">
        <v>0</v>
      </c>
      <c r="P188" s="32">
        <v>8500</v>
      </c>
      <c r="Q188" s="29" t="s">
        <v>839</v>
      </c>
      <c r="R188" s="29" t="s">
        <v>840</v>
      </c>
      <c r="S188" s="29" t="s">
        <v>15</v>
      </c>
      <c r="T188" s="29" t="s">
        <v>807</v>
      </c>
      <c r="U188" s="29" t="s">
        <v>15</v>
      </c>
      <c r="V188" s="29" t="s">
        <v>841</v>
      </c>
      <c r="W188" s="29" t="s">
        <v>841</v>
      </c>
    </row>
    <row r="189" spans="1:23" ht="10.5" customHeight="1" x14ac:dyDescent="0.25">
      <c r="A189" s="28">
        <v>46030</v>
      </c>
      <c r="B189" s="29" t="str">
        <f t="shared" si="4"/>
        <v>08/01/2026NL300008</v>
      </c>
      <c r="C189" s="30" t="s">
        <v>864</v>
      </c>
      <c r="D189" s="30" t="s">
        <v>835</v>
      </c>
      <c r="E189" s="29" t="s">
        <v>836</v>
      </c>
      <c r="F189" s="29" t="s">
        <v>837</v>
      </c>
      <c r="G189" s="29" t="s">
        <v>865</v>
      </c>
      <c r="H189" s="29" t="s">
        <v>255</v>
      </c>
      <c r="I189" s="29" t="s">
        <v>256</v>
      </c>
      <c r="J189" s="29" t="s">
        <v>237</v>
      </c>
      <c r="K189" s="31">
        <v>1</v>
      </c>
      <c r="L189" s="32">
        <v>40000</v>
      </c>
      <c r="M189" s="32">
        <v>0</v>
      </c>
      <c r="N189" s="33">
        <f t="shared" si="5"/>
        <v>40000</v>
      </c>
      <c r="O189" s="33">
        <v>0</v>
      </c>
      <c r="P189" s="32">
        <v>40000</v>
      </c>
      <c r="Q189" s="29" t="s">
        <v>839</v>
      </c>
      <c r="R189" s="29" t="s">
        <v>840</v>
      </c>
      <c r="S189" s="29" t="s">
        <v>15</v>
      </c>
      <c r="T189" s="29" t="s">
        <v>807</v>
      </c>
      <c r="U189" s="29" t="s">
        <v>15</v>
      </c>
      <c r="V189" s="29" t="s">
        <v>841</v>
      </c>
      <c r="W189" s="29" t="s">
        <v>841</v>
      </c>
    </row>
    <row r="190" spans="1:23" ht="10.5" customHeight="1" x14ac:dyDescent="0.25">
      <c r="A190" s="28">
        <v>46030</v>
      </c>
      <c r="B190" s="29" t="str">
        <f t="shared" ref="B190:B219" si="6">"0"&amp;DAY(A190)&amp;"/01/2026"&amp;H190</f>
        <v>08/01/2026NL300119</v>
      </c>
      <c r="C190" s="30" t="s">
        <v>864</v>
      </c>
      <c r="D190" s="30" t="s">
        <v>835</v>
      </c>
      <c r="E190" s="29" t="s">
        <v>836</v>
      </c>
      <c r="F190" s="29" t="s">
        <v>837</v>
      </c>
      <c r="G190" s="29" t="s">
        <v>865</v>
      </c>
      <c r="H190" s="29" t="s">
        <v>672</v>
      </c>
      <c r="I190" s="29" t="s">
        <v>673</v>
      </c>
      <c r="J190" s="29" t="s">
        <v>237</v>
      </c>
      <c r="K190" s="31">
        <v>0.2</v>
      </c>
      <c r="L190" s="32">
        <v>21000</v>
      </c>
      <c r="M190" s="32">
        <v>0</v>
      </c>
      <c r="N190" s="33">
        <f t="shared" ref="N190:N252" si="7">L190*K190</f>
        <v>4200</v>
      </c>
      <c r="O190" s="33">
        <v>0</v>
      </c>
      <c r="P190" s="32">
        <v>21000</v>
      </c>
      <c r="Q190" s="29" t="s">
        <v>839</v>
      </c>
      <c r="R190" s="29" t="s">
        <v>840</v>
      </c>
      <c r="S190" s="29" t="s">
        <v>15</v>
      </c>
      <c r="T190" s="29" t="s">
        <v>807</v>
      </c>
      <c r="U190" s="29" t="s">
        <v>15</v>
      </c>
      <c r="V190" s="29" t="s">
        <v>841</v>
      </c>
      <c r="W190" s="29" t="s">
        <v>841</v>
      </c>
    </row>
    <row r="191" spans="1:23" ht="10.5" customHeight="1" x14ac:dyDescent="0.25">
      <c r="A191" s="28">
        <v>46030</v>
      </c>
      <c r="B191" s="29" t="str">
        <f t="shared" si="6"/>
        <v>08/01/2026NL300080</v>
      </c>
      <c r="C191" s="30" t="s">
        <v>864</v>
      </c>
      <c r="D191" s="30" t="s">
        <v>835</v>
      </c>
      <c r="E191" s="29" t="s">
        <v>836</v>
      </c>
      <c r="F191" s="29" t="s">
        <v>837</v>
      </c>
      <c r="G191" s="29" t="s">
        <v>865</v>
      </c>
      <c r="H191" s="29" t="s">
        <v>553</v>
      </c>
      <c r="I191" s="29" t="s">
        <v>554</v>
      </c>
      <c r="J191" s="29" t="s">
        <v>237</v>
      </c>
      <c r="K191" s="31">
        <v>0.5</v>
      </c>
      <c r="L191" s="32">
        <v>95000</v>
      </c>
      <c r="M191" s="32">
        <v>0</v>
      </c>
      <c r="N191" s="33">
        <f t="shared" si="7"/>
        <v>47500</v>
      </c>
      <c r="O191" s="33">
        <v>0</v>
      </c>
      <c r="P191" s="32">
        <v>95000</v>
      </c>
      <c r="Q191" s="29" t="s">
        <v>839</v>
      </c>
      <c r="R191" s="29" t="s">
        <v>840</v>
      </c>
      <c r="S191" s="29" t="s">
        <v>15</v>
      </c>
      <c r="T191" s="29" t="s">
        <v>807</v>
      </c>
      <c r="U191" s="29" t="s">
        <v>15</v>
      </c>
      <c r="V191" s="29" t="s">
        <v>841</v>
      </c>
      <c r="W191" s="29" t="s">
        <v>841</v>
      </c>
    </row>
    <row r="192" spans="1:23" ht="10.5" customHeight="1" x14ac:dyDescent="0.25">
      <c r="A192" s="28">
        <v>46030</v>
      </c>
      <c r="B192" s="29" t="str">
        <f t="shared" si="6"/>
        <v>08/01/2026NL300145</v>
      </c>
      <c r="C192" s="30" t="s">
        <v>864</v>
      </c>
      <c r="D192" s="30" t="s">
        <v>835</v>
      </c>
      <c r="E192" s="29" t="s">
        <v>836</v>
      </c>
      <c r="F192" s="29" t="s">
        <v>837</v>
      </c>
      <c r="G192" s="29" t="s">
        <v>865</v>
      </c>
      <c r="H192" s="29" t="s">
        <v>790</v>
      </c>
      <c r="I192" s="29" t="s">
        <v>791</v>
      </c>
      <c r="J192" s="29" t="s">
        <v>237</v>
      </c>
      <c r="K192" s="31">
        <v>2.5</v>
      </c>
      <c r="L192" s="32">
        <v>38000</v>
      </c>
      <c r="M192" s="32">
        <v>0</v>
      </c>
      <c r="N192" s="33">
        <f t="shared" si="7"/>
        <v>95000</v>
      </c>
      <c r="O192" s="33">
        <v>0</v>
      </c>
      <c r="P192" s="32">
        <v>38000</v>
      </c>
      <c r="Q192" s="29" t="s">
        <v>839</v>
      </c>
      <c r="R192" s="29" t="s">
        <v>840</v>
      </c>
      <c r="S192" s="29" t="s">
        <v>15</v>
      </c>
      <c r="T192" s="29" t="s">
        <v>807</v>
      </c>
      <c r="U192" s="29" t="s">
        <v>15</v>
      </c>
      <c r="V192" s="29" t="s">
        <v>841</v>
      </c>
      <c r="W192" s="29" t="s">
        <v>841</v>
      </c>
    </row>
    <row r="193" spans="1:23" ht="10.5" customHeight="1" x14ac:dyDescent="0.25">
      <c r="A193" s="28">
        <v>46030</v>
      </c>
      <c r="B193" s="29" t="str">
        <f t="shared" si="6"/>
        <v>08/01/2026NL300033</v>
      </c>
      <c r="C193" s="30" t="s">
        <v>864</v>
      </c>
      <c r="D193" s="30" t="s">
        <v>835</v>
      </c>
      <c r="E193" s="29" t="s">
        <v>836</v>
      </c>
      <c r="F193" s="29" t="s">
        <v>837</v>
      </c>
      <c r="G193" s="29" t="s">
        <v>865</v>
      </c>
      <c r="H193" s="29" t="s">
        <v>374</v>
      </c>
      <c r="I193" s="29" t="s">
        <v>843</v>
      </c>
      <c r="J193" s="29" t="s">
        <v>237</v>
      </c>
      <c r="K193" s="31">
        <v>2</v>
      </c>
      <c r="L193" s="32">
        <v>13000</v>
      </c>
      <c r="M193" s="32">
        <v>0</v>
      </c>
      <c r="N193" s="33">
        <f t="shared" si="7"/>
        <v>26000</v>
      </c>
      <c r="O193" s="33">
        <v>0</v>
      </c>
      <c r="P193" s="32">
        <v>13000</v>
      </c>
      <c r="Q193" s="29" t="s">
        <v>839</v>
      </c>
      <c r="R193" s="29" t="s">
        <v>840</v>
      </c>
      <c r="S193" s="29" t="s">
        <v>15</v>
      </c>
      <c r="T193" s="29" t="s">
        <v>807</v>
      </c>
      <c r="U193" s="29" t="s">
        <v>15</v>
      </c>
      <c r="V193" s="29" t="s">
        <v>841</v>
      </c>
      <c r="W193" s="29" t="s">
        <v>841</v>
      </c>
    </row>
    <row r="194" spans="1:23" ht="10.5" customHeight="1" x14ac:dyDescent="0.25">
      <c r="A194" s="28">
        <v>46030</v>
      </c>
      <c r="B194" s="29" t="str">
        <f t="shared" si="6"/>
        <v>08/01/2026NL300014</v>
      </c>
      <c r="C194" s="30" t="s">
        <v>866</v>
      </c>
      <c r="D194" s="30" t="s">
        <v>835</v>
      </c>
      <c r="E194" s="29" t="s">
        <v>836</v>
      </c>
      <c r="F194" s="29" t="s">
        <v>837</v>
      </c>
      <c r="G194" s="29" t="s">
        <v>865</v>
      </c>
      <c r="H194" s="29" t="s">
        <v>280</v>
      </c>
      <c r="I194" s="29" t="s">
        <v>132</v>
      </c>
      <c r="J194" s="29" t="s">
        <v>237</v>
      </c>
      <c r="K194" s="31">
        <v>0.5</v>
      </c>
      <c r="L194" s="32">
        <v>55000</v>
      </c>
      <c r="M194" s="32">
        <v>0</v>
      </c>
      <c r="N194" s="33">
        <f t="shared" si="7"/>
        <v>27500</v>
      </c>
      <c r="O194" s="33">
        <v>0</v>
      </c>
      <c r="P194" s="32">
        <v>55000</v>
      </c>
      <c r="Q194" s="29" t="s">
        <v>839</v>
      </c>
      <c r="R194" s="29" t="s">
        <v>840</v>
      </c>
      <c r="S194" s="29" t="s">
        <v>15</v>
      </c>
      <c r="T194" s="29" t="s">
        <v>807</v>
      </c>
      <c r="U194" s="29" t="s">
        <v>15</v>
      </c>
      <c r="V194" s="29" t="s">
        <v>841</v>
      </c>
      <c r="W194" s="29" t="s">
        <v>841</v>
      </c>
    </row>
    <row r="195" spans="1:23" ht="10.5" customHeight="1" x14ac:dyDescent="0.25">
      <c r="A195" s="28">
        <v>46030</v>
      </c>
      <c r="B195" s="29" t="str">
        <f t="shared" si="6"/>
        <v>08/01/2026NL300050</v>
      </c>
      <c r="C195" s="30" t="s">
        <v>866</v>
      </c>
      <c r="D195" s="30" t="s">
        <v>835</v>
      </c>
      <c r="E195" s="29" t="s">
        <v>836</v>
      </c>
      <c r="F195" s="29" t="s">
        <v>837</v>
      </c>
      <c r="G195" s="29" t="s">
        <v>865</v>
      </c>
      <c r="H195" s="29" t="s">
        <v>804</v>
      </c>
      <c r="I195" s="29" t="s">
        <v>805</v>
      </c>
      <c r="J195" s="29" t="s">
        <v>237</v>
      </c>
      <c r="K195" s="31">
        <v>0.5</v>
      </c>
      <c r="L195" s="32">
        <v>9000</v>
      </c>
      <c r="M195" s="32">
        <v>0</v>
      </c>
      <c r="N195" s="33">
        <f t="shared" si="7"/>
        <v>4500</v>
      </c>
      <c r="O195" s="33">
        <v>0</v>
      </c>
      <c r="P195" s="32">
        <v>9000</v>
      </c>
      <c r="Q195" s="29" t="s">
        <v>839</v>
      </c>
      <c r="R195" s="29" t="s">
        <v>840</v>
      </c>
      <c r="S195" s="29" t="s">
        <v>15</v>
      </c>
      <c r="T195" s="29" t="s">
        <v>807</v>
      </c>
      <c r="U195" s="29" t="s">
        <v>15</v>
      </c>
      <c r="V195" s="29" t="s">
        <v>841</v>
      </c>
      <c r="W195" s="29" t="s">
        <v>841</v>
      </c>
    </row>
    <row r="196" spans="1:23" ht="10.5" customHeight="1" x14ac:dyDescent="0.25">
      <c r="A196" s="28">
        <v>46030</v>
      </c>
      <c r="B196" s="29" t="str">
        <f t="shared" si="6"/>
        <v>08/01/2026NL300096</v>
      </c>
      <c r="C196" s="30" t="s">
        <v>866</v>
      </c>
      <c r="D196" s="30" t="s">
        <v>835</v>
      </c>
      <c r="E196" s="29" t="s">
        <v>836</v>
      </c>
      <c r="F196" s="29" t="s">
        <v>837</v>
      </c>
      <c r="G196" s="29" t="s">
        <v>865</v>
      </c>
      <c r="H196" s="29" t="s">
        <v>610</v>
      </c>
      <c r="I196" s="29" t="s">
        <v>30</v>
      </c>
      <c r="J196" s="29" t="s">
        <v>237</v>
      </c>
      <c r="K196" s="31">
        <v>0.4</v>
      </c>
      <c r="L196" s="32">
        <v>45000</v>
      </c>
      <c r="M196" s="32">
        <v>0</v>
      </c>
      <c r="N196" s="33">
        <f t="shared" si="7"/>
        <v>18000</v>
      </c>
      <c r="O196" s="33">
        <v>0</v>
      </c>
      <c r="P196" s="32">
        <v>45000</v>
      </c>
      <c r="Q196" s="29" t="s">
        <v>839</v>
      </c>
      <c r="R196" s="29" t="s">
        <v>840</v>
      </c>
      <c r="S196" s="29" t="s">
        <v>15</v>
      </c>
      <c r="T196" s="29" t="s">
        <v>807</v>
      </c>
      <c r="U196" s="29" t="s">
        <v>15</v>
      </c>
      <c r="V196" s="29" t="s">
        <v>841</v>
      </c>
      <c r="W196" s="29" t="s">
        <v>841</v>
      </c>
    </row>
    <row r="197" spans="1:23" ht="10.5" customHeight="1" x14ac:dyDescent="0.25">
      <c r="A197" s="28">
        <v>46030</v>
      </c>
      <c r="B197" s="29" t="str">
        <f t="shared" si="6"/>
        <v>08/01/2026NL300232</v>
      </c>
      <c r="C197" s="30" t="s">
        <v>866</v>
      </c>
      <c r="D197" s="30" t="s">
        <v>835</v>
      </c>
      <c r="E197" s="29" t="s">
        <v>836</v>
      </c>
      <c r="F197" s="29" t="s">
        <v>837</v>
      </c>
      <c r="G197" s="29" t="s">
        <v>865</v>
      </c>
      <c r="H197" s="29" t="s">
        <v>846</v>
      </c>
      <c r="I197" s="29" t="s">
        <v>847</v>
      </c>
      <c r="J197" s="29" t="s">
        <v>237</v>
      </c>
      <c r="K197" s="31">
        <v>1</v>
      </c>
      <c r="L197" s="32">
        <v>68000</v>
      </c>
      <c r="M197" s="32">
        <v>0</v>
      </c>
      <c r="N197" s="33">
        <f t="shared" si="7"/>
        <v>68000</v>
      </c>
      <c r="O197" s="33">
        <v>0</v>
      </c>
      <c r="P197" s="32">
        <v>75000</v>
      </c>
      <c r="Q197" s="29" t="s">
        <v>839</v>
      </c>
      <c r="R197" s="29" t="s">
        <v>840</v>
      </c>
      <c r="S197" s="29" t="s">
        <v>15</v>
      </c>
      <c r="T197" s="29" t="s">
        <v>807</v>
      </c>
      <c r="U197" s="29" t="s">
        <v>15</v>
      </c>
      <c r="V197" s="29" t="s">
        <v>841</v>
      </c>
      <c r="W197" s="29" t="s">
        <v>841</v>
      </c>
    </row>
    <row r="198" spans="1:23" ht="10.5" customHeight="1" x14ac:dyDescent="0.25">
      <c r="A198" s="28">
        <v>46030</v>
      </c>
      <c r="B198" s="29" t="str">
        <f t="shared" si="6"/>
        <v>08/01/2026NL300147</v>
      </c>
      <c r="C198" s="30" t="s">
        <v>866</v>
      </c>
      <c r="D198" s="30" t="s">
        <v>835</v>
      </c>
      <c r="E198" s="29" t="s">
        <v>836</v>
      </c>
      <c r="F198" s="29" t="s">
        <v>837</v>
      </c>
      <c r="G198" s="29" t="s">
        <v>865</v>
      </c>
      <c r="H198" s="29" t="s">
        <v>795</v>
      </c>
      <c r="I198" s="29" t="s">
        <v>796</v>
      </c>
      <c r="J198" s="29" t="s">
        <v>237</v>
      </c>
      <c r="K198" s="31">
        <v>1</v>
      </c>
      <c r="L198" s="32">
        <v>62000</v>
      </c>
      <c r="M198" s="32">
        <v>0</v>
      </c>
      <c r="N198" s="33">
        <f t="shared" si="7"/>
        <v>62000</v>
      </c>
      <c r="O198" s="33">
        <v>0</v>
      </c>
      <c r="P198" s="32">
        <v>62000</v>
      </c>
      <c r="Q198" s="29" t="s">
        <v>839</v>
      </c>
      <c r="R198" s="29" t="s">
        <v>840</v>
      </c>
      <c r="S198" s="29" t="s">
        <v>15</v>
      </c>
      <c r="T198" s="29" t="s">
        <v>807</v>
      </c>
      <c r="U198" s="29" t="s">
        <v>15</v>
      </c>
      <c r="V198" s="29" t="s">
        <v>841</v>
      </c>
      <c r="W198" s="29" t="s">
        <v>841</v>
      </c>
    </row>
    <row r="199" spans="1:23" ht="10.5" customHeight="1" x14ac:dyDescent="0.25">
      <c r="A199" s="28">
        <v>46031</v>
      </c>
      <c r="B199" s="29" t="str">
        <f t="shared" si="6"/>
        <v>09/01/2026NL300147</v>
      </c>
      <c r="C199" s="30" t="s">
        <v>867</v>
      </c>
      <c r="D199" s="30" t="s">
        <v>835</v>
      </c>
      <c r="E199" s="29" t="s">
        <v>836</v>
      </c>
      <c r="F199" s="29" t="s">
        <v>837</v>
      </c>
      <c r="G199" s="29" t="s">
        <v>868</v>
      </c>
      <c r="H199" s="29" t="s">
        <v>795</v>
      </c>
      <c r="I199" s="29" t="s">
        <v>796</v>
      </c>
      <c r="J199" s="29" t="s">
        <v>237</v>
      </c>
      <c r="K199" s="31">
        <v>0.8</v>
      </c>
      <c r="L199" s="32">
        <v>62000</v>
      </c>
      <c r="M199" s="32">
        <v>0</v>
      </c>
      <c r="N199" s="33">
        <f t="shared" si="7"/>
        <v>49600</v>
      </c>
      <c r="O199" s="33">
        <v>0</v>
      </c>
      <c r="P199" s="32">
        <v>62000</v>
      </c>
      <c r="Q199" s="29" t="s">
        <v>839</v>
      </c>
      <c r="R199" s="29" t="s">
        <v>840</v>
      </c>
      <c r="S199" s="29" t="s">
        <v>15</v>
      </c>
      <c r="T199" s="29" t="s">
        <v>807</v>
      </c>
      <c r="U199" s="29" t="s">
        <v>15</v>
      </c>
      <c r="V199" s="29" t="s">
        <v>841</v>
      </c>
      <c r="W199" s="29" t="s">
        <v>841</v>
      </c>
    </row>
    <row r="200" spans="1:23" ht="10.5" customHeight="1" x14ac:dyDescent="0.25">
      <c r="A200" s="28">
        <v>46031</v>
      </c>
      <c r="B200" s="29" t="str">
        <f t="shared" si="6"/>
        <v>09/01/2026NL300232</v>
      </c>
      <c r="C200" s="30" t="s">
        <v>867</v>
      </c>
      <c r="D200" s="30" t="s">
        <v>835</v>
      </c>
      <c r="E200" s="29" t="s">
        <v>836</v>
      </c>
      <c r="F200" s="29" t="s">
        <v>837</v>
      </c>
      <c r="G200" s="29" t="s">
        <v>868</v>
      </c>
      <c r="H200" s="29" t="s">
        <v>846</v>
      </c>
      <c r="I200" s="29" t="s">
        <v>847</v>
      </c>
      <c r="J200" s="29" t="s">
        <v>237</v>
      </c>
      <c r="K200" s="31">
        <v>0.8</v>
      </c>
      <c r="L200" s="32">
        <v>68000</v>
      </c>
      <c r="M200" s="32">
        <v>0</v>
      </c>
      <c r="N200" s="33">
        <f t="shared" si="7"/>
        <v>54400</v>
      </c>
      <c r="O200" s="33">
        <v>0</v>
      </c>
      <c r="P200" s="32">
        <v>75000</v>
      </c>
      <c r="Q200" s="29" t="s">
        <v>839</v>
      </c>
      <c r="R200" s="29" t="s">
        <v>840</v>
      </c>
      <c r="S200" s="29" t="s">
        <v>15</v>
      </c>
      <c r="T200" s="29" t="s">
        <v>807</v>
      </c>
      <c r="U200" s="29" t="s">
        <v>15</v>
      </c>
      <c r="V200" s="29" t="s">
        <v>841</v>
      </c>
      <c r="W200" s="29" t="s">
        <v>841</v>
      </c>
    </row>
    <row r="201" spans="1:23" ht="10.5" customHeight="1" x14ac:dyDescent="0.25">
      <c r="A201" s="28">
        <v>46031</v>
      </c>
      <c r="B201" s="29" t="str">
        <f t="shared" si="6"/>
        <v>09/01/2026NL300184</v>
      </c>
      <c r="C201" s="30" t="s">
        <v>867</v>
      </c>
      <c r="D201" s="30" t="s">
        <v>835</v>
      </c>
      <c r="E201" s="29" t="s">
        <v>836</v>
      </c>
      <c r="F201" s="29" t="s">
        <v>837</v>
      </c>
      <c r="G201" s="29" t="s">
        <v>868</v>
      </c>
      <c r="H201" s="29" t="s">
        <v>533</v>
      </c>
      <c r="I201" s="29" t="s">
        <v>850</v>
      </c>
      <c r="J201" s="29" t="s">
        <v>237</v>
      </c>
      <c r="K201" s="31">
        <v>0.3</v>
      </c>
      <c r="L201" s="32">
        <v>18000</v>
      </c>
      <c r="M201" s="32">
        <v>0</v>
      </c>
      <c r="N201" s="33">
        <f t="shared" si="7"/>
        <v>5400</v>
      </c>
      <c r="O201" s="33">
        <v>0</v>
      </c>
      <c r="P201" s="32">
        <v>18000</v>
      </c>
      <c r="Q201" s="29" t="s">
        <v>839</v>
      </c>
      <c r="R201" s="29" t="s">
        <v>840</v>
      </c>
      <c r="S201" s="29" t="s">
        <v>15</v>
      </c>
      <c r="T201" s="29" t="s">
        <v>807</v>
      </c>
      <c r="U201" s="29" t="s">
        <v>15</v>
      </c>
      <c r="V201" s="29" t="s">
        <v>841</v>
      </c>
      <c r="W201" s="29" t="s">
        <v>841</v>
      </c>
    </row>
    <row r="202" spans="1:23" ht="10.5" customHeight="1" x14ac:dyDescent="0.25">
      <c r="A202" s="28">
        <v>46031</v>
      </c>
      <c r="B202" s="29" t="str">
        <f t="shared" si="6"/>
        <v>09/01/2026NL300071</v>
      </c>
      <c r="C202" s="30" t="s">
        <v>867</v>
      </c>
      <c r="D202" s="30" t="s">
        <v>835</v>
      </c>
      <c r="E202" s="29" t="s">
        <v>836</v>
      </c>
      <c r="F202" s="29" t="s">
        <v>837</v>
      </c>
      <c r="G202" s="29" t="s">
        <v>868</v>
      </c>
      <c r="H202" s="29" t="s">
        <v>524</v>
      </c>
      <c r="I202" s="29" t="s">
        <v>806</v>
      </c>
      <c r="J202" s="29" t="s">
        <v>237</v>
      </c>
      <c r="K202" s="31">
        <v>0</v>
      </c>
      <c r="L202" s="32">
        <v>20000</v>
      </c>
      <c r="M202" s="32">
        <v>0</v>
      </c>
      <c r="N202" s="33">
        <f t="shared" si="7"/>
        <v>0</v>
      </c>
      <c r="O202" s="33">
        <v>0</v>
      </c>
      <c r="P202" s="32">
        <v>20000</v>
      </c>
      <c r="Q202" s="29" t="s">
        <v>839</v>
      </c>
      <c r="R202" s="29" t="s">
        <v>840</v>
      </c>
      <c r="S202" s="29" t="s">
        <v>15</v>
      </c>
      <c r="T202" s="29" t="s">
        <v>807</v>
      </c>
      <c r="U202" s="29" t="s">
        <v>15</v>
      </c>
      <c r="V202" s="29" t="s">
        <v>841</v>
      </c>
      <c r="W202" s="29" t="s">
        <v>841</v>
      </c>
    </row>
    <row r="203" spans="1:23" ht="10.5" customHeight="1" x14ac:dyDescent="0.25">
      <c r="A203" s="28">
        <v>46031</v>
      </c>
      <c r="B203" s="29" t="str">
        <f t="shared" si="6"/>
        <v>09/01/2026NL300007</v>
      </c>
      <c r="C203" s="30" t="s">
        <v>867</v>
      </c>
      <c r="D203" s="30" t="s">
        <v>835</v>
      </c>
      <c r="E203" s="29" t="s">
        <v>836</v>
      </c>
      <c r="F203" s="29" t="s">
        <v>837</v>
      </c>
      <c r="G203" s="29" t="s">
        <v>868</v>
      </c>
      <c r="H203" s="29" t="s">
        <v>253</v>
      </c>
      <c r="I203" s="29" t="s">
        <v>254</v>
      </c>
      <c r="J203" s="29" t="s">
        <v>237</v>
      </c>
      <c r="K203" s="31">
        <v>1.8</v>
      </c>
      <c r="L203" s="32">
        <v>30000</v>
      </c>
      <c r="M203" s="32">
        <v>0</v>
      </c>
      <c r="N203" s="33">
        <f t="shared" si="7"/>
        <v>54000</v>
      </c>
      <c r="O203" s="33">
        <v>0</v>
      </c>
      <c r="P203" s="32">
        <v>30000</v>
      </c>
      <c r="Q203" s="29" t="s">
        <v>839</v>
      </c>
      <c r="R203" s="29" t="s">
        <v>840</v>
      </c>
      <c r="S203" s="29" t="s">
        <v>15</v>
      </c>
      <c r="T203" s="29" t="s">
        <v>807</v>
      </c>
      <c r="U203" s="29" t="s">
        <v>15</v>
      </c>
      <c r="V203" s="29" t="s">
        <v>841</v>
      </c>
      <c r="W203" s="29" t="s">
        <v>841</v>
      </c>
    </row>
    <row r="204" spans="1:23" ht="10.5" customHeight="1" x14ac:dyDescent="0.25">
      <c r="A204" s="28">
        <v>46031</v>
      </c>
      <c r="B204" s="29" t="str">
        <f t="shared" si="6"/>
        <v>09/01/2026NL600004</v>
      </c>
      <c r="C204" s="30" t="s">
        <v>867</v>
      </c>
      <c r="D204" s="30" t="s">
        <v>835</v>
      </c>
      <c r="E204" s="29" t="s">
        <v>836</v>
      </c>
      <c r="F204" s="29" t="s">
        <v>837</v>
      </c>
      <c r="G204" s="29" t="s">
        <v>868</v>
      </c>
      <c r="H204" s="29" t="s">
        <v>462</v>
      </c>
      <c r="I204" s="29" t="s">
        <v>52</v>
      </c>
      <c r="J204" s="29" t="s">
        <v>237</v>
      </c>
      <c r="K204" s="31">
        <v>14</v>
      </c>
      <c r="L204" s="32">
        <v>18000</v>
      </c>
      <c r="M204" s="32">
        <v>0</v>
      </c>
      <c r="N204" s="33">
        <f t="shared" si="7"/>
        <v>252000</v>
      </c>
      <c r="O204" s="33">
        <v>0</v>
      </c>
      <c r="P204" s="32">
        <v>18000</v>
      </c>
      <c r="Q204" s="29" t="s">
        <v>839</v>
      </c>
      <c r="R204" s="29" t="s">
        <v>840</v>
      </c>
      <c r="S204" s="29" t="s">
        <v>15</v>
      </c>
      <c r="T204" s="29" t="s">
        <v>807</v>
      </c>
      <c r="U204" s="29" t="s">
        <v>15</v>
      </c>
      <c r="V204" s="29" t="s">
        <v>841</v>
      </c>
      <c r="W204" s="29" t="s">
        <v>841</v>
      </c>
    </row>
    <row r="205" spans="1:23" ht="10.5" customHeight="1" x14ac:dyDescent="0.25">
      <c r="A205" s="28">
        <v>46031</v>
      </c>
      <c r="B205" s="29" t="str">
        <f t="shared" si="6"/>
        <v>09/01/2026NL300126</v>
      </c>
      <c r="C205" s="30" t="s">
        <v>867</v>
      </c>
      <c r="D205" s="30" t="s">
        <v>835</v>
      </c>
      <c r="E205" s="29" t="s">
        <v>836</v>
      </c>
      <c r="F205" s="29" t="s">
        <v>837</v>
      </c>
      <c r="G205" s="29" t="s">
        <v>868</v>
      </c>
      <c r="H205" s="29" t="s">
        <v>721</v>
      </c>
      <c r="I205" s="29" t="s">
        <v>722</v>
      </c>
      <c r="J205" s="29" t="s">
        <v>237</v>
      </c>
      <c r="K205" s="31">
        <v>0.2</v>
      </c>
      <c r="L205" s="32">
        <v>70000</v>
      </c>
      <c r="M205" s="32">
        <v>0</v>
      </c>
      <c r="N205" s="33">
        <f t="shared" si="7"/>
        <v>14000</v>
      </c>
      <c r="O205" s="33">
        <v>0</v>
      </c>
      <c r="P205" s="32">
        <v>70000</v>
      </c>
      <c r="Q205" s="29" t="s">
        <v>839</v>
      </c>
      <c r="R205" s="29" t="s">
        <v>840</v>
      </c>
      <c r="S205" s="29" t="s">
        <v>15</v>
      </c>
      <c r="T205" s="29" t="s">
        <v>807</v>
      </c>
      <c r="U205" s="29" t="s">
        <v>15</v>
      </c>
      <c r="V205" s="29" t="s">
        <v>841</v>
      </c>
      <c r="W205" s="29" t="s">
        <v>841</v>
      </c>
    </row>
    <row r="206" spans="1:23" ht="10.5" customHeight="1" x14ac:dyDescent="0.25">
      <c r="A206" s="28">
        <v>46031</v>
      </c>
      <c r="B206" s="29" t="str">
        <f t="shared" si="6"/>
        <v>09/01/2026NL300070</v>
      </c>
      <c r="C206" s="30" t="s">
        <v>867</v>
      </c>
      <c r="D206" s="30" t="s">
        <v>835</v>
      </c>
      <c r="E206" s="29" t="s">
        <v>836</v>
      </c>
      <c r="F206" s="29" t="s">
        <v>837</v>
      </c>
      <c r="G206" s="29" t="s">
        <v>868</v>
      </c>
      <c r="H206" s="29" t="s">
        <v>507</v>
      </c>
      <c r="I206" s="29" t="s">
        <v>508</v>
      </c>
      <c r="J206" s="29" t="s">
        <v>237</v>
      </c>
      <c r="K206" s="31">
        <v>0</v>
      </c>
      <c r="L206" s="32">
        <v>23000</v>
      </c>
      <c r="M206" s="32">
        <v>0</v>
      </c>
      <c r="N206" s="33">
        <f t="shared" si="7"/>
        <v>0</v>
      </c>
      <c r="O206" s="33">
        <v>0</v>
      </c>
      <c r="P206" s="32">
        <v>23000</v>
      </c>
      <c r="Q206" s="29" t="s">
        <v>839</v>
      </c>
      <c r="R206" s="29" t="s">
        <v>840</v>
      </c>
      <c r="S206" s="29" t="s">
        <v>15</v>
      </c>
      <c r="T206" s="29" t="s">
        <v>807</v>
      </c>
      <c r="U206" s="29" t="s">
        <v>15</v>
      </c>
      <c r="V206" s="29" t="s">
        <v>841</v>
      </c>
      <c r="W206" s="29" t="s">
        <v>841</v>
      </c>
    </row>
    <row r="207" spans="1:23" ht="10.5" customHeight="1" x14ac:dyDescent="0.25">
      <c r="A207" s="28">
        <v>46031</v>
      </c>
      <c r="B207" s="29" t="str">
        <f t="shared" si="6"/>
        <v>09/01/2026NL300058</v>
      </c>
      <c r="C207" s="30" t="s">
        <v>867</v>
      </c>
      <c r="D207" s="30" t="s">
        <v>835</v>
      </c>
      <c r="E207" s="29" t="s">
        <v>836</v>
      </c>
      <c r="F207" s="29" t="s">
        <v>837</v>
      </c>
      <c r="G207" s="29" t="s">
        <v>868</v>
      </c>
      <c r="H207" s="29" t="s">
        <v>481</v>
      </c>
      <c r="I207" s="29" t="s">
        <v>22</v>
      </c>
      <c r="J207" s="29" t="s">
        <v>237</v>
      </c>
      <c r="K207" s="31">
        <v>0.2</v>
      </c>
      <c r="L207" s="32">
        <v>55000</v>
      </c>
      <c r="M207" s="32">
        <v>0</v>
      </c>
      <c r="N207" s="33">
        <f t="shared" si="7"/>
        <v>11000</v>
      </c>
      <c r="O207" s="33">
        <v>0</v>
      </c>
      <c r="P207" s="32">
        <v>55000</v>
      </c>
      <c r="Q207" s="29" t="s">
        <v>839</v>
      </c>
      <c r="R207" s="29" t="s">
        <v>840</v>
      </c>
      <c r="S207" s="29" t="s">
        <v>15</v>
      </c>
      <c r="T207" s="29" t="s">
        <v>807</v>
      </c>
      <c r="U207" s="29" t="s">
        <v>15</v>
      </c>
      <c r="V207" s="29" t="s">
        <v>841</v>
      </c>
      <c r="W207" s="29" t="s">
        <v>841</v>
      </c>
    </row>
    <row r="208" spans="1:23" ht="10.5" customHeight="1" x14ac:dyDescent="0.25">
      <c r="A208" s="28">
        <v>46031</v>
      </c>
      <c r="B208" s="29" t="str">
        <f t="shared" si="6"/>
        <v>09/01/2026NL300053</v>
      </c>
      <c r="C208" s="30" t="s">
        <v>867</v>
      </c>
      <c r="D208" s="30" t="s">
        <v>835</v>
      </c>
      <c r="E208" s="29" t="s">
        <v>836</v>
      </c>
      <c r="F208" s="29" t="s">
        <v>837</v>
      </c>
      <c r="G208" s="29" t="s">
        <v>868</v>
      </c>
      <c r="H208" s="29" t="s">
        <v>475</v>
      </c>
      <c r="I208" s="29" t="s">
        <v>476</v>
      </c>
      <c r="J208" s="29" t="s">
        <v>237</v>
      </c>
      <c r="K208" s="31">
        <v>0.3</v>
      </c>
      <c r="L208" s="32">
        <v>30000</v>
      </c>
      <c r="M208" s="32">
        <v>0</v>
      </c>
      <c r="N208" s="33">
        <f t="shared" si="7"/>
        <v>9000</v>
      </c>
      <c r="O208" s="33">
        <v>0</v>
      </c>
      <c r="P208" s="32">
        <v>30000</v>
      </c>
      <c r="Q208" s="29" t="s">
        <v>839</v>
      </c>
      <c r="R208" s="29" t="s">
        <v>840</v>
      </c>
      <c r="S208" s="29" t="s">
        <v>15</v>
      </c>
      <c r="T208" s="29" t="s">
        <v>807</v>
      </c>
      <c r="U208" s="29" t="s">
        <v>15</v>
      </c>
      <c r="V208" s="29" t="s">
        <v>841</v>
      </c>
      <c r="W208" s="29" t="s">
        <v>841</v>
      </c>
    </row>
    <row r="209" spans="1:23" ht="10.5" customHeight="1" x14ac:dyDescent="0.25">
      <c r="A209" s="28">
        <v>46031</v>
      </c>
      <c r="B209" s="29" t="str">
        <f t="shared" si="6"/>
        <v>09/01/2026NL300014</v>
      </c>
      <c r="C209" s="30" t="s">
        <v>867</v>
      </c>
      <c r="D209" s="30" t="s">
        <v>835</v>
      </c>
      <c r="E209" s="29" t="s">
        <v>836</v>
      </c>
      <c r="F209" s="29" t="s">
        <v>837</v>
      </c>
      <c r="G209" s="29" t="s">
        <v>868</v>
      </c>
      <c r="H209" s="29" t="s">
        <v>280</v>
      </c>
      <c r="I209" s="29" t="s">
        <v>132</v>
      </c>
      <c r="J209" s="29" t="s">
        <v>237</v>
      </c>
      <c r="K209" s="31">
        <v>0.2</v>
      </c>
      <c r="L209" s="32">
        <v>55000</v>
      </c>
      <c r="M209" s="32">
        <v>0</v>
      </c>
      <c r="N209" s="33">
        <f t="shared" si="7"/>
        <v>11000</v>
      </c>
      <c r="O209" s="33">
        <v>0</v>
      </c>
      <c r="P209" s="32">
        <v>55000</v>
      </c>
      <c r="Q209" s="29" t="s">
        <v>839</v>
      </c>
      <c r="R209" s="29" t="s">
        <v>840</v>
      </c>
      <c r="S209" s="29" t="s">
        <v>15</v>
      </c>
      <c r="T209" s="29" t="s">
        <v>807</v>
      </c>
      <c r="U209" s="29" t="s">
        <v>15</v>
      </c>
      <c r="V209" s="29" t="s">
        <v>841</v>
      </c>
      <c r="W209" s="29" t="s">
        <v>841</v>
      </c>
    </row>
    <row r="210" spans="1:23" ht="10.5" customHeight="1" x14ac:dyDescent="0.25">
      <c r="A210" s="28">
        <v>46031</v>
      </c>
      <c r="B210" s="29" t="str">
        <f t="shared" si="6"/>
        <v>09/01/2026NL300004</v>
      </c>
      <c r="C210" s="30" t="s">
        <v>867</v>
      </c>
      <c r="D210" s="30" t="s">
        <v>835</v>
      </c>
      <c r="E210" s="29" t="s">
        <v>836</v>
      </c>
      <c r="F210" s="29" t="s">
        <v>837</v>
      </c>
      <c r="G210" s="29" t="s">
        <v>868</v>
      </c>
      <c r="H210" s="29" t="s">
        <v>244</v>
      </c>
      <c r="I210" s="29" t="s">
        <v>13</v>
      </c>
      <c r="J210" s="29" t="s">
        <v>237</v>
      </c>
      <c r="K210" s="31">
        <v>1</v>
      </c>
      <c r="L210" s="32">
        <v>19000</v>
      </c>
      <c r="M210" s="32">
        <v>0</v>
      </c>
      <c r="N210" s="33">
        <f t="shared" si="7"/>
        <v>19000</v>
      </c>
      <c r="O210" s="33">
        <v>0</v>
      </c>
      <c r="P210" s="32">
        <v>19000</v>
      </c>
      <c r="Q210" s="29" t="s">
        <v>839</v>
      </c>
      <c r="R210" s="29" t="s">
        <v>840</v>
      </c>
      <c r="S210" s="29" t="s">
        <v>15</v>
      </c>
      <c r="T210" s="29" t="s">
        <v>807</v>
      </c>
      <c r="U210" s="29" t="s">
        <v>15</v>
      </c>
      <c r="V210" s="29" t="s">
        <v>841</v>
      </c>
      <c r="W210" s="29" t="s">
        <v>841</v>
      </c>
    </row>
    <row r="211" spans="1:23" ht="10.5" customHeight="1" x14ac:dyDescent="0.25">
      <c r="A211" s="28">
        <v>46031</v>
      </c>
      <c r="B211" s="29" t="str">
        <f t="shared" si="6"/>
        <v>09/01/2026NL300061</v>
      </c>
      <c r="C211" s="30" t="s">
        <v>867</v>
      </c>
      <c r="D211" s="30" t="s">
        <v>835</v>
      </c>
      <c r="E211" s="29" t="s">
        <v>836</v>
      </c>
      <c r="F211" s="29" t="s">
        <v>837</v>
      </c>
      <c r="G211" s="29" t="s">
        <v>868</v>
      </c>
      <c r="H211" s="29" t="s">
        <v>482</v>
      </c>
      <c r="I211" s="29" t="s">
        <v>844</v>
      </c>
      <c r="J211" s="29" t="s">
        <v>237</v>
      </c>
      <c r="K211" s="31">
        <v>0.4</v>
      </c>
      <c r="L211" s="32">
        <v>38000</v>
      </c>
      <c r="M211" s="32">
        <v>0</v>
      </c>
      <c r="N211" s="33">
        <f t="shared" si="7"/>
        <v>15200</v>
      </c>
      <c r="O211" s="33">
        <v>0</v>
      </c>
      <c r="P211" s="32">
        <v>38000</v>
      </c>
      <c r="Q211" s="29" t="s">
        <v>839</v>
      </c>
      <c r="R211" s="29" t="s">
        <v>840</v>
      </c>
      <c r="S211" s="29" t="s">
        <v>15</v>
      </c>
      <c r="T211" s="29" t="s">
        <v>807</v>
      </c>
      <c r="U211" s="29" t="s">
        <v>15</v>
      </c>
      <c r="V211" s="29" t="s">
        <v>841</v>
      </c>
      <c r="W211" s="29" t="s">
        <v>841</v>
      </c>
    </row>
    <row r="212" spans="1:23" ht="10.5" customHeight="1" x14ac:dyDescent="0.25">
      <c r="A212" s="28">
        <v>46031</v>
      </c>
      <c r="B212" s="29" t="str">
        <f t="shared" si="6"/>
        <v>09/01/2026NL300027</v>
      </c>
      <c r="C212" s="30" t="s">
        <v>867</v>
      </c>
      <c r="D212" s="30" t="s">
        <v>835</v>
      </c>
      <c r="E212" s="29" t="s">
        <v>836</v>
      </c>
      <c r="F212" s="29" t="s">
        <v>837</v>
      </c>
      <c r="G212" s="29" t="s">
        <v>868</v>
      </c>
      <c r="H212" s="29" t="s">
        <v>314</v>
      </c>
      <c r="I212" s="29" t="s">
        <v>126</v>
      </c>
      <c r="J212" s="29" t="s">
        <v>237</v>
      </c>
      <c r="K212" s="31">
        <v>0.8</v>
      </c>
      <c r="L212" s="32">
        <v>18000</v>
      </c>
      <c r="M212" s="32">
        <v>0</v>
      </c>
      <c r="N212" s="33">
        <f t="shared" si="7"/>
        <v>14400</v>
      </c>
      <c r="O212" s="33">
        <v>0</v>
      </c>
      <c r="P212" s="32">
        <v>18000</v>
      </c>
      <c r="Q212" s="29" t="s">
        <v>839</v>
      </c>
      <c r="R212" s="29" t="s">
        <v>840</v>
      </c>
      <c r="S212" s="29" t="s">
        <v>15</v>
      </c>
      <c r="T212" s="29" t="s">
        <v>807</v>
      </c>
      <c r="U212" s="29" t="s">
        <v>15</v>
      </c>
      <c r="V212" s="29" t="s">
        <v>841</v>
      </c>
      <c r="W212" s="29" t="s">
        <v>841</v>
      </c>
    </row>
    <row r="213" spans="1:23" ht="10.5" customHeight="1" x14ac:dyDescent="0.25">
      <c r="A213" s="28">
        <v>46031</v>
      </c>
      <c r="B213" s="29" t="str">
        <f t="shared" si="6"/>
        <v>09/01/2026NL300090</v>
      </c>
      <c r="C213" s="30" t="s">
        <v>867</v>
      </c>
      <c r="D213" s="30" t="s">
        <v>835</v>
      </c>
      <c r="E213" s="29" t="s">
        <v>836</v>
      </c>
      <c r="F213" s="29" t="s">
        <v>837</v>
      </c>
      <c r="G213" s="29" t="s">
        <v>868</v>
      </c>
      <c r="H213" s="29" t="s">
        <v>604</v>
      </c>
      <c r="I213" s="29" t="s">
        <v>40</v>
      </c>
      <c r="J213" s="29" t="s">
        <v>237</v>
      </c>
      <c r="K213" s="31">
        <v>2</v>
      </c>
      <c r="L213" s="32">
        <v>145000</v>
      </c>
      <c r="M213" s="32">
        <v>0</v>
      </c>
      <c r="N213" s="33">
        <f t="shared" si="7"/>
        <v>290000</v>
      </c>
      <c r="O213" s="33">
        <v>0</v>
      </c>
      <c r="P213" s="32">
        <v>145000</v>
      </c>
      <c r="Q213" s="29" t="s">
        <v>839</v>
      </c>
      <c r="R213" s="29" t="s">
        <v>840</v>
      </c>
      <c r="S213" s="29" t="s">
        <v>15</v>
      </c>
      <c r="T213" s="29" t="s">
        <v>807</v>
      </c>
      <c r="U213" s="29" t="s">
        <v>15</v>
      </c>
      <c r="V213" s="29" t="s">
        <v>841</v>
      </c>
      <c r="W213" s="29" t="s">
        <v>841</v>
      </c>
    </row>
    <row r="214" spans="1:23" ht="10.5" customHeight="1" x14ac:dyDescent="0.25">
      <c r="A214" s="28">
        <v>46031</v>
      </c>
      <c r="B214" s="29" t="str">
        <f t="shared" si="6"/>
        <v>09/01/2026NL300038</v>
      </c>
      <c r="C214" s="30" t="s">
        <v>867</v>
      </c>
      <c r="D214" s="30" t="s">
        <v>835</v>
      </c>
      <c r="E214" s="29" t="s">
        <v>836</v>
      </c>
      <c r="F214" s="29" t="s">
        <v>837</v>
      </c>
      <c r="G214" s="29" t="s">
        <v>868</v>
      </c>
      <c r="H214" s="29" t="s">
        <v>408</v>
      </c>
      <c r="I214" s="29" t="s">
        <v>20</v>
      </c>
      <c r="J214" s="29" t="s">
        <v>237</v>
      </c>
      <c r="K214" s="31">
        <v>0.7</v>
      </c>
      <c r="L214" s="32">
        <v>32000</v>
      </c>
      <c r="M214" s="32">
        <v>0</v>
      </c>
      <c r="N214" s="33">
        <f t="shared" si="7"/>
        <v>22400</v>
      </c>
      <c r="O214" s="33">
        <v>0</v>
      </c>
      <c r="P214" s="32">
        <v>32000</v>
      </c>
      <c r="Q214" s="29" t="s">
        <v>839</v>
      </c>
      <c r="R214" s="29" t="s">
        <v>840</v>
      </c>
      <c r="S214" s="29" t="s">
        <v>15</v>
      </c>
      <c r="T214" s="29" t="s">
        <v>807</v>
      </c>
      <c r="U214" s="29" t="s">
        <v>15</v>
      </c>
      <c r="V214" s="29" t="s">
        <v>841</v>
      </c>
      <c r="W214" s="29" t="s">
        <v>841</v>
      </c>
    </row>
    <row r="215" spans="1:23" ht="10.5" customHeight="1" x14ac:dyDescent="0.25">
      <c r="A215" s="28">
        <v>46031</v>
      </c>
      <c r="B215" s="29" t="str">
        <f t="shared" si="6"/>
        <v>09/01/2026NL300059</v>
      </c>
      <c r="C215" s="30" t="s">
        <v>867</v>
      </c>
      <c r="D215" s="30" t="s">
        <v>835</v>
      </c>
      <c r="E215" s="29" t="s">
        <v>836</v>
      </c>
      <c r="F215" s="29" t="s">
        <v>837</v>
      </c>
      <c r="G215" s="29" t="s">
        <v>868</v>
      </c>
      <c r="H215" s="29" t="s">
        <v>484</v>
      </c>
      <c r="I215" s="29" t="s">
        <v>24</v>
      </c>
      <c r="J215" s="29" t="s">
        <v>237</v>
      </c>
      <c r="K215" s="31">
        <v>0.4</v>
      </c>
      <c r="L215" s="32">
        <v>13000</v>
      </c>
      <c r="M215" s="32">
        <v>0</v>
      </c>
      <c r="N215" s="33">
        <f t="shared" si="7"/>
        <v>5200</v>
      </c>
      <c r="O215" s="33">
        <v>0</v>
      </c>
      <c r="P215" s="32">
        <v>13000</v>
      </c>
      <c r="Q215" s="29" t="s">
        <v>839</v>
      </c>
      <c r="R215" s="29" t="s">
        <v>840</v>
      </c>
      <c r="S215" s="29" t="s">
        <v>15</v>
      </c>
      <c r="T215" s="29" t="s">
        <v>807</v>
      </c>
      <c r="U215" s="29" t="s">
        <v>15</v>
      </c>
      <c r="V215" s="29" t="s">
        <v>841</v>
      </c>
      <c r="W215" s="29" t="s">
        <v>841</v>
      </c>
    </row>
    <row r="216" spans="1:23" ht="10.5" customHeight="1" x14ac:dyDescent="0.25">
      <c r="A216" s="28">
        <v>46031</v>
      </c>
      <c r="B216" s="29" t="str">
        <f t="shared" si="6"/>
        <v>09/01/2026NL300107</v>
      </c>
      <c r="C216" s="30" t="s">
        <v>867</v>
      </c>
      <c r="D216" s="30" t="s">
        <v>835</v>
      </c>
      <c r="E216" s="29" t="s">
        <v>836</v>
      </c>
      <c r="F216" s="29" t="s">
        <v>837</v>
      </c>
      <c r="G216" s="29" t="s">
        <v>868</v>
      </c>
      <c r="H216" s="29" t="s">
        <v>638</v>
      </c>
      <c r="I216" s="29" t="s">
        <v>842</v>
      </c>
      <c r="J216" s="29" t="s">
        <v>420</v>
      </c>
      <c r="K216" s="31">
        <v>1</v>
      </c>
      <c r="L216" s="32">
        <v>8500</v>
      </c>
      <c r="M216" s="32">
        <v>0</v>
      </c>
      <c r="N216" s="33">
        <f t="shared" si="7"/>
        <v>8500</v>
      </c>
      <c r="O216" s="33">
        <v>0</v>
      </c>
      <c r="P216" s="32">
        <v>8500</v>
      </c>
      <c r="Q216" s="29" t="s">
        <v>839</v>
      </c>
      <c r="R216" s="29" t="s">
        <v>840</v>
      </c>
      <c r="S216" s="29" t="s">
        <v>15</v>
      </c>
      <c r="T216" s="29" t="s">
        <v>807</v>
      </c>
      <c r="U216" s="29" t="s">
        <v>15</v>
      </c>
      <c r="V216" s="29" t="s">
        <v>841</v>
      </c>
      <c r="W216" s="29" t="s">
        <v>841</v>
      </c>
    </row>
    <row r="217" spans="1:23" ht="10.5" customHeight="1" x14ac:dyDescent="0.25">
      <c r="A217" s="28">
        <v>46031</v>
      </c>
      <c r="B217" s="29" t="str">
        <f t="shared" si="6"/>
        <v>09/01/2026NL300119</v>
      </c>
      <c r="C217" s="30" t="s">
        <v>867</v>
      </c>
      <c r="D217" s="30" t="s">
        <v>835</v>
      </c>
      <c r="E217" s="29" t="s">
        <v>836</v>
      </c>
      <c r="F217" s="29" t="s">
        <v>837</v>
      </c>
      <c r="G217" s="29" t="s">
        <v>868</v>
      </c>
      <c r="H217" s="29" t="s">
        <v>672</v>
      </c>
      <c r="I217" s="29" t="s">
        <v>673</v>
      </c>
      <c r="J217" s="29" t="s">
        <v>237</v>
      </c>
      <c r="K217" s="31">
        <v>0.9</v>
      </c>
      <c r="L217" s="32">
        <v>21000</v>
      </c>
      <c r="M217" s="32">
        <v>0</v>
      </c>
      <c r="N217" s="33">
        <f t="shared" si="7"/>
        <v>18900</v>
      </c>
      <c r="O217" s="33">
        <v>0</v>
      </c>
      <c r="P217" s="32">
        <v>21000</v>
      </c>
      <c r="Q217" s="29" t="s">
        <v>839</v>
      </c>
      <c r="R217" s="29" t="s">
        <v>840</v>
      </c>
      <c r="S217" s="29" t="s">
        <v>15</v>
      </c>
      <c r="T217" s="29" t="s">
        <v>807</v>
      </c>
      <c r="U217" s="29" t="s">
        <v>15</v>
      </c>
      <c r="V217" s="29" t="s">
        <v>841</v>
      </c>
      <c r="W217" s="29" t="s">
        <v>841</v>
      </c>
    </row>
    <row r="218" spans="1:23" ht="10.5" customHeight="1" x14ac:dyDescent="0.25">
      <c r="A218" s="28">
        <v>46031</v>
      </c>
      <c r="B218" s="29" t="str">
        <f t="shared" si="6"/>
        <v>09/01/2026NL300145</v>
      </c>
      <c r="C218" s="30" t="s">
        <v>867</v>
      </c>
      <c r="D218" s="30" t="s">
        <v>835</v>
      </c>
      <c r="E218" s="29" t="s">
        <v>836</v>
      </c>
      <c r="F218" s="29" t="s">
        <v>837</v>
      </c>
      <c r="G218" s="29" t="s">
        <v>868</v>
      </c>
      <c r="H218" s="29" t="s">
        <v>790</v>
      </c>
      <c r="I218" s="29" t="s">
        <v>791</v>
      </c>
      <c r="J218" s="29" t="s">
        <v>237</v>
      </c>
      <c r="K218" s="31">
        <v>2.5</v>
      </c>
      <c r="L218" s="32">
        <v>38000</v>
      </c>
      <c r="M218" s="32">
        <v>0</v>
      </c>
      <c r="N218" s="33">
        <f t="shared" si="7"/>
        <v>95000</v>
      </c>
      <c r="O218" s="33">
        <v>0</v>
      </c>
      <c r="P218" s="32">
        <v>38000</v>
      </c>
      <c r="Q218" s="29" t="s">
        <v>839</v>
      </c>
      <c r="R218" s="29" t="s">
        <v>840</v>
      </c>
      <c r="S218" s="29" t="s">
        <v>15</v>
      </c>
      <c r="T218" s="29" t="s">
        <v>807</v>
      </c>
      <c r="U218" s="29" t="s">
        <v>15</v>
      </c>
      <c r="V218" s="29" t="s">
        <v>841</v>
      </c>
      <c r="W218" s="29" t="s">
        <v>841</v>
      </c>
    </row>
    <row r="219" spans="1:23" ht="10.5" customHeight="1" x14ac:dyDescent="0.25">
      <c r="A219" s="28">
        <v>46031</v>
      </c>
      <c r="B219" s="29" t="str">
        <f t="shared" si="6"/>
        <v>09/01/2026NL300048</v>
      </c>
      <c r="C219" s="30" t="s">
        <v>867</v>
      </c>
      <c r="D219" s="30" t="s">
        <v>835</v>
      </c>
      <c r="E219" s="29" t="s">
        <v>836</v>
      </c>
      <c r="F219" s="29" t="s">
        <v>837</v>
      </c>
      <c r="G219" s="29" t="s">
        <v>868</v>
      </c>
      <c r="H219" s="29" t="s">
        <v>460</v>
      </c>
      <c r="I219" s="29" t="s">
        <v>461</v>
      </c>
      <c r="J219" s="29" t="s">
        <v>237</v>
      </c>
      <c r="K219" s="31">
        <v>0.6</v>
      </c>
      <c r="L219" s="32">
        <v>18000</v>
      </c>
      <c r="M219" s="32">
        <v>0</v>
      </c>
      <c r="N219" s="33">
        <f t="shared" si="7"/>
        <v>10800</v>
      </c>
      <c r="O219" s="33">
        <v>0</v>
      </c>
      <c r="P219" s="32">
        <v>18000</v>
      </c>
      <c r="Q219" s="29" t="s">
        <v>839</v>
      </c>
      <c r="R219" s="29" t="s">
        <v>840</v>
      </c>
      <c r="S219" s="29" t="s">
        <v>15</v>
      </c>
      <c r="T219" s="29" t="s">
        <v>807</v>
      </c>
      <c r="U219" s="29" t="s">
        <v>15</v>
      </c>
      <c r="V219" s="29" t="s">
        <v>841</v>
      </c>
      <c r="W219" s="29" t="s">
        <v>841</v>
      </c>
    </row>
    <row r="220" spans="1:23" ht="10.5" customHeight="1" x14ac:dyDescent="0.25">
      <c r="A220" s="28">
        <v>46032</v>
      </c>
      <c r="B220" s="29" t="str">
        <f>""&amp;DAY(A220)&amp;"/01/2026"&amp;H220</f>
        <v>10/01/2026NL300008</v>
      </c>
      <c r="C220" s="30" t="s">
        <v>869</v>
      </c>
      <c r="D220" s="30" t="s">
        <v>835</v>
      </c>
      <c r="E220" s="29" t="s">
        <v>836</v>
      </c>
      <c r="F220" s="29" t="s">
        <v>837</v>
      </c>
      <c r="G220" s="29" t="s">
        <v>870</v>
      </c>
      <c r="H220" s="29" t="s">
        <v>255</v>
      </c>
      <c r="I220" s="29" t="s">
        <v>256</v>
      </c>
      <c r="J220" s="29" t="s">
        <v>237</v>
      </c>
      <c r="K220" s="31">
        <v>2.1</v>
      </c>
      <c r="L220" s="32">
        <v>40000</v>
      </c>
      <c r="M220" s="32">
        <v>0</v>
      </c>
      <c r="N220" s="33">
        <f t="shared" si="7"/>
        <v>84000</v>
      </c>
      <c r="O220" s="33">
        <v>0</v>
      </c>
      <c r="P220" s="32">
        <v>40000</v>
      </c>
      <c r="Q220" s="29" t="s">
        <v>839</v>
      </c>
      <c r="R220" s="29" t="s">
        <v>840</v>
      </c>
      <c r="S220" s="29" t="s">
        <v>15</v>
      </c>
      <c r="T220" s="29" t="s">
        <v>807</v>
      </c>
      <c r="U220" s="29" t="s">
        <v>15</v>
      </c>
      <c r="V220" s="29" t="s">
        <v>841</v>
      </c>
      <c r="W220" s="29" t="s">
        <v>841</v>
      </c>
    </row>
    <row r="221" spans="1:23" ht="10.5" customHeight="1" x14ac:dyDescent="0.25">
      <c r="A221" s="28">
        <v>46032</v>
      </c>
      <c r="B221" s="29" t="str">
        <f t="shared" ref="B221:B283" si="8">""&amp;DAY(A221)&amp;"/01/2026"&amp;H221</f>
        <v>10/01/2026NL300107</v>
      </c>
      <c r="C221" s="30" t="s">
        <v>869</v>
      </c>
      <c r="D221" s="30" t="s">
        <v>835</v>
      </c>
      <c r="E221" s="29" t="s">
        <v>836</v>
      </c>
      <c r="F221" s="29" t="s">
        <v>837</v>
      </c>
      <c r="G221" s="29" t="s">
        <v>870</v>
      </c>
      <c r="H221" s="29" t="s">
        <v>638</v>
      </c>
      <c r="I221" s="29" t="s">
        <v>842</v>
      </c>
      <c r="J221" s="29" t="s">
        <v>420</v>
      </c>
      <c r="K221" s="31">
        <v>12</v>
      </c>
      <c r="L221" s="32">
        <v>8500</v>
      </c>
      <c r="M221" s="32">
        <v>0</v>
      </c>
      <c r="N221" s="33">
        <f t="shared" si="7"/>
        <v>102000</v>
      </c>
      <c r="O221" s="33">
        <v>0</v>
      </c>
      <c r="P221" s="32">
        <v>8500</v>
      </c>
      <c r="Q221" s="29" t="s">
        <v>839</v>
      </c>
      <c r="R221" s="29" t="s">
        <v>840</v>
      </c>
      <c r="S221" s="29" t="s">
        <v>15</v>
      </c>
      <c r="T221" s="29" t="s">
        <v>807</v>
      </c>
      <c r="U221" s="29" t="s">
        <v>15</v>
      </c>
      <c r="V221" s="29" t="s">
        <v>841</v>
      </c>
      <c r="W221" s="29" t="s">
        <v>841</v>
      </c>
    </row>
    <row r="222" spans="1:23" ht="10.5" customHeight="1" x14ac:dyDescent="0.25">
      <c r="A222" s="28">
        <v>46032</v>
      </c>
      <c r="B222" s="29" t="str">
        <f t="shared" si="8"/>
        <v>10/01/2026NL300059</v>
      </c>
      <c r="C222" s="30" t="s">
        <v>869</v>
      </c>
      <c r="D222" s="30" t="s">
        <v>835</v>
      </c>
      <c r="E222" s="29" t="s">
        <v>836</v>
      </c>
      <c r="F222" s="29" t="s">
        <v>837</v>
      </c>
      <c r="G222" s="29" t="s">
        <v>870</v>
      </c>
      <c r="H222" s="29" t="s">
        <v>484</v>
      </c>
      <c r="I222" s="29" t="s">
        <v>24</v>
      </c>
      <c r="J222" s="29" t="s">
        <v>237</v>
      </c>
      <c r="K222" s="31">
        <v>2</v>
      </c>
      <c r="L222" s="32">
        <v>13000</v>
      </c>
      <c r="M222" s="32">
        <v>0</v>
      </c>
      <c r="N222" s="33">
        <f t="shared" si="7"/>
        <v>26000</v>
      </c>
      <c r="O222" s="33">
        <v>0</v>
      </c>
      <c r="P222" s="32">
        <v>13000</v>
      </c>
      <c r="Q222" s="29" t="s">
        <v>839</v>
      </c>
      <c r="R222" s="29" t="s">
        <v>840</v>
      </c>
      <c r="S222" s="29" t="s">
        <v>15</v>
      </c>
      <c r="T222" s="29" t="s">
        <v>807</v>
      </c>
      <c r="U222" s="29" t="s">
        <v>15</v>
      </c>
      <c r="V222" s="29" t="s">
        <v>841</v>
      </c>
      <c r="W222" s="29" t="s">
        <v>841</v>
      </c>
    </row>
    <row r="223" spans="1:23" ht="10.5" customHeight="1" x14ac:dyDescent="0.25">
      <c r="A223" s="28">
        <v>46032</v>
      </c>
      <c r="B223" s="29" t="str">
        <f t="shared" si="8"/>
        <v>10/01/2026NL300038</v>
      </c>
      <c r="C223" s="30" t="s">
        <v>869</v>
      </c>
      <c r="D223" s="30" t="s">
        <v>835</v>
      </c>
      <c r="E223" s="29" t="s">
        <v>836</v>
      </c>
      <c r="F223" s="29" t="s">
        <v>837</v>
      </c>
      <c r="G223" s="29" t="s">
        <v>870</v>
      </c>
      <c r="H223" s="29" t="s">
        <v>408</v>
      </c>
      <c r="I223" s="29" t="s">
        <v>20</v>
      </c>
      <c r="J223" s="29" t="s">
        <v>237</v>
      </c>
      <c r="K223" s="31">
        <v>2.5</v>
      </c>
      <c r="L223" s="32">
        <v>32000</v>
      </c>
      <c r="M223" s="32">
        <v>0</v>
      </c>
      <c r="N223" s="33">
        <f t="shared" si="7"/>
        <v>80000</v>
      </c>
      <c r="O223" s="33">
        <v>0</v>
      </c>
      <c r="P223" s="32">
        <v>32000</v>
      </c>
      <c r="Q223" s="29" t="s">
        <v>839</v>
      </c>
      <c r="R223" s="29" t="s">
        <v>840</v>
      </c>
      <c r="S223" s="29" t="s">
        <v>15</v>
      </c>
      <c r="T223" s="29" t="s">
        <v>807</v>
      </c>
      <c r="U223" s="29" t="s">
        <v>15</v>
      </c>
      <c r="V223" s="29" t="s">
        <v>841</v>
      </c>
      <c r="W223" s="29" t="s">
        <v>841</v>
      </c>
    </row>
    <row r="224" spans="1:23" ht="10.5" customHeight="1" x14ac:dyDescent="0.25">
      <c r="A224" s="28">
        <v>46032</v>
      </c>
      <c r="B224" s="29" t="str">
        <f t="shared" si="8"/>
        <v>10/01/2026NL300090</v>
      </c>
      <c r="C224" s="30" t="s">
        <v>869</v>
      </c>
      <c r="D224" s="30" t="s">
        <v>835</v>
      </c>
      <c r="E224" s="29" t="s">
        <v>836</v>
      </c>
      <c r="F224" s="29" t="s">
        <v>837</v>
      </c>
      <c r="G224" s="29" t="s">
        <v>870</v>
      </c>
      <c r="H224" s="29" t="s">
        <v>604</v>
      </c>
      <c r="I224" s="29" t="s">
        <v>40</v>
      </c>
      <c r="J224" s="29" t="s">
        <v>237</v>
      </c>
      <c r="K224" s="31">
        <v>2</v>
      </c>
      <c r="L224" s="32">
        <v>145000</v>
      </c>
      <c r="M224" s="32">
        <v>0</v>
      </c>
      <c r="N224" s="33">
        <f t="shared" si="7"/>
        <v>290000</v>
      </c>
      <c r="O224" s="33">
        <v>0</v>
      </c>
      <c r="P224" s="32">
        <v>145000</v>
      </c>
      <c r="Q224" s="29" t="s">
        <v>839</v>
      </c>
      <c r="R224" s="29" t="s">
        <v>840</v>
      </c>
      <c r="S224" s="29" t="s">
        <v>15</v>
      </c>
      <c r="T224" s="29" t="s">
        <v>807</v>
      </c>
      <c r="U224" s="29" t="s">
        <v>15</v>
      </c>
      <c r="V224" s="29" t="s">
        <v>841</v>
      </c>
      <c r="W224" s="29" t="s">
        <v>841</v>
      </c>
    </row>
    <row r="225" spans="1:23" ht="10.5" customHeight="1" x14ac:dyDescent="0.25">
      <c r="A225" s="28">
        <v>46032</v>
      </c>
      <c r="B225" s="29" t="str">
        <f t="shared" si="8"/>
        <v>10/01/2026NL300027</v>
      </c>
      <c r="C225" s="30" t="s">
        <v>869</v>
      </c>
      <c r="D225" s="30" t="s">
        <v>835</v>
      </c>
      <c r="E225" s="29" t="s">
        <v>836</v>
      </c>
      <c r="F225" s="29" t="s">
        <v>837</v>
      </c>
      <c r="G225" s="29" t="s">
        <v>870</v>
      </c>
      <c r="H225" s="29" t="s">
        <v>314</v>
      </c>
      <c r="I225" s="29" t="s">
        <v>126</v>
      </c>
      <c r="J225" s="29" t="s">
        <v>237</v>
      </c>
      <c r="K225" s="31">
        <v>2</v>
      </c>
      <c r="L225" s="32">
        <v>18000</v>
      </c>
      <c r="M225" s="32">
        <v>0</v>
      </c>
      <c r="N225" s="33">
        <f t="shared" si="7"/>
        <v>36000</v>
      </c>
      <c r="O225" s="33">
        <v>0</v>
      </c>
      <c r="P225" s="32">
        <v>18000</v>
      </c>
      <c r="Q225" s="29" t="s">
        <v>839</v>
      </c>
      <c r="R225" s="29" t="s">
        <v>840</v>
      </c>
      <c r="S225" s="29" t="s">
        <v>15</v>
      </c>
      <c r="T225" s="29" t="s">
        <v>807</v>
      </c>
      <c r="U225" s="29" t="s">
        <v>15</v>
      </c>
      <c r="V225" s="29" t="s">
        <v>841</v>
      </c>
      <c r="W225" s="29" t="s">
        <v>841</v>
      </c>
    </row>
    <row r="226" spans="1:23" ht="10.5" customHeight="1" x14ac:dyDescent="0.25">
      <c r="A226" s="28">
        <v>46032</v>
      </c>
      <c r="B226" s="29" t="str">
        <f t="shared" si="8"/>
        <v>10/01/2026NL300061</v>
      </c>
      <c r="C226" s="30" t="s">
        <v>869</v>
      </c>
      <c r="D226" s="30" t="s">
        <v>835</v>
      </c>
      <c r="E226" s="29" t="s">
        <v>836</v>
      </c>
      <c r="F226" s="29" t="s">
        <v>837</v>
      </c>
      <c r="G226" s="29" t="s">
        <v>870</v>
      </c>
      <c r="H226" s="29" t="s">
        <v>482</v>
      </c>
      <c r="I226" s="29" t="s">
        <v>844</v>
      </c>
      <c r="J226" s="29" t="s">
        <v>237</v>
      </c>
      <c r="K226" s="31">
        <v>1.1000000000000001</v>
      </c>
      <c r="L226" s="32">
        <v>38000</v>
      </c>
      <c r="M226" s="32">
        <v>0</v>
      </c>
      <c r="N226" s="33">
        <f t="shared" si="7"/>
        <v>41800</v>
      </c>
      <c r="O226" s="33">
        <v>0</v>
      </c>
      <c r="P226" s="32">
        <v>38000</v>
      </c>
      <c r="Q226" s="29" t="s">
        <v>839</v>
      </c>
      <c r="R226" s="29" t="s">
        <v>840</v>
      </c>
      <c r="S226" s="29" t="s">
        <v>15</v>
      </c>
      <c r="T226" s="29" t="s">
        <v>807</v>
      </c>
      <c r="U226" s="29" t="s">
        <v>15</v>
      </c>
      <c r="V226" s="29" t="s">
        <v>841</v>
      </c>
      <c r="W226" s="29" t="s">
        <v>841</v>
      </c>
    </row>
    <row r="227" spans="1:23" ht="10.5" customHeight="1" x14ac:dyDescent="0.25">
      <c r="A227" s="28">
        <v>46032</v>
      </c>
      <c r="B227" s="29" t="str">
        <f t="shared" si="8"/>
        <v>10/01/2026NL300048</v>
      </c>
      <c r="C227" s="30" t="s">
        <v>869</v>
      </c>
      <c r="D227" s="30" t="s">
        <v>835</v>
      </c>
      <c r="E227" s="29" t="s">
        <v>836</v>
      </c>
      <c r="F227" s="29" t="s">
        <v>837</v>
      </c>
      <c r="G227" s="29" t="s">
        <v>870</v>
      </c>
      <c r="H227" s="29" t="s">
        <v>460</v>
      </c>
      <c r="I227" s="29" t="s">
        <v>461</v>
      </c>
      <c r="J227" s="29" t="s">
        <v>237</v>
      </c>
      <c r="K227" s="31">
        <v>2.2000000000000002</v>
      </c>
      <c r="L227" s="32">
        <v>18000</v>
      </c>
      <c r="M227" s="32">
        <v>0</v>
      </c>
      <c r="N227" s="33">
        <f t="shared" si="7"/>
        <v>39600</v>
      </c>
      <c r="O227" s="33">
        <v>0</v>
      </c>
      <c r="P227" s="32">
        <v>18000</v>
      </c>
      <c r="Q227" s="29" t="s">
        <v>839</v>
      </c>
      <c r="R227" s="29" t="s">
        <v>840</v>
      </c>
      <c r="S227" s="29" t="s">
        <v>15</v>
      </c>
      <c r="T227" s="29" t="s">
        <v>807</v>
      </c>
      <c r="U227" s="29" t="s">
        <v>15</v>
      </c>
      <c r="V227" s="29" t="s">
        <v>841</v>
      </c>
      <c r="W227" s="29" t="s">
        <v>841</v>
      </c>
    </row>
    <row r="228" spans="1:23" ht="10.5" customHeight="1" x14ac:dyDescent="0.25">
      <c r="A228" s="28">
        <v>46032</v>
      </c>
      <c r="B228" s="29" t="str">
        <f t="shared" si="8"/>
        <v>10/01/2026NL300033</v>
      </c>
      <c r="C228" s="30" t="s">
        <v>869</v>
      </c>
      <c r="D228" s="30" t="s">
        <v>835</v>
      </c>
      <c r="E228" s="29" t="s">
        <v>836</v>
      </c>
      <c r="F228" s="29" t="s">
        <v>837</v>
      </c>
      <c r="G228" s="29" t="s">
        <v>870</v>
      </c>
      <c r="H228" s="29" t="s">
        <v>374</v>
      </c>
      <c r="I228" s="29" t="s">
        <v>843</v>
      </c>
      <c r="J228" s="29" t="s">
        <v>237</v>
      </c>
      <c r="K228" s="31">
        <v>2</v>
      </c>
      <c r="L228" s="32">
        <v>13000</v>
      </c>
      <c r="M228" s="32">
        <v>0</v>
      </c>
      <c r="N228" s="33">
        <f t="shared" si="7"/>
        <v>26000</v>
      </c>
      <c r="O228" s="33">
        <v>0</v>
      </c>
      <c r="P228" s="32">
        <v>13000</v>
      </c>
      <c r="Q228" s="29" t="s">
        <v>839</v>
      </c>
      <c r="R228" s="29" t="s">
        <v>840</v>
      </c>
      <c r="S228" s="29" t="s">
        <v>15</v>
      </c>
      <c r="T228" s="29" t="s">
        <v>807</v>
      </c>
      <c r="U228" s="29" t="s">
        <v>15</v>
      </c>
      <c r="V228" s="29" t="s">
        <v>841</v>
      </c>
      <c r="W228" s="29" t="s">
        <v>841</v>
      </c>
    </row>
    <row r="229" spans="1:23" ht="10.5" customHeight="1" x14ac:dyDescent="0.25">
      <c r="A229" s="28">
        <v>46032</v>
      </c>
      <c r="B229" s="29" t="str">
        <f t="shared" si="8"/>
        <v>10/01/2026NL300142</v>
      </c>
      <c r="C229" s="30" t="s">
        <v>869</v>
      </c>
      <c r="D229" s="30" t="s">
        <v>835</v>
      </c>
      <c r="E229" s="29" t="s">
        <v>836</v>
      </c>
      <c r="F229" s="29" t="s">
        <v>837</v>
      </c>
      <c r="G229" s="29" t="s">
        <v>870</v>
      </c>
      <c r="H229" s="29" t="s">
        <v>777</v>
      </c>
      <c r="I229" s="29" t="s">
        <v>845</v>
      </c>
      <c r="J229" s="29" t="s">
        <v>237</v>
      </c>
      <c r="K229" s="31">
        <v>0.6</v>
      </c>
      <c r="L229" s="32">
        <v>50000</v>
      </c>
      <c r="M229" s="32">
        <v>0</v>
      </c>
      <c r="N229" s="33">
        <f t="shared" si="7"/>
        <v>30000</v>
      </c>
      <c r="O229" s="33">
        <v>0</v>
      </c>
      <c r="P229" s="32">
        <v>50000</v>
      </c>
      <c r="Q229" s="29" t="s">
        <v>839</v>
      </c>
      <c r="R229" s="29" t="s">
        <v>840</v>
      </c>
      <c r="S229" s="29" t="s">
        <v>15</v>
      </c>
      <c r="T229" s="29" t="s">
        <v>807</v>
      </c>
      <c r="U229" s="29" t="s">
        <v>15</v>
      </c>
      <c r="V229" s="29" t="s">
        <v>841</v>
      </c>
      <c r="W229" s="29" t="s">
        <v>841</v>
      </c>
    </row>
    <row r="230" spans="1:23" ht="10.5" customHeight="1" x14ac:dyDescent="0.25">
      <c r="A230" s="28">
        <v>46032</v>
      </c>
      <c r="B230" s="29" t="str">
        <f t="shared" si="8"/>
        <v>10/01/2026NL300145</v>
      </c>
      <c r="C230" s="30" t="s">
        <v>869</v>
      </c>
      <c r="D230" s="30" t="s">
        <v>835</v>
      </c>
      <c r="E230" s="29" t="s">
        <v>836</v>
      </c>
      <c r="F230" s="29" t="s">
        <v>837</v>
      </c>
      <c r="G230" s="29" t="s">
        <v>870</v>
      </c>
      <c r="H230" s="29" t="s">
        <v>790</v>
      </c>
      <c r="I230" s="29" t="s">
        <v>791</v>
      </c>
      <c r="J230" s="29" t="s">
        <v>237</v>
      </c>
      <c r="K230" s="31">
        <v>10</v>
      </c>
      <c r="L230" s="32">
        <v>38000</v>
      </c>
      <c r="M230" s="32">
        <v>0</v>
      </c>
      <c r="N230" s="33">
        <f t="shared" si="7"/>
        <v>380000</v>
      </c>
      <c r="O230" s="33">
        <v>0</v>
      </c>
      <c r="P230" s="32">
        <v>38000</v>
      </c>
      <c r="Q230" s="29" t="s">
        <v>839</v>
      </c>
      <c r="R230" s="29" t="s">
        <v>840</v>
      </c>
      <c r="S230" s="29" t="s">
        <v>15</v>
      </c>
      <c r="T230" s="29" t="s">
        <v>807</v>
      </c>
      <c r="U230" s="29" t="s">
        <v>15</v>
      </c>
      <c r="V230" s="29" t="s">
        <v>841</v>
      </c>
      <c r="W230" s="29" t="s">
        <v>841</v>
      </c>
    </row>
    <row r="231" spans="1:23" ht="10.5" customHeight="1" x14ac:dyDescent="0.25">
      <c r="A231" s="28">
        <v>46032</v>
      </c>
      <c r="B231" s="29" t="str">
        <f t="shared" si="8"/>
        <v>10/01/2026NL300080</v>
      </c>
      <c r="C231" s="30" t="s">
        <v>869</v>
      </c>
      <c r="D231" s="30" t="s">
        <v>835</v>
      </c>
      <c r="E231" s="29" t="s">
        <v>836</v>
      </c>
      <c r="F231" s="29" t="s">
        <v>837</v>
      </c>
      <c r="G231" s="29" t="s">
        <v>870</v>
      </c>
      <c r="H231" s="29" t="s">
        <v>553</v>
      </c>
      <c r="I231" s="29" t="s">
        <v>554</v>
      </c>
      <c r="J231" s="29" t="s">
        <v>237</v>
      </c>
      <c r="K231" s="31">
        <v>1</v>
      </c>
      <c r="L231" s="32">
        <v>95000</v>
      </c>
      <c r="M231" s="32">
        <v>0</v>
      </c>
      <c r="N231" s="33">
        <f t="shared" si="7"/>
        <v>95000</v>
      </c>
      <c r="O231" s="33">
        <v>0</v>
      </c>
      <c r="P231" s="32">
        <v>95000</v>
      </c>
      <c r="Q231" s="29" t="s">
        <v>839</v>
      </c>
      <c r="R231" s="29" t="s">
        <v>840</v>
      </c>
      <c r="S231" s="29" t="s">
        <v>15</v>
      </c>
      <c r="T231" s="29" t="s">
        <v>807</v>
      </c>
      <c r="U231" s="29" t="s">
        <v>15</v>
      </c>
      <c r="V231" s="29" t="s">
        <v>841</v>
      </c>
      <c r="W231" s="29" t="s">
        <v>841</v>
      </c>
    </row>
    <row r="232" spans="1:23" ht="10.5" customHeight="1" x14ac:dyDescent="0.25">
      <c r="A232" s="28">
        <v>46032</v>
      </c>
      <c r="B232" s="29" t="str">
        <f t="shared" si="8"/>
        <v>10/01/2026NL300113</v>
      </c>
      <c r="C232" s="30" t="s">
        <v>869</v>
      </c>
      <c r="D232" s="30" t="s">
        <v>835</v>
      </c>
      <c r="E232" s="29" t="s">
        <v>836</v>
      </c>
      <c r="F232" s="29" t="s">
        <v>837</v>
      </c>
      <c r="G232" s="29" t="s">
        <v>870</v>
      </c>
      <c r="H232" s="29" t="s">
        <v>649</v>
      </c>
      <c r="I232" s="29" t="s">
        <v>42</v>
      </c>
      <c r="J232" s="29" t="s">
        <v>237</v>
      </c>
      <c r="K232" s="31">
        <v>0.5</v>
      </c>
      <c r="L232" s="32">
        <v>145000</v>
      </c>
      <c r="M232" s="32">
        <v>0</v>
      </c>
      <c r="N232" s="33">
        <f t="shared" si="7"/>
        <v>72500</v>
      </c>
      <c r="O232" s="33">
        <v>0</v>
      </c>
      <c r="P232" s="32">
        <v>145000</v>
      </c>
      <c r="Q232" s="29" t="s">
        <v>839</v>
      </c>
      <c r="R232" s="29" t="s">
        <v>840</v>
      </c>
      <c r="S232" s="29" t="s">
        <v>15</v>
      </c>
      <c r="T232" s="29" t="s">
        <v>807</v>
      </c>
      <c r="U232" s="29" t="s">
        <v>15</v>
      </c>
      <c r="V232" s="29" t="s">
        <v>841</v>
      </c>
      <c r="W232" s="29" t="s">
        <v>841</v>
      </c>
    </row>
    <row r="233" spans="1:23" ht="10.5" customHeight="1" x14ac:dyDescent="0.25">
      <c r="A233" s="28">
        <v>46032</v>
      </c>
      <c r="B233" s="29" t="str">
        <f t="shared" si="8"/>
        <v>10/01/2026NL300119</v>
      </c>
      <c r="C233" s="30" t="s">
        <v>869</v>
      </c>
      <c r="D233" s="30" t="s">
        <v>835</v>
      </c>
      <c r="E233" s="29" t="s">
        <v>836</v>
      </c>
      <c r="F233" s="29" t="s">
        <v>837</v>
      </c>
      <c r="G233" s="29" t="s">
        <v>870</v>
      </c>
      <c r="H233" s="29" t="s">
        <v>672</v>
      </c>
      <c r="I233" s="29" t="s">
        <v>673</v>
      </c>
      <c r="J233" s="29" t="s">
        <v>237</v>
      </c>
      <c r="K233" s="31">
        <v>1.1000000000000001</v>
      </c>
      <c r="L233" s="32">
        <v>21000</v>
      </c>
      <c r="M233" s="32">
        <v>0</v>
      </c>
      <c r="N233" s="33">
        <f t="shared" si="7"/>
        <v>23100.000000000004</v>
      </c>
      <c r="O233" s="33">
        <v>0</v>
      </c>
      <c r="P233" s="32">
        <v>21000</v>
      </c>
      <c r="Q233" s="29" t="s">
        <v>839</v>
      </c>
      <c r="R233" s="29" t="s">
        <v>840</v>
      </c>
      <c r="S233" s="29" t="s">
        <v>15</v>
      </c>
      <c r="T233" s="29" t="s">
        <v>807</v>
      </c>
      <c r="U233" s="29" t="s">
        <v>15</v>
      </c>
      <c r="V233" s="29" t="s">
        <v>841</v>
      </c>
      <c r="W233" s="29" t="s">
        <v>841</v>
      </c>
    </row>
    <row r="234" spans="1:23" ht="10.5" customHeight="1" x14ac:dyDescent="0.25">
      <c r="A234" s="28">
        <v>46032</v>
      </c>
      <c r="B234" s="29" t="str">
        <f t="shared" si="8"/>
        <v>10/01/2026NL300004</v>
      </c>
      <c r="C234" s="30" t="s">
        <v>869</v>
      </c>
      <c r="D234" s="30" t="s">
        <v>835</v>
      </c>
      <c r="E234" s="29" t="s">
        <v>836</v>
      </c>
      <c r="F234" s="29" t="s">
        <v>837</v>
      </c>
      <c r="G234" s="29" t="s">
        <v>870</v>
      </c>
      <c r="H234" s="29" t="s">
        <v>244</v>
      </c>
      <c r="I234" s="29" t="s">
        <v>13</v>
      </c>
      <c r="J234" s="29" t="s">
        <v>237</v>
      </c>
      <c r="K234" s="31">
        <v>2.7</v>
      </c>
      <c r="L234" s="32">
        <v>19000</v>
      </c>
      <c r="M234" s="32">
        <v>0</v>
      </c>
      <c r="N234" s="33">
        <f t="shared" si="7"/>
        <v>51300</v>
      </c>
      <c r="O234" s="33">
        <v>0</v>
      </c>
      <c r="P234" s="32">
        <v>19000</v>
      </c>
      <c r="Q234" s="29" t="s">
        <v>839</v>
      </c>
      <c r="R234" s="29" t="s">
        <v>840</v>
      </c>
      <c r="S234" s="29" t="s">
        <v>15</v>
      </c>
      <c r="T234" s="29" t="s">
        <v>807</v>
      </c>
      <c r="U234" s="29" t="s">
        <v>15</v>
      </c>
      <c r="V234" s="29" t="s">
        <v>841</v>
      </c>
      <c r="W234" s="29" t="s">
        <v>841</v>
      </c>
    </row>
    <row r="235" spans="1:23" ht="10.5" customHeight="1" x14ac:dyDescent="0.25">
      <c r="A235" s="28">
        <v>46032</v>
      </c>
      <c r="B235" s="29" t="str">
        <f t="shared" si="8"/>
        <v>10/01/2026NL300014</v>
      </c>
      <c r="C235" s="30" t="s">
        <v>869</v>
      </c>
      <c r="D235" s="30" t="s">
        <v>835</v>
      </c>
      <c r="E235" s="29" t="s">
        <v>836</v>
      </c>
      <c r="F235" s="29" t="s">
        <v>837</v>
      </c>
      <c r="G235" s="29" t="s">
        <v>870</v>
      </c>
      <c r="H235" s="29" t="s">
        <v>280</v>
      </c>
      <c r="I235" s="29" t="s">
        <v>132</v>
      </c>
      <c r="J235" s="29" t="s">
        <v>237</v>
      </c>
      <c r="K235" s="31">
        <v>0.2</v>
      </c>
      <c r="L235" s="32">
        <v>55000</v>
      </c>
      <c r="M235" s="32">
        <v>0</v>
      </c>
      <c r="N235" s="33">
        <f t="shared" si="7"/>
        <v>11000</v>
      </c>
      <c r="O235" s="33">
        <v>0</v>
      </c>
      <c r="P235" s="32">
        <v>55000</v>
      </c>
      <c r="Q235" s="29" t="s">
        <v>839</v>
      </c>
      <c r="R235" s="29" t="s">
        <v>840</v>
      </c>
      <c r="S235" s="29" t="s">
        <v>15</v>
      </c>
      <c r="T235" s="29" t="s">
        <v>807</v>
      </c>
      <c r="U235" s="29" t="s">
        <v>15</v>
      </c>
      <c r="V235" s="29" t="s">
        <v>841</v>
      </c>
      <c r="W235" s="29" t="s">
        <v>841</v>
      </c>
    </row>
    <row r="236" spans="1:23" ht="10.5" customHeight="1" x14ac:dyDescent="0.25">
      <c r="A236" s="28">
        <v>46032</v>
      </c>
      <c r="B236" s="29" t="str">
        <f t="shared" si="8"/>
        <v>10/01/2026NL300050</v>
      </c>
      <c r="C236" s="30" t="s">
        <v>869</v>
      </c>
      <c r="D236" s="30" t="s">
        <v>835</v>
      </c>
      <c r="E236" s="29" t="s">
        <v>836</v>
      </c>
      <c r="F236" s="29" t="s">
        <v>837</v>
      </c>
      <c r="G236" s="29" t="s">
        <v>870</v>
      </c>
      <c r="H236" s="29" t="s">
        <v>804</v>
      </c>
      <c r="I236" s="29" t="s">
        <v>805</v>
      </c>
      <c r="J236" s="29" t="s">
        <v>237</v>
      </c>
      <c r="K236" s="31">
        <v>1</v>
      </c>
      <c r="L236" s="32">
        <v>9000</v>
      </c>
      <c r="M236" s="32">
        <v>0</v>
      </c>
      <c r="N236" s="33">
        <f t="shared" si="7"/>
        <v>9000</v>
      </c>
      <c r="O236" s="33">
        <v>0</v>
      </c>
      <c r="P236" s="32">
        <v>0</v>
      </c>
      <c r="Q236" s="29" t="s">
        <v>839</v>
      </c>
      <c r="R236" s="29" t="s">
        <v>840</v>
      </c>
      <c r="S236" s="29" t="s">
        <v>15</v>
      </c>
      <c r="T236" s="29" t="s">
        <v>807</v>
      </c>
      <c r="U236" s="29" t="s">
        <v>15</v>
      </c>
      <c r="V236" s="29" t="s">
        <v>841</v>
      </c>
      <c r="W236" s="29" t="s">
        <v>841</v>
      </c>
    </row>
    <row r="237" spans="1:23" ht="10.5" customHeight="1" x14ac:dyDescent="0.25">
      <c r="A237" s="28">
        <v>46032</v>
      </c>
      <c r="B237" s="29" t="str">
        <f t="shared" si="8"/>
        <v>10/01/2026NL300053</v>
      </c>
      <c r="C237" s="30" t="s">
        <v>869</v>
      </c>
      <c r="D237" s="30" t="s">
        <v>835</v>
      </c>
      <c r="E237" s="29" t="s">
        <v>836</v>
      </c>
      <c r="F237" s="29" t="s">
        <v>837</v>
      </c>
      <c r="G237" s="29" t="s">
        <v>870</v>
      </c>
      <c r="H237" s="29" t="s">
        <v>475</v>
      </c>
      <c r="I237" s="29" t="s">
        <v>476</v>
      </c>
      <c r="J237" s="29" t="s">
        <v>237</v>
      </c>
      <c r="K237" s="31">
        <v>0.3</v>
      </c>
      <c r="L237" s="32">
        <v>30000</v>
      </c>
      <c r="M237" s="32">
        <v>0</v>
      </c>
      <c r="N237" s="33">
        <f t="shared" si="7"/>
        <v>9000</v>
      </c>
      <c r="O237" s="33">
        <v>0</v>
      </c>
      <c r="P237" s="32">
        <v>30000</v>
      </c>
      <c r="Q237" s="29" t="s">
        <v>839</v>
      </c>
      <c r="R237" s="29" t="s">
        <v>840</v>
      </c>
      <c r="S237" s="29" t="s">
        <v>15</v>
      </c>
      <c r="T237" s="29" t="s">
        <v>807</v>
      </c>
      <c r="U237" s="29" t="s">
        <v>15</v>
      </c>
      <c r="V237" s="29" t="s">
        <v>841</v>
      </c>
      <c r="W237" s="29" t="s">
        <v>841</v>
      </c>
    </row>
    <row r="238" spans="1:23" ht="10.5" customHeight="1" x14ac:dyDescent="0.25">
      <c r="A238" s="28">
        <v>46032</v>
      </c>
      <c r="B238" s="29" t="str">
        <f t="shared" si="8"/>
        <v>10/01/2026NL300058</v>
      </c>
      <c r="C238" s="30" t="s">
        <v>869</v>
      </c>
      <c r="D238" s="30" t="s">
        <v>835</v>
      </c>
      <c r="E238" s="29" t="s">
        <v>836</v>
      </c>
      <c r="F238" s="29" t="s">
        <v>837</v>
      </c>
      <c r="G238" s="29" t="s">
        <v>870</v>
      </c>
      <c r="H238" s="29" t="s">
        <v>481</v>
      </c>
      <c r="I238" s="29" t="s">
        <v>22</v>
      </c>
      <c r="J238" s="29" t="s">
        <v>237</v>
      </c>
      <c r="K238" s="31">
        <v>0.2</v>
      </c>
      <c r="L238" s="32">
        <v>55000</v>
      </c>
      <c r="M238" s="32">
        <v>0</v>
      </c>
      <c r="N238" s="33">
        <f t="shared" si="7"/>
        <v>11000</v>
      </c>
      <c r="O238" s="33">
        <v>0</v>
      </c>
      <c r="P238" s="32">
        <v>55000</v>
      </c>
      <c r="Q238" s="29" t="s">
        <v>839</v>
      </c>
      <c r="R238" s="29" t="s">
        <v>840</v>
      </c>
      <c r="S238" s="29" t="s">
        <v>15</v>
      </c>
      <c r="T238" s="29" t="s">
        <v>807</v>
      </c>
      <c r="U238" s="29" t="s">
        <v>15</v>
      </c>
      <c r="V238" s="29" t="s">
        <v>841</v>
      </c>
      <c r="W238" s="29" t="s">
        <v>841</v>
      </c>
    </row>
    <row r="239" spans="1:23" ht="10.5" customHeight="1" x14ac:dyDescent="0.25">
      <c r="A239" s="28">
        <v>46032</v>
      </c>
      <c r="B239" s="29" t="str">
        <f t="shared" si="8"/>
        <v>10/01/2026NL300070</v>
      </c>
      <c r="C239" s="30" t="s">
        <v>869</v>
      </c>
      <c r="D239" s="30" t="s">
        <v>835</v>
      </c>
      <c r="E239" s="29" t="s">
        <v>836</v>
      </c>
      <c r="F239" s="29" t="s">
        <v>837</v>
      </c>
      <c r="G239" s="29" t="s">
        <v>870</v>
      </c>
      <c r="H239" s="29" t="s">
        <v>507</v>
      </c>
      <c r="I239" s="29" t="s">
        <v>508</v>
      </c>
      <c r="J239" s="29" t="s">
        <v>237</v>
      </c>
      <c r="K239" s="31">
        <v>1.8</v>
      </c>
      <c r="L239" s="32">
        <v>23000</v>
      </c>
      <c r="M239" s="32">
        <v>0</v>
      </c>
      <c r="N239" s="33">
        <f t="shared" si="7"/>
        <v>41400</v>
      </c>
      <c r="O239" s="33">
        <v>0</v>
      </c>
      <c r="P239" s="32">
        <v>23000</v>
      </c>
      <c r="Q239" s="29" t="s">
        <v>839</v>
      </c>
      <c r="R239" s="29" t="s">
        <v>840</v>
      </c>
      <c r="S239" s="29" t="s">
        <v>15</v>
      </c>
      <c r="T239" s="29" t="s">
        <v>807</v>
      </c>
      <c r="U239" s="29" t="s">
        <v>15</v>
      </c>
      <c r="V239" s="29" t="s">
        <v>841</v>
      </c>
      <c r="W239" s="29" t="s">
        <v>841</v>
      </c>
    </row>
    <row r="240" spans="1:23" ht="10.5" customHeight="1" x14ac:dyDescent="0.25">
      <c r="A240" s="28">
        <v>46032</v>
      </c>
      <c r="B240" s="29" t="str">
        <f t="shared" si="8"/>
        <v>10/01/2026NL300126</v>
      </c>
      <c r="C240" s="30" t="s">
        <v>869</v>
      </c>
      <c r="D240" s="30" t="s">
        <v>835</v>
      </c>
      <c r="E240" s="29" t="s">
        <v>836</v>
      </c>
      <c r="F240" s="29" t="s">
        <v>837</v>
      </c>
      <c r="G240" s="29" t="s">
        <v>870</v>
      </c>
      <c r="H240" s="29" t="s">
        <v>721</v>
      </c>
      <c r="I240" s="29" t="s">
        <v>722</v>
      </c>
      <c r="J240" s="29" t="s">
        <v>237</v>
      </c>
      <c r="K240" s="31">
        <v>0.3</v>
      </c>
      <c r="L240" s="32">
        <v>70000</v>
      </c>
      <c r="M240" s="32">
        <v>0</v>
      </c>
      <c r="N240" s="33">
        <f t="shared" si="7"/>
        <v>21000</v>
      </c>
      <c r="O240" s="33">
        <v>0</v>
      </c>
      <c r="P240" s="32">
        <v>70000</v>
      </c>
      <c r="Q240" s="29" t="s">
        <v>839</v>
      </c>
      <c r="R240" s="29" t="s">
        <v>840</v>
      </c>
      <c r="S240" s="29" t="s">
        <v>15</v>
      </c>
      <c r="T240" s="29" t="s">
        <v>807</v>
      </c>
      <c r="U240" s="29" t="s">
        <v>15</v>
      </c>
      <c r="V240" s="29" t="s">
        <v>841</v>
      </c>
      <c r="W240" s="29" t="s">
        <v>841</v>
      </c>
    </row>
    <row r="241" spans="1:23" ht="10.5" customHeight="1" x14ac:dyDescent="0.25">
      <c r="A241" s="28">
        <v>46032</v>
      </c>
      <c r="B241" s="29" t="str">
        <f t="shared" si="8"/>
        <v>10/01/2026NL300013</v>
      </c>
      <c r="C241" s="30" t="s">
        <v>869</v>
      </c>
      <c r="D241" s="30" t="s">
        <v>835</v>
      </c>
      <c r="E241" s="29" t="s">
        <v>836</v>
      </c>
      <c r="F241" s="29" t="s">
        <v>837</v>
      </c>
      <c r="G241" s="29" t="s">
        <v>870</v>
      </c>
      <c r="H241" s="29" t="s">
        <v>279</v>
      </c>
      <c r="I241" s="29" t="s">
        <v>151</v>
      </c>
      <c r="J241" s="29" t="s">
        <v>237</v>
      </c>
      <c r="K241" s="31">
        <v>2</v>
      </c>
      <c r="L241" s="32">
        <v>50000</v>
      </c>
      <c r="M241" s="32">
        <v>0</v>
      </c>
      <c r="N241" s="33">
        <f t="shared" si="7"/>
        <v>100000</v>
      </c>
      <c r="O241" s="33">
        <v>0</v>
      </c>
      <c r="P241" s="32">
        <v>50000</v>
      </c>
      <c r="Q241" s="29" t="s">
        <v>839</v>
      </c>
      <c r="R241" s="29" t="s">
        <v>840</v>
      </c>
      <c r="S241" s="29" t="s">
        <v>15</v>
      </c>
      <c r="T241" s="29" t="s">
        <v>807</v>
      </c>
      <c r="U241" s="29" t="s">
        <v>15</v>
      </c>
      <c r="V241" s="29" t="s">
        <v>841</v>
      </c>
      <c r="W241" s="29" t="s">
        <v>841</v>
      </c>
    </row>
    <row r="242" spans="1:23" ht="10.5" customHeight="1" x14ac:dyDescent="0.25">
      <c r="A242" s="28">
        <v>46032</v>
      </c>
      <c r="B242" s="29" t="str">
        <f t="shared" si="8"/>
        <v>10/01/2026NL600004</v>
      </c>
      <c r="C242" s="30" t="s">
        <v>869</v>
      </c>
      <c r="D242" s="30" t="s">
        <v>835</v>
      </c>
      <c r="E242" s="29" t="s">
        <v>836</v>
      </c>
      <c r="F242" s="29" t="s">
        <v>837</v>
      </c>
      <c r="G242" s="29" t="s">
        <v>870</v>
      </c>
      <c r="H242" s="29" t="s">
        <v>462</v>
      </c>
      <c r="I242" s="29" t="s">
        <v>52</v>
      </c>
      <c r="J242" s="29" t="s">
        <v>237</v>
      </c>
      <c r="K242" s="31">
        <v>28.2</v>
      </c>
      <c r="L242" s="32">
        <v>18000</v>
      </c>
      <c r="M242" s="32">
        <v>0</v>
      </c>
      <c r="N242" s="33">
        <f t="shared" si="7"/>
        <v>507600</v>
      </c>
      <c r="O242" s="33">
        <v>0</v>
      </c>
      <c r="P242" s="32">
        <v>18000</v>
      </c>
      <c r="Q242" s="29" t="s">
        <v>839</v>
      </c>
      <c r="R242" s="29" t="s">
        <v>840</v>
      </c>
      <c r="S242" s="29" t="s">
        <v>15</v>
      </c>
      <c r="T242" s="29" t="s">
        <v>807</v>
      </c>
      <c r="U242" s="29" t="s">
        <v>15</v>
      </c>
      <c r="V242" s="29" t="s">
        <v>841</v>
      </c>
      <c r="W242" s="29" t="s">
        <v>841</v>
      </c>
    </row>
    <row r="243" spans="1:23" ht="10.5" customHeight="1" x14ac:dyDescent="0.25">
      <c r="A243" s="28">
        <v>46032</v>
      </c>
      <c r="B243" s="29" t="str">
        <f t="shared" si="8"/>
        <v>10/01/2026NL300041</v>
      </c>
      <c r="C243" s="30" t="s">
        <v>869</v>
      </c>
      <c r="D243" s="30" t="s">
        <v>835</v>
      </c>
      <c r="E243" s="29" t="s">
        <v>836</v>
      </c>
      <c r="F243" s="29" t="s">
        <v>837</v>
      </c>
      <c r="G243" s="29" t="s">
        <v>870</v>
      </c>
      <c r="H243" s="29" t="s">
        <v>418</v>
      </c>
      <c r="I243" s="29" t="s">
        <v>419</v>
      </c>
      <c r="J243" s="29" t="s">
        <v>420</v>
      </c>
      <c r="K243" s="31">
        <v>6</v>
      </c>
      <c r="L243" s="32">
        <v>15000</v>
      </c>
      <c r="M243" s="32">
        <v>0</v>
      </c>
      <c r="N243" s="33">
        <f t="shared" si="7"/>
        <v>90000</v>
      </c>
      <c r="O243" s="33">
        <v>0</v>
      </c>
      <c r="P243" s="32">
        <v>15000</v>
      </c>
      <c r="Q243" s="29" t="s">
        <v>839</v>
      </c>
      <c r="R243" s="29" t="s">
        <v>840</v>
      </c>
      <c r="S243" s="29" t="s">
        <v>15</v>
      </c>
      <c r="T243" s="29" t="s">
        <v>807</v>
      </c>
      <c r="U243" s="29" t="s">
        <v>15</v>
      </c>
      <c r="V243" s="29" t="s">
        <v>841</v>
      </c>
      <c r="W243" s="29" t="s">
        <v>841</v>
      </c>
    </row>
    <row r="244" spans="1:23" ht="10.5" customHeight="1" x14ac:dyDescent="0.25">
      <c r="A244" s="28">
        <v>46032</v>
      </c>
      <c r="B244" s="29" t="str">
        <f t="shared" si="8"/>
        <v>10/01/2026NL300007</v>
      </c>
      <c r="C244" s="30" t="s">
        <v>869</v>
      </c>
      <c r="D244" s="30" t="s">
        <v>835</v>
      </c>
      <c r="E244" s="29" t="s">
        <v>836</v>
      </c>
      <c r="F244" s="29" t="s">
        <v>837</v>
      </c>
      <c r="G244" s="29" t="s">
        <v>870</v>
      </c>
      <c r="H244" s="29" t="s">
        <v>253</v>
      </c>
      <c r="I244" s="29" t="s">
        <v>254</v>
      </c>
      <c r="J244" s="29" t="s">
        <v>237</v>
      </c>
      <c r="K244" s="31">
        <v>3.4</v>
      </c>
      <c r="L244" s="32">
        <v>30000</v>
      </c>
      <c r="M244" s="32">
        <v>0</v>
      </c>
      <c r="N244" s="33">
        <f t="shared" si="7"/>
        <v>102000</v>
      </c>
      <c r="O244" s="33">
        <v>0</v>
      </c>
      <c r="P244" s="32">
        <v>30000</v>
      </c>
      <c r="Q244" s="29" t="s">
        <v>839</v>
      </c>
      <c r="R244" s="29" t="s">
        <v>840</v>
      </c>
      <c r="S244" s="29" t="s">
        <v>15</v>
      </c>
      <c r="T244" s="29" t="s">
        <v>807</v>
      </c>
      <c r="U244" s="29" t="s">
        <v>15</v>
      </c>
      <c r="V244" s="29" t="s">
        <v>841</v>
      </c>
      <c r="W244" s="29" t="s">
        <v>841</v>
      </c>
    </row>
    <row r="245" spans="1:23" ht="10.5" customHeight="1" x14ac:dyDescent="0.25">
      <c r="A245" s="28">
        <v>46032</v>
      </c>
      <c r="B245" s="29" t="str">
        <f t="shared" si="8"/>
        <v>10/01/2026NL300085</v>
      </c>
      <c r="C245" s="30" t="s">
        <v>869</v>
      </c>
      <c r="D245" s="30" t="s">
        <v>835</v>
      </c>
      <c r="E245" s="29" t="s">
        <v>836</v>
      </c>
      <c r="F245" s="29" t="s">
        <v>837</v>
      </c>
      <c r="G245" s="29" t="s">
        <v>870</v>
      </c>
      <c r="H245" s="29" t="s">
        <v>592</v>
      </c>
      <c r="I245" s="29" t="s">
        <v>593</v>
      </c>
      <c r="J245" s="29" t="s">
        <v>237</v>
      </c>
      <c r="K245" s="31">
        <v>0.1</v>
      </c>
      <c r="L245" s="32">
        <v>45000</v>
      </c>
      <c r="M245" s="32">
        <v>0</v>
      </c>
      <c r="N245" s="33">
        <f t="shared" si="7"/>
        <v>4500</v>
      </c>
      <c r="O245" s="33">
        <v>0</v>
      </c>
      <c r="P245" s="32">
        <v>45000</v>
      </c>
      <c r="Q245" s="29" t="s">
        <v>839</v>
      </c>
      <c r="R245" s="29" t="s">
        <v>840</v>
      </c>
      <c r="S245" s="29" t="s">
        <v>15</v>
      </c>
      <c r="T245" s="29" t="s">
        <v>807</v>
      </c>
      <c r="U245" s="29" t="s">
        <v>15</v>
      </c>
      <c r="V245" s="29" t="s">
        <v>841</v>
      </c>
      <c r="W245" s="29" t="s">
        <v>841</v>
      </c>
    </row>
    <row r="246" spans="1:23" ht="10.5" customHeight="1" x14ac:dyDescent="0.25">
      <c r="A246" s="28">
        <v>46032</v>
      </c>
      <c r="B246" s="29" t="str">
        <f t="shared" si="8"/>
        <v>10/01/2026NL300071</v>
      </c>
      <c r="C246" s="30" t="s">
        <v>869</v>
      </c>
      <c r="D246" s="30" t="s">
        <v>835</v>
      </c>
      <c r="E246" s="29" t="s">
        <v>836</v>
      </c>
      <c r="F246" s="29" t="s">
        <v>837</v>
      </c>
      <c r="G246" s="29" t="s">
        <v>870</v>
      </c>
      <c r="H246" s="29" t="s">
        <v>524</v>
      </c>
      <c r="I246" s="29" t="s">
        <v>806</v>
      </c>
      <c r="J246" s="29" t="s">
        <v>237</v>
      </c>
      <c r="K246" s="31">
        <v>2.8</v>
      </c>
      <c r="L246" s="32">
        <v>20000</v>
      </c>
      <c r="M246" s="32">
        <v>0</v>
      </c>
      <c r="N246" s="33">
        <f t="shared" si="7"/>
        <v>56000</v>
      </c>
      <c r="O246" s="33">
        <v>0</v>
      </c>
      <c r="P246" s="32">
        <v>20000</v>
      </c>
      <c r="Q246" s="29" t="s">
        <v>839</v>
      </c>
      <c r="R246" s="29" t="s">
        <v>840</v>
      </c>
      <c r="S246" s="29" t="s">
        <v>15</v>
      </c>
      <c r="T246" s="29" t="s">
        <v>807</v>
      </c>
      <c r="U246" s="29" t="s">
        <v>15</v>
      </c>
      <c r="V246" s="29" t="s">
        <v>841</v>
      </c>
      <c r="W246" s="29" t="s">
        <v>841</v>
      </c>
    </row>
    <row r="247" spans="1:23" ht="10.5" customHeight="1" x14ac:dyDescent="0.25">
      <c r="A247" s="28">
        <v>46032</v>
      </c>
      <c r="B247" s="29" t="str">
        <f t="shared" si="8"/>
        <v>10/01/2026NL300096</v>
      </c>
      <c r="C247" s="30" t="s">
        <v>869</v>
      </c>
      <c r="D247" s="30" t="s">
        <v>835</v>
      </c>
      <c r="E247" s="29" t="s">
        <v>836</v>
      </c>
      <c r="F247" s="29" t="s">
        <v>837</v>
      </c>
      <c r="G247" s="29" t="s">
        <v>870</v>
      </c>
      <c r="H247" s="29" t="s">
        <v>610</v>
      </c>
      <c r="I247" s="29" t="s">
        <v>30</v>
      </c>
      <c r="J247" s="29" t="s">
        <v>237</v>
      </c>
      <c r="K247" s="31">
        <v>0.6</v>
      </c>
      <c r="L247" s="32">
        <v>45000</v>
      </c>
      <c r="M247" s="32">
        <v>0</v>
      </c>
      <c r="N247" s="33">
        <f t="shared" si="7"/>
        <v>27000</v>
      </c>
      <c r="O247" s="33">
        <v>0</v>
      </c>
      <c r="P247" s="32">
        <v>45000</v>
      </c>
      <c r="Q247" s="29" t="s">
        <v>839</v>
      </c>
      <c r="R247" s="29" t="s">
        <v>840</v>
      </c>
      <c r="S247" s="29" t="s">
        <v>15</v>
      </c>
      <c r="T247" s="29" t="s">
        <v>807</v>
      </c>
      <c r="U247" s="29" t="s">
        <v>15</v>
      </c>
      <c r="V247" s="29" t="s">
        <v>841</v>
      </c>
      <c r="W247" s="29" t="s">
        <v>841</v>
      </c>
    </row>
    <row r="248" spans="1:23" ht="10.5" customHeight="1" x14ac:dyDescent="0.25">
      <c r="A248" s="28">
        <v>46032</v>
      </c>
      <c r="B248" s="29" t="str">
        <f t="shared" si="8"/>
        <v>10/01/2026NL300232</v>
      </c>
      <c r="C248" s="30" t="s">
        <v>869</v>
      </c>
      <c r="D248" s="30" t="s">
        <v>835</v>
      </c>
      <c r="E248" s="29" t="s">
        <v>836</v>
      </c>
      <c r="F248" s="29" t="s">
        <v>837</v>
      </c>
      <c r="G248" s="29" t="s">
        <v>870</v>
      </c>
      <c r="H248" s="29" t="s">
        <v>846</v>
      </c>
      <c r="I248" s="29" t="s">
        <v>847</v>
      </c>
      <c r="J248" s="29" t="s">
        <v>237</v>
      </c>
      <c r="K248" s="31">
        <v>1.1000000000000001</v>
      </c>
      <c r="L248" s="32">
        <v>68000</v>
      </c>
      <c r="M248" s="32">
        <v>0</v>
      </c>
      <c r="N248" s="33">
        <f t="shared" si="7"/>
        <v>74800</v>
      </c>
      <c r="O248" s="33">
        <v>0</v>
      </c>
      <c r="P248" s="32">
        <v>75000</v>
      </c>
      <c r="Q248" s="29" t="s">
        <v>839</v>
      </c>
      <c r="R248" s="29" t="s">
        <v>840</v>
      </c>
      <c r="S248" s="29" t="s">
        <v>15</v>
      </c>
      <c r="T248" s="29" t="s">
        <v>807</v>
      </c>
      <c r="U248" s="29" t="s">
        <v>15</v>
      </c>
      <c r="V248" s="29" t="s">
        <v>841</v>
      </c>
      <c r="W248" s="29" t="s">
        <v>841</v>
      </c>
    </row>
    <row r="249" spans="1:23" ht="10.5" customHeight="1" x14ac:dyDescent="0.25">
      <c r="A249" s="28">
        <v>46032</v>
      </c>
      <c r="B249" s="29" t="str">
        <f t="shared" si="8"/>
        <v>10/01/2026NL300147</v>
      </c>
      <c r="C249" s="30" t="s">
        <v>869</v>
      </c>
      <c r="D249" s="30" t="s">
        <v>835</v>
      </c>
      <c r="E249" s="29" t="s">
        <v>836</v>
      </c>
      <c r="F249" s="29" t="s">
        <v>837</v>
      </c>
      <c r="G249" s="29" t="s">
        <v>870</v>
      </c>
      <c r="H249" s="29" t="s">
        <v>795</v>
      </c>
      <c r="I249" s="29" t="s">
        <v>796</v>
      </c>
      <c r="J249" s="29" t="s">
        <v>237</v>
      </c>
      <c r="K249" s="31">
        <v>0</v>
      </c>
      <c r="L249" s="32">
        <v>62000</v>
      </c>
      <c r="M249" s="32">
        <v>0</v>
      </c>
      <c r="N249" s="33">
        <f t="shared" si="7"/>
        <v>0</v>
      </c>
      <c r="O249" s="33">
        <v>0</v>
      </c>
      <c r="P249" s="32">
        <v>62000</v>
      </c>
      <c r="Q249" s="29" t="s">
        <v>839</v>
      </c>
      <c r="R249" s="29" t="s">
        <v>840</v>
      </c>
      <c r="S249" s="29" t="s">
        <v>15</v>
      </c>
      <c r="T249" s="29" t="s">
        <v>807</v>
      </c>
      <c r="U249" s="29" t="s">
        <v>15</v>
      </c>
      <c r="V249" s="29" t="s">
        <v>841</v>
      </c>
      <c r="W249" s="29" t="s">
        <v>841</v>
      </c>
    </row>
    <row r="250" spans="1:23" ht="10.5" customHeight="1" x14ac:dyDescent="0.25">
      <c r="A250" s="28">
        <v>46032</v>
      </c>
      <c r="B250" s="29" t="str">
        <f t="shared" si="8"/>
        <v>10/01/2026NL300091</v>
      </c>
      <c r="C250" s="30" t="s">
        <v>869</v>
      </c>
      <c r="D250" s="30" t="s">
        <v>835</v>
      </c>
      <c r="E250" s="29" t="s">
        <v>836</v>
      </c>
      <c r="F250" s="29" t="s">
        <v>837</v>
      </c>
      <c r="G250" s="29" t="s">
        <v>870</v>
      </c>
      <c r="H250" s="29" t="s">
        <v>606</v>
      </c>
      <c r="I250" s="29" t="s">
        <v>54</v>
      </c>
      <c r="J250" s="29" t="s">
        <v>237</v>
      </c>
      <c r="K250" s="31">
        <v>1</v>
      </c>
      <c r="L250" s="32">
        <v>47000</v>
      </c>
      <c r="M250" s="32">
        <v>0</v>
      </c>
      <c r="N250" s="33">
        <f t="shared" si="7"/>
        <v>47000</v>
      </c>
      <c r="O250" s="33">
        <v>0</v>
      </c>
      <c r="P250" s="32">
        <v>47000</v>
      </c>
      <c r="Q250" s="29" t="s">
        <v>839</v>
      </c>
      <c r="R250" s="29" t="s">
        <v>840</v>
      </c>
      <c r="S250" s="29" t="s">
        <v>15</v>
      </c>
      <c r="T250" s="29" t="s">
        <v>807</v>
      </c>
      <c r="U250" s="29" t="s">
        <v>15</v>
      </c>
      <c r="V250" s="29" t="s">
        <v>841</v>
      </c>
      <c r="W250" s="29" t="s">
        <v>841</v>
      </c>
    </row>
    <row r="251" spans="1:23" ht="10.5" customHeight="1" x14ac:dyDescent="0.25">
      <c r="A251" s="28">
        <v>46032</v>
      </c>
      <c r="B251" s="29" t="str">
        <f t="shared" si="8"/>
        <v>10/01/2026NL300116</v>
      </c>
      <c r="C251" s="30" t="s">
        <v>869</v>
      </c>
      <c r="D251" s="30" t="s">
        <v>835</v>
      </c>
      <c r="E251" s="29" t="s">
        <v>836</v>
      </c>
      <c r="F251" s="29" t="s">
        <v>837</v>
      </c>
      <c r="G251" s="29" t="s">
        <v>870</v>
      </c>
      <c r="H251" s="29" t="s">
        <v>664</v>
      </c>
      <c r="I251" s="29" t="s">
        <v>855</v>
      </c>
      <c r="J251" s="29" t="s">
        <v>237</v>
      </c>
      <c r="K251" s="31">
        <v>0.3</v>
      </c>
      <c r="L251" s="32">
        <v>148000</v>
      </c>
      <c r="M251" s="32">
        <v>0</v>
      </c>
      <c r="N251" s="33">
        <f t="shared" si="7"/>
        <v>44400</v>
      </c>
      <c r="O251" s="33">
        <v>0</v>
      </c>
      <c r="P251" s="32">
        <v>148000</v>
      </c>
      <c r="Q251" s="29" t="s">
        <v>839</v>
      </c>
      <c r="R251" s="29" t="s">
        <v>840</v>
      </c>
      <c r="S251" s="29" t="s">
        <v>15</v>
      </c>
      <c r="T251" s="29" t="s">
        <v>807</v>
      </c>
      <c r="U251" s="29" t="s">
        <v>15</v>
      </c>
      <c r="V251" s="29" t="s">
        <v>841</v>
      </c>
      <c r="W251" s="29" t="s">
        <v>841</v>
      </c>
    </row>
    <row r="252" spans="1:23" ht="10.5" customHeight="1" x14ac:dyDescent="0.25">
      <c r="A252" s="28">
        <v>46032</v>
      </c>
      <c r="B252" s="29" t="str">
        <f t="shared" si="8"/>
        <v>10/01/2026NL300034</v>
      </c>
      <c r="C252" s="30" t="s">
        <v>869</v>
      </c>
      <c r="D252" s="30" t="s">
        <v>835</v>
      </c>
      <c r="E252" s="29" t="s">
        <v>836</v>
      </c>
      <c r="F252" s="29" t="s">
        <v>837</v>
      </c>
      <c r="G252" s="29" t="s">
        <v>870</v>
      </c>
      <c r="H252" s="29" t="s">
        <v>376</v>
      </c>
      <c r="I252" s="29" t="s">
        <v>377</v>
      </c>
      <c r="J252" s="29" t="s">
        <v>237</v>
      </c>
      <c r="K252" s="31">
        <v>0.2</v>
      </c>
      <c r="L252" s="32">
        <v>40000</v>
      </c>
      <c r="M252" s="32">
        <v>0</v>
      </c>
      <c r="N252" s="33">
        <f t="shared" si="7"/>
        <v>8000</v>
      </c>
      <c r="O252" s="33">
        <v>0</v>
      </c>
      <c r="P252" s="32">
        <v>40000</v>
      </c>
      <c r="Q252" s="29" t="s">
        <v>839</v>
      </c>
      <c r="R252" s="29" t="s">
        <v>840</v>
      </c>
      <c r="S252" s="29" t="s">
        <v>15</v>
      </c>
      <c r="T252" s="29" t="s">
        <v>807</v>
      </c>
      <c r="U252" s="29" t="s">
        <v>15</v>
      </c>
      <c r="V252" s="29" t="s">
        <v>841</v>
      </c>
      <c r="W252" s="29" t="s">
        <v>841</v>
      </c>
    </row>
    <row r="253" spans="1:23" ht="10.5" customHeight="1" x14ac:dyDescent="0.25">
      <c r="A253" s="28">
        <v>46033</v>
      </c>
      <c r="B253" s="29" t="str">
        <f t="shared" si="8"/>
        <v>11/01/2026NL300071</v>
      </c>
      <c r="C253" s="30" t="s">
        <v>871</v>
      </c>
      <c r="D253" s="30" t="s">
        <v>835</v>
      </c>
      <c r="E253" s="29" t="s">
        <v>836</v>
      </c>
      <c r="F253" s="29" t="s">
        <v>837</v>
      </c>
      <c r="G253" s="29" t="s">
        <v>872</v>
      </c>
      <c r="H253" s="29" t="s">
        <v>524</v>
      </c>
      <c r="I253" s="29" t="s">
        <v>806</v>
      </c>
      <c r="J253" s="29" t="s">
        <v>237</v>
      </c>
      <c r="K253" s="31">
        <v>0</v>
      </c>
      <c r="L253" s="32">
        <v>20000</v>
      </c>
      <c r="M253" s="32">
        <v>0</v>
      </c>
      <c r="N253" s="33">
        <f t="shared" ref="N253:N315" si="9">L253*K253</f>
        <v>0</v>
      </c>
      <c r="O253" s="33">
        <v>0</v>
      </c>
      <c r="P253" s="32">
        <v>20000</v>
      </c>
      <c r="Q253" s="29" t="s">
        <v>839</v>
      </c>
      <c r="R253" s="29" t="s">
        <v>840</v>
      </c>
      <c r="S253" s="29" t="s">
        <v>15</v>
      </c>
      <c r="T253" s="29" t="s">
        <v>807</v>
      </c>
      <c r="U253" s="29" t="s">
        <v>15</v>
      </c>
      <c r="V253" s="29" t="s">
        <v>841</v>
      </c>
      <c r="W253" s="29" t="s">
        <v>841</v>
      </c>
    </row>
    <row r="254" spans="1:23" ht="10.5" customHeight="1" x14ac:dyDescent="0.25">
      <c r="A254" s="28">
        <v>46033</v>
      </c>
      <c r="B254" s="29" t="str">
        <f t="shared" si="8"/>
        <v>11/01/2026NL300085</v>
      </c>
      <c r="C254" s="30" t="s">
        <v>871</v>
      </c>
      <c r="D254" s="30" t="s">
        <v>835</v>
      </c>
      <c r="E254" s="29" t="s">
        <v>836</v>
      </c>
      <c r="F254" s="29" t="s">
        <v>837</v>
      </c>
      <c r="G254" s="29" t="s">
        <v>872</v>
      </c>
      <c r="H254" s="29" t="s">
        <v>592</v>
      </c>
      <c r="I254" s="29" t="s">
        <v>593</v>
      </c>
      <c r="J254" s="29" t="s">
        <v>237</v>
      </c>
      <c r="K254" s="31">
        <v>0</v>
      </c>
      <c r="L254" s="32">
        <v>45000</v>
      </c>
      <c r="M254" s="32">
        <v>0</v>
      </c>
      <c r="N254" s="33">
        <f t="shared" si="9"/>
        <v>0</v>
      </c>
      <c r="O254" s="33">
        <v>0</v>
      </c>
      <c r="P254" s="32">
        <v>45000</v>
      </c>
      <c r="Q254" s="29" t="s">
        <v>839</v>
      </c>
      <c r="R254" s="29" t="s">
        <v>840</v>
      </c>
      <c r="S254" s="29" t="s">
        <v>15</v>
      </c>
      <c r="T254" s="29" t="s">
        <v>807</v>
      </c>
      <c r="U254" s="29" t="s">
        <v>15</v>
      </c>
      <c r="V254" s="29" t="s">
        <v>841</v>
      </c>
      <c r="W254" s="29" t="s">
        <v>841</v>
      </c>
    </row>
    <row r="255" spans="1:23" ht="10.5" customHeight="1" x14ac:dyDescent="0.25">
      <c r="A255" s="28">
        <v>46033</v>
      </c>
      <c r="B255" s="29" t="str">
        <f t="shared" si="8"/>
        <v>11/01/2026NL300007</v>
      </c>
      <c r="C255" s="30" t="s">
        <v>871</v>
      </c>
      <c r="D255" s="30" t="s">
        <v>835</v>
      </c>
      <c r="E255" s="29" t="s">
        <v>836</v>
      </c>
      <c r="F255" s="29" t="s">
        <v>837</v>
      </c>
      <c r="G255" s="29" t="s">
        <v>872</v>
      </c>
      <c r="H255" s="29" t="s">
        <v>253</v>
      </c>
      <c r="I255" s="29" t="s">
        <v>254</v>
      </c>
      <c r="J255" s="29" t="s">
        <v>237</v>
      </c>
      <c r="K255" s="31">
        <v>1.5</v>
      </c>
      <c r="L255" s="32">
        <v>30000</v>
      </c>
      <c r="M255" s="32">
        <v>0</v>
      </c>
      <c r="N255" s="33">
        <f t="shared" si="9"/>
        <v>45000</v>
      </c>
      <c r="O255" s="33">
        <v>0</v>
      </c>
      <c r="P255" s="32">
        <v>30000</v>
      </c>
      <c r="Q255" s="29" t="s">
        <v>839</v>
      </c>
      <c r="R255" s="29" t="s">
        <v>840</v>
      </c>
      <c r="S255" s="29" t="s">
        <v>15</v>
      </c>
      <c r="T255" s="29" t="s">
        <v>807</v>
      </c>
      <c r="U255" s="29" t="s">
        <v>15</v>
      </c>
      <c r="V255" s="29" t="s">
        <v>841</v>
      </c>
      <c r="W255" s="29" t="s">
        <v>841</v>
      </c>
    </row>
    <row r="256" spans="1:23" ht="10.5" customHeight="1" x14ac:dyDescent="0.25">
      <c r="A256" s="28">
        <v>46033</v>
      </c>
      <c r="B256" s="29" t="str">
        <f t="shared" si="8"/>
        <v>11/01/2026NL300041</v>
      </c>
      <c r="C256" s="30" t="s">
        <v>871</v>
      </c>
      <c r="D256" s="30" t="s">
        <v>835</v>
      </c>
      <c r="E256" s="29" t="s">
        <v>836</v>
      </c>
      <c r="F256" s="29" t="s">
        <v>837</v>
      </c>
      <c r="G256" s="29" t="s">
        <v>872</v>
      </c>
      <c r="H256" s="29" t="s">
        <v>418</v>
      </c>
      <c r="I256" s="29" t="s">
        <v>419</v>
      </c>
      <c r="J256" s="29" t="s">
        <v>420</v>
      </c>
      <c r="K256" s="31">
        <v>6</v>
      </c>
      <c r="L256" s="32">
        <v>15000</v>
      </c>
      <c r="M256" s="32">
        <v>0</v>
      </c>
      <c r="N256" s="33">
        <f t="shared" si="9"/>
        <v>90000</v>
      </c>
      <c r="O256" s="33">
        <v>0</v>
      </c>
      <c r="P256" s="32">
        <v>15000</v>
      </c>
      <c r="Q256" s="29" t="s">
        <v>839</v>
      </c>
      <c r="R256" s="29" t="s">
        <v>840</v>
      </c>
      <c r="S256" s="29" t="s">
        <v>15</v>
      </c>
      <c r="T256" s="29" t="s">
        <v>807</v>
      </c>
      <c r="U256" s="29" t="s">
        <v>15</v>
      </c>
      <c r="V256" s="29" t="s">
        <v>841</v>
      </c>
      <c r="W256" s="29" t="s">
        <v>841</v>
      </c>
    </row>
    <row r="257" spans="1:23" ht="10.5" customHeight="1" x14ac:dyDescent="0.25">
      <c r="A257" s="28">
        <v>46033</v>
      </c>
      <c r="B257" s="29" t="str">
        <f t="shared" si="8"/>
        <v>11/01/2026NL300070</v>
      </c>
      <c r="C257" s="30" t="s">
        <v>871</v>
      </c>
      <c r="D257" s="30" t="s">
        <v>835</v>
      </c>
      <c r="E257" s="29" t="s">
        <v>836</v>
      </c>
      <c r="F257" s="29" t="s">
        <v>837</v>
      </c>
      <c r="G257" s="29" t="s">
        <v>872</v>
      </c>
      <c r="H257" s="29" t="s">
        <v>507</v>
      </c>
      <c r="I257" s="29" t="s">
        <v>508</v>
      </c>
      <c r="J257" s="29" t="s">
        <v>237</v>
      </c>
      <c r="K257" s="31">
        <v>1.7</v>
      </c>
      <c r="L257" s="32">
        <v>23000</v>
      </c>
      <c r="M257" s="32">
        <v>0</v>
      </c>
      <c r="N257" s="33">
        <f t="shared" si="9"/>
        <v>39100</v>
      </c>
      <c r="O257" s="33">
        <v>0</v>
      </c>
      <c r="P257" s="32">
        <v>23000</v>
      </c>
      <c r="Q257" s="29" t="s">
        <v>839</v>
      </c>
      <c r="R257" s="29" t="s">
        <v>840</v>
      </c>
      <c r="S257" s="29" t="s">
        <v>15</v>
      </c>
      <c r="T257" s="29" t="s">
        <v>807</v>
      </c>
      <c r="U257" s="29" t="s">
        <v>15</v>
      </c>
      <c r="V257" s="29" t="s">
        <v>841</v>
      </c>
      <c r="W257" s="29" t="s">
        <v>841</v>
      </c>
    </row>
    <row r="258" spans="1:23" ht="10.5" customHeight="1" x14ac:dyDescent="0.25">
      <c r="A258" s="28">
        <v>46033</v>
      </c>
      <c r="B258" s="29" t="str">
        <f t="shared" si="8"/>
        <v>11/01/2026NL300050</v>
      </c>
      <c r="C258" s="30" t="s">
        <v>871</v>
      </c>
      <c r="D258" s="30" t="s">
        <v>835</v>
      </c>
      <c r="E258" s="29" t="s">
        <v>836</v>
      </c>
      <c r="F258" s="29" t="s">
        <v>837</v>
      </c>
      <c r="G258" s="29" t="s">
        <v>872</v>
      </c>
      <c r="H258" s="29" t="s">
        <v>804</v>
      </c>
      <c r="I258" s="29" t="s">
        <v>805</v>
      </c>
      <c r="J258" s="29" t="s">
        <v>237</v>
      </c>
      <c r="K258" s="31">
        <v>0.3</v>
      </c>
      <c r="L258" s="32">
        <v>9000</v>
      </c>
      <c r="M258" s="32">
        <v>0</v>
      </c>
      <c r="N258" s="33">
        <f t="shared" si="9"/>
        <v>2700</v>
      </c>
      <c r="O258" s="33">
        <v>0</v>
      </c>
      <c r="P258" s="32">
        <v>9000</v>
      </c>
      <c r="Q258" s="29" t="s">
        <v>839</v>
      </c>
      <c r="R258" s="29" t="s">
        <v>840</v>
      </c>
      <c r="S258" s="29" t="s">
        <v>15</v>
      </c>
      <c r="T258" s="29" t="s">
        <v>807</v>
      </c>
      <c r="U258" s="29" t="s">
        <v>15</v>
      </c>
      <c r="V258" s="29" t="s">
        <v>841</v>
      </c>
      <c r="W258" s="29" t="s">
        <v>841</v>
      </c>
    </row>
    <row r="259" spans="1:23" ht="10.5" customHeight="1" x14ac:dyDescent="0.25">
      <c r="A259" s="28">
        <v>46033</v>
      </c>
      <c r="B259" s="29" t="str">
        <f t="shared" si="8"/>
        <v>11/01/2026NL300004</v>
      </c>
      <c r="C259" s="30" t="s">
        <v>871</v>
      </c>
      <c r="D259" s="30" t="s">
        <v>835</v>
      </c>
      <c r="E259" s="29" t="s">
        <v>836</v>
      </c>
      <c r="F259" s="29" t="s">
        <v>837</v>
      </c>
      <c r="G259" s="29" t="s">
        <v>872</v>
      </c>
      <c r="H259" s="29" t="s">
        <v>244</v>
      </c>
      <c r="I259" s="29" t="s">
        <v>13</v>
      </c>
      <c r="J259" s="29" t="s">
        <v>237</v>
      </c>
      <c r="K259" s="31">
        <v>1.9</v>
      </c>
      <c r="L259" s="32">
        <v>19000</v>
      </c>
      <c r="M259" s="32">
        <v>0</v>
      </c>
      <c r="N259" s="33">
        <f t="shared" si="9"/>
        <v>36100</v>
      </c>
      <c r="O259" s="33">
        <v>0</v>
      </c>
      <c r="P259" s="32">
        <v>19000</v>
      </c>
      <c r="Q259" s="29" t="s">
        <v>839</v>
      </c>
      <c r="R259" s="29" t="s">
        <v>840</v>
      </c>
      <c r="S259" s="29" t="s">
        <v>15</v>
      </c>
      <c r="T259" s="29" t="s">
        <v>807</v>
      </c>
      <c r="U259" s="29" t="s">
        <v>15</v>
      </c>
      <c r="V259" s="29" t="s">
        <v>841</v>
      </c>
      <c r="W259" s="29" t="s">
        <v>841</v>
      </c>
    </row>
    <row r="260" spans="1:23" ht="10.5" customHeight="1" x14ac:dyDescent="0.25">
      <c r="A260" s="28">
        <v>46033</v>
      </c>
      <c r="B260" s="29" t="str">
        <f t="shared" si="8"/>
        <v>11/01/2026NL300061</v>
      </c>
      <c r="C260" s="30" t="s">
        <v>871</v>
      </c>
      <c r="D260" s="30" t="s">
        <v>835</v>
      </c>
      <c r="E260" s="29" t="s">
        <v>836</v>
      </c>
      <c r="F260" s="29" t="s">
        <v>837</v>
      </c>
      <c r="G260" s="29" t="s">
        <v>872</v>
      </c>
      <c r="H260" s="29" t="s">
        <v>482</v>
      </c>
      <c r="I260" s="29" t="s">
        <v>844</v>
      </c>
      <c r="J260" s="29" t="s">
        <v>237</v>
      </c>
      <c r="K260" s="31">
        <v>0.7</v>
      </c>
      <c r="L260" s="32">
        <v>38000</v>
      </c>
      <c r="M260" s="32">
        <v>0</v>
      </c>
      <c r="N260" s="33">
        <f t="shared" si="9"/>
        <v>26600</v>
      </c>
      <c r="O260" s="33">
        <v>0</v>
      </c>
      <c r="P260" s="32">
        <v>38000</v>
      </c>
      <c r="Q260" s="29" t="s">
        <v>839</v>
      </c>
      <c r="R260" s="29" t="s">
        <v>840</v>
      </c>
      <c r="S260" s="29" t="s">
        <v>15</v>
      </c>
      <c r="T260" s="29" t="s">
        <v>807</v>
      </c>
      <c r="U260" s="29" t="s">
        <v>15</v>
      </c>
      <c r="V260" s="29" t="s">
        <v>841</v>
      </c>
      <c r="W260" s="29" t="s">
        <v>841</v>
      </c>
    </row>
    <row r="261" spans="1:23" ht="10.5" customHeight="1" x14ac:dyDescent="0.25">
      <c r="A261" s="28">
        <v>46033</v>
      </c>
      <c r="B261" s="29" t="str">
        <f t="shared" si="8"/>
        <v>11/01/2026NL300027</v>
      </c>
      <c r="C261" s="30" t="s">
        <v>871</v>
      </c>
      <c r="D261" s="30" t="s">
        <v>835</v>
      </c>
      <c r="E261" s="29" t="s">
        <v>836</v>
      </c>
      <c r="F261" s="29" t="s">
        <v>837</v>
      </c>
      <c r="G261" s="29" t="s">
        <v>872</v>
      </c>
      <c r="H261" s="29" t="s">
        <v>314</v>
      </c>
      <c r="I261" s="29" t="s">
        <v>126</v>
      </c>
      <c r="J261" s="29" t="s">
        <v>237</v>
      </c>
      <c r="K261" s="31">
        <v>1.8</v>
      </c>
      <c r="L261" s="32">
        <v>18000</v>
      </c>
      <c r="M261" s="32">
        <v>0</v>
      </c>
      <c r="N261" s="33">
        <f t="shared" si="9"/>
        <v>32400</v>
      </c>
      <c r="O261" s="33">
        <v>0</v>
      </c>
      <c r="P261" s="32">
        <v>18000</v>
      </c>
      <c r="Q261" s="29" t="s">
        <v>839</v>
      </c>
      <c r="R261" s="29" t="s">
        <v>840</v>
      </c>
      <c r="S261" s="29" t="s">
        <v>15</v>
      </c>
      <c r="T261" s="29" t="s">
        <v>807</v>
      </c>
      <c r="U261" s="29" t="s">
        <v>15</v>
      </c>
      <c r="V261" s="29" t="s">
        <v>841</v>
      </c>
      <c r="W261" s="29" t="s">
        <v>841</v>
      </c>
    </row>
    <row r="262" spans="1:23" ht="10.5" customHeight="1" x14ac:dyDescent="0.25">
      <c r="A262" s="28">
        <v>46033</v>
      </c>
      <c r="B262" s="29" t="str">
        <f t="shared" si="8"/>
        <v>11/01/2026NL300090</v>
      </c>
      <c r="C262" s="30" t="s">
        <v>871</v>
      </c>
      <c r="D262" s="30" t="s">
        <v>835</v>
      </c>
      <c r="E262" s="29" t="s">
        <v>836</v>
      </c>
      <c r="F262" s="29" t="s">
        <v>837</v>
      </c>
      <c r="G262" s="29" t="s">
        <v>872</v>
      </c>
      <c r="H262" s="29" t="s">
        <v>604</v>
      </c>
      <c r="I262" s="29" t="s">
        <v>40</v>
      </c>
      <c r="J262" s="29" t="s">
        <v>237</v>
      </c>
      <c r="K262" s="31">
        <v>2</v>
      </c>
      <c r="L262" s="32">
        <v>145000</v>
      </c>
      <c r="M262" s="32">
        <v>0</v>
      </c>
      <c r="N262" s="33">
        <f t="shared" si="9"/>
        <v>290000</v>
      </c>
      <c r="O262" s="33">
        <v>0</v>
      </c>
      <c r="P262" s="32">
        <v>145000</v>
      </c>
      <c r="Q262" s="29" t="s">
        <v>839</v>
      </c>
      <c r="R262" s="29" t="s">
        <v>840</v>
      </c>
      <c r="S262" s="29" t="s">
        <v>15</v>
      </c>
      <c r="T262" s="29" t="s">
        <v>807</v>
      </c>
      <c r="U262" s="29" t="s">
        <v>15</v>
      </c>
      <c r="V262" s="29" t="s">
        <v>841</v>
      </c>
      <c r="W262" s="29" t="s">
        <v>841</v>
      </c>
    </row>
    <row r="263" spans="1:23" ht="10.5" customHeight="1" x14ac:dyDescent="0.25">
      <c r="A263" s="28">
        <v>46033</v>
      </c>
      <c r="B263" s="29" t="str">
        <f t="shared" si="8"/>
        <v>11/01/2026NL300038</v>
      </c>
      <c r="C263" s="30" t="s">
        <v>871</v>
      </c>
      <c r="D263" s="30" t="s">
        <v>835</v>
      </c>
      <c r="E263" s="29" t="s">
        <v>836</v>
      </c>
      <c r="F263" s="29" t="s">
        <v>837</v>
      </c>
      <c r="G263" s="29" t="s">
        <v>872</v>
      </c>
      <c r="H263" s="29" t="s">
        <v>408</v>
      </c>
      <c r="I263" s="29" t="s">
        <v>20</v>
      </c>
      <c r="J263" s="29" t="s">
        <v>237</v>
      </c>
      <c r="K263" s="31">
        <v>1.8</v>
      </c>
      <c r="L263" s="32">
        <v>32000</v>
      </c>
      <c r="M263" s="32">
        <v>0</v>
      </c>
      <c r="N263" s="33">
        <f t="shared" si="9"/>
        <v>57600</v>
      </c>
      <c r="O263" s="33">
        <v>0</v>
      </c>
      <c r="P263" s="32">
        <v>32000</v>
      </c>
      <c r="Q263" s="29" t="s">
        <v>839</v>
      </c>
      <c r="R263" s="29" t="s">
        <v>840</v>
      </c>
      <c r="S263" s="29" t="s">
        <v>15</v>
      </c>
      <c r="T263" s="29" t="s">
        <v>807</v>
      </c>
      <c r="U263" s="29" t="s">
        <v>15</v>
      </c>
      <c r="V263" s="29" t="s">
        <v>841</v>
      </c>
      <c r="W263" s="29" t="s">
        <v>841</v>
      </c>
    </row>
    <row r="264" spans="1:23" ht="10.5" customHeight="1" x14ac:dyDescent="0.25">
      <c r="A264" s="28">
        <v>46033</v>
      </c>
      <c r="B264" s="29" t="str">
        <f t="shared" si="8"/>
        <v>11/01/2026NL300059</v>
      </c>
      <c r="C264" s="30" t="s">
        <v>871</v>
      </c>
      <c r="D264" s="30" t="s">
        <v>835</v>
      </c>
      <c r="E264" s="29" t="s">
        <v>836</v>
      </c>
      <c r="F264" s="29" t="s">
        <v>837</v>
      </c>
      <c r="G264" s="29" t="s">
        <v>872</v>
      </c>
      <c r="H264" s="29" t="s">
        <v>484</v>
      </c>
      <c r="I264" s="29" t="s">
        <v>24</v>
      </c>
      <c r="J264" s="29" t="s">
        <v>237</v>
      </c>
      <c r="K264" s="31">
        <v>2.1</v>
      </c>
      <c r="L264" s="32">
        <v>13000</v>
      </c>
      <c r="M264" s="32">
        <v>0</v>
      </c>
      <c r="N264" s="33">
        <f t="shared" si="9"/>
        <v>27300</v>
      </c>
      <c r="O264" s="33">
        <v>0</v>
      </c>
      <c r="P264" s="32">
        <v>13000</v>
      </c>
      <c r="Q264" s="29" t="s">
        <v>839</v>
      </c>
      <c r="R264" s="29" t="s">
        <v>840</v>
      </c>
      <c r="S264" s="29" t="s">
        <v>15</v>
      </c>
      <c r="T264" s="29" t="s">
        <v>807</v>
      </c>
      <c r="U264" s="29" t="s">
        <v>15</v>
      </c>
      <c r="V264" s="29" t="s">
        <v>841</v>
      </c>
      <c r="W264" s="29" t="s">
        <v>841</v>
      </c>
    </row>
    <row r="265" spans="1:23" ht="10.5" customHeight="1" x14ac:dyDescent="0.25">
      <c r="A265" s="28">
        <v>46033</v>
      </c>
      <c r="B265" s="29" t="str">
        <f t="shared" si="8"/>
        <v>11/01/2026NL300107</v>
      </c>
      <c r="C265" s="30" t="s">
        <v>871</v>
      </c>
      <c r="D265" s="30" t="s">
        <v>835</v>
      </c>
      <c r="E265" s="29" t="s">
        <v>836</v>
      </c>
      <c r="F265" s="29" t="s">
        <v>837</v>
      </c>
      <c r="G265" s="29" t="s">
        <v>872</v>
      </c>
      <c r="H265" s="29" t="s">
        <v>638</v>
      </c>
      <c r="I265" s="29" t="s">
        <v>842</v>
      </c>
      <c r="J265" s="29" t="s">
        <v>420</v>
      </c>
      <c r="K265" s="31">
        <v>10</v>
      </c>
      <c r="L265" s="32">
        <v>8500</v>
      </c>
      <c r="M265" s="32">
        <v>0</v>
      </c>
      <c r="N265" s="33">
        <f t="shared" si="9"/>
        <v>85000</v>
      </c>
      <c r="O265" s="33">
        <v>0</v>
      </c>
      <c r="P265" s="32">
        <v>8500</v>
      </c>
      <c r="Q265" s="29" t="s">
        <v>839</v>
      </c>
      <c r="R265" s="29" t="s">
        <v>840</v>
      </c>
      <c r="S265" s="29" t="s">
        <v>15</v>
      </c>
      <c r="T265" s="29" t="s">
        <v>807</v>
      </c>
      <c r="U265" s="29" t="s">
        <v>15</v>
      </c>
      <c r="V265" s="29" t="s">
        <v>841</v>
      </c>
      <c r="W265" s="29" t="s">
        <v>841</v>
      </c>
    </row>
    <row r="266" spans="1:23" ht="10.5" customHeight="1" x14ac:dyDescent="0.25">
      <c r="A266" s="28">
        <v>46033</v>
      </c>
      <c r="B266" s="29" t="str">
        <f t="shared" si="8"/>
        <v>11/01/2026NL300008</v>
      </c>
      <c r="C266" s="30" t="s">
        <v>871</v>
      </c>
      <c r="D266" s="30" t="s">
        <v>835</v>
      </c>
      <c r="E266" s="29" t="s">
        <v>836</v>
      </c>
      <c r="F266" s="29" t="s">
        <v>837</v>
      </c>
      <c r="G266" s="29" t="s">
        <v>872</v>
      </c>
      <c r="H266" s="29" t="s">
        <v>255</v>
      </c>
      <c r="I266" s="29" t="s">
        <v>256</v>
      </c>
      <c r="J266" s="29" t="s">
        <v>237</v>
      </c>
      <c r="K266" s="31">
        <v>1.9</v>
      </c>
      <c r="L266" s="32">
        <v>40000</v>
      </c>
      <c r="M266" s="32">
        <v>0</v>
      </c>
      <c r="N266" s="33">
        <f t="shared" si="9"/>
        <v>76000</v>
      </c>
      <c r="O266" s="33">
        <v>0</v>
      </c>
      <c r="P266" s="32">
        <v>40000</v>
      </c>
      <c r="Q266" s="29" t="s">
        <v>839</v>
      </c>
      <c r="R266" s="29" t="s">
        <v>840</v>
      </c>
      <c r="S266" s="29" t="s">
        <v>15</v>
      </c>
      <c r="T266" s="29" t="s">
        <v>807</v>
      </c>
      <c r="U266" s="29" t="s">
        <v>15</v>
      </c>
      <c r="V266" s="29" t="s">
        <v>841</v>
      </c>
      <c r="W266" s="29" t="s">
        <v>841</v>
      </c>
    </row>
    <row r="267" spans="1:23" ht="10.5" customHeight="1" x14ac:dyDescent="0.25">
      <c r="A267" s="28">
        <v>46033</v>
      </c>
      <c r="B267" s="29" t="str">
        <f t="shared" si="8"/>
        <v>11/01/2026NL300119</v>
      </c>
      <c r="C267" s="30" t="s">
        <v>871</v>
      </c>
      <c r="D267" s="30" t="s">
        <v>835</v>
      </c>
      <c r="E267" s="29" t="s">
        <v>836</v>
      </c>
      <c r="F267" s="29" t="s">
        <v>837</v>
      </c>
      <c r="G267" s="29" t="s">
        <v>872</v>
      </c>
      <c r="H267" s="29" t="s">
        <v>672</v>
      </c>
      <c r="I267" s="29" t="s">
        <v>673</v>
      </c>
      <c r="J267" s="29" t="s">
        <v>237</v>
      </c>
      <c r="K267" s="31">
        <v>1.3</v>
      </c>
      <c r="L267" s="32">
        <v>21000</v>
      </c>
      <c r="M267" s="32">
        <v>0</v>
      </c>
      <c r="N267" s="33">
        <f t="shared" si="9"/>
        <v>27300</v>
      </c>
      <c r="O267" s="33">
        <v>0</v>
      </c>
      <c r="P267" s="32">
        <v>21000</v>
      </c>
      <c r="Q267" s="29" t="s">
        <v>839</v>
      </c>
      <c r="R267" s="29" t="s">
        <v>840</v>
      </c>
      <c r="S267" s="29" t="s">
        <v>15</v>
      </c>
      <c r="T267" s="29" t="s">
        <v>807</v>
      </c>
      <c r="U267" s="29" t="s">
        <v>15</v>
      </c>
      <c r="V267" s="29" t="s">
        <v>841</v>
      </c>
      <c r="W267" s="29" t="s">
        <v>841</v>
      </c>
    </row>
    <row r="268" spans="1:23" ht="10.5" customHeight="1" x14ac:dyDescent="0.25">
      <c r="A268" s="28">
        <v>46033</v>
      </c>
      <c r="B268" s="29" t="str">
        <f t="shared" si="8"/>
        <v>11/01/2026NL300113</v>
      </c>
      <c r="C268" s="30" t="s">
        <v>871</v>
      </c>
      <c r="D268" s="30" t="s">
        <v>835</v>
      </c>
      <c r="E268" s="29" t="s">
        <v>836</v>
      </c>
      <c r="F268" s="29" t="s">
        <v>837</v>
      </c>
      <c r="G268" s="29" t="s">
        <v>872</v>
      </c>
      <c r="H268" s="29" t="s">
        <v>649</v>
      </c>
      <c r="I268" s="29" t="s">
        <v>42</v>
      </c>
      <c r="J268" s="29" t="s">
        <v>237</v>
      </c>
      <c r="K268" s="31">
        <v>0.2</v>
      </c>
      <c r="L268" s="32">
        <v>145000</v>
      </c>
      <c r="M268" s="32">
        <v>0</v>
      </c>
      <c r="N268" s="33">
        <f t="shared" si="9"/>
        <v>29000</v>
      </c>
      <c r="O268" s="33">
        <v>0</v>
      </c>
      <c r="P268" s="32">
        <v>145000</v>
      </c>
      <c r="Q268" s="29" t="s">
        <v>839</v>
      </c>
      <c r="R268" s="29" t="s">
        <v>840</v>
      </c>
      <c r="S268" s="29" t="s">
        <v>15</v>
      </c>
      <c r="T268" s="29" t="s">
        <v>807</v>
      </c>
      <c r="U268" s="29" t="s">
        <v>15</v>
      </c>
      <c r="V268" s="29" t="s">
        <v>841</v>
      </c>
      <c r="W268" s="29" t="s">
        <v>841</v>
      </c>
    </row>
    <row r="269" spans="1:23" ht="10.5" customHeight="1" x14ac:dyDescent="0.25">
      <c r="A269" s="28">
        <v>46033</v>
      </c>
      <c r="B269" s="29" t="str">
        <f t="shared" si="8"/>
        <v>11/01/2026NL300080</v>
      </c>
      <c r="C269" s="30" t="s">
        <v>871</v>
      </c>
      <c r="D269" s="30" t="s">
        <v>835</v>
      </c>
      <c r="E269" s="29" t="s">
        <v>836</v>
      </c>
      <c r="F269" s="29" t="s">
        <v>837</v>
      </c>
      <c r="G269" s="29" t="s">
        <v>872</v>
      </c>
      <c r="H269" s="29" t="s">
        <v>553</v>
      </c>
      <c r="I269" s="29" t="s">
        <v>554</v>
      </c>
      <c r="J269" s="29" t="s">
        <v>237</v>
      </c>
      <c r="K269" s="31">
        <v>0.8</v>
      </c>
      <c r="L269" s="32">
        <v>95000</v>
      </c>
      <c r="M269" s="32">
        <v>0</v>
      </c>
      <c r="N269" s="33">
        <f t="shared" si="9"/>
        <v>76000</v>
      </c>
      <c r="O269" s="33">
        <v>0</v>
      </c>
      <c r="P269" s="32">
        <v>95000</v>
      </c>
      <c r="Q269" s="29" t="s">
        <v>839</v>
      </c>
      <c r="R269" s="29" t="s">
        <v>840</v>
      </c>
      <c r="S269" s="29" t="s">
        <v>15</v>
      </c>
      <c r="T269" s="29" t="s">
        <v>807</v>
      </c>
      <c r="U269" s="29" t="s">
        <v>15</v>
      </c>
      <c r="V269" s="29" t="s">
        <v>841</v>
      </c>
      <c r="W269" s="29" t="s">
        <v>841</v>
      </c>
    </row>
    <row r="270" spans="1:23" ht="10.5" customHeight="1" x14ac:dyDescent="0.25">
      <c r="A270" s="28">
        <v>46033</v>
      </c>
      <c r="B270" s="29" t="str">
        <f t="shared" si="8"/>
        <v>11/01/2026NL300145</v>
      </c>
      <c r="C270" s="30" t="s">
        <v>871</v>
      </c>
      <c r="D270" s="30" t="s">
        <v>835</v>
      </c>
      <c r="E270" s="29" t="s">
        <v>836</v>
      </c>
      <c r="F270" s="29" t="s">
        <v>837</v>
      </c>
      <c r="G270" s="29" t="s">
        <v>872</v>
      </c>
      <c r="H270" s="29" t="s">
        <v>790</v>
      </c>
      <c r="I270" s="29" t="s">
        <v>791</v>
      </c>
      <c r="J270" s="29" t="s">
        <v>237</v>
      </c>
      <c r="K270" s="31">
        <v>5</v>
      </c>
      <c r="L270" s="32">
        <v>38000</v>
      </c>
      <c r="M270" s="32">
        <v>0</v>
      </c>
      <c r="N270" s="33">
        <f t="shared" si="9"/>
        <v>190000</v>
      </c>
      <c r="O270" s="33">
        <v>0</v>
      </c>
      <c r="P270" s="32">
        <v>38000</v>
      </c>
      <c r="Q270" s="29" t="s">
        <v>839</v>
      </c>
      <c r="R270" s="29" t="s">
        <v>840</v>
      </c>
      <c r="S270" s="29" t="s">
        <v>15</v>
      </c>
      <c r="T270" s="29" t="s">
        <v>807</v>
      </c>
      <c r="U270" s="29" t="s">
        <v>15</v>
      </c>
      <c r="V270" s="29" t="s">
        <v>841</v>
      </c>
      <c r="W270" s="29" t="s">
        <v>841</v>
      </c>
    </row>
    <row r="271" spans="1:23" ht="10.5" customHeight="1" x14ac:dyDescent="0.25">
      <c r="A271" s="28">
        <v>46033</v>
      </c>
      <c r="B271" s="29" t="str">
        <f t="shared" si="8"/>
        <v>11/01/2026NL300033</v>
      </c>
      <c r="C271" s="30" t="s">
        <v>871</v>
      </c>
      <c r="D271" s="30" t="s">
        <v>835</v>
      </c>
      <c r="E271" s="29" t="s">
        <v>836</v>
      </c>
      <c r="F271" s="29" t="s">
        <v>837</v>
      </c>
      <c r="G271" s="29" t="s">
        <v>872</v>
      </c>
      <c r="H271" s="29" t="s">
        <v>374</v>
      </c>
      <c r="I271" s="29" t="s">
        <v>843</v>
      </c>
      <c r="J271" s="29" t="s">
        <v>237</v>
      </c>
      <c r="K271" s="31">
        <v>2</v>
      </c>
      <c r="L271" s="32">
        <v>13000</v>
      </c>
      <c r="M271" s="32">
        <v>0</v>
      </c>
      <c r="N271" s="33">
        <f t="shared" si="9"/>
        <v>26000</v>
      </c>
      <c r="O271" s="33">
        <v>0</v>
      </c>
      <c r="P271" s="32">
        <v>13000</v>
      </c>
      <c r="Q271" s="29" t="s">
        <v>839</v>
      </c>
      <c r="R271" s="29" t="s">
        <v>840</v>
      </c>
      <c r="S271" s="29" t="s">
        <v>15</v>
      </c>
      <c r="T271" s="29" t="s">
        <v>807</v>
      </c>
      <c r="U271" s="29" t="s">
        <v>15</v>
      </c>
      <c r="V271" s="29" t="s">
        <v>841</v>
      </c>
      <c r="W271" s="29" t="s">
        <v>841</v>
      </c>
    </row>
    <row r="272" spans="1:23" ht="10.5" customHeight="1" x14ac:dyDescent="0.25">
      <c r="A272" s="28">
        <v>46033</v>
      </c>
      <c r="B272" s="29" t="str">
        <f t="shared" si="8"/>
        <v>11/01/2026NL300048</v>
      </c>
      <c r="C272" s="30" t="s">
        <v>871</v>
      </c>
      <c r="D272" s="30" t="s">
        <v>835</v>
      </c>
      <c r="E272" s="29" t="s">
        <v>836</v>
      </c>
      <c r="F272" s="29" t="s">
        <v>837</v>
      </c>
      <c r="G272" s="29" t="s">
        <v>872</v>
      </c>
      <c r="H272" s="29" t="s">
        <v>460</v>
      </c>
      <c r="I272" s="29" t="s">
        <v>461</v>
      </c>
      <c r="J272" s="29" t="s">
        <v>237</v>
      </c>
      <c r="K272" s="31">
        <v>1.7</v>
      </c>
      <c r="L272" s="32">
        <v>18000</v>
      </c>
      <c r="M272" s="32">
        <v>0</v>
      </c>
      <c r="N272" s="33">
        <f t="shared" si="9"/>
        <v>30600</v>
      </c>
      <c r="O272" s="33">
        <v>0</v>
      </c>
      <c r="P272" s="32">
        <v>18000</v>
      </c>
      <c r="Q272" s="29" t="s">
        <v>839</v>
      </c>
      <c r="R272" s="29" t="s">
        <v>840</v>
      </c>
      <c r="S272" s="29" t="s">
        <v>15</v>
      </c>
      <c r="T272" s="29" t="s">
        <v>807</v>
      </c>
      <c r="U272" s="29" t="s">
        <v>15</v>
      </c>
      <c r="V272" s="29" t="s">
        <v>841</v>
      </c>
      <c r="W272" s="29" t="s">
        <v>841</v>
      </c>
    </row>
    <row r="273" spans="1:23" ht="10.5" customHeight="1" x14ac:dyDescent="0.25">
      <c r="A273" s="28">
        <v>46033</v>
      </c>
      <c r="B273" s="29" t="str">
        <f t="shared" si="8"/>
        <v>11/01/2026NL300142</v>
      </c>
      <c r="C273" s="30" t="s">
        <v>871</v>
      </c>
      <c r="D273" s="30" t="s">
        <v>835</v>
      </c>
      <c r="E273" s="29" t="s">
        <v>836</v>
      </c>
      <c r="F273" s="29" t="s">
        <v>837</v>
      </c>
      <c r="G273" s="29" t="s">
        <v>872</v>
      </c>
      <c r="H273" s="29" t="s">
        <v>777</v>
      </c>
      <c r="I273" s="29" t="s">
        <v>845</v>
      </c>
      <c r="J273" s="29" t="s">
        <v>237</v>
      </c>
      <c r="K273" s="31">
        <v>0.2</v>
      </c>
      <c r="L273" s="32">
        <v>50000</v>
      </c>
      <c r="M273" s="32">
        <v>0</v>
      </c>
      <c r="N273" s="33">
        <f t="shared" si="9"/>
        <v>10000</v>
      </c>
      <c r="O273" s="33">
        <v>0</v>
      </c>
      <c r="P273" s="32">
        <v>50000</v>
      </c>
      <c r="Q273" s="29" t="s">
        <v>839</v>
      </c>
      <c r="R273" s="29" t="s">
        <v>840</v>
      </c>
      <c r="S273" s="29" t="s">
        <v>15</v>
      </c>
      <c r="T273" s="29" t="s">
        <v>807</v>
      </c>
      <c r="U273" s="29" t="s">
        <v>15</v>
      </c>
      <c r="V273" s="29" t="s">
        <v>841</v>
      </c>
      <c r="W273" s="29" t="s">
        <v>841</v>
      </c>
    </row>
    <row r="274" spans="1:23" ht="10.5" customHeight="1" x14ac:dyDescent="0.25">
      <c r="A274" s="28">
        <v>46033</v>
      </c>
      <c r="B274" s="29" t="str">
        <f t="shared" si="8"/>
        <v>11/01/2026NL300029</v>
      </c>
      <c r="C274" s="30" t="s">
        <v>871</v>
      </c>
      <c r="D274" s="30" t="s">
        <v>835</v>
      </c>
      <c r="E274" s="29" t="s">
        <v>836</v>
      </c>
      <c r="F274" s="29" t="s">
        <v>837</v>
      </c>
      <c r="G274" s="29" t="s">
        <v>872</v>
      </c>
      <c r="H274" s="29" t="s">
        <v>361</v>
      </c>
      <c r="I274" s="29" t="s">
        <v>362</v>
      </c>
      <c r="J274" s="29" t="s">
        <v>237</v>
      </c>
      <c r="K274" s="31">
        <v>1.2</v>
      </c>
      <c r="L274" s="32">
        <v>22000</v>
      </c>
      <c r="M274" s="32">
        <v>0</v>
      </c>
      <c r="N274" s="33">
        <f t="shared" si="9"/>
        <v>26400</v>
      </c>
      <c r="O274" s="33">
        <v>0</v>
      </c>
      <c r="P274" s="32">
        <v>22000</v>
      </c>
      <c r="Q274" s="29" t="s">
        <v>839</v>
      </c>
      <c r="R274" s="29" t="s">
        <v>840</v>
      </c>
      <c r="S274" s="29" t="s">
        <v>15</v>
      </c>
      <c r="T274" s="29" t="s">
        <v>807</v>
      </c>
      <c r="U274" s="29" t="s">
        <v>15</v>
      </c>
      <c r="V274" s="29" t="s">
        <v>841</v>
      </c>
      <c r="W274" s="29" t="s">
        <v>841</v>
      </c>
    </row>
    <row r="275" spans="1:23" ht="10.5" customHeight="1" x14ac:dyDescent="0.25">
      <c r="A275" s="28">
        <v>46033</v>
      </c>
      <c r="B275" s="29" t="str">
        <f t="shared" si="8"/>
        <v>11/01/2026NL300091</v>
      </c>
      <c r="C275" s="30" t="s">
        <v>871</v>
      </c>
      <c r="D275" s="30" t="s">
        <v>835</v>
      </c>
      <c r="E275" s="29" t="s">
        <v>836</v>
      </c>
      <c r="F275" s="29" t="s">
        <v>837</v>
      </c>
      <c r="G275" s="29" t="s">
        <v>872</v>
      </c>
      <c r="H275" s="29" t="s">
        <v>606</v>
      </c>
      <c r="I275" s="29" t="s">
        <v>54</v>
      </c>
      <c r="J275" s="29" t="s">
        <v>237</v>
      </c>
      <c r="K275" s="31">
        <v>1</v>
      </c>
      <c r="L275" s="32">
        <v>47000</v>
      </c>
      <c r="M275" s="32">
        <v>0</v>
      </c>
      <c r="N275" s="33">
        <f t="shared" si="9"/>
        <v>47000</v>
      </c>
      <c r="O275" s="33">
        <v>0</v>
      </c>
      <c r="P275" s="32">
        <v>47000</v>
      </c>
      <c r="Q275" s="29" t="s">
        <v>839</v>
      </c>
      <c r="R275" s="29" t="s">
        <v>840</v>
      </c>
      <c r="S275" s="29" t="s">
        <v>15</v>
      </c>
      <c r="T275" s="29" t="s">
        <v>807</v>
      </c>
      <c r="U275" s="29" t="s">
        <v>15</v>
      </c>
      <c r="V275" s="29" t="s">
        <v>841</v>
      </c>
      <c r="W275" s="29" t="s">
        <v>841</v>
      </c>
    </row>
    <row r="276" spans="1:23" ht="10.5" customHeight="1" x14ac:dyDescent="0.25">
      <c r="A276" s="28">
        <v>46033</v>
      </c>
      <c r="B276" s="29" t="str">
        <f t="shared" si="8"/>
        <v>11/01/2026NL300038</v>
      </c>
      <c r="C276" s="30" t="s">
        <v>871</v>
      </c>
      <c r="D276" s="30" t="s">
        <v>835</v>
      </c>
      <c r="E276" s="29" t="s">
        <v>836</v>
      </c>
      <c r="F276" s="29" t="s">
        <v>837</v>
      </c>
      <c r="G276" s="29" t="s">
        <v>872</v>
      </c>
      <c r="H276" s="29" t="s">
        <v>408</v>
      </c>
      <c r="I276" s="29" t="s">
        <v>20</v>
      </c>
      <c r="J276" s="29" t="s">
        <v>237</v>
      </c>
      <c r="K276" s="31">
        <v>0</v>
      </c>
      <c r="L276" s="32">
        <v>32000</v>
      </c>
      <c r="M276" s="32">
        <v>0</v>
      </c>
      <c r="N276" s="33">
        <f t="shared" si="9"/>
        <v>0</v>
      </c>
      <c r="O276" s="33">
        <v>0</v>
      </c>
      <c r="P276" s="32">
        <v>32000</v>
      </c>
      <c r="Q276" s="29" t="s">
        <v>839</v>
      </c>
      <c r="R276" s="29" t="s">
        <v>840</v>
      </c>
      <c r="S276" s="29" t="s">
        <v>15</v>
      </c>
      <c r="T276" s="29" t="s">
        <v>807</v>
      </c>
      <c r="U276" s="29" t="s">
        <v>15</v>
      </c>
      <c r="V276" s="29" t="s">
        <v>841</v>
      </c>
      <c r="W276" s="29" t="s">
        <v>841</v>
      </c>
    </row>
    <row r="277" spans="1:23" ht="10.5" customHeight="1" x14ac:dyDescent="0.25">
      <c r="A277" s="28">
        <v>46033</v>
      </c>
      <c r="B277" s="29" t="str">
        <f t="shared" si="8"/>
        <v>11/01/2026NL300061</v>
      </c>
      <c r="C277" s="30" t="s">
        <v>871</v>
      </c>
      <c r="D277" s="30" t="s">
        <v>835</v>
      </c>
      <c r="E277" s="29" t="s">
        <v>836</v>
      </c>
      <c r="F277" s="29" t="s">
        <v>837</v>
      </c>
      <c r="G277" s="29" t="s">
        <v>872</v>
      </c>
      <c r="H277" s="29" t="s">
        <v>482</v>
      </c>
      <c r="I277" s="29" t="s">
        <v>844</v>
      </c>
      <c r="J277" s="29" t="s">
        <v>237</v>
      </c>
      <c r="K277" s="31">
        <v>0</v>
      </c>
      <c r="L277" s="32">
        <v>38000</v>
      </c>
      <c r="M277" s="32">
        <v>0</v>
      </c>
      <c r="N277" s="33">
        <f t="shared" si="9"/>
        <v>0</v>
      </c>
      <c r="O277" s="33">
        <v>0</v>
      </c>
      <c r="P277" s="32">
        <v>38000</v>
      </c>
      <c r="Q277" s="29" t="s">
        <v>839</v>
      </c>
      <c r="R277" s="29" t="s">
        <v>840</v>
      </c>
      <c r="S277" s="29" t="s">
        <v>15</v>
      </c>
      <c r="T277" s="29" t="s">
        <v>807</v>
      </c>
      <c r="U277" s="29" t="s">
        <v>15</v>
      </c>
      <c r="V277" s="29" t="s">
        <v>841</v>
      </c>
      <c r="W277" s="29" t="s">
        <v>841</v>
      </c>
    </row>
    <row r="278" spans="1:23" ht="10.5" customHeight="1" x14ac:dyDescent="0.25">
      <c r="A278" s="28">
        <v>46033</v>
      </c>
      <c r="B278" s="29" t="str">
        <f t="shared" si="8"/>
        <v>11/01/2026NL600068</v>
      </c>
      <c r="C278" s="30" t="s">
        <v>871</v>
      </c>
      <c r="D278" s="30" t="s">
        <v>835</v>
      </c>
      <c r="E278" s="29" t="s">
        <v>836</v>
      </c>
      <c r="F278" s="29" t="s">
        <v>837</v>
      </c>
      <c r="G278" s="29" t="s">
        <v>872</v>
      </c>
      <c r="H278" s="29" t="s">
        <v>363</v>
      </c>
      <c r="I278" s="29" t="s">
        <v>92</v>
      </c>
      <c r="J278" s="29" t="s">
        <v>237</v>
      </c>
      <c r="K278" s="31">
        <v>0.5</v>
      </c>
      <c r="L278" s="32">
        <v>95000</v>
      </c>
      <c r="M278" s="32">
        <v>0</v>
      </c>
      <c r="N278" s="33">
        <f t="shared" si="9"/>
        <v>47500</v>
      </c>
      <c r="O278" s="33">
        <v>0</v>
      </c>
      <c r="P278" s="32">
        <v>95000</v>
      </c>
      <c r="Q278" s="29" t="s">
        <v>839</v>
      </c>
      <c r="R278" s="29" t="s">
        <v>840</v>
      </c>
      <c r="S278" s="29" t="s">
        <v>15</v>
      </c>
      <c r="T278" s="29" t="s">
        <v>807</v>
      </c>
      <c r="U278" s="29" t="s">
        <v>15</v>
      </c>
      <c r="V278" s="29" t="s">
        <v>841</v>
      </c>
      <c r="W278" s="29" t="s">
        <v>841</v>
      </c>
    </row>
    <row r="279" spans="1:23" ht="10.5" customHeight="1" x14ac:dyDescent="0.25">
      <c r="A279" s="28">
        <v>46033</v>
      </c>
      <c r="B279" s="29" t="str">
        <f t="shared" si="8"/>
        <v>11/01/2026NL300126</v>
      </c>
      <c r="C279" s="30" t="s">
        <v>871</v>
      </c>
      <c r="D279" s="30" t="s">
        <v>835</v>
      </c>
      <c r="E279" s="29" t="s">
        <v>836</v>
      </c>
      <c r="F279" s="29" t="s">
        <v>837</v>
      </c>
      <c r="G279" s="29" t="s">
        <v>872</v>
      </c>
      <c r="H279" s="29" t="s">
        <v>721</v>
      </c>
      <c r="I279" s="29" t="s">
        <v>722</v>
      </c>
      <c r="J279" s="29" t="s">
        <v>237</v>
      </c>
      <c r="K279" s="31">
        <v>0.3</v>
      </c>
      <c r="L279" s="32">
        <v>70000</v>
      </c>
      <c r="M279" s="32">
        <v>0</v>
      </c>
      <c r="N279" s="33">
        <f t="shared" si="9"/>
        <v>21000</v>
      </c>
      <c r="O279" s="33">
        <v>0</v>
      </c>
      <c r="P279" s="32">
        <v>70000</v>
      </c>
      <c r="Q279" s="29" t="s">
        <v>839</v>
      </c>
      <c r="R279" s="29" t="s">
        <v>840</v>
      </c>
      <c r="S279" s="29" t="s">
        <v>15</v>
      </c>
      <c r="T279" s="29" t="s">
        <v>807</v>
      </c>
      <c r="U279" s="29" t="s">
        <v>15</v>
      </c>
      <c r="V279" s="29" t="s">
        <v>841</v>
      </c>
      <c r="W279" s="29" t="s">
        <v>841</v>
      </c>
    </row>
    <row r="280" spans="1:23" ht="10.5" customHeight="1" x14ac:dyDescent="0.25">
      <c r="A280" s="28">
        <v>46033</v>
      </c>
      <c r="B280" s="29" t="str">
        <f t="shared" si="8"/>
        <v>11/01/2026NL600004</v>
      </c>
      <c r="C280" s="30" t="s">
        <v>871</v>
      </c>
      <c r="D280" s="30" t="s">
        <v>835</v>
      </c>
      <c r="E280" s="29" t="s">
        <v>836</v>
      </c>
      <c r="F280" s="29" t="s">
        <v>837</v>
      </c>
      <c r="G280" s="29" t="s">
        <v>872</v>
      </c>
      <c r="H280" s="29" t="s">
        <v>462</v>
      </c>
      <c r="I280" s="29" t="s">
        <v>52</v>
      </c>
      <c r="J280" s="29" t="s">
        <v>237</v>
      </c>
      <c r="K280" s="31">
        <v>24</v>
      </c>
      <c r="L280" s="32">
        <v>18000</v>
      </c>
      <c r="M280" s="32">
        <v>0</v>
      </c>
      <c r="N280" s="33">
        <f t="shared" si="9"/>
        <v>432000</v>
      </c>
      <c r="O280" s="33">
        <v>0</v>
      </c>
      <c r="P280" s="32">
        <v>18000</v>
      </c>
      <c r="Q280" s="29" t="s">
        <v>839</v>
      </c>
      <c r="R280" s="29" t="s">
        <v>840</v>
      </c>
      <c r="S280" s="29" t="s">
        <v>15</v>
      </c>
      <c r="T280" s="29" t="s">
        <v>807</v>
      </c>
      <c r="U280" s="29" t="s">
        <v>15</v>
      </c>
      <c r="V280" s="29" t="s">
        <v>841</v>
      </c>
      <c r="W280" s="29" t="s">
        <v>841</v>
      </c>
    </row>
    <row r="281" spans="1:23" ht="10.5" customHeight="1" x14ac:dyDescent="0.25">
      <c r="A281" s="28">
        <v>46033</v>
      </c>
      <c r="B281" s="29" t="str">
        <f t="shared" si="8"/>
        <v>11/01/2026NL300147</v>
      </c>
      <c r="C281" s="30" t="s">
        <v>871</v>
      </c>
      <c r="D281" s="30" t="s">
        <v>835</v>
      </c>
      <c r="E281" s="29" t="s">
        <v>836</v>
      </c>
      <c r="F281" s="29" t="s">
        <v>837</v>
      </c>
      <c r="G281" s="29" t="s">
        <v>872</v>
      </c>
      <c r="H281" s="29" t="s">
        <v>795</v>
      </c>
      <c r="I281" s="29" t="s">
        <v>796</v>
      </c>
      <c r="J281" s="29" t="s">
        <v>237</v>
      </c>
      <c r="K281" s="31">
        <v>1</v>
      </c>
      <c r="L281" s="32">
        <v>62000</v>
      </c>
      <c r="M281" s="32">
        <v>0</v>
      </c>
      <c r="N281" s="33">
        <f t="shared" si="9"/>
        <v>62000</v>
      </c>
      <c r="O281" s="33">
        <v>0</v>
      </c>
      <c r="P281" s="32">
        <v>62000</v>
      </c>
      <c r="Q281" s="29" t="s">
        <v>839</v>
      </c>
      <c r="R281" s="29" t="s">
        <v>840</v>
      </c>
      <c r="S281" s="29" t="s">
        <v>15</v>
      </c>
      <c r="T281" s="29" t="s">
        <v>807</v>
      </c>
      <c r="U281" s="29" t="s">
        <v>15</v>
      </c>
      <c r="V281" s="29" t="s">
        <v>841</v>
      </c>
      <c r="W281" s="29" t="s">
        <v>841</v>
      </c>
    </row>
    <row r="282" spans="1:23" ht="10.5" customHeight="1" x14ac:dyDescent="0.25">
      <c r="A282" s="28">
        <v>46034</v>
      </c>
      <c r="B282" s="29" t="str">
        <f t="shared" si="8"/>
        <v>12/01/2026NL300048</v>
      </c>
      <c r="C282" s="30" t="s">
        <v>873</v>
      </c>
      <c r="D282" s="30" t="s">
        <v>835</v>
      </c>
      <c r="E282" s="29" t="s">
        <v>836</v>
      </c>
      <c r="F282" s="29" t="s">
        <v>837</v>
      </c>
      <c r="G282" s="29" t="s">
        <v>874</v>
      </c>
      <c r="H282" s="29" t="s">
        <v>460</v>
      </c>
      <c r="I282" s="29" t="s">
        <v>461</v>
      </c>
      <c r="J282" s="29" t="s">
        <v>237</v>
      </c>
      <c r="K282" s="31">
        <v>1.7</v>
      </c>
      <c r="L282" s="32">
        <v>18000</v>
      </c>
      <c r="M282" s="32"/>
      <c r="N282" s="33">
        <f t="shared" si="9"/>
        <v>30600</v>
      </c>
      <c r="O282" s="33">
        <v>0</v>
      </c>
      <c r="P282" s="32">
        <v>18000</v>
      </c>
      <c r="Q282" s="29" t="s">
        <v>839</v>
      </c>
      <c r="R282" s="29" t="s">
        <v>840</v>
      </c>
      <c r="S282" s="29" t="s">
        <v>15</v>
      </c>
      <c r="T282" s="29" t="s">
        <v>807</v>
      </c>
      <c r="U282" s="29" t="s">
        <v>15</v>
      </c>
      <c r="V282" s="29" t="s">
        <v>841</v>
      </c>
      <c r="W282" s="29" t="s">
        <v>841</v>
      </c>
    </row>
    <row r="283" spans="1:23" ht="10.5" customHeight="1" x14ac:dyDescent="0.25">
      <c r="A283" s="28">
        <v>46034</v>
      </c>
      <c r="B283" s="29" t="str">
        <f t="shared" si="8"/>
        <v>12/01/2026NL300033</v>
      </c>
      <c r="C283" s="30" t="s">
        <v>873</v>
      </c>
      <c r="D283" s="30" t="s">
        <v>835</v>
      </c>
      <c r="E283" s="29" t="s">
        <v>836</v>
      </c>
      <c r="F283" s="29" t="s">
        <v>837</v>
      </c>
      <c r="G283" s="29" t="s">
        <v>874</v>
      </c>
      <c r="H283" s="29" t="s">
        <v>374</v>
      </c>
      <c r="I283" s="29" t="s">
        <v>843</v>
      </c>
      <c r="J283" s="29" t="s">
        <v>237</v>
      </c>
      <c r="K283" s="31">
        <v>2</v>
      </c>
      <c r="L283" s="32">
        <v>13000</v>
      </c>
      <c r="M283" s="32"/>
      <c r="N283" s="33">
        <f t="shared" si="9"/>
        <v>26000</v>
      </c>
      <c r="O283" s="33">
        <v>0</v>
      </c>
      <c r="P283" s="32">
        <v>13000</v>
      </c>
      <c r="Q283" s="29" t="s">
        <v>839</v>
      </c>
      <c r="R283" s="29" t="s">
        <v>840</v>
      </c>
      <c r="S283" s="29" t="s">
        <v>15</v>
      </c>
      <c r="T283" s="29" t="s">
        <v>807</v>
      </c>
      <c r="U283" s="29" t="s">
        <v>15</v>
      </c>
      <c r="V283" s="29" t="s">
        <v>841</v>
      </c>
      <c r="W283" s="29" t="s">
        <v>841</v>
      </c>
    </row>
    <row r="284" spans="1:23" ht="10.5" customHeight="1" x14ac:dyDescent="0.25">
      <c r="A284" s="28">
        <v>46034</v>
      </c>
      <c r="B284" s="29" t="str">
        <f t="shared" ref="B284:B346" si="10">""&amp;DAY(A284)&amp;"/01/2026"&amp;H284</f>
        <v>12/01/2026NL300145</v>
      </c>
      <c r="C284" s="30" t="s">
        <v>873</v>
      </c>
      <c r="D284" s="30" t="s">
        <v>835</v>
      </c>
      <c r="E284" s="29" t="s">
        <v>836</v>
      </c>
      <c r="F284" s="29" t="s">
        <v>837</v>
      </c>
      <c r="G284" s="29" t="s">
        <v>874</v>
      </c>
      <c r="H284" s="29" t="s">
        <v>790</v>
      </c>
      <c r="I284" s="29" t="s">
        <v>791</v>
      </c>
      <c r="J284" s="29" t="s">
        <v>237</v>
      </c>
      <c r="K284" s="31">
        <v>3</v>
      </c>
      <c r="L284" s="32">
        <v>38000</v>
      </c>
      <c r="M284" s="32"/>
      <c r="N284" s="33">
        <f t="shared" si="9"/>
        <v>114000</v>
      </c>
      <c r="O284" s="33">
        <v>0</v>
      </c>
      <c r="P284" s="32">
        <v>38000</v>
      </c>
      <c r="Q284" s="29" t="s">
        <v>839</v>
      </c>
      <c r="R284" s="29" t="s">
        <v>840</v>
      </c>
      <c r="S284" s="29" t="s">
        <v>15</v>
      </c>
      <c r="T284" s="29" t="s">
        <v>807</v>
      </c>
      <c r="U284" s="29" t="s">
        <v>15</v>
      </c>
      <c r="V284" s="29" t="s">
        <v>841</v>
      </c>
      <c r="W284" s="29" t="s">
        <v>841</v>
      </c>
    </row>
    <row r="285" spans="1:23" ht="10.5" customHeight="1" x14ac:dyDescent="0.25">
      <c r="A285" s="28">
        <v>46034</v>
      </c>
      <c r="B285" s="29" t="str">
        <f t="shared" si="10"/>
        <v>12/01/2026NL300113</v>
      </c>
      <c r="C285" s="30" t="s">
        <v>873</v>
      </c>
      <c r="D285" s="30" t="s">
        <v>835</v>
      </c>
      <c r="E285" s="29" t="s">
        <v>836</v>
      </c>
      <c r="F285" s="29" t="s">
        <v>837</v>
      </c>
      <c r="G285" s="29" t="s">
        <v>874</v>
      </c>
      <c r="H285" s="29" t="s">
        <v>649</v>
      </c>
      <c r="I285" s="29" t="s">
        <v>42</v>
      </c>
      <c r="J285" s="29" t="s">
        <v>237</v>
      </c>
      <c r="K285" s="31">
        <v>0.3</v>
      </c>
      <c r="L285" s="32">
        <v>145000</v>
      </c>
      <c r="M285" s="32"/>
      <c r="N285" s="33">
        <f t="shared" si="9"/>
        <v>43500</v>
      </c>
      <c r="O285" s="33">
        <v>0</v>
      </c>
      <c r="P285" s="32">
        <v>145000</v>
      </c>
      <c r="Q285" s="29" t="s">
        <v>839</v>
      </c>
      <c r="R285" s="29" t="s">
        <v>840</v>
      </c>
      <c r="S285" s="29" t="s">
        <v>15</v>
      </c>
      <c r="T285" s="29" t="s">
        <v>807</v>
      </c>
      <c r="U285" s="29" t="s">
        <v>15</v>
      </c>
      <c r="V285" s="29" t="s">
        <v>841</v>
      </c>
      <c r="W285" s="29" t="s">
        <v>841</v>
      </c>
    </row>
    <row r="286" spans="1:23" ht="10.5" customHeight="1" x14ac:dyDescent="0.25">
      <c r="A286" s="28">
        <v>46034</v>
      </c>
      <c r="B286" s="29" t="str">
        <f t="shared" si="10"/>
        <v>12/01/2026NL300119</v>
      </c>
      <c r="C286" s="30" t="s">
        <v>873</v>
      </c>
      <c r="D286" s="30" t="s">
        <v>835</v>
      </c>
      <c r="E286" s="29" t="s">
        <v>836</v>
      </c>
      <c r="F286" s="29" t="s">
        <v>837</v>
      </c>
      <c r="G286" s="29" t="s">
        <v>874</v>
      </c>
      <c r="H286" s="29" t="s">
        <v>672</v>
      </c>
      <c r="I286" s="29" t="s">
        <v>673</v>
      </c>
      <c r="J286" s="29" t="s">
        <v>237</v>
      </c>
      <c r="K286" s="31">
        <v>0.4</v>
      </c>
      <c r="L286" s="32">
        <v>21000</v>
      </c>
      <c r="M286" s="32"/>
      <c r="N286" s="33">
        <f t="shared" si="9"/>
        <v>8400</v>
      </c>
      <c r="O286" s="33">
        <v>0</v>
      </c>
      <c r="P286" s="32">
        <v>21000</v>
      </c>
      <c r="Q286" s="29" t="s">
        <v>839</v>
      </c>
      <c r="R286" s="29" t="s">
        <v>840</v>
      </c>
      <c r="S286" s="29" t="s">
        <v>15</v>
      </c>
      <c r="T286" s="29" t="s">
        <v>807</v>
      </c>
      <c r="U286" s="29" t="s">
        <v>15</v>
      </c>
      <c r="V286" s="29" t="s">
        <v>841</v>
      </c>
      <c r="W286" s="29" t="s">
        <v>841</v>
      </c>
    </row>
    <row r="287" spans="1:23" ht="10.5" customHeight="1" x14ac:dyDescent="0.25">
      <c r="A287" s="28">
        <v>46034</v>
      </c>
      <c r="B287" s="29" t="str">
        <f t="shared" si="10"/>
        <v>12/01/2026NL300008</v>
      </c>
      <c r="C287" s="30" t="s">
        <v>873</v>
      </c>
      <c r="D287" s="30" t="s">
        <v>835</v>
      </c>
      <c r="E287" s="29" t="s">
        <v>836</v>
      </c>
      <c r="F287" s="29" t="s">
        <v>837</v>
      </c>
      <c r="G287" s="29" t="s">
        <v>874</v>
      </c>
      <c r="H287" s="29" t="s">
        <v>255</v>
      </c>
      <c r="I287" s="29" t="s">
        <v>256</v>
      </c>
      <c r="J287" s="29" t="s">
        <v>237</v>
      </c>
      <c r="K287" s="31">
        <v>0.9</v>
      </c>
      <c r="L287" s="32">
        <v>40000</v>
      </c>
      <c r="M287" s="32"/>
      <c r="N287" s="33">
        <f t="shared" si="9"/>
        <v>36000</v>
      </c>
      <c r="O287" s="33">
        <v>0</v>
      </c>
      <c r="P287" s="32">
        <v>40000</v>
      </c>
      <c r="Q287" s="29" t="s">
        <v>839</v>
      </c>
      <c r="R287" s="29" t="s">
        <v>840</v>
      </c>
      <c r="S287" s="29" t="s">
        <v>15</v>
      </c>
      <c r="T287" s="29" t="s">
        <v>807</v>
      </c>
      <c r="U287" s="29" t="s">
        <v>15</v>
      </c>
      <c r="V287" s="29" t="s">
        <v>841</v>
      </c>
      <c r="W287" s="29" t="s">
        <v>841</v>
      </c>
    </row>
    <row r="288" spans="1:23" ht="10.5" customHeight="1" x14ac:dyDescent="0.25">
      <c r="A288" s="28">
        <v>46034</v>
      </c>
      <c r="B288" s="29" t="str">
        <f t="shared" si="10"/>
        <v>12/01/2026NL300107</v>
      </c>
      <c r="C288" s="30" t="s">
        <v>873</v>
      </c>
      <c r="D288" s="30" t="s">
        <v>835</v>
      </c>
      <c r="E288" s="29" t="s">
        <v>836</v>
      </c>
      <c r="F288" s="29" t="s">
        <v>837</v>
      </c>
      <c r="G288" s="29" t="s">
        <v>874</v>
      </c>
      <c r="H288" s="29" t="s">
        <v>638</v>
      </c>
      <c r="I288" s="29" t="s">
        <v>842</v>
      </c>
      <c r="J288" s="29" t="s">
        <v>420</v>
      </c>
      <c r="K288" s="31">
        <v>9</v>
      </c>
      <c r="L288" s="32">
        <v>8500</v>
      </c>
      <c r="M288" s="32"/>
      <c r="N288" s="33">
        <f t="shared" si="9"/>
        <v>76500</v>
      </c>
      <c r="O288" s="33">
        <v>0</v>
      </c>
      <c r="P288" s="32">
        <v>8500</v>
      </c>
      <c r="Q288" s="29" t="s">
        <v>839</v>
      </c>
      <c r="R288" s="29" t="s">
        <v>840</v>
      </c>
      <c r="S288" s="29" t="s">
        <v>15</v>
      </c>
      <c r="T288" s="29" t="s">
        <v>807</v>
      </c>
      <c r="U288" s="29" t="s">
        <v>15</v>
      </c>
      <c r="V288" s="29" t="s">
        <v>841</v>
      </c>
      <c r="W288" s="29" t="s">
        <v>841</v>
      </c>
    </row>
    <row r="289" spans="1:23" ht="10.5" customHeight="1" x14ac:dyDescent="0.25">
      <c r="A289" s="28">
        <v>46034</v>
      </c>
      <c r="B289" s="29" t="str">
        <f t="shared" si="10"/>
        <v>12/01/2026NL300059</v>
      </c>
      <c r="C289" s="30" t="s">
        <v>873</v>
      </c>
      <c r="D289" s="30" t="s">
        <v>835</v>
      </c>
      <c r="E289" s="29" t="s">
        <v>836</v>
      </c>
      <c r="F289" s="29" t="s">
        <v>837</v>
      </c>
      <c r="G289" s="29" t="s">
        <v>874</v>
      </c>
      <c r="H289" s="29" t="s">
        <v>484</v>
      </c>
      <c r="I289" s="29" t="s">
        <v>24</v>
      </c>
      <c r="J289" s="29" t="s">
        <v>237</v>
      </c>
      <c r="K289" s="31">
        <v>0.9</v>
      </c>
      <c r="L289" s="32">
        <v>13000</v>
      </c>
      <c r="M289" s="32"/>
      <c r="N289" s="33">
        <f t="shared" si="9"/>
        <v>11700</v>
      </c>
      <c r="O289" s="33">
        <v>0</v>
      </c>
      <c r="P289" s="32">
        <v>13000</v>
      </c>
      <c r="Q289" s="29" t="s">
        <v>839</v>
      </c>
      <c r="R289" s="29" t="s">
        <v>840</v>
      </c>
      <c r="S289" s="29" t="s">
        <v>15</v>
      </c>
      <c r="T289" s="29" t="s">
        <v>807</v>
      </c>
      <c r="U289" s="29" t="s">
        <v>15</v>
      </c>
      <c r="V289" s="29" t="s">
        <v>841</v>
      </c>
      <c r="W289" s="29" t="s">
        <v>841</v>
      </c>
    </row>
    <row r="290" spans="1:23" ht="10.5" customHeight="1" x14ac:dyDescent="0.25">
      <c r="A290" s="28">
        <v>46034</v>
      </c>
      <c r="B290" s="29" t="str">
        <f t="shared" si="10"/>
        <v>12/01/2026NL300090</v>
      </c>
      <c r="C290" s="30" t="s">
        <v>873</v>
      </c>
      <c r="D290" s="30" t="s">
        <v>835</v>
      </c>
      <c r="E290" s="29" t="s">
        <v>836</v>
      </c>
      <c r="F290" s="29" t="s">
        <v>837</v>
      </c>
      <c r="G290" s="29" t="s">
        <v>874</v>
      </c>
      <c r="H290" s="29" t="s">
        <v>604</v>
      </c>
      <c r="I290" s="29" t="s">
        <v>40</v>
      </c>
      <c r="J290" s="29" t="s">
        <v>237</v>
      </c>
      <c r="K290" s="31">
        <v>1</v>
      </c>
      <c r="L290" s="32">
        <v>145000</v>
      </c>
      <c r="M290" s="32"/>
      <c r="N290" s="33">
        <f t="shared" si="9"/>
        <v>145000</v>
      </c>
      <c r="O290" s="33">
        <v>0</v>
      </c>
      <c r="P290" s="32">
        <v>145000</v>
      </c>
      <c r="Q290" s="29" t="s">
        <v>839</v>
      </c>
      <c r="R290" s="29" t="s">
        <v>840</v>
      </c>
      <c r="S290" s="29" t="s">
        <v>15</v>
      </c>
      <c r="T290" s="29" t="s">
        <v>807</v>
      </c>
      <c r="U290" s="29" t="s">
        <v>15</v>
      </c>
      <c r="V290" s="29" t="s">
        <v>841</v>
      </c>
      <c r="W290" s="29" t="s">
        <v>841</v>
      </c>
    </row>
    <row r="291" spans="1:23" ht="10.5" customHeight="1" x14ac:dyDescent="0.25">
      <c r="A291" s="28">
        <v>46034</v>
      </c>
      <c r="B291" s="29" t="str">
        <f t="shared" si="10"/>
        <v>12/01/2026NL300027</v>
      </c>
      <c r="C291" s="30" t="s">
        <v>873</v>
      </c>
      <c r="D291" s="30" t="s">
        <v>835</v>
      </c>
      <c r="E291" s="29" t="s">
        <v>836</v>
      </c>
      <c r="F291" s="29" t="s">
        <v>837</v>
      </c>
      <c r="G291" s="29" t="s">
        <v>874</v>
      </c>
      <c r="H291" s="29" t="s">
        <v>314</v>
      </c>
      <c r="I291" s="29" t="s">
        <v>126</v>
      </c>
      <c r="J291" s="29" t="s">
        <v>237</v>
      </c>
      <c r="K291" s="31">
        <v>0.8</v>
      </c>
      <c r="L291" s="32">
        <v>18000</v>
      </c>
      <c r="M291" s="32"/>
      <c r="N291" s="33">
        <f t="shared" si="9"/>
        <v>14400</v>
      </c>
      <c r="O291" s="33">
        <v>0</v>
      </c>
      <c r="P291" s="32">
        <v>18000</v>
      </c>
      <c r="Q291" s="29" t="s">
        <v>839</v>
      </c>
      <c r="R291" s="29" t="s">
        <v>840</v>
      </c>
      <c r="S291" s="29" t="s">
        <v>15</v>
      </c>
      <c r="T291" s="29" t="s">
        <v>807</v>
      </c>
      <c r="U291" s="29" t="s">
        <v>15</v>
      </c>
      <c r="V291" s="29" t="s">
        <v>841</v>
      </c>
      <c r="W291" s="29" t="s">
        <v>841</v>
      </c>
    </row>
    <row r="292" spans="1:23" ht="10.5" customHeight="1" x14ac:dyDescent="0.25">
      <c r="A292" s="28">
        <v>46034</v>
      </c>
      <c r="B292" s="29" t="str">
        <f t="shared" si="10"/>
        <v>12/01/2026NL300061</v>
      </c>
      <c r="C292" s="30" t="s">
        <v>873</v>
      </c>
      <c r="D292" s="30" t="s">
        <v>835</v>
      </c>
      <c r="E292" s="29" t="s">
        <v>836</v>
      </c>
      <c r="F292" s="29" t="s">
        <v>837</v>
      </c>
      <c r="G292" s="29" t="s">
        <v>874</v>
      </c>
      <c r="H292" s="29" t="s">
        <v>482</v>
      </c>
      <c r="I292" s="29" t="s">
        <v>844</v>
      </c>
      <c r="J292" s="29" t="s">
        <v>237</v>
      </c>
      <c r="K292" s="31">
        <v>0.3</v>
      </c>
      <c r="L292" s="32">
        <v>38000</v>
      </c>
      <c r="M292" s="32"/>
      <c r="N292" s="33">
        <f t="shared" si="9"/>
        <v>11400</v>
      </c>
      <c r="O292" s="33">
        <v>0</v>
      </c>
      <c r="P292" s="32">
        <v>38000</v>
      </c>
      <c r="Q292" s="29" t="s">
        <v>839</v>
      </c>
      <c r="R292" s="29" t="s">
        <v>840</v>
      </c>
      <c r="S292" s="29" t="s">
        <v>15</v>
      </c>
      <c r="T292" s="29" t="s">
        <v>807</v>
      </c>
      <c r="U292" s="29" t="s">
        <v>15</v>
      </c>
      <c r="V292" s="29" t="s">
        <v>841</v>
      </c>
      <c r="W292" s="29" t="s">
        <v>841</v>
      </c>
    </row>
    <row r="293" spans="1:23" ht="10.5" customHeight="1" x14ac:dyDescent="0.25">
      <c r="A293" s="28">
        <v>46034</v>
      </c>
      <c r="B293" s="29" t="str">
        <f t="shared" si="10"/>
        <v>12/01/2026NL300004</v>
      </c>
      <c r="C293" s="30" t="s">
        <v>873</v>
      </c>
      <c r="D293" s="30" t="s">
        <v>835</v>
      </c>
      <c r="E293" s="29" t="s">
        <v>836</v>
      </c>
      <c r="F293" s="29" t="s">
        <v>837</v>
      </c>
      <c r="G293" s="29" t="s">
        <v>874</v>
      </c>
      <c r="H293" s="29" t="s">
        <v>244</v>
      </c>
      <c r="I293" s="29" t="s">
        <v>13</v>
      </c>
      <c r="J293" s="29" t="s">
        <v>237</v>
      </c>
      <c r="K293" s="31">
        <v>2.8</v>
      </c>
      <c r="L293" s="32">
        <v>19000</v>
      </c>
      <c r="M293" s="32"/>
      <c r="N293" s="33">
        <f t="shared" si="9"/>
        <v>53200</v>
      </c>
      <c r="O293" s="33">
        <v>0</v>
      </c>
      <c r="P293" s="32">
        <v>19000</v>
      </c>
      <c r="Q293" s="29" t="s">
        <v>839</v>
      </c>
      <c r="R293" s="29" t="s">
        <v>840</v>
      </c>
      <c r="S293" s="29" t="s">
        <v>15</v>
      </c>
      <c r="T293" s="29" t="s">
        <v>807</v>
      </c>
      <c r="U293" s="29" t="s">
        <v>15</v>
      </c>
      <c r="V293" s="29" t="s">
        <v>841</v>
      </c>
      <c r="W293" s="29" t="s">
        <v>841</v>
      </c>
    </row>
    <row r="294" spans="1:23" ht="10.5" customHeight="1" x14ac:dyDescent="0.25">
      <c r="A294" s="28">
        <v>46034</v>
      </c>
      <c r="B294" s="29" t="str">
        <f t="shared" si="10"/>
        <v>12/01/2026NL300050</v>
      </c>
      <c r="C294" s="30" t="s">
        <v>873</v>
      </c>
      <c r="D294" s="30" t="s">
        <v>835</v>
      </c>
      <c r="E294" s="29" t="s">
        <v>836</v>
      </c>
      <c r="F294" s="29" t="s">
        <v>837</v>
      </c>
      <c r="G294" s="29" t="s">
        <v>874</v>
      </c>
      <c r="H294" s="29" t="s">
        <v>804</v>
      </c>
      <c r="I294" s="29" t="s">
        <v>805</v>
      </c>
      <c r="J294" s="29" t="s">
        <v>237</v>
      </c>
      <c r="K294" s="31">
        <v>0.3</v>
      </c>
      <c r="L294" s="32">
        <v>9000</v>
      </c>
      <c r="M294" s="32"/>
      <c r="N294" s="33">
        <f t="shared" si="9"/>
        <v>2700</v>
      </c>
      <c r="O294" s="33">
        <v>0</v>
      </c>
      <c r="P294" s="32">
        <v>9000</v>
      </c>
      <c r="Q294" s="29" t="s">
        <v>839</v>
      </c>
      <c r="R294" s="29" t="s">
        <v>840</v>
      </c>
      <c r="S294" s="29" t="s">
        <v>15</v>
      </c>
      <c r="T294" s="29" t="s">
        <v>807</v>
      </c>
      <c r="U294" s="29" t="s">
        <v>15</v>
      </c>
      <c r="V294" s="29" t="s">
        <v>841</v>
      </c>
      <c r="W294" s="29" t="s">
        <v>841</v>
      </c>
    </row>
    <row r="295" spans="1:23" ht="10.5" customHeight="1" x14ac:dyDescent="0.25">
      <c r="A295" s="28">
        <v>46034</v>
      </c>
      <c r="B295" s="29" t="str">
        <f t="shared" si="10"/>
        <v>12/01/2026NL300070</v>
      </c>
      <c r="C295" s="30" t="s">
        <v>873</v>
      </c>
      <c r="D295" s="30" t="s">
        <v>835</v>
      </c>
      <c r="E295" s="29" t="s">
        <v>836</v>
      </c>
      <c r="F295" s="29" t="s">
        <v>837</v>
      </c>
      <c r="G295" s="29" t="s">
        <v>874</v>
      </c>
      <c r="H295" s="29" t="s">
        <v>507</v>
      </c>
      <c r="I295" s="29" t="s">
        <v>508</v>
      </c>
      <c r="J295" s="29" t="s">
        <v>237</v>
      </c>
      <c r="K295" s="31">
        <v>1.8</v>
      </c>
      <c r="L295" s="32">
        <v>23000</v>
      </c>
      <c r="M295" s="32"/>
      <c r="N295" s="33">
        <f t="shared" si="9"/>
        <v>41400</v>
      </c>
      <c r="O295" s="33">
        <v>0</v>
      </c>
      <c r="P295" s="32">
        <v>23000</v>
      </c>
      <c r="Q295" s="29" t="s">
        <v>839</v>
      </c>
      <c r="R295" s="29" t="s">
        <v>840</v>
      </c>
      <c r="S295" s="29" t="s">
        <v>15</v>
      </c>
      <c r="T295" s="29" t="s">
        <v>807</v>
      </c>
      <c r="U295" s="29" t="s">
        <v>15</v>
      </c>
      <c r="V295" s="29" t="s">
        <v>841</v>
      </c>
      <c r="W295" s="29" t="s">
        <v>841</v>
      </c>
    </row>
    <row r="296" spans="1:23" ht="10.5" customHeight="1" x14ac:dyDescent="0.25">
      <c r="A296" s="28">
        <v>46034</v>
      </c>
      <c r="B296" s="29" t="str">
        <f t="shared" si="10"/>
        <v>12/01/2026NL300041</v>
      </c>
      <c r="C296" s="30" t="s">
        <v>873</v>
      </c>
      <c r="D296" s="30" t="s">
        <v>835</v>
      </c>
      <c r="E296" s="29" t="s">
        <v>836</v>
      </c>
      <c r="F296" s="29" t="s">
        <v>837</v>
      </c>
      <c r="G296" s="29" t="s">
        <v>874</v>
      </c>
      <c r="H296" s="29" t="s">
        <v>418</v>
      </c>
      <c r="I296" s="29" t="s">
        <v>419</v>
      </c>
      <c r="J296" s="29" t="s">
        <v>420</v>
      </c>
      <c r="K296" s="31">
        <v>3</v>
      </c>
      <c r="L296" s="32">
        <v>15000</v>
      </c>
      <c r="M296" s="32"/>
      <c r="N296" s="33">
        <f t="shared" si="9"/>
        <v>45000</v>
      </c>
      <c r="O296" s="33">
        <v>0</v>
      </c>
      <c r="P296" s="32">
        <v>15000</v>
      </c>
      <c r="Q296" s="29" t="s">
        <v>839</v>
      </c>
      <c r="R296" s="29" t="s">
        <v>840</v>
      </c>
      <c r="S296" s="29" t="s">
        <v>15</v>
      </c>
      <c r="T296" s="29" t="s">
        <v>807</v>
      </c>
      <c r="U296" s="29" t="s">
        <v>15</v>
      </c>
      <c r="V296" s="29" t="s">
        <v>841</v>
      </c>
      <c r="W296" s="29" t="s">
        <v>841</v>
      </c>
    </row>
    <row r="297" spans="1:23" ht="10.5" customHeight="1" x14ac:dyDescent="0.25">
      <c r="A297" s="28">
        <v>46034</v>
      </c>
      <c r="B297" s="29" t="str">
        <f t="shared" si="10"/>
        <v>12/01/2026NL300071</v>
      </c>
      <c r="C297" s="30" t="s">
        <v>873</v>
      </c>
      <c r="D297" s="30" t="s">
        <v>835</v>
      </c>
      <c r="E297" s="29" t="s">
        <v>836</v>
      </c>
      <c r="F297" s="29" t="s">
        <v>837</v>
      </c>
      <c r="G297" s="29" t="s">
        <v>874</v>
      </c>
      <c r="H297" s="29" t="s">
        <v>524</v>
      </c>
      <c r="I297" s="29" t="s">
        <v>806</v>
      </c>
      <c r="J297" s="29" t="s">
        <v>237</v>
      </c>
      <c r="K297" s="31">
        <v>0.8</v>
      </c>
      <c r="L297" s="32">
        <v>20000</v>
      </c>
      <c r="M297" s="32"/>
      <c r="N297" s="33">
        <f t="shared" si="9"/>
        <v>16000</v>
      </c>
      <c r="O297" s="33">
        <v>0</v>
      </c>
      <c r="P297" s="32">
        <v>20000</v>
      </c>
      <c r="Q297" s="29" t="s">
        <v>839</v>
      </c>
      <c r="R297" s="29" t="s">
        <v>840</v>
      </c>
      <c r="S297" s="29" t="s">
        <v>15</v>
      </c>
      <c r="T297" s="29" t="s">
        <v>807</v>
      </c>
      <c r="U297" s="29" t="s">
        <v>15</v>
      </c>
      <c r="V297" s="29" t="s">
        <v>841</v>
      </c>
      <c r="W297" s="29" t="s">
        <v>841</v>
      </c>
    </row>
    <row r="298" spans="1:23" ht="10.5" customHeight="1" x14ac:dyDescent="0.25">
      <c r="A298" s="28">
        <v>46034</v>
      </c>
      <c r="B298" s="29" t="str">
        <f t="shared" si="10"/>
        <v>12/01/2026NL300029</v>
      </c>
      <c r="C298" s="30" t="s">
        <v>873</v>
      </c>
      <c r="D298" s="30" t="s">
        <v>835</v>
      </c>
      <c r="E298" s="29" t="s">
        <v>836</v>
      </c>
      <c r="F298" s="29" t="s">
        <v>837</v>
      </c>
      <c r="G298" s="29" t="s">
        <v>874</v>
      </c>
      <c r="H298" s="29" t="s">
        <v>361</v>
      </c>
      <c r="I298" s="29" t="s">
        <v>362</v>
      </c>
      <c r="J298" s="29" t="s">
        <v>237</v>
      </c>
      <c r="K298" s="31">
        <v>0.5</v>
      </c>
      <c r="L298" s="32">
        <v>22000</v>
      </c>
      <c r="M298" s="32"/>
      <c r="N298" s="33">
        <f t="shared" si="9"/>
        <v>11000</v>
      </c>
      <c r="O298" s="33">
        <v>0</v>
      </c>
      <c r="P298" s="32">
        <v>22000</v>
      </c>
      <c r="Q298" s="29" t="s">
        <v>839</v>
      </c>
      <c r="R298" s="29" t="s">
        <v>840</v>
      </c>
      <c r="S298" s="29" t="s">
        <v>15</v>
      </c>
      <c r="T298" s="29" t="s">
        <v>807</v>
      </c>
      <c r="U298" s="29" t="s">
        <v>15</v>
      </c>
      <c r="V298" s="29" t="s">
        <v>841</v>
      </c>
      <c r="W298" s="29" t="s">
        <v>841</v>
      </c>
    </row>
    <row r="299" spans="1:23" ht="10.5" customHeight="1" x14ac:dyDescent="0.25">
      <c r="A299" s="28">
        <v>46034</v>
      </c>
      <c r="B299" s="29" t="str">
        <f t="shared" si="10"/>
        <v>12/01/2026NL600004</v>
      </c>
      <c r="C299" s="30" t="s">
        <v>873</v>
      </c>
      <c r="D299" s="30" t="s">
        <v>835</v>
      </c>
      <c r="E299" s="29" t="s">
        <v>836</v>
      </c>
      <c r="F299" s="29" t="s">
        <v>837</v>
      </c>
      <c r="G299" s="29" t="s">
        <v>874</v>
      </c>
      <c r="H299" s="29" t="s">
        <v>462</v>
      </c>
      <c r="I299" s="29" t="s">
        <v>52</v>
      </c>
      <c r="J299" s="29" t="s">
        <v>237</v>
      </c>
      <c r="K299" s="31">
        <v>11</v>
      </c>
      <c r="L299" s="32">
        <v>18000</v>
      </c>
      <c r="M299" s="32"/>
      <c r="N299" s="33">
        <f t="shared" si="9"/>
        <v>198000</v>
      </c>
      <c r="O299" s="33">
        <v>0</v>
      </c>
      <c r="P299" s="32">
        <v>18000</v>
      </c>
      <c r="Q299" s="29" t="s">
        <v>839</v>
      </c>
      <c r="R299" s="29" t="s">
        <v>840</v>
      </c>
      <c r="S299" s="29" t="s">
        <v>15</v>
      </c>
      <c r="T299" s="29" t="s">
        <v>807</v>
      </c>
      <c r="U299" s="29" t="s">
        <v>15</v>
      </c>
      <c r="V299" s="29" t="s">
        <v>841</v>
      </c>
      <c r="W299" s="29" t="s">
        <v>841</v>
      </c>
    </row>
    <row r="300" spans="1:23" ht="10.5" customHeight="1" x14ac:dyDescent="0.25">
      <c r="A300" s="28">
        <v>46034</v>
      </c>
      <c r="B300" s="29" t="str">
        <f t="shared" si="10"/>
        <v>12/01/2026NL300091</v>
      </c>
      <c r="C300" s="30" t="s">
        <v>875</v>
      </c>
      <c r="D300" s="30" t="s">
        <v>835</v>
      </c>
      <c r="E300" s="29" t="s">
        <v>836</v>
      </c>
      <c r="F300" s="29" t="s">
        <v>837</v>
      </c>
      <c r="G300" s="29" t="s">
        <v>874</v>
      </c>
      <c r="H300" s="29" t="s">
        <v>606</v>
      </c>
      <c r="I300" s="29" t="s">
        <v>54</v>
      </c>
      <c r="J300" s="29" t="s">
        <v>237</v>
      </c>
      <c r="K300" s="31">
        <v>1</v>
      </c>
      <c r="L300" s="32">
        <v>47000</v>
      </c>
      <c r="M300" s="32"/>
      <c r="N300" s="33">
        <f t="shared" si="9"/>
        <v>47000</v>
      </c>
      <c r="O300" s="33">
        <v>0</v>
      </c>
      <c r="P300" s="32">
        <v>47000</v>
      </c>
      <c r="Q300" s="29" t="s">
        <v>839</v>
      </c>
      <c r="R300" s="29" t="s">
        <v>840</v>
      </c>
      <c r="S300" s="29" t="s">
        <v>15</v>
      </c>
      <c r="T300" s="29" t="s">
        <v>807</v>
      </c>
      <c r="U300" s="29" t="s">
        <v>15</v>
      </c>
      <c r="V300" s="29" t="s">
        <v>841</v>
      </c>
      <c r="W300" s="29" t="s">
        <v>841</v>
      </c>
    </row>
    <row r="301" spans="1:23" ht="10.5" customHeight="1" x14ac:dyDescent="0.25">
      <c r="A301" s="28">
        <v>46034</v>
      </c>
      <c r="B301" s="29" t="str">
        <f t="shared" si="10"/>
        <v>12/01/2026NL300014</v>
      </c>
      <c r="C301" s="30" t="s">
        <v>875</v>
      </c>
      <c r="D301" s="30" t="s">
        <v>835</v>
      </c>
      <c r="E301" s="29" t="s">
        <v>836</v>
      </c>
      <c r="F301" s="29" t="s">
        <v>837</v>
      </c>
      <c r="G301" s="29" t="s">
        <v>874</v>
      </c>
      <c r="H301" s="29" t="s">
        <v>280</v>
      </c>
      <c r="I301" s="29" t="s">
        <v>132</v>
      </c>
      <c r="J301" s="29" t="s">
        <v>237</v>
      </c>
      <c r="K301" s="31">
        <v>0.2</v>
      </c>
      <c r="L301" s="32">
        <v>55000</v>
      </c>
      <c r="M301" s="32"/>
      <c r="N301" s="33">
        <f t="shared" si="9"/>
        <v>11000</v>
      </c>
      <c r="O301" s="33">
        <v>0</v>
      </c>
      <c r="P301" s="32">
        <v>55000</v>
      </c>
      <c r="Q301" s="29" t="s">
        <v>839</v>
      </c>
      <c r="R301" s="29" t="s">
        <v>840</v>
      </c>
      <c r="S301" s="29" t="s">
        <v>15</v>
      </c>
      <c r="T301" s="29" t="s">
        <v>807</v>
      </c>
      <c r="U301" s="29" t="s">
        <v>15</v>
      </c>
      <c r="V301" s="29" t="s">
        <v>841</v>
      </c>
      <c r="W301" s="29" t="s">
        <v>841</v>
      </c>
    </row>
    <row r="302" spans="1:23" ht="10.5" customHeight="1" x14ac:dyDescent="0.25">
      <c r="A302" s="28">
        <v>46034</v>
      </c>
      <c r="B302" s="29" t="str">
        <f t="shared" si="10"/>
        <v>12/01/2026NL300013</v>
      </c>
      <c r="C302" s="30" t="s">
        <v>875</v>
      </c>
      <c r="D302" s="30" t="s">
        <v>835</v>
      </c>
      <c r="E302" s="29" t="s">
        <v>836</v>
      </c>
      <c r="F302" s="29" t="s">
        <v>837</v>
      </c>
      <c r="G302" s="29" t="s">
        <v>874</v>
      </c>
      <c r="H302" s="29" t="s">
        <v>279</v>
      </c>
      <c r="I302" s="29" t="s">
        <v>151</v>
      </c>
      <c r="J302" s="29" t="s">
        <v>237</v>
      </c>
      <c r="K302" s="31">
        <v>0.4</v>
      </c>
      <c r="L302" s="32">
        <v>50000</v>
      </c>
      <c r="M302" s="32"/>
      <c r="N302" s="33">
        <f t="shared" si="9"/>
        <v>20000</v>
      </c>
      <c r="O302" s="33">
        <v>0</v>
      </c>
      <c r="P302" s="32">
        <v>50000</v>
      </c>
      <c r="Q302" s="29" t="s">
        <v>839</v>
      </c>
      <c r="R302" s="29" t="s">
        <v>840</v>
      </c>
      <c r="S302" s="29" t="s">
        <v>15</v>
      </c>
      <c r="T302" s="29" t="s">
        <v>807</v>
      </c>
      <c r="U302" s="29" t="s">
        <v>15</v>
      </c>
      <c r="V302" s="29" t="s">
        <v>841</v>
      </c>
      <c r="W302" s="29" t="s">
        <v>841</v>
      </c>
    </row>
    <row r="303" spans="1:23" ht="10.5" customHeight="1" x14ac:dyDescent="0.25">
      <c r="A303" s="28">
        <v>46034</v>
      </c>
      <c r="B303" s="29" t="str">
        <f t="shared" si="10"/>
        <v>12/01/2026NL300096</v>
      </c>
      <c r="C303" s="30" t="s">
        <v>875</v>
      </c>
      <c r="D303" s="30" t="s">
        <v>835</v>
      </c>
      <c r="E303" s="29" t="s">
        <v>836</v>
      </c>
      <c r="F303" s="29" t="s">
        <v>837</v>
      </c>
      <c r="G303" s="29" t="s">
        <v>874</v>
      </c>
      <c r="H303" s="29" t="s">
        <v>610</v>
      </c>
      <c r="I303" s="29" t="s">
        <v>30</v>
      </c>
      <c r="J303" s="29" t="s">
        <v>237</v>
      </c>
      <c r="K303" s="31">
        <v>0.5</v>
      </c>
      <c r="L303" s="32">
        <v>45000</v>
      </c>
      <c r="M303" s="32"/>
      <c r="N303" s="33">
        <f t="shared" si="9"/>
        <v>22500</v>
      </c>
      <c r="O303" s="33">
        <v>0</v>
      </c>
      <c r="P303" s="32">
        <v>45000</v>
      </c>
      <c r="Q303" s="29" t="s">
        <v>839</v>
      </c>
      <c r="R303" s="29" t="s">
        <v>840</v>
      </c>
      <c r="S303" s="29" t="s">
        <v>15</v>
      </c>
      <c r="T303" s="29" t="s">
        <v>807</v>
      </c>
      <c r="U303" s="29" t="s">
        <v>15</v>
      </c>
      <c r="V303" s="29" t="s">
        <v>841</v>
      </c>
      <c r="W303" s="29" t="s">
        <v>841</v>
      </c>
    </row>
    <row r="304" spans="1:23" ht="10.5" customHeight="1" x14ac:dyDescent="0.25">
      <c r="A304" s="28">
        <v>46035</v>
      </c>
      <c r="B304" s="29" t="str">
        <f t="shared" si="10"/>
        <v>13/01/2026NL300096</v>
      </c>
      <c r="C304" s="30" t="s">
        <v>876</v>
      </c>
      <c r="D304" s="30" t="s">
        <v>835</v>
      </c>
      <c r="E304" s="29" t="s">
        <v>836</v>
      </c>
      <c r="F304" s="29" t="s">
        <v>837</v>
      </c>
      <c r="G304" s="29" t="s">
        <v>877</v>
      </c>
      <c r="H304" s="29" t="s">
        <v>610</v>
      </c>
      <c r="I304" s="29" t="s">
        <v>30</v>
      </c>
      <c r="J304" s="29" t="s">
        <v>237</v>
      </c>
      <c r="K304" s="31">
        <v>0.4</v>
      </c>
      <c r="L304" s="32">
        <v>45000</v>
      </c>
      <c r="M304" s="32">
        <v>0</v>
      </c>
      <c r="N304" s="33">
        <f t="shared" si="9"/>
        <v>18000</v>
      </c>
      <c r="O304" s="33">
        <v>0</v>
      </c>
      <c r="P304" s="32">
        <v>45000</v>
      </c>
      <c r="Q304" s="29" t="s">
        <v>839</v>
      </c>
      <c r="R304" s="29" t="s">
        <v>840</v>
      </c>
      <c r="S304" s="29" t="s">
        <v>15</v>
      </c>
      <c r="T304" s="29" t="s">
        <v>807</v>
      </c>
      <c r="U304" s="29" t="s">
        <v>15</v>
      </c>
      <c r="V304" s="29" t="s">
        <v>841</v>
      </c>
      <c r="W304" s="29" t="s">
        <v>841</v>
      </c>
    </row>
    <row r="305" spans="1:23" ht="10.5" customHeight="1" x14ac:dyDescent="0.25">
      <c r="A305" s="28">
        <v>46035</v>
      </c>
      <c r="B305" s="29" t="str">
        <f t="shared" si="10"/>
        <v>13/01/2026NL300071</v>
      </c>
      <c r="C305" s="30" t="s">
        <v>876</v>
      </c>
      <c r="D305" s="30" t="s">
        <v>835</v>
      </c>
      <c r="E305" s="29" t="s">
        <v>836</v>
      </c>
      <c r="F305" s="29" t="s">
        <v>837</v>
      </c>
      <c r="G305" s="29" t="s">
        <v>877</v>
      </c>
      <c r="H305" s="29" t="s">
        <v>524</v>
      </c>
      <c r="I305" s="29" t="s">
        <v>806</v>
      </c>
      <c r="J305" s="29" t="s">
        <v>237</v>
      </c>
      <c r="K305" s="31">
        <v>1.3</v>
      </c>
      <c r="L305" s="32">
        <v>20000</v>
      </c>
      <c r="M305" s="32">
        <v>0</v>
      </c>
      <c r="N305" s="33">
        <f t="shared" si="9"/>
        <v>26000</v>
      </c>
      <c r="O305" s="33">
        <v>0</v>
      </c>
      <c r="P305" s="32">
        <v>20000</v>
      </c>
      <c r="Q305" s="29" t="s">
        <v>839</v>
      </c>
      <c r="R305" s="29" t="s">
        <v>840</v>
      </c>
      <c r="S305" s="29" t="s">
        <v>15</v>
      </c>
      <c r="T305" s="29" t="s">
        <v>807</v>
      </c>
      <c r="U305" s="29" t="s">
        <v>15</v>
      </c>
      <c r="V305" s="29" t="s">
        <v>841</v>
      </c>
      <c r="W305" s="29" t="s">
        <v>841</v>
      </c>
    </row>
    <row r="306" spans="1:23" ht="10.5" customHeight="1" x14ac:dyDescent="0.25">
      <c r="A306" s="28">
        <v>46035</v>
      </c>
      <c r="B306" s="29" t="str">
        <f t="shared" si="10"/>
        <v>13/01/2026NL300126</v>
      </c>
      <c r="C306" s="30" t="s">
        <v>876</v>
      </c>
      <c r="D306" s="30" t="s">
        <v>835</v>
      </c>
      <c r="E306" s="29" t="s">
        <v>836</v>
      </c>
      <c r="F306" s="29" t="s">
        <v>837</v>
      </c>
      <c r="G306" s="29" t="s">
        <v>877</v>
      </c>
      <c r="H306" s="29" t="s">
        <v>721</v>
      </c>
      <c r="I306" s="29" t="s">
        <v>722</v>
      </c>
      <c r="J306" s="29" t="s">
        <v>237</v>
      </c>
      <c r="K306" s="31">
        <v>0.2</v>
      </c>
      <c r="L306" s="32">
        <v>70000</v>
      </c>
      <c r="M306" s="32">
        <v>0</v>
      </c>
      <c r="N306" s="33">
        <f t="shared" si="9"/>
        <v>14000</v>
      </c>
      <c r="O306" s="33">
        <v>0</v>
      </c>
      <c r="P306" s="32">
        <v>70000</v>
      </c>
      <c r="Q306" s="29" t="s">
        <v>839</v>
      </c>
      <c r="R306" s="29" t="s">
        <v>840</v>
      </c>
      <c r="S306" s="29" t="s">
        <v>15</v>
      </c>
      <c r="T306" s="29" t="s">
        <v>807</v>
      </c>
      <c r="U306" s="29" t="s">
        <v>15</v>
      </c>
      <c r="V306" s="29" t="s">
        <v>841</v>
      </c>
      <c r="W306" s="29" t="s">
        <v>841</v>
      </c>
    </row>
    <row r="307" spans="1:23" ht="10.5" customHeight="1" x14ac:dyDescent="0.25">
      <c r="A307" s="28">
        <v>46035</v>
      </c>
      <c r="B307" s="29" t="str">
        <f t="shared" si="10"/>
        <v>13/01/2026NL300070</v>
      </c>
      <c r="C307" s="30" t="s">
        <v>876</v>
      </c>
      <c r="D307" s="30" t="s">
        <v>835</v>
      </c>
      <c r="E307" s="29" t="s">
        <v>836</v>
      </c>
      <c r="F307" s="29" t="s">
        <v>837</v>
      </c>
      <c r="G307" s="29" t="s">
        <v>877</v>
      </c>
      <c r="H307" s="29" t="s">
        <v>507</v>
      </c>
      <c r="I307" s="29" t="s">
        <v>508</v>
      </c>
      <c r="J307" s="29" t="s">
        <v>237</v>
      </c>
      <c r="K307" s="31">
        <v>0.5</v>
      </c>
      <c r="L307" s="32">
        <v>23000</v>
      </c>
      <c r="M307" s="32">
        <v>0</v>
      </c>
      <c r="N307" s="33">
        <f t="shared" si="9"/>
        <v>11500</v>
      </c>
      <c r="O307" s="33">
        <v>0</v>
      </c>
      <c r="P307" s="32">
        <v>23000</v>
      </c>
      <c r="Q307" s="29" t="s">
        <v>839</v>
      </c>
      <c r="R307" s="29" t="s">
        <v>840</v>
      </c>
      <c r="S307" s="29" t="s">
        <v>15</v>
      </c>
      <c r="T307" s="29" t="s">
        <v>807</v>
      </c>
      <c r="U307" s="29" t="s">
        <v>15</v>
      </c>
      <c r="V307" s="29" t="s">
        <v>841</v>
      </c>
      <c r="W307" s="29" t="s">
        <v>841</v>
      </c>
    </row>
    <row r="308" spans="1:23" ht="10.5" customHeight="1" x14ac:dyDescent="0.25">
      <c r="A308" s="28">
        <v>46035</v>
      </c>
      <c r="B308" s="29" t="str">
        <f t="shared" si="10"/>
        <v>13/01/2026NL300053</v>
      </c>
      <c r="C308" s="30" t="s">
        <v>876</v>
      </c>
      <c r="D308" s="30" t="s">
        <v>835</v>
      </c>
      <c r="E308" s="29" t="s">
        <v>836</v>
      </c>
      <c r="F308" s="29" t="s">
        <v>837</v>
      </c>
      <c r="G308" s="29" t="s">
        <v>877</v>
      </c>
      <c r="H308" s="29" t="s">
        <v>475</v>
      </c>
      <c r="I308" s="29" t="s">
        <v>476</v>
      </c>
      <c r="J308" s="29" t="s">
        <v>237</v>
      </c>
      <c r="K308" s="31">
        <v>0.5</v>
      </c>
      <c r="L308" s="32">
        <v>30000</v>
      </c>
      <c r="M308" s="32">
        <v>0</v>
      </c>
      <c r="N308" s="33">
        <f t="shared" si="9"/>
        <v>15000</v>
      </c>
      <c r="O308" s="33">
        <v>0</v>
      </c>
      <c r="P308" s="32">
        <v>30000</v>
      </c>
      <c r="Q308" s="29" t="s">
        <v>839</v>
      </c>
      <c r="R308" s="29" t="s">
        <v>840</v>
      </c>
      <c r="S308" s="29" t="s">
        <v>15</v>
      </c>
      <c r="T308" s="29" t="s">
        <v>807</v>
      </c>
      <c r="U308" s="29" t="s">
        <v>15</v>
      </c>
      <c r="V308" s="29" t="s">
        <v>841</v>
      </c>
      <c r="W308" s="29" t="s">
        <v>841</v>
      </c>
    </row>
    <row r="309" spans="1:23" ht="10.5" customHeight="1" x14ac:dyDescent="0.25">
      <c r="A309" s="28">
        <v>46035</v>
      </c>
      <c r="B309" s="29" t="str">
        <f t="shared" si="10"/>
        <v>13/01/2026NL300034</v>
      </c>
      <c r="C309" s="30" t="s">
        <v>876</v>
      </c>
      <c r="D309" s="30" t="s">
        <v>835</v>
      </c>
      <c r="E309" s="29" t="s">
        <v>836</v>
      </c>
      <c r="F309" s="29" t="s">
        <v>837</v>
      </c>
      <c r="G309" s="29" t="s">
        <v>877</v>
      </c>
      <c r="H309" s="29" t="s">
        <v>376</v>
      </c>
      <c r="I309" s="29" t="s">
        <v>377</v>
      </c>
      <c r="J309" s="29" t="s">
        <v>237</v>
      </c>
      <c r="K309" s="31">
        <v>0.2</v>
      </c>
      <c r="L309" s="32">
        <v>40000</v>
      </c>
      <c r="M309" s="32">
        <v>0</v>
      </c>
      <c r="N309" s="33">
        <f t="shared" si="9"/>
        <v>8000</v>
      </c>
      <c r="O309" s="33">
        <v>0</v>
      </c>
      <c r="P309" s="32">
        <v>40000</v>
      </c>
      <c r="Q309" s="29" t="s">
        <v>839</v>
      </c>
      <c r="R309" s="29" t="s">
        <v>840</v>
      </c>
      <c r="S309" s="29" t="s">
        <v>15</v>
      </c>
      <c r="T309" s="29" t="s">
        <v>807</v>
      </c>
      <c r="U309" s="29" t="s">
        <v>15</v>
      </c>
      <c r="V309" s="29" t="s">
        <v>841</v>
      </c>
      <c r="W309" s="29" t="s">
        <v>841</v>
      </c>
    </row>
    <row r="310" spans="1:23" ht="10.5" customHeight="1" x14ac:dyDescent="0.25">
      <c r="A310" s="28">
        <v>46035</v>
      </c>
      <c r="B310" s="29" t="str">
        <f t="shared" si="10"/>
        <v>13/01/2026NL300050</v>
      </c>
      <c r="C310" s="30" t="s">
        <v>876</v>
      </c>
      <c r="D310" s="30" t="s">
        <v>835</v>
      </c>
      <c r="E310" s="29" t="s">
        <v>836</v>
      </c>
      <c r="F310" s="29" t="s">
        <v>837</v>
      </c>
      <c r="G310" s="29" t="s">
        <v>877</v>
      </c>
      <c r="H310" s="29" t="s">
        <v>804</v>
      </c>
      <c r="I310" s="29" t="s">
        <v>805</v>
      </c>
      <c r="J310" s="29" t="s">
        <v>237</v>
      </c>
      <c r="K310" s="31">
        <v>0.3</v>
      </c>
      <c r="L310" s="32">
        <v>9000</v>
      </c>
      <c r="M310" s="32">
        <v>0</v>
      </c>
      <c r="N310" s="33">
        <f t="shared" si="9"/>
        <v>2700</v>
      </c>
      <c r="O310" s="33">
        <v>0</v>
      </c>
      <c r="P310" s="32">
        <v>9000</v>
      </c>
      <c r="Q310" s="29" t="s">
        <v>839</v>
      </c>
      <c r="R310" s="29" t="s">
        <v>840</v>
      </c>
      <c r="S310" s="29" t="s">
        <v>15</v>
      </c>
      <c r="T310" s="29" t="s">
        <v>807</v>
      </c>
      <c r="U310" s="29" t="s">
        <v>15</v>
      </c>
      <c r="V310" s="29" t="s">
        <v>841</v>
      </c>
      <c r="W310" s="29" t="s">
        <v>841</v>
      </c>
    </row>
    <row r="311" spans="1:23" ht="10.5" customHeight="1" x14ac:dyDescent="0.25">
      <c r="A311" s="28">
        <v>46035</v>
      </c>
      <c r="B311" s="29" t="str">
        <f t="shared" si="10"/>
        <v>13/01/2026NL300014</v>
      </c>
      <c r="C311" s="30" t="s">
        <v>876</v>
      </c>
      <c r="D311" s="30" t="s">
        <v>835</v>
      </c>
      <c r="E311" s="29" t="s">
        <v>836</v>
      </c>
      <c r="F311" s="29" t="s">
        <v>837</v>
      </c>
      <c r="G311" s="29" t="s">
        <v>877</v>
      </c>
      <c r="H311" s="29" t="s">
        <v>280</v>
      </c>
      <c r="I311" s="29" t="s">
        <v>132</v>
      </c>
      <c r="J311" s="29" t="s">
        <v>237</v>
      </c>
      <c r="K311" s="31">
        <v>0.2</v>
      </c>
      <c r="L311" s="32">
        <v>55000</v>
      </c>
      <c r="M311" s="32">
        <v>0</v>
      </c>
      <c r="N311" s="33">
        <f t="shared" si="9"/>
        <v>11000</v>
      </c>
      <c r="O311" s="33">
        <v>0</v>
      </c>
      <c r="P311" s="32">
        <v>55000</v>
      </c>
      <c r="Q311" s="29" t="s">
        <v>839</v>
      </c>
      <c r="R311" s="29" t="s">
        <v>840</v>
      </c>
      <c r="S311" s="29" t="s">
        <v>15</v>
      </c>
      <c r="T311" s="29" t="s">
        <v>807</v>
      </c>
      <c r="U311" s="29" t="s">
        <v>15</v>
      </c>
      <c r="V311" s="29" t="s">
        <v>841</v>
      </c>
      <c r="W311" s="29" t="s">
        <v>841</v>
      </c>
    </row>
    <row r="312" spans="1:23" ht="10.5" customHeight="1" x14ac:dyDescent="0.25">
      <c r="A312" s="28">
        <v>46035</v>
      </c>
      <c r="B312" s="29" t="str">
        <f t="shared" si="10"/>
        <v>13/01/2026NL300146</v>
      </c>
      <c r="C312" s="30" t="s">
        <v>876</v>
      </c>
      <c r="D312" s="30" t="s">
        <v>835</v>
      </c>
      <c r="E312" s="29" t="s">
        <v>836</v>
      </c>
      <c r="F312" s="29" t="s">
        <v>837</v>
      </c>
      <c r="G312" s="29" t="s">
        <v>877</v>
      </c>
      <c r="H312" s="29" t="s">
        <v>792</v>
      </c>
      <c r="I312" s="29" t="s">
        <v>793</v>
      </c>
      <c r="J312" s="29" t="s">
        <v>237</v>
      </c>
      <c r="K312" s="31">
        <v>1.3</v>
      </c>
      <c r="L312" s="32">
        <v>65000</v>
      </c>
      <c r="M312" s="32">
        <v>0</v>
      </c>
      <c r="N312" s="33">
        <f t="shared" si="9"/>
        <v>84500</v>
      </c>
      <c r="O312" s="33">
        <v>0</v>
      </c>
      <c r="P312" s="32">
        <v>65000</v>
      </c>
      <c r="Q312" s="29" t="s">
        <v>839</v>
      </c>
      <c r="R312" s="29" t="s">
        <v>840</v>
      </c>
      <c r="S312" s="29" t="s">
        <v>15</v>
      </c>
      <c r="T312" s="29" t="s">
        <v>807</v>
      </c>
      <c r="U312" s="29" t="s">
        <v>15</v>
      </c>
      <c r="V312" s="29" t="s">
        <v>841</v>
      </c>
      <c r="W312" s="29" t="s">
        <v>841</v>
      </c>
    </row>
    <row r="313" spans="1:23" ht="10.5" customHeight="1" x14ac:dyDescent="0.25">
      <c r="A313" s="28">
        <v>46035</v>
      </c>
      <c r="B313" s="29" t="str">
        <f t="shared" si="10"/>
        <v>13/01/2026NL300061</v>
      </c>
      <c r="C313" s="30" t="s">
        <v>876</v>
      </c>
      <c r="D313" s="30" t="s">
        <v>835</v>
      </c>
      <c r="E313" s="29" t="s">
        <v>836</v>
      </c>
      <c r="F313" s="29" t="s">
        <v>837</v>
      </c>
      <c r="G313" s="29" t="s">
        <v>877</v>
      </c>
      <c r="H313" s="29" t="s">
        <v>482</v>
      </c>
      <c r="I313" s="29" t="s">
        <v>844</v>
      </c>
      <c r="J313" s="29" t="s">
        <v>237</v>
      </c>
      <c r="K313" s="31">
        <v>0.3</v>
      </c>
      <c r="L313" s="32">
        <v>38000</v>
      </c>
      <c r="M313" s="32">
        <v>0</v>
      </c>
      <c r="N313" s="33">
        <f t="shared" si="9"/>
        <v>11400</v>
      </c>
      <c r="O313" s="33">
        <v>0</v>
      </c>
      <c r="P313" s="32">
        <v>38000</v>
      </c>
      <c r="Q313" s="29" t="s">
        <v>839</v>
      </c>
      <c r="R313" s="29" t="s">
        <v>840</v>
      </c>
      <c r="S313" s="29" t="s">
        <v>15</v>
      </c>
      <c r="T313" s="29" t="s">
        <v>807</v>
      </c>
      <c r="U313" s="29" t="s">
        <v>15</v>
      </c>
      <c r="V313" s="29" t="s">
        <v>841</v>
      </c>
      <c r="W313" s="29" t="s">
        <v>841</v>
      </c>
    </row>
    <row r="314" spans="1:23" ht="10.5" customHeight="1" x14ac:dyDescent="0.25">
      <c r="A314" s="28">
        <v>46035</v>
      </c>
      <c r="B314" s="29" t="str">
        <f t="shared" si="10"/>
        <v>13/01/2026NL300027</v>
      </c>
      <c r="C314" s="30" t="s">
        <v>876</v>
      </c>
      <c r="D314" s="30" t="s">
        <v>835</v>
      </c>
      <c r="E314" s="29" t="s">
        <v>836</v>
      </c>
      <c r="F314" s="29" t="s">
        <v>837</v>
      </c>
      <c r="G314" s="29" t="s">
        <v>877</v>
      </c>
      <c r="H314" s="29" t="s">
        <v>314</v>
      </c>
      <c r="I314" s="29" t="s">
        <v>126</v>
      </c>
      <c r="J314" s="29" t="s">
        <v>237</v>
      </c>
      <c r="K314" s="31">
        <v>1</v>
      </c>
      <c r="L314" s="32">
        <v>18000</v>
      </c>
      <c r="M314" s="32">
        <v>0</v>
      </c>
      <c r="N314" s="33">
        <f t="shared" si="9"/>
        <v>18000</v>
      </c>
      <c r="O314" s="33">
        <v>0</v>
      </c>
      <c r="P314" s="32">
        <v>18000</v>
      </c>
      <c r="Q314" s="29" t="s">
        <v>839</v>
      </c>
      <c r="R314" s="29" t="s">
        <v>840</v>
      </c>
      <c r="S314" s="29" t="s">
        <v>15</v>
      </c>
      <c r="T314" s="29" t="s">
        <v>807</v>
      </c>
      <c r="U314" s="29" t="s">
        <v>15</v>
      </c>
      <c r="V314" s="29" t="s">
        <v>841</v>
      </c>
      <c r="W314" s="29" t="s">
        <v>841</v>
      </c>
    </row>
    <row r="315" spans="1:23" ht="10.5" customHeight="1" x14ac:dyDescent="0.25">
      <c r="A315" s="28">
        <v>46035</v>
      </c>
      <c r="B315" s="29" t="str">
        <f t="shared" si="10"/>
        <v>13/01/2026NL300090</v>
      </c>
      <c r="C315" s="30" t="s">
        <v>876</v>
      </c>
      <c r="D315" s="30" t="s">
        <v>835</v>
      </c>
      <c r="E315" s="29" t="s">
        <v>836</v>
      </c>
      <c r="F315" s="29" t="s">
        <v>837</v>
      </c>
      <c r="G315" s="29" t="s">
        <v>877</v>
      </c>
      <c r="H315" s="29" t="s">
        <v>604</v>
      </c>
      <c r="I315" s="29" t="s">
        <v>40</v>
      </c>
      <c r="J315" s="29" t="s">
        <v>237</v>
      </c>
      <c r="K315" s="31">
        <v>1</v>
      </c>
      <c r="L315" s="32">
        <v>145000</v>
      </c>
      <c r="M315" s="32">
        <v>0</v>
      </c>
      <c r="N315" s="33">
        <f t="shared" si="9"/>
        <v>145000</v>
      </c>
      <c r="O315" s="33">
        <v>0</v>
      </c>
      <c r="P315" s="32">
        <v>145000</v>
      </c>
      <c r="Q315" s="29" t="s">
        <v>839</v>
      </c>
      <c r="R315" s="29" t="s">
        <v>840</v>
      </c>
      <c r="S315" s="29" t="s">
        <v>15</v>
      </c>
      <c r="T315" s="29" t="s">
        <v>807</v>
      </c>
      <c r="U315" s="29" t="s">
        <v>15</v>
      </c>
      <c r="V315" s="29" t="s">
        <v>841</v>
      </c>
      <c r="W315" s="29" t="s">
        <v>841</v>
      </c>
    </row>
    <row r="316" spans="1:23" ht="10.5" customHeight="1" x14ac:dyDescent="0.25">
      <c r="A316" s="28">
        <v>46035</v>
      </c>
      <c r="B316" s="29" t="str">
        <f t="shared" si="10"/>
        <v>13/01/2026NL300038</v>
      </c>
      <c r="C316" s="30" t="s">
        <v>876</v>
      </c>
      <c r="D316" s="30" t="s">
        <v>835</v>
      </c>
      <c r="E316" s="29" t="s">
        <v>836</v>
      </c>
      <c r="F316" s="29" t="s">
        <v>837</v>
      </c>
      <c r="G316" s="29" t="s">
        <v>877</v>
      </c>
      <c r="H316" s="29" t="s">
        <v>408</v>
      </c>
      <c r="I316" s="29" t="s">
        <v>20</v>
      </c>
      <c r="J316" s="29" t="s">
        <v>237</v>
      </c>
      <c r="K316" s="31">
        <v>1</v>
      </c>
      <c r="L316" s="32">
        <v>32000</v>
      </c>
      <c r="M316" s="32">
        <v>0</v>
      </c>
      <c r="N316" s="33">
        <f t="shared" ref="N316:N372" si="11">L316*K316</f>
        <v>32000</v>
      </c>
      <c r="O316" s="33">
        <v>0</v>
      </c>
      <c r="P316" s="32">
        <v>32000</v>
      </c>
      <c r="Q316" s="29" t="s">
        <v>839</v>
      </c>
      <c r="R316" s="29" t="s">
        <v>840</v>
      </c>
      <c r="S316" s="29" t="s">
        <v>15</v>
      </c>
      <c r="T316" s="29" t="s">
        <v>807</v>
      </c>
      <c r="U316" s="29" t="s">
        <v>15</v>
      </c>
      <c r="V316" s="29" t="s">
        <v>841</v>
      </c>
      <c r="W316" s="29" t="s">
        <v>841</v>
      </c>
    </row>
    <row r="317" spans="1:23" ht="10.5" customHeight="1" x14ac:dyDescent="0.25">
      <c r="A317" s="28">
        <v>46035</v>
      </c>
      <c r="B317" s="29" t="str">
        <f t="shared" si="10"/>
        <v>13/01/2026NL300059</v>
      </c>
      <c r="C317" s="30" t="s">
        <v>876</v>
      </c>
      <c r="D317" s="30" t="s">
        <v>835</v>
      </c>
      <c r="E317" s="29" t="s">
        <v>836</v>
      </c>
      <c r="F317" s="29" t="s">
        <v>837</v>
      </c>
      <c r="G317" s="29" t="s">
        <v>877</v>
      </c>
      <c r="H317" s="29" t="s">
        <v>484</v>
      </c>
      <c r="I317" s="29" t="s">
        <v>24</v>
      </c>
      <c r="J317" s="29" t="s">
        <v>237</v>
      </c>
      <c r="K317" s="31">
        <v>1.2</v>
      </c>
      <c r="L317" s="32">
        <v>13000</v>
      </c>
      <c r="M317" s="32">
        <v>0</v>
      </c>
      <c r="N317" s="33">
        <f t="shared" si="11"/>
        <v>15600</v>
      </c>
      <c r="O317" s="33">
        <v>0</v>
      </c>
      <c r="P317" s="32">
        <v>13000</v>
      </c>
      <c r="Q317" s="29" t="s">
        <v>839</v>
      </c>
      <c r="R317" s="29" t="s">
        <v>840</v>
      </c>
      <c r="S317" s="29" t="s">
        <v>15</v>
      </c>
      <c r="T317" s="29" t="s">
        <v>807</v>
      </c>
      <c r="U317" s="29" t="s">
        <v>15</v>
      </c>
      <c r="V317" s="29" t="s">
        <v>841</v>
      </c>
      <c r="W317" s="29" t="s">
        <v>841</v>
      </c>
    </row>
    <row r="318" spans="1:23" ht="10.5" customHeight="1" x14ac:dyDescent="0.25">
      <c r="A318" s="28">
        <v>46035</v>
      </c>
      <c r="B318" s="29" t="str">
        <f t="shared" si="10"/>
        <v>13/01/2026NL300107</v>
      </c>
      <c r="C318" s="30" t="s">
        <v>876</v>
      </c>
      <c r="D318" s="30" t="s">
        <v>835</v>
      </c>
      <c r="E318" s="29" t="s">
        <v>836</v>
      </c>
      <c r="F318" s="29" t="s">
        <v>837</v>
      </c>
      <c r="G318" s="29" t="s">
        <v>877</v>
      </c>
      <c r="H318" s="29" t="s">
        <v>638</v>
      </c>
      <c r="I318" s="29" t="s">
        <v>842</v>
      </c>
      <c r="J318" s="29" t="s">
        <v>420</v>
      </c>
      <c r="K318" s="31">
        <v>8</v>
      </c>
      <c r="L318" s="32">
        <v>8500</v>
      </c>
      <c r="M318" s="32">
        <v>0</v>
      </c>
      <c r="N318" s="33">
        <f t="shared" si="11"/>
        <v>68000</v>
      </c>
      <c r="O318" s="33">
        <v>0</v>
      </c>
      <c r="P318" s="32">
        <v>8500</v>
      </c>
      <c r="Q318" s="29" t="s">
        <v>839</v>
      </c>
      <c r="R318" s="29" t="s">
        <v>840</v>
      </c>
      <c r="S318" s="29" t="s">
        <v>15</v>
      </c>
      <c r="T318" s="29" t="s">
        <v>807</v>
      </c>
      <c r="U318" s="29" t="s">
        <v>15</v>
      </c>
      <c r="V318" s="29" t="s">
        <v>841</v>
      </c>
      <c r="W318" s="29" t="s">
        <v>841</v>
      </c>
    </row>
    <row r="319" spans="1:23" ht="10.5" customHeight="1" x14ac:dyDescent="0.25">
      <c r="A319" s="28">
        <v>46035</v>
      </c>
      <c r="B319" s="29" t="str">
        <f t="shared" si="10"/>
        <v>13/01/2026NL300008</v>
      </c>
      <c r="C319" s="30" t="s">
        <v>876</v>
      </c>
      <c r="D319" s="30" t="s">
        <v>835</v>
      </c>
      <c r="E319" s="29" t="s">
        <v>836</v>
      </c>
      <c r="F319" s="29" t="s">
        <v>837</v>
      </c>
      <c r="G319" s="29" t="s">
        <v>877</v>
      </c>
      <c r="H319" s="29" t="s">
        <v>255</v>
      </c>
      <c r="I319" s="29" t="s">
        <v>256</v>
      </c>
      <c r="J319" s="29" t="s">
        <v>237</v>
      </c>
      <c r="K319" s="31">
        <v>1.1000000000000001</v>
      </c>
      <c r="L319" s="32">
        <v>40000</v>
      </c>
      <c r="M319" s="32">
        <v>0</v>
      </c>
      <c r="N319" s="33">
        <f t="shared" si="11"/>
        <v>44000</v>
      </c>
      <c r="O319" s="33">
        <v>0</v>
      </c>
      <c r="P319" s="32">
        <v>40000</v>
      </c>
      <c r="Q319" s="29" t="s">
        <v>839</v>
      </c>
      <c r="R319" s="29" t="s">
        <v>840</v>
      </c>
      <c r="S319" s="29" t="s">
        <v>15</v>
      </c>
      <c r="T319" s="29" t="s">
        <v>807</v>
      </c>
      <c r="U319" s="29" t="s">
        <v>15</v>
      </c>
      <c r="V319" s="29" t="s">
        <v>841</v>
      </c>
      <c r="W319" s="29" t="s">
        <v>841</v>
      </c>
    </row>
    <row r="320" spans="1:23" ht="10.5" customHeight="1" x14ac:dyDescent="0.25">
      <c r="A320" s="28">
        <v>46035</v>
      </c>
      <c r="B320" s="29" t="str">
        <f t="shared" si="10"/>
        <v>13/01/2026NL300119</v>
      </c>
      <c r="C320" s="30" t="s">
        <v>876</v>
      </c>
      <c r="D320" s="30" t="s">
        <v>835</v>
      </c>
      <c r="E320" s="29" t="s">
        <v>836</v>
      </c>
      <c r="F320" s="29" t="s">
        <v>837</v>
      </c>
      <c r="G320" s="29" t="s">
        <v>877</v>
      </c>
      <c r="H320" s="29" t="s">
        <v>672</v>
      </c>
      <c r="I320" s="29" t="s">
        <v>673</v>
      </c>
      <c r="J320" s="29" t="s">
        <v>237</v>
      </c>
      <c r="K320" s="31">
        <v>0.3</v>
      </c>
      <c r="L320" s="32">
        <v>21000</v>
      </c>
      <c r="M320" s="32">
        <v>0</v>
      </c>
      <c r="N320" s="33">
        <f t="shared" si="11"/>
        <v>6300</v>
      </c>
      <c r="O320" s="33">
        <v>0</v>
      </c>
      <c r="P320" s="32">
        <v>21000</v>
      </c>
      <c r="Q320" s="29" t="s">
        <v>839</v>
      </c>
      <c r="R320" s="29" t="s">
        <v>840</v>
      </c>
      <c r="S320" s="29" t="s">
        <v>15</v>
      </c>
      <c r="T320" s="29" t="s">
        <v>807</v>
      </c>
      <c r="U320" s="29" t="s">
        <v>15</v>
      </c>
      <c r="V320" s="29" t="s">
        <v>841</v>
      </c>
      <c r="W320" s="29" t="s">
        <v>841</v>
      </c>
    </row>
    <row r="321" spans="1:23" ht="10.5" customHeight="1" x14ac:dyDescent="0.25">
      <c r="A321" s="28">
        <v>46035</v>
      </c>
      <c r="B321" s="29" t="str">
        <f t="shared" si="10"/>
        <v>13/01/2026NL300113</v>
      </c>
      <c r="C321" s="30" t="s">
        <v>876</v>
      </c>
      <c r="D321" s="30" t="s">
        <v>835</v>
      </c>
      <c r="E321" s="29" t="s">
        <v>836</v>
      </c>
      <c r="F321" s="29" t="s">
        <v>837</v>
      </c>
      <c r="G321" s="29" t="s">
        <v>877</v>
      </c>
      <c r="H321" s="29" t="s">
        <v>649</v>
      </c>
      <c r="I321" s="29" t="s">
        <v>42</v>
      </c>
      <c r="J321" s="29" t="s">
        <v>237</v>
      </c>
      <c r="K321" s="31">
        <v>0.2</v>
      </c>
      <c r="L321" s="32">
        <v>145000</v>
      </c>
      <c r="M321" s="32">
        <v>0</v>
      </c>
      <c r="N321" s="33">
        <f t="shared" si="11"/>
        <v>29000</v>
      </c>
      <c r="O321" s="33">
        <v>0</v>
      </c>
      <c r="P321" s="32">
        <v>145000</v>
      </c>
      <c r="Q321" s="29" t="s">
        <v>839</v>
      </c>
      <c r="R321" s="29" t="s">
        <v>840</v>
      </c>
      <c r="S321" s="29" t="s">
        <v>15</v>
      </c>
      <c r="T321" s="29" t="s">
        <v>807</v>
      </c>
      <c r="U321" s="29" t="s">
        <v>15</v>
      </c>
      <c r="V321" s="29" t="s">
        <v>841</v>
      </c>
      <c r="W321" s="29" t="s">
        <v>841</v>
      </c>
    </row>
    <row r="322" spans="1:23" ht="10.5" customHeight="1" x14ac:dyDescent="0.25">
      <c r="A322" s="28">
        <v>46035</v>
      </c>
      <c r="B322" s="29" t="str">
        <f t="shared" si="10"/>
        <v>13/01/2026NL300080</v>
      </c>
      <c r="C322" s="30" t="s">
        <v>876</v>
      </c>
      <c r="D322" s="30" t="s">
        <v>835</v>
      </c>
      <c r="E322" s="29" t="s">
        <v>836</v>
      </c>
      <c r="F322" s="29" t="s">
        <v>837</v>
      </c>
      <c r="G322" s="29" t="s">
        <v>877</v>
      </c>
      <c r="H322" s="29" t="s">
        <v>553</v>
      </c>
      <c r="I322" s="29" t="s">
        <v>554</v>
      </c>
      <c r="J322" s="29" t="s">
        <v>237</v>
      </c>
      <c r="K322" s="31">
        <v>0.6</v>
      </c>
      <c r="L322" s="32">
        <v>95000</v>
      </c>
      <c r="M322" s="32">
        <v>0</v>
      </c>
      <c r="N322" s="33">
        <f t="shared" si="11"/>
        <v>57000</v>
      </c>
      <c r="O322" s="33">
        <v>0</v>
      </c>
      <c r="P322" s="32">
        <v>95000</v>
      </c>
      <c r="Q322" s="29" t="s">
        <v>839</v>
      </c>
      <c r="R322" s="29" t="s">
        <v>840</v>
      </c>
      <c r="S322" s="29" t="s">
        <v>15</v>
      </c>
      <c r="T322" s="29" t="s">
        <v>807</v>
      </c>
      <c r="U322" s="29" t="s">
        <v>15</v>
      </c>
      <c r="V322" s="29" t="s">
        <v>841</v>
      </c>
      <c r="W322" s="29" t="s">
        <v>841</v>
      </c>
    </row>
    <row r="323" spans="1:23" ht="10.5" customHeight="1" x14ac:dyDescent="0.25">
      <c r="A323" s="28">
        <v>46035</v>
      </c>
      <c r="B323" s="29" t="str">
        <f t="shared" si="10"/>
        <v>13/01/2026NL300142</v>
      </c>
      <c r="C323" s="30" t="s">
        <v>876</v>
      </c>
      <c r="D323" s="30" t="s">
        <v>835</v>
      </c>
      <c r="E323" s="29" t="s">
        <v>836</v>
      </c>
      <c r="F323" s="29" t="s">
        <v>837</v>
      </c>
      <c r="G323" s="29" t="s">
        <v>877</v>
      </c>
      <c r="H323" s="29" t="s">
        <v>777</v>
      </c>
      <c r="I323" s="29" t="s">
        <v>845</v>
      </c>
      <c r="J323" s="29" t="s">
        <v>237</v>
      </c>
      <c r="K323" s="31">
        <v>0</v>
      </c>
      <c r="L323" s="32">
        <v>50000</v>
      </c>
      <c r="M323" s="32">
        <v>0</v>
      </c>
      <c r="N323" s="33">
        <f t="shared" si="11"/>
        <v>0</v>
      </c>
      <c r="O323" s="33">
        <v>0</v>
      </c>
      <c r="P323" s="32">
        <v>50000</v>
      </c>
      <c r="Q323" s="29" t="s">
        <v>839</v>
      </c>
      <c r="R323" s="29" t="s">
        <v>840</v>
      </c>
      <c r="S323" s="29" t="s">
        <v>15</v>
      </c>
      <c r="T323" s="29" t="s">
        <v>807</v>
      </c>
      <c r="U323" s="29" t="s">
        <v>15</v>
      </c>
      <c r="V323" s="29" t="s">
        <v>841</v>
      </c>
      <c r="W323" s="29" t="s">
        <v>841</v>
      </c>
    </row>
    <row r="324" spans="1:23" ht="10.5" customHeight="1" x14ac:dyDescent="0.25">
      <c r="A324" s="28">
        <v>46035</v>
      </c>
      <c r="B324" s="29" t="str">
        <f t="shared" si="10"/>
        <v>13/01/2026NL300048</v>
      </c>
      <c r="C324" s="30" t="s">
        <v>876</v>
      </c>
      <c r="D324" s="30" t="s">
        <v>835</v>
      </c>
      <c r="E324" s="29" t="s">
        <v>836</v>
      </c>
      <c r="F324" s="29" t="s">
        <v>837</v>
      </c>
      <c r="G324" s="29" t="s">
        <v>877</v>
      </c>
      <c r="H324" s="29" t="s">
        <v>460</v>
      </c>
      <c r="I324" s="29" t="s">
        <v>461</v>
      </c>
      <c r="J324" s="29" t="s">
        <v>237</v>
      </c>
      <c r="K324" s="31">
        <v>1.2</v>
      </c>
      <c r="L324" s="32">
        <v>18000</v>
      </c>
      <c r="M324" s="32">
        <v>0</v>
      </c>
      <c r="N324" s="33">
        <f t="shared" si="11"/>
        <v>21600</v>
      </c>
      <c r="O324" s="33">
        <v>0</v>
      </c>
      <c r="P324" s="32">
        <v>18000</v>
      </c>
      <c r="Q324" s="29" t="s">
        <v>839</v>
      </c>
      <c r="R324" s="29" t="s">
        <v>840</v>
      </c>
      <c r="S324" s="29" t="s">
        <v>15</v>
      </c>
      <c r="T324" s="29" t="s">
        <v>807</v>
      </c>
      <c r="U324" s="29" t="s">
        <v>15</v>
      </c>
      <c r="V324" s="29" t="s">
        <v>841</v>
      </c>
      <c r="W324" s="29" t="s">
        <v>841</v>
      </c>
    </row>
    <row r="325" spans="1:23" ht="10.5" customHeight="1" x14ac:dyDescent="0.25">
      <c r="A325" s="28">
        <v>46036</v>
      </c>
      <c r="B325" s="29" t="str">
        <f t="shared" si="10"/>
        <v>14/01/2026NL300147</v>
      </c>
      <c r="C325" s="30" t="s">
        <v>878</v>
      </c>
      <c r="D325" s="30" t="s">
        <v>835</v>
      </c>
      <c r="E325" s="29" t="s">
        <v>836</v>
      </c>
      <c r="F325" s="29" t="s">
        <v>837</v>
      </c>
      <c r="G325" s="29" t="s">
        <v>879</v>
      </c>
      <c r="H325" s="29" t="s">
        <v>795</v>
      </c>
      <c r="I325" s="29" t="s">
        <v>796</v>
      </c>
      <c r="J325" s="29" t="s">
        <v>237</v>
      </c>
      <c r="K325" s="31">
        <v>1</v>
      </c>
      <c r="L325" s="32">
        <v>62000</v>
      </c>
      <c r="M325" s="32">
        <v>0</v>
      </c>
      <c r="N325" s="33">
        <f t="shared" si="11"/>
        <v>62000</v>
      </c>
      <c r="O325" s="33">
        <v>0</v>
      </c>
      <c r="P325" s="32">
        <v>62000</v>
      </c>
      <c r="Q325" s="29" t="s">
        <v>839</v>
      </c>
      <c r="R325" s="29" t="s">
        <v>840</v>
      </c>
      <c r="S325" s="29" t="s">
        <v>15</v>
      </c>
      <c r="T325" s="29" t="s">
        <v>807</v>
      </c>
      <c r="U325" s="29" t="s">
        <v>15</v>
      </c>
      <c r="V325" s="29" t="s">
        <v>841</v>
      </c>
      <c r="W325" s="29" t="s">
        <v>841</v>
      </c>
    </row>
    <row r="326" spans="1:23" ht="10.5" customHeight="1" x14ac:dyDescent="0.25">
      <c r="A326" s="28">
        <v>46036</v>
      </c>
      <c r="B326" s="29" t="str">
        <f t="shared" si="10"/>
        <v>14/01/2026NL300232</v>
      </c>
      <c r="C326" s="30" t="s">
        <v>878</v>
      </c>
      <c r="D326" s="30" t="s">
        <v>835</v>
      </c>
      <c r="E326" s="29" t="s">
        <v>836</v>
      </c>
      <c r="F326" s="29" t="s">
        <v>837</v>
      </c>
      <c r="G326" s="29" t="s">
        <v>879</v>
      </c>
      <c r="H326" s="29" t="s">
        <v>846</v>
      </c>
      <c r="I326" s="29" t="s">
        <v>847</v>
      </c>
      <c r="J326" s="29" t="s">
        <v>237</v>
      </c>
      <c r="K326" s="31">
        <v>0.8</v>
      </c>
      <c r="L326" s="32">
        <v>68000</v>
      </c>
      <c r="M326" s="32">
        <v>0</v>
      </c>
      <c r="N326" s="33">
        <f t="shared" si="11"/>
        <v>54400</v>
      </c>
      <c r="O326" s="33">
        <v>0</v>
      </c>
      <c r="P326" s="32">
        <v>75000</v>
      </c>
      <c r="Q326" s="29" t="s">
        <v>839</v>
      </c>
      <c r="R326" s="29" t="s">
        <v>840</v>
      </c>
      <c r="S326" s="29" t="s">
        <v>15</v>
      </c>
      <c r="T326" s="29" t="s">
        <v>807</v>
      </c>
      <c r="U326" s="29" t="s">
        <v>15</v>
      </c>
      <c r="V326" s="29" t="s">
        <v>841</v>
      </c>
      <c r="W326" s="29" t="s">
        <v>841</v>
      </c>
    </row>
    <row r="327" spans="1:23" ht="10.5" customHeight="1" x14ac:dyDescent="0.25">
      <c r="A327" s="28">
        <v>46036</v>
      </c>
      <c r="B327" s="29" t="str">
        <f t="shared" si="10"/>
        <v>14/01/2026NL300096</v>
      </c>
      <c r="C327" s="30" t="s">
        <v>878</v>
      </c>
      <c r="D327" s="30" t="s">
        <v>835</v>
      </c>
      <c r="E327" s="29" t="s">
        <v>836</v>
      </c>
      <c r="F327" s="29" t="s">
        <v>837</v>
      </c>
      <c r="G327" s="29" t="s">
        <v>879</v>
      </c>
      <c r="H327" s="29" t="s">
        <v>610</v>
      </c>
      <c r="I327" s="29" t="s">
        <v>30</v>
      </c>
      <c r="J327" s="29" t="s">
        <v>237</v>
      </c>
      <c r="K327" s="31">
        <v>0.4</v>
      </c>
      <c r="L327" s="32">
        <v>45000</v>
      </c>
      <c r="M327" s="32">
        <v>0</v>
      </c>
      <c r="N327" s="33">
        <f t="shared" si="11"/>
        <v>18000</v>
      </c>
      <c r="O327" s="33">
        <v>0</v>
      </c>
      <c r="P327" s="32">
        <v>45000</v>
      </c>
      <c r="Q327" s="29" t="s">
        <v>839</v>
      </c>
      <c r="R327" s="29" t="s">
        <v>840</v>
      </c>
      <c r="S327" s="29" t="s">
        <v>15</v>
      </c>
      <c r="T327" s="29" t="s">
        <v>807</v>
      </c>
      <c r="U327" s="29" t="s">
        <v>15</v>
      </c>
      <c r="V327" s="29" t="s">
        <v>841</v>
      </c>
      <c r="W327" s="29" t="s">
        <v>841</v>
      </c>
    </row>
    <row r="328" spans="1:23" ht="10.5" customHeight="1" x14ac:dyDescent="0.25">
      <c r="A328" s="28">
        <v>46036</v>
      </c>
      <c r="B328" s="29" t="str">
        <f t="shared" si="10"/>
        <v>14/01/2026NL300071</v>
      </c>
      <c r="C328" s="30" t="s">
        <v>878</v>
      </c>
      <c r="D328" s="30" t="s">
        <v>835</v>
      </c>
      <c r="E328" s="29" t="s">
        <v>836</v>
      </c>
      <c r="F328" s="29" t="s">
        <v>837</v>
      </c>
      <c r="G328" s="29" t="s">
        <v>879</v>
      </c>
      <c r="H328" s="29" t="s">
        <v>524</v>
      </c>
      <c r="I328" s="29" t="s">
        <v>806</v>
      </c>
      <c r="J328" s="29" t="s">
        <v>237</v>
      </c>
      <c r="K328" s="31">
        <v>0.3</v>
      </c>
      <c r="L328" s="32">
        <v>20000</v>
      </c>
      <c r="M328" s="32">
        <v>0</v>
      </c>
      <c r="N328" s="33">
        <f t="shared" si="11"/>
        <v>6000</v>
      </c>
      <c r="O328" s="33">
        <v>0</v>
      </c>
      <c r="P328" s="32">
        <v>20000</v>
      </c>
      <c r="Q328" s="29" t="s">
        <v>839</v>
      </c>
      <c r="R328" s="29" t="s">
        <v>840</v>
      </c>
      <c r="S328" s="29" t="s">
        <v>15</v>
      </c>
      <c r="T328" s="29" t="s">
        <v>807</v>
      </c>
      <c r="U328" s="29" t="s">
        <v>15</v>
      </c>
      <c r="V328" s="29" t="s">
        <v>841</v>
      </c>
      <c r="W328" s="29" t="s">
        <v>841</v>
      </c>
    </row>
    <row r="329" spans="1:23" ht="10.5" customHeight="1" x14ac:dyDescent="0.25">
      <c r="A329" s="28">
        <v>46036</v>
      </c>
      <c r="B329" s="29" t="str">
        <f t="shared" si="10"/>
        <v>14/01/2026NL300085</v>
      </c>
      <c r="C329" s="30" t="s">
        <v>878</v>
      </c>
      <c r="D329" s="30" t="s">
        <v>835</v>
      </c>
      <c r="E329" s="29" t="s">
        <v>836</v>
      </c>
      <c r="F329" s="29" t="s">
        <v>837</v>
      </c>
      <c r="G329" s="29" t="s">
        <v>879</v>
      </c>
      <c r="H329" s="29" t="s">
        <v>592</v>
      </c>
      <c r="I329" s="29" t="s">
        <v>593</v>
      </c>
      <c r="J329" s="29" t="s">
        <v>237</v>
      </c>
      <c r="K329" s="31">
        <v>0.1</v>
      </c>
      <c r="L329" s="32">
        <v>45000</v>
      </c>
      <c r="M329" s="32">
        <v>0</v>
      </c>
      <c r="N329" s="33">
        <f t="shared" si="11"/>
        <v>4500</v>
      </c>
      <c r="O329" s="33">
        <v>0</v>
      </c>
      <c r="P329" s="32">
        <v>45000</v>
      </c>
      <c r="Q329" s="29" t="s">
        <v>839</v>
      </c>
      <c r="R329" s="29" t="s">
        <v>840</v>
      </c>
      <c r="S329" s="29" t="s">
        <v>15</v>
      </c>
      <c r="T329" s="29" t="s">
        <v>807</v>
      </c>
      <c r="U329" s="29" t="s">
        <v>15</v>
      </c>
      <c r="V329" s="29" t="s">
        <v>841</v>
      </c>
      <c r="W329" s="29" t="s">
        <v>841</v>
      </c>
    </row>
    <row r="330" spans="1:23" ht="10.5" customHeight="1" x14ac:dyDescent="0.25">
      <c r="A330" s="28">
        <v>46036</v>
      </c>
      <c r="B330" s="29" t="str">
        <f t="shared" si="10"/>
        <v>14/01/2026NL300041</v>
      </c>
      <c r="C330" s="30" t="s">
        <v>878</v>
      </c>
      <c r="D330" s="30" t="s">
        <v>835</v>
      </c>
      <c r="E330" s="29" t="s">
        <v>836</v>
      </c>
      <c r="F330" s="29" t="s">
        <v>837</v>
      </c>
      <c r="G330" s="29" t="s">
        <v>879</v>
      </c>
      <c r="H330" s="29" t="s">
        <v>418</v>
      </c>
      <c r="I330" s="29" t="s">
        <v>419</v>
      </c>
      <c r="J330" s="29" t="s">
        <v>420</v>
      </c>
      <c r="K330" s="31">
        <v>3</v>
      </c>
      <c r="L330" s="32">
        <v>15000</v>
      </c>
      <c r="M330" s="32">
        <v>0</v>
      </c>
      <c r="N330" s="33">
        <f t="shared" si="11"/>
        <v>45000</v>
      </c>
      <c r="O330" s="33">
        <v>0</v>
      </c>
      <c r="P330" s="32">
        <v>15000</v>
      </c>
      <c r="Q330" s="29" t="s">
        <v>839</v>
      </c>
      <c r="R330" s="29" t="s">
        <v>840</v>
      </c>
      <c r="S330" s="29" t="s">
        <v>15</v>
      </c>
      <c r="T330" s="29" t="s">
        <v>807</v>
      </c>
      <c r="U330" s="29" t="s">
        <v>15</v>
      </c>
      <c r="V330" s="29" t="s">
        <v>841</v>
      </c>
      <c r="W330" s="29" t="s">
        <v>841</v>
      </c>
    </row>
    <row r="331" spans="1:23" ht="10.5" customHeight="1" x14ac:dyDescent="0.25">
      <c r="A331" s="28">
        <v>46036</v>
      </c>
      <c r="B331" s="29" t="str">
        <f t="shared" si="10"/>
        <v>14/01/2026NL300013</v>
      </c>
      <c r="C331" s="30" t="s">
        <v>878</v>
      </c>
      <c r="D331" s="30" t="s">
        <v>835</v>
      </c>
      <c r="E331" s="29" t="s">
        <v>836</v>
      </c>
      <c r="F331" s="29" t="s">
        <v>837</v>
      </c>
      <c r="G331" s="29" t="s">
        <v>879</v>
      </c>
      <c r="H331" s="29" t="s">
        <v>279</v>
      </c>
      <c r="I331" s="29" t="s">
        <v>151</v>
      </c>
      <c r="J331" s="29" t="s">
        <v>237</v>
      </c>
      <c r="K331" s="31">
        <v>0.4</v>
      </c>
      <c r="L331" s="32">
        <v>50000</v>
      </c>
      <c r="M331" s="32">
        <v>0</v>
      </c>
      <c r="N331" s="33">
        <f t="shared" si="11"/>
        <v>20000</v>
      </c>
      <c r="O331" s="33">
        <v>0</v>
      </c>
      <c r="P331" s="32">
        <v>50000</v>
      </c>
      <c r="Q331" s="29" t="s">
        <v>839</v>
      </c>
      <c r="R331" s="29" t="s">
        <v>840</v>
      </c>
      <c r="S331" s="29" t="s">
        <v>15</v>
      </c>
      <c r="T331" s="29" t="s">
        <v>807</v>
      </c>
      <c r="U331" s="29" t="s">
        <v>15</v>
      </c>
      <c r="V331" s="29" t="s">
        <v>841</v>
      </c>
      <c r="W331" s="29" t="s">
        <v>841</v>
      </c>
    </row>
    <row r="332" spans="1:23" ht="10.5" customHeight="1" x14ac:dyDescent="0.25">
      <c r="A332" s="28">
        <v>46036</v>
      </c>
      <c r="B332" s="29" t="str">
        <f t="shared" si="10"/>
        <v>14/01/2026NL300126</v>
      </c>
      <c r="C332" s="30" t="s">
        <v>878</v>
      </c>
      <c r="D332" s="30" t="s">
        <v>835</v>
      </c>
      <c r="E332" s="29" t="s">
        <v>836</v>
      </c>
      <c r="F332" s="29" t="s">
        <v>837</v>
      </c>
      <c r="G332" s="29" t="s">
        <v>879</v>
      </c>
      <c r="H332" s="29" t="s">
        <v>721</v>
      </c>
      <c r="I332" s="29" t="s">
        <v>722</v>
      </c>
      <c r="J332" s="29" t="s">
        <v>237</v>
      </c>
      <c r="K332" s="31">
        <v>0.2</v>
      </c>
      <c r="L332" s="32">
        <v>70000</v>
      </c>
      <c r="M332" s="32">
        <v>0</v>
      </c>
      <c r="N332" s="33">
        <f t="shared" si="11"/>
        <v>14000</v>
      </c>
      <c r="O332" s="33">
        <v>0</v>
      </c>
      <c r="P332" s="32">
        <v>70000</v>
      </c>
      <c r="Q332" s="29" t="s">
        <v>839</v>
      </c>
      <c r="R332" s="29" t="s">
        <v>840</v>
      </c>
      <c r="S332" s="29" t="s">
        <v>15</v>
      </c>
      <c r="T332" s="29" t="s">
        <v>807</v>
      </c>
      <c r="U332" s="29" t="s">
        <v>15</v>
      </c>
      <c r="V332" s="29" t="s">
        <v>841</v>
      </c>
      <c r="W332" s="29" t="s">
        <v>841</v>
      </c>
    </row>
    <row r="333" spans="1:23" ht="10.5" customHeight="1" x14ac:dyDescent="0.25">
      <c r="A333" s="28">
        <v>46036</v>
      </c>
      <c r="B333" s="29" t="str">
        <f t="shared" si="10"/>
        <v>14/01/2026NL300070</v>
      </c>
      <c r="C333" s="30" t="s">
        <v>878</v>
      </c>
      <c r="D333" s="30" t="s">
        <v>835</v>
      </c>
      <c r="E333" s="29" t="s">
        <v>836</v>
      </c>
      <c r="F333" s="29" t="s">
        <v>837</v>
      </c>
      <c r="G333" s="29" t="s">
        <v>879</v>
      </c>
      <c r="H333" s="29" t="s">
        <v>507</v>
      </c>
      <c r="I333" s="29" t="s">
        <v>508</v>
      </c>
      <c r="J333" s="29" t="s">
        <v>237</v>
      </c>
      <c r="K333" s="31">
        <v>0.8</v>
      </c>
      <c r="L333" s="32">
        <v>23000</v>
      </c>
      <c r="M333" s="32">
        <v>0</v>
      </c>
      <c r="N333" s="33">
        <f t="shared" si="11"/>
        <v>18400</v>
      </c>
      <c r="O333" s="33">
        <v>0</v>
      </c>
      <c r="P333" s="32">
        <v>23000</v>
      </c>
      <c r="Q333" s="29" t="s">
        <v>839</v>
      </c>
      <c r="R333" s="29" t="s">
        <v>840</v>
      </c>
      <c r="S333" s="29" t="s">
        <v>15</v>
      </c>
      <c r="T333" s="29" t="s">
        <v>807</v>
      </c>
      <c r="U333" s="29" t="s">
        <v>15</v>
      </c>
      <c r="V333" s="29" t="s">
        <v>841</v>
      </c>
      <c r="W333" s="29" t="s">
        <v>841</v>
      </c>
    </row>
    <row r="334" spans="1:23" ht="10.5" customHeight="1" x14ac:dyDescent="0.25">
      <c r="A334" s="28">
        <v>46036</v>
      </c>
      <c r="B334" s="29" t="str">
        <f t="shared" si="10"/>
        <v>14/01/2026NL300230</v>
      </c>
      <c r="C334" s="30" t="s">
        <v>878</v>
      </c>
      <c r="D334" s="30" t="s">
        <v>835</v>
      </c>
      <c r="E334" s="29" t="s">
        <v>836</v>
      </c>
      <c r="F334" s="29" t="s">
        <v>837</v>
      </c>
      <c r="G334" s="29" t="s">
        <v>879</v>
      </c>
      <c r="H334" s="29" t="s">
        <v>802</v>
      </c>
      <c r="I334" s="29" t="s">
        <v>803</v>
      </c>
      <c r="J334" s="29" t="s">
        <v>237</v>
      </c>
      <c r="K334" s="31">
        <v>0.1</v>
      </c>
      <c r="L334" s="32">
        <v>80000</v>
      </c>
      <c r="M334" s="32">
        <v>0</v>
      </c>
      <c r="N334" s="33">
        <f t="shared" si="11"/>
        <v>8000</v>
      </c>
      <c r="O334" s="33">
        <v>0</v>
      </c>
      <c r="P334" s="32">
        <v>80000</v>
      </c>
      <c r="Q334" s="29" t="s">
        <v>839</v>
      </c>
      <c r="R334" s="29" t="s">
        <v>840</v>
      </c>
      <c r="S334" s="29" t="s">
        <v>15</v>
      </c>
      <c r="T334" s="29" t="s">
        <v>807</v>
      </c>
      <c r="U334" s="29" t="s">
        <v>15</v>
      </c>
      <c r="V334" s="29" t="s">
        <v>841</v>
      </c>
      <c r="W334" s="29" t="s">
        <v>841</v>
      </c>
    </row>
    <row r="335" spans="1:23" ht="10.5" customHeight="1" x14ac:dyDescent="0.25">
      <c r="A335" s="28">
        <v>46036</v>
      </c>
      <c r="B335" s="29" t="str">
        <f t="shared" si="10"/>
        <v>14/01/2026NL300058</v>
      </c>
      <c r="C335" s="30" t="s">
        <v>878</v>
      </c>
      <c r="D335" s="30" t="s">
        <v>835</v>
      </c>
      <c r="E335" s="29" t="s">
        <v>836</v>
      </c>
      <c r="F335" s="29" t="s">
        <v>837</v>
      </c>
      <c r="G335" s="29" t="s">
        <v>879</v>
      </c>
      <c r="H335" s="29" t="s">
        <v>481</v>
      </c>
      <c r="I335" s="29" t="s">
        <v>22</v>
      </c>
      <c r="J335" s="29" t="s">
        <v>237</v>
      </c>
      <c r="K335" s="31">
        <v>0.2</v>
      </c>
      <c r="L335" s="32">
        <v>55000</v>
      </c>
      <c r="M335" s="32">
        <v>0</v>
      </c>
      <c r="N335" s="33">
        <f t="shared" si="11"/>
        <v>11000</v>
      </c>
      <c r="O335" s="33">
        <v>0</v>
      </c>
      <c r="P335" s="32">
        <v>55000</v>
      </c>
      <c r="Q335" s="29" t="s">
        <v>839</v>
      </c>
      <c r="R335" s="29" t="s">
        <v>840</v>
      </c>
      <c r="S335" s="29" t="s">
        <v>15</v>
      </c>
      <c r="T335" s="29" t="s">
        <v>807</v>
      </c>
      <c r="U335" s="29" t="s">
        <v>15</v>
      </c>
      <c r="V335" s="29" t="s">
        <v>841</v>
      </c>
      <c r="W335" s="29" t="s">
        <v>841</v>
      </c>
    </row>
    <row r="336" spans="1:23" ht="10.5" customHeight="1" x14ac:dyDescent="0.25">
      <c r="A336" s="28">
        <v>46036</v>
      </c>
      <c r="B336" s="29" t="str">
        <f t="shared" si="10"/>
        <v>14/01/2026NL600004</v>
      </c>
      <c r="C336" s="30" t="s">
        <v>878</v>
      </c>
      <c r="D336" s="30" t="s">
        <v>835</v>
      </c>
      <c r="E336" s="29" t="s">
        <v>836</v>
      </c>
      <c r="F336" s="29" t="s">
        <v>837</v>
      </c>
      <c r="G336" s="29" t="s">
        <v>879</v>
      </c>
      <c r="H336" s="29" t="s">
        <v>462</v>
      </c>
      <c r="I336" s="29"/>
      <c r="J336" s="29" t="s">
        <v>237</v>
      </c>
      <c r="K336" s="31">
        <v>24</v>
      </c>
      <c r="L336" s="32">
        <v>18000</v>
      </c>
      <c r="M336" s="32">
        <v>0</v>
      </c>
      <c r="N336" s="33">
        <f t="shared" si="11"/>
        <v>432000</v>
      </c>
      <c r="O336" s="33">
        <v>0</v>
      </c>
      <c r="P336" s="32">
        <v>55000</v>
      </c>
      <c r="Q336" s="29" t="s">
        <v>839</v>
      </c>
      <c r="R336" s="29" t="s">
        <v>840</v>
      </c>
      <c r="S336" s="29" t="s">
        <v>15</v>
      </c>
      <c r="T336" s="29" t="s">
        <v>807</v>
      </c>
      <c r="U336" s="29" t="s">
        <v>15</v>
      </c>
      <c r="V336" s="29" t="s">
        <v>841</v>
      </c>
      <c r="W336" s="29" t="s">
        <v>841</v>
      </c>
    </row>
    <row r="337" spans="1:23" ht="10.5" customHeight="1" x14ac:dyDescent="0.25">
      <c r="A337" s="28">
        <v>46036</v>
      </c>
      <c r="B337" s="29" t="str">
        <f t="shared" si="10"/>
        <v>14/01/2026NL300061</v>
      </c>
      <c r="C337" s="30" t="s">
        <v>878</v>
      </c>
      <c r="D337" s="30" t="s">
        <v>835</v>
      </c>
      <c r="E337" s="29" t="s">
        <v>836</v>
      </c>
      <c r="F337" s="29" t="s">
        <v>837</v>
      </c>
      <c r="G337" s="29" t="s">
        <v>879</v>
      </c>
      <c r="H337" s="29" t="s">
        <v>482</v>
      </c>
      <c r="I337" s="29" t="s">
        <v>844</v>
      </c>
      <c r="J337" s="29" t="s">
        <v>237</v>
      </c>
      <c r="K337" s="31">
        <v>0.3</v>
      </c>
      <c r="L337" s="32">
        <v>38000</v>
      </c>
      <c r="M337" s="32">
        <v>0</v>
      </c>
      <c r="N337" s="33">
        <f t="shared" si="11"/>
        <v>11400</v>
      </c>
      <c r="O337" s="33">
        <v>0</v>
      </c>
      <c r="P337" s="32">
        <v>38000</v>
      </c>
      <c r="Q337" s="29" t="s">
        <v>839</v>
      </c>
      <c r="R337" s="29" t="s">
        <v>840</v>
      </c>
      <c r="S337" s="29" t="s">
        <v>15</v>
      </c>
      <c r="T337" s="29" t="s">
        <v>807</v>
      </c>
      <c r="U337" s="29" t="s">
        <v>15</v>
      </c>
      <c r="V337" s="29" t="s">
        <v>841</v>
      </c>
      <c r="W337" s="29" t="s">
        <v>841</v>
      </c>
    </row>
    <row r="338" spans="1:23" ht="10.5" customHeight="1" x14ac:dyDescent="0.25">
      <c r="A338" s="28">
        <v>46036</v>
      </c>
      <c r="B338" s="29" t="str">
        <f t="shared" si="10"/>
        <v>14/01/2026NL300027</v>
      </c>
      <c r="C338" s="30" t="s">
        <v>878</v>
      </c>
      <c r="D338" s="30" t="s">
        <v>835</v>
      </c>
      <c r="E338" s="29" t="s">
        <v>836</v>
      </c>
      <c r="F338" s="29" t="s">
        <v>837</v>
      </c>
      <c r="G338" s="29" t="s">
        <v>879</v>
      </c>
      <c r="H338" s="29" t="s">
        <v>314</v>
      </c>
      <c r="I338" s="29" t="s">
        <v>126</v>
      </c>
      <c r="J338" s="29" t="s">
        <v>237</v>
      </c>
      <c r="K338" s="31">
        <v>1.9</v>
      </c>
      <c r="L338" s="32">
        <v>18000</v>
      </c>
      <c r="M338" s="32">
        <v>0</v>
      </c>
      <c r="N338" s="33">
        <f t="shared" si="11"/>
        <v>34200</v>
      </c>
      <c r="O338" s="33">
        <v>0</v>
      </c>
      <c r="P338" s="32">
        <v>18000</v>
      </c>
      <c r="Q338" s="29" t="s">
        <v>839</v>
      </c>
      <c r="R338" s="29" t="s">
        <v>840</v>
      </c>
      <c r="S338" s="29" t="s">
        <v>15</v>
      </c>
      <c r="T338" s="29" t="s">
        <v>807</v>
      </c>
      <c r="U338" s="29" t="s">
        <v>15</v>
      </c>
      <c r="V338" s="29" t="s">
        <v>841</v>
      </c>
      <c r="W338" s="29" t="s">
        <v>841</v>
      </c>
    </row>
    <row r="339" spans="1:23" ht="10.5" customHeight="1" x14ac:dyDescent="0.25">
      <c r="A339" s="28">
        <v>46036</v>
      </c>
      <c r="B339" s="29" t="str">
        <f t="shared" si="10"/>
        <v>14/01/2026NL300090</v>
      </c>
      <c r="C339" s="30" t="s">
        <v>878</v>
      </c>
      <c r="D339" s="30" t="s">
        <v>835</v>
      </c>
      <c r="E339" s="29" t="s">
        <v>836</v>
      </c>
      <c r="F339" s="29" t="s">
        <v>837</v>
      </c>
      <c r="G339" s="29" t="s">
        <v>879</v>
      </c>
      <c r="H339" s="29" t="s">
        <v>604</v>
      </c>
      <c r="I339" s="29" t="s">
        <v>40</v>
      </c>
      <c r="J339" s="29" t="s">
        <v>237</v>
      </c>
      <c r="K339" s="31">
        <v>2</v>
      </c>
      <c r="L339" s="32">
        <v>145000</v>
      </c>
      <c r="M339" s="32">
        <v>0</v>
      </c>
      <c r="N339" s="33">
        <f t="shared" si="11"/>
        <v>290000</v>
      </c>
      <c r="O339" s="33">
        <v>0</v>
      </c>
      <c r="P339" s="32">
        <v>145000</v>
      </c>
      <c r="Q339" s="29" t="s">
        <v>839</v>
      </c>
      <c r="R339" s="29" t="s">
        <v>840</v>
      </c>
      <c r="S339" s="29" t="s">
        <v>15</v>
      </c>
      <c r="T339" s="29" t="s">
        <v>807</v>
      </c>
      <c r="U339" s="29" t="s">
        <v>15</v>
      </c>
      <c r="V339" s="29" t="s">
        <v>841</v>
      </c>
      <c r="W339" s="29" t="s">
        <v>841</v>
      </c>
    </row>
    <row r="340" spans="1:23" ht="10.5" customHeight="1" x14ac:dyDescent="0.25">
      <c r="A340" s="28">
        <v>46036</v>
      </c>
      <c r="B340" s="29" t="str">
        <f t="shared" si="10"/>
        <v>14/01/2026NL300038</v>
      </c>
      <c r="C340" s="30" t="s">
        <v>878</v>
      </c>
      <c r="D340" s="30" t="s">
        <v>835</v>
      </c>
      <c r="E340" s="29" t="s">
        <v>836</v>
      </c>
      <c r="F340" s="29" t="s">
        <v>837</v>
      </c>
      <c r="G340" s="29" t="s">
        <v>879</v>
      </c>
      <c r="H340" s="29" t="s">
        <v>408</v>
      </c>
      <c r="I340" s="29" t="s">
        <v>20</v>
      </c>
      <c r="J340" s="29" t="s">
        <v>237</v>
      </c>
      <c r="K340" s="31">
        <v>0.7</v>
      </c>
      <c r="L340" s="32">
        <v>32000</v>
      </c>
      <c r="M340" s="32">
        <v>0</v>
      </c>
      <c r="N340" s="33">
        <f t="shared" si="11"/>
        <v>22400</v>
      </c>
      <c r="O340" s="33">
        <v>0</v>
      </c>
      <c r="P340" s="32">
        <v>32000</v>
      </c>
      <c r="Q340" s="29" t="s">
        <v>839</v>
      </c>
      <c r="R340" s="29" t="s">
        <v>840</v>
      </c>
      <c r="S340" s="29" t="s">
        <v>15</v>
      </c>
      <c r="T340" s="29" t="s">
        <v>807</v>
      </c>
      <c r="U340" s="29" t="s">
        <v>15</v>
      </c>
      <c r="V340" s="29" t="s">
        <v>841</v>
      </c>
      <c r="W340" s="29" t="s">
        <v>841</v>
      </c>
    </row>
    <row r="341" spans="1:23" ht="10.5" customHeight="1" x14ac:dyDescent="0.25">
      <c r="A341" s="28">
        <v>46036</v>
      </c>
      <c r="B341" s="29" t="str">
        <f t="shared" si="10"/>
        <v>14/01/2026NL300107</v>
      </c>
      <c r="C341" s="30" t="s">
        <v>878</v>
      </c>
      <c r="D341" s="30" t="s">
        <v>835</v>
      </c>
      <c r="E341" s="29" t="s">
        <v>836</v>
      </c>
      <c r="F341" s="29" t="s">
        <v>837</v>
      </c>
      <c r="G341" s="29" t="s">
        <v>879</v>
      </c>
      <c r="H341" s="29" t="s">
        <v>638</v>
      </c>
      <c r="I341" s="29" t="s">
        <v>842</v>
      </c>
      <c r="J341" s="29" t="s">
        <v>420</v>
      </c>
      <c r="K341" s="31">
        <v>5</v>
      </c>
      <c r="L341" s="32">
        <v>8500</v>
      </c>
      <c r="M341" s="32">
        <v>0</v>
      </c>
      <c r="N341" s="33">
        <f t="shared" si="11"/>
        <v>42500</v>
      </c>
      <c r="O341" s="33">
        <v>0</v>
      </c>
      <c r="P341" s="32">
        <v>8500</v>
      </c>
      <c r="Q341" s="29" t="s">
        <v>839</v>
      </c>
      <c r="R341" s="29" t="s">
        <v>840</v>
      </c>
      <c r="S341" s="29" t="s">
        <v>15</v>
      </c>
      <c r="T341" s="29" t="s">
        <v>807</v>
      </c>
      <c r="U341" s="29" t="s">
        <v>15</v>
      </c>
      <c r="V341" s="29" t="s">
        <v>841</v>
      </c>
      <c r="W341" s="29" t="s">
        <v>841</v>
      </c>
    </row>
    <row r="342" spans="1:23" ht="10.5" customHeight="1" x14ac:dyDescent="0.25">
      <c r="A342" s="28">
        <v>46036</v>
      </c>
      <c r="B342" s="29" t="str">
        <f t="shared" si="10"/>
        <v>14/01/2026NL300008</v>
      </c>
      <c r="C342" s="30" t="s">
        <v>878</v>
      </c>
      <c r="D342" s="30" t="s">
        <v>835</v>
      </c>
      <c r="E342" s="29" t="s">
        <v>836</v>
      </c>
      <c r="F342" s="29" t="s">
        <v>837</v>
      </c>
      <c r="G342" s="29" t="s">
        <v>879</v>
      </c>
      <c r="H342" s="29" t="s">
        <v>255</v>
      </c>
      <c r="I342" s="29" t="s">
        <v>256</v>
      </c>
      <c r="J342" s="29" t="s">
        <v>237</v>
      </c>
      <c r="K342" s="31">
        <v>0.8</v>
      </c>
      <c r="L342" s="32">
        <v>40000</v>
      </c>
      <c r="M342" s="32">
        <v>0</v>
      </c>
      <c r="N342" s="33">
        <f t="shared" si="11"/>
        <v>32000</v>
      </c>
      <c r="O342" s="33">
        <v>0</v>
      </c>
      <c r="P342" s="32">
        <v>40000</v>
      </c>
      <c r="Q342" s="29" t="s">
        <v>839</v>
      </c>
      <c r="R342" s="29" t="s">
        <v>840</v>
      </c>
      <c r="S342" s="29" t="s">
        <v>15</v>
      </c>
      <c r="T342" s="29" t="s">
        <v>807</v>
      </c>
      <c r="U342" s="29" t="s">
        <v>15</v>
      </c>
      <c r="V342" s="29" t="s">
        <v>841</v>
      </c>
      <c r="W342" s="29" t="s">
        <v>841</v>
      </c>
    </row>
    <row r="343" spans="1:23" ht="10.5" customHeight="1" x14ac:dyDescent="0.25">
      <c r="A343" s="28">
        <v>46036</v>
      </c>
      <c r="B343" s="29" t="str">
        <f t="shared" si="10"/>
        <v>14/01/2026NL300119</v>
      </c>
      <c r="C343" s="30" t="s">
        <v>878</v>
      </c>
      <c r="D343" s="30" t="s">
        <v>835</v>
      </c>
      <c r="E343" s="29" t="s">
        <v>836</v>
      </c>
      <c r="F343" s="29" t="s">
        <v>837</v>
      </c>
      <c r="G343" s="29" t="s">
        <v>879</v>
      </c>
      <c r="H343" s="29" t="s">
        <v>672</v>
      </c>
      <c r="I343" s="29" t="s">
        <v>673</v>
      </c>
      <c r="J343" s="29" t="s">
        <v>237</v>
      </c>
      <c r="K343" s="31">
        <v>0.4</v>
      </c>
      <c r="L343" s="32">
        <v>21000</v>
      </c>
      <c r="M343" s="32">
        <v>0</v>
      </c>
      <c r="N343" s="33">
        <f t="shared" si="11"/>
        <v>8400</v>
      </c>
      <c r="O343" s="33">
        <v>0</v>
      </c>
      <c r="P343" s="32">
        <v>21000</v>
      </c>
      <c r="Q343" s="29" t="s">
        <v>839</v>
      </c>
      <c r="R343" s="29" t="s">
        <v>840</v>
      </c>
      <c r="S343" s="29" t="s">
        <v>15</v>
      </c>
      <c r="T343" s="29" t="s">
        <v>807</v>
      </c>
      <c r="U343" s="29" t="s">
        <v>15</v>
      </c>
      <c r="V343" s="29" t="s">
        <v>841</v>
      </c>
      <c r="W343" s="29" t="s">
        <v>841</v>
      </c>
    </row>
    <row r="344" spans="1:23" ht="10.5" customHeight="1" x14ac:dyDescent="0.25">
      <c r="A344" s="28">
        <v>46036</v>
      </c>
      <c r="B344" s="29" t="str">
        <f t="shared" si="10"/>
        <v>14/01/2026NL300113</v>
      </c>
      <c r="C344" s="30" t="s">
        <v>878</v>
      </c>
      <c r="D344" s="30" t="s">
        <v>835</v>
      </c>
      <c r="E344" s="29" t="s">
        <v>836</v>
      </c>
      <c r="F344" s="29" t="s">
        <v>837</v>
      </c>
      <c r="G344" s="29" t="s">
        <v>879</v>
      </c>
      <c r="H344" s="29" t="s">
        <v>649</v>
      </c>
      <c r="I344" s="29" t="s">
        <v>42</v>
      </c>
      <c r="J344" s="29" t="s">
        <v>237</v>
      </c>
      <c r="K344" s="31">
        <v>0.2</v>
      </c>
      <c r="L344" s="32">
        <v>145000</v>
      </c>
      <c r="M344" s="32">
        <v>0</v>
      </c>
      <c r="N344" s="33">
        <f t="shared" si="11"/>
        <v>29000</v>
      </c>
      <c r="O344" s="33">
        <v>0</v>
      </c>
      <c r="P344" s="32">
        <v>145000</v>
      </c>
      <c r="Q344" s="29" t="s">
        <v>839</v>
      </c>
      <c r="R344" s="29" t="s">
        <v>840</v>
      </c>
      <c r="S344" s="29" t="s">
        <v>15</v>
      </c>
      <c r="T344" s="29" t="s">
        <v>807</v>
      </c>
      <c r="U344" s="29" t="s">
        <v>15</v>
      </c>
      <c r="V344" s="29" t="s">
        <v>841</v>
      </c>
      <c r="W344" s="29" t="s">
        <v>841</v>
      </c>
    </row>
    <row r="345" spans="1:23" ht="10.5" customHeight="1" x14ac:dyDescent="0.25">
      <c r="A345" s="28">
        <v>46036</v>
      </c>
      <c r="B345" s="29" t="str">
        <f t="shared" si="10"/>
        <v>14/01/2026NL300080</v>
      </c>
      <c r="C345" s="30" t="s">
        <v>878</v>
      </c>
      <c r="D345" s="30" t="s">
        <v>835</v>
      </c>
      <c r="E345" s="29" t="s">
        <v>836</v>
      </c>
      <c r="F345" s="29" t="s">
        <v>837</v>
      </c>
      <c r="G345" s="29" t="s">
        <v>879</v>
      </c>
      <c r="H345" s="29" t="s">
        <v>553</v>
      </c>
      <c r="I345" s="29" t="s">
        <v>554</v>
      </c>
      <c r="J345" s="29" t="s">
        <v>237</v>
      </c>
      <c r="K345" s="31">
        <v>1</v>
      </c>
      <c r="L345" s="32">
        <v>95000</v>
      </c>
      <c r="M345" s="32">
        <v>0</v>
      </c>
      <c r="N345" s="33">
        <f t="shared" si="11"/>
        <v>95000</v>
      </c>
      <c r="O345" s="33">
        <v>0</v>
      </c>
      <c r="P345" s="32">
        <v>95000</v>
      </c>
      <c r="Q345" s="29" t="s">
        <v>839</v>
      </c>
      <c r="R345" s="29" t="s">
        <v>840</v>
      </c>
      <c r="S345" s="29" t="s">
        <v>15</v>
      </c>
      <c r="T345" s="29" t="s">
        <v>807</v>
      </c>
      <c r="U345" s="29" t="s">
        <v>15</v>
      </c>
      <c r="V345" s="29" t="s">
        <v>841</v>
      </c>
      <c r="W345" s="29" t="s">
        <v>841</v>
      </c>
    </row>
    <row r="346" spans="1:23" ht="10.5" customHeight="1" x14ac:dyDescent="0.25">
      <c r="A346" s="28">
        <v>46036</v>
      </c>
      <c r="B346" s="29" t="str">
        <f t="shared" si="10"/>
        <v>14/01/2026NL300145</v>
      </c>
      <c r="C346" s="30" t="s">
        <v>878</v>
      </c>
      <c r="D346" s="30" t="s">
        <v>835</v>
      </c>
      <c r="E346" s="29" t="s">
        <v>836</v>
      </c>
      <c r="F346" s="29" t="s">
        <v>837</v>
      </c>
      <c r="G346" s="29" t="s">
        <v>879</v>
      </c>
      <c r="H346" s="29" t="s">
        <v>790</v>
      </c>
      <c r="I346" s="29" t="s">
        <v>791</v>
      </c>
      <c r="J346" s="29" t="s">
        <v>237</v>
      </c>
      <c r="K346" s="31">
        <v>2</v>
      </c>
      <c r="L346" s="32">
        <v>38000</v>
      </c>
      <c r="M346" s="32">
        <v>0</v>
      </c>
      <c r="N346" s="33">
        <f t="shared" si="11"/>
        <v>76000</v>
      </c>
      <c r="O346" s="33">
        <v>0</v>
      </c>
      <c r="P346" s="32">
        <v>38000</v>
      </c>
      <c r="Q346" s="29" t="s">
        <v>839</v>
      </c>
      <c r="R346" s="29" t="s">
        <v>840</v>
      </c>
      <c r="S346" s="29" t="s">
        <v>15</v>
      </c>
      <c r="T346" s="29" t="s">
        <v>807</v>
      </c>
      <c r="U346" s="29" t="s">
        <v>15</v>
      </c>
      <c r="V346" s="29" t="s">
        <v>841</v>
      </c>
      <c r="W346" s="29" t="s">
        <v>841</v>
      </c>
    </row>
    <row r="347" spans="1:23" ht="10.5" customHeight="1" x14ac:dyDescent="0.25">
      <c r="A347" s="28">
        <v>46036</v>
      </c>
      <c r="B347" s="29" t="str">
        <f t="shared" ref="B347:B372" si="12">""&amp;DAY(A347)&amp;"/01/2026"&amp;H347</f>
        <v>14/01/2026NL300142</v>
      </c>
      <c r="C347" s="30" t="s">
        <v>878</v>
      </c>
      <c r="D347" s="30" t="s">
        <v>835</v>
      </c>
      <c r="E347" s="29" t="s">
        <v>836</v>
      </c>
      <c r="F347" s="29" t="s">
        <v>837</v>
      </c>
      <c r="G347" s="29" t="s">
        <v>879</v>
      </c>
      <c r="H347" s="29" t="s">
        <v>777</v>
      </c>
      <c r="I347" s="29" t="s">
        <v>845</v>
      </c>
      <c r="J347" s="29" t="s">
        <v>237</v>
      </c>
      <c r="K347" s="31">
        <v>0.3</v>
      </c>
      <c r="L347" s="32">
        <v>50000</v>
      </c>
      <c r="M347" s="32">
        <v>0</v>
      </c>
      <c r="N347" s="33">
        <f t="shared" si="11"/>
        <v>15000</v>
      </c>
      <c r="O347" s="33">
        <v>0</v>
      </c>
      <c r="P347" s="32">
        <v>50000</v>
      </c>
      <c r="Q347" s="29" t="s">
        <v>839</v>
      </c>
      <c r="R347" s="29" t="s">
        <v>840</v>
      </c>
      <c r="S347" s="29" t="s">
        <v>15</v>
      </c>
      <c r="T347" s="29" t="s">
        <v>807</v>
      </c>
      <c r="U347" s="29" t="s">
        <v>15</v>
      </c>
      <c r="V347" s="29" t="s">
        <v>841</v>
      </c>
      <c r="W347" s="29" t="s">
        <v>841</v>
      </c>
    </row>
    <row r="348" spans="1:23" ht="10.5" customHeight="1" x14ac:dyDescent="0.25">
      <c r="A348" s="28">
        <v>46036</v>
      </c>
      <c r="B348" s="29" t="str">
        <f t="shared" si="12"/>
        <v>14/01/2026NL300033</v>
      </c>
      <c r="C348" s="30" t="s">
        <v>878</v>
      </c>
      <c r="D348" s="30" t="s">
        <v>835</v>
      </c>
      <c r="E348" s="29" t="s">
        <v>836</v>
      </c>
      <c r="F348" s="29" t="s">
        <v>837</v>
      </c>
      <c r="G348" s="29" t="s">
        <v>879</v>
      </c>
      <c r="H348" s="29" t="s">
        <v>374</v>
      </c>
      <c r="I348" s="29" t="s">
        <v>843</v>
      </c>
      <c r="J348" s="29" t="s">
        <v>237</v>
      </c>
      <c r="K348" s="31">
        <v>1.8</v>
      </c>
      <c r="L348" s="32">
        <v>13000</v>
      </c>
      <c r="M348" s="32">
        <v>0</v>
      </c>
      <c r="N348" s="33">
        <f t="shared" si="11"/>
        <v>23400</v>
      </c>
      <c r="O348" s="33">
        <v>0</v>
      </c>
      <c r="P348" s="32">
        <v>13000</v>
      </c>
      <c r="Q348" s="29" t="s">
        <v>839</v>
      </c>
      <c r="R348" s="29" t="s">
        <v>840</v>
      </c>
      <c r="S348" s="29" t="s">
        <v>15</v>
      </c>
      <c r="T348" s="29" t="s">
        <v>807</v>
      </c>
      <c r="U348" s="29" t="s">
        <v>15</v>
      </c>
      <c r="V348" s="29" t="s">
        <v>841</v>
      </c>
      <c r="W348" s="29" t="s">
        <v>841</v>
      </c>
    </row>
    <row r="349" spans="1:23" ht="10.5" customHeight="1" x14ac:dyDescent="0.25">
      <c r="A349" s="28">
        <v>46037</v>
      </c>
      <c r="B349" s="29" t="str">
        <f t="shared" si="12"/>
        <v>15/01/2026NL300096</v>
      </c>
      <c r="C349" s="30" t="s">
        <v>880</v>
      </c>
      <c r="D349" s="30" t="s">
        <v>835</v>
      </c>
      <c r="E349" s="29" t="s">
        <v>836</v>
      </c>
      <c r="F349" s="29" t="s">
        <v>837</v>
      </c>
      <c r="G349" s="29" t="s">
        <v>881</v>
      </c>
      <c r="H349" s="29" t="s">
        <v>610</v>
      </c>
      <c r="I349" s="29" t="s">
        <v>30</v>
      </c>
      <c r="J349" s="29" t="s">
        <v>237</v>
      </c>
      <c r="K349" s="31">
        <v>0.4</v>
      </c>
      <c r="L349" s="32">
        <v>45000</v>
      </c>
      <c r="M349" s="32">
        <v>0</v>
      </c>
      <c r="N349" s="33">
        <f t="shared" si="11"/>
        <v>18000</v>
      </c>
      <c r="O349" s="33">
        <v>0</v>
      </c>
      <c r="P349" s="32">
        <v>45000</v>
      </c>
      <c r="Q349" s="29" t="s">
        <v>839</v>
      </c>
      <c r="R349" s="29" t="s">
        <v>840</v>
      </c>
      <c r="S349" s="29" t="s">
        <v>15</v>
      </c>
      <c r="T349" s="29" t="s">
        <v>807</v>
      </c>
      <c r="U349" s="29" t="s">
        <v>15</v>
      </c>
      <c r="V349" s="29" t="s">
        <v>841</v>
      </c>
      <c r="W349" s="29" t="s">
        <v>841</v>
      </c>
    </row>
    <row r="350" spans="1:23" ht="10.5" customHeight="1" x14ac:dyDescent="0.25">
      <c r="A350" s="28">
        <v>46037</v>
      </c>
      <c r="B350" s="29" t="str">
        <f t="shared" si="12"/>
        <v>15/01/2026NL300050</v>
      </c>
      <c r="C350" s="30" t="s">
        <v>880</v>
      </c>
      <c r="D350" s="30" t="s">
        <v>835</v>
      </c>
      <c r="E350" s="29" t="s">
        <v>836</v>
      </c>
      <c r="F350" s="29" t="s">
        <v>837</v>
      </c>
      <c r="G350" s="29" t="s">
        <v>881</v>
      </c>
      <c r="H350" s="29" t="s">
        <v>804</v>
      </c>
      <c r="I350" s="29" t="s">
        <v>805</v>
      </c>
      <c r="J350" s="29" t="s">
        <v>237</v>
      </c>
      <c r="K350" s="31">
        <v>0.3</v>
      </c>
      <c r="L350" s="32">
        <v>9000</v>
      </c>
      <c r="M350" s="32">
        <v>0</v>
      </c>
      <c r="N350" s="33">
        <f t="shared" si="11"/>
        <v>2700</v>
      </c>
      <c r="O350" s="33">
        <v>0</v>
      </c>
      <c r="P350" s="32">
        <v>9000</v>
      </c>
      <c r="Q350" s="29" t="s">
        <v>839</v>
      </c>
      <c r="R350" s="29" t="s">
        <v>840</v>
      </c>
      <c r="S350" s="29" t="s">
        <v>15</v>
      </c>
      <c r="T350" s="29" t="s">
        <v>807</v>
      </c>
      <c r="U350" s="29" t="s">
        <v>15</v>
      </c>
      <c r="V350" s="29" t="s">
        <v>841</v>
      </c>
      <c r="W350" s="29" t="s">
        <v>841</v>
      </c>
    </row>
    <row r="351" spans="1:23" ht="10.5" customHeight="1" x14ac:dyDescent="0.25">
      <c r="A351" s="28">
        <v>46037</v>
      </c>
      <c r="B351" s="29" t="str">
        <f t="shared" si="12"/>
        <v>15/01/2026NL300071</v>
      </c>
      <c r="C351" s="30" t="s">
        <v>880</v>
      </c>
      <c r="D351" s="30" t="s">
        <v>835</v>
      </c>
      <c r="E351" s="29" t="s">
        <v>836</v>
      </c>
      <c r="F351" s="29" t="s">
        <v>837</v>
      </c>
      <c r="G351" s="29" t="s">
        <v>881</v>
      </c>
      <c r="H351" s="29" t="s">
        <v>524</v>
      </c>
      <c r="I351" s="29" t="s">
        <v>806</v>
      </c>
      <c r="J351" s="29" t="s">
        <v>237</v>
      </c>
      <c r="K351" s="31">
        <v>1</v>
      </c>
      <c r="L351" s="32">
        <v>20000</v>
      </c>
      <c r="M351" s="32">
        <v>0</v>
      </c>
      <c r="N351" s="33">
        <f t="shared" si="11"/>
        <v>20000</v>
      </c>
      <c r="O351" s="33">
        <v>0</v>
      </c>
      <c r="P351" s="32">
        <v>20000</v>
      </c>
      <c r="Q351" s="29" t="s">
        <v>839</v>
      </c>
      <c r="R351" s="29" t="s">
        <v>840</v>
      </c>
      <c r="S351" s="29" t="s">
        <v>15</v>
      </c>
      <c r="T351" s="29" t="s">
        <v>807</v>
      </c>
      <c r="U351" s="29" t="s">
        <v>15</v>
      </c>
      <c r="V351" s="29" t="s">
        <v>841</v>
      </c>
      <c r="W351" s="29" t="s">
        <v>841</v>
      </c>
    </row>
    <row r="352" spans="1:23" ht="10.5" customHeight="1" x14ac:dyDescent="0.25">
      <c r="A352" s="28">
        <v>46037</v>
      </c>
      <c r="B352" s="29" t="str">
        <f t="shared" si="12"/>
        <v>15/01/2026NL300007</v>
      </c>
      <c r="C352" s="30" t="s">
        <v>880</v>
      </c>
      <c r="D352" s="30" t="s">
        <v>835</v>
      </c>
      <c r="E352" s="29" t="s">
        <v>836</v>
      </c>
      <c r="F352" s="29" t="s">
        <v>837</v>
      </c>
      <c r="G352" s="29" t="s">
        <v>881</v>
      </c>
      <c r="H352" s="29" t="s">
        <v>253</v>
      </c>
      <c r="I352" s="29" t="s">
        <v>254</v>
      </c>
      <c r="J352" s="29" t="s">
        <v>237</v>
      </c>
      <c r="K352" s="31">
        <v>0.9</v>
      </c>
      <c r="L352" s="32">
        <v>30000</v>
      </c>
      <c r="M352" s="32">
        <v>0</v>
      </c>
      <c r="N352" s="33">
        <f t="shared" si="11"/>
        <v>27000</v>
      </c>
      <c r="O352" s="33">
        <v>0</v>
      </c>
      <c r="P352" s="32">
        <v>30000</v>
      </c>
      <c r="Q352" s="29" t="s">
        <v>839</v>
      </c>
      <c r="R352" s="29" t="s">
        <v>840</v>
      </c>
      <c r="S352" s="29" t="s">
        <v>15</v>
      </c>
      <c r="T352" s="29" t="s">
        <v>807</v>
      </c>
      <c r="U352" s="29" t="s">
        <v>15</v>
      </c>
      <c r="V352" s="29" t="s">
        <v>841</v>
      </c>
      <c r="W352" s="29" t="s">
        <v>841</v>
      </c>
    </row>
    <row r="353" spans="1:23" ht="10.5" customHeight="1" x14ac:dyDescent="0.25">
      <c r="A353" s="28">
        <v>46037</v>
      </c>
      <c r="B353" s="29" t="str">
        <f t="shared" si="12"/>
        <v>15/01/2026NL300041</v>
      </c>
      <c r="C353" s="30" t="s">
        <v>880</v>
      </c>
      <c r="D353" s="30" t="s">
        <v>835</v>
      </c>
      <c r="E353" s="29" t="s">
        <v>836</v>
      </c>
      <c r="F353" s="29" t="s">
        <v>837</v>
      </c>
      <c r="G353" s="29" t="s">
        <v>881</v>
      </c>
      <c r="H353" s="29" t="s">
        <v>418</v>
      </c>
      <c r="I353" s="29" t="s">
        <v>419</v>
      </c>
      <c r="J353" s="29" t="s">
        <v>420</v>
      </c>
      <c r="K353" s="31">
        <v>3</v>
      </c>
      <c r="L353" s="32">
        <v>15000</v>
      </c>
      <c r="M353" s="32">
        <v>0</v>
      </c>
      <c r="N353" s="33">
        <f t="shared" si="11"/>
        <v>45000</v>
      </c>
      <c r="O353" s="33">
        <v>0</v>
      </c>
      <c r="P353" s="32">
        <v>15000</v>
      </c>
      <c r="Q353" s="29" t="s">
        <v>839</v>
      </c>
      <c r="R353" s="29" t="s">
        <v>840</v>
      </c>
      <c r="S353" s="29" t="s">
        <v>15</v>
      </c>
      <c r="T353" s="29" t="s">
        <v>807</v>
      </c>
      <c r="U353" s="29" t="s">
        <v>15</v>
      </c>
      <c r="V353" s="29" t="s">
        <v>841</v>
      </c>
      <c r="W353" s="29" t="s">
        <v>841</v>
      </c>
    </row>
    <row r="354" spans="1:23" ht="10.5" customHeight="1" x14ac:dyDescent="0.25">
      <c r="A354" s="28">
        <v>46037</v>
      </c>
      <c r="B354" s="29" t="str">
        <f t="shared" si="12"/>
        <v>15/01/2026NL600004</v>
      </c>
      <c r="C354" s="30" t="s">
        <v>880</v>
      </c>
      <c r="D354" s="30" t="s">
        <v>835</v>
      </c>
      <c r="E354" s="29" t="s">
        <v>836</v>
      </c>
      <c r="F354" s="29" t="s">
        <v>837</v>
      </c>
      <c r="G354" s="29" t="s">
        <v>881</v>
      </c>
      <c r="H354" s="29" t="s">
        <v>462</v>
      </c>
      <c r="I354" s="29" t="s">
        <v>52</v>
      </c>
      <c r="J354" s="29" t="s">
        <v>237</v>
      </c>
      <c r="K354" s="31">
        <v>14.5</v>
      </c>
      <c r="L354" s="32">
        <v>18000</v>
      </c>
      <c r="M354" s="32">
        <v>0</v>
      </c>
      <c r="N354" s="33">
        <f t="shared" si="11"/>
        <v>261000</v>
      </c>
      <c r="O354" s="33">
        <v>0</v>
      </c>
      <c r="P354" s="32">
        <v>18000</v>
      </c>
      <c r="Q354" s="29" t="s">
        <v>839</v>
      </c>
      <c r="R354" s="29" t="s">
        <v>840</v>
      </c>
      <c r="S354" s="29" t="s">
        <v>15</v>
      </c>
      <c r="T354" s="29" t="s">
        <v>807</v>
      </c>
      <c r="U354" s="29" t="s">
        <v>15</v>
      </c>
      <c r="V354" s="29" t="s">
        <v>841</v>
      </c>
      <c r="W354" s="29" t="s">
        <v>841</v>
      </c>
    </row>
    <row r="355" spans="1:23" ht="10.5" customHeight="1" x14ac:dyDescent="0.25">
      <c r="A355" s="28">
        <v>46037</v>
      </c>
      <c r="B355" s="29" t="str">
        <f t="shared" si="12"/>
        <v>15/01/2026NL300126</v>
      </c>
      <c r="C355" s="30" t="s">
        <v>880</v>
      </c>
      <c r="D355" s="30" t="s">
        <v>835</v>
      </c>
      <c r="E355" s="29" t="s">
        <v>836</v>
      </c>
      <c r="F355" s="29" t="s">
        <v>837</v>
      </c>
      <c r="G355" s="29" t="s">
        <v>881</v>
      </c>
      <c r="H355" s="29" t="s">
        <v>721</v>
      </c>
      <c r="I355" s="29" t="s">
        <v>722</v>
      </c>
      <c r="J355" s="29" t="s">
        <v>237</v>
      </c>
      <c r="K355" s="31">
        <v>0.4</v>
      </c>
      <c r="L355" s="32">
        <v>70000</v>
      </c>
      <c r="M355" s="32">
        <v>0</v>
      </c>
      <c r="N355" s="33">
        <f t="shared" si="11"/>
        <v>28000</v>
      </c>
      <c r="O355" s="33">
        <v>0</v>
      </c>
      <c r="P355" s="32">
        <v>70000</v>
      </c>
      <c r="Q355" s="29" t="s">
        <v>839</v>
      </c>
      <c r="R355" s="29" t="s">
        <v>840</v>
      </c>
      <c r="S355" s="29" t="s">
        <v>15</v>
      </c>
      <c r="T355" s="29" t="s">
        <v>807</v>
      </c>
      <c r="U355" s="29" t="s">
        <v>15</v>
      </c>
      <c r="V355" s="29" t="s">
        <v>841</v>
      </c>
      <c r="W355" s="29" t="s">
        <v>841</v>
      </c>
    </row>
    <row r="356" spans="1:23" ht="10.5" customHeight="1" x14ac:dyDescent="0.25">
      <c r="A356" s="28">
        <v>46037</v>
      </c>
      <c r="B356" s="29" t="str">
        <f t="shared" si="12"/>
        <v>15/01/2026NL300070</v>
      </c>
      <c r="C356" s="30" t="s">
        <v>880</v>
      </c>
      <c r="D356" s="30" t="s">
        <v>835</v>
      </c>
      <c r="E356" s="29" t="s">
        <v>836</v>
      </c>
      <c r="F356" s="29" t="s">
        <v>837</v>
      </c>
      <c r="G356" s="29" t="s">
        <v>881</v>
      </c>
      <c r="H356" s="29" t="s">
        <v>507</v>
      </c>
      <c r="I356" s="29" t="s">
        <v>508</v>
      </c>
      <c r="J356" s="29" t="s">
        <v>237</v>
      </c>
      <c r="K356" s="31">
        <v>0.4</v>
      </c>
      <c r="L356" s="32">
        <v>23000</v>
      </c>
      <c r="M356" s="32">
        <v>0</v>
      </c>
      <c r="N356" s="33">
        <f t="shared" si="11"/>
        <v>9200</v>
      </c>
      <c r="O356" s="33">
        <v>0</v>
      </c>
      <c r="P356" s="32">
        <v>23000</v>
      </c>
      <c r="Q356" s="29" t="s">
        <v>839</v>
      </c>
      <c r="R356" s="29" t="s">
        <v>840</v>
      </c>
      <c r="S356" s="29" t="s">
        <v>15</v>
      </c>
      <c r="T356" s="29" t="s">
        <v>807</v>
      </c>
      <c r="U356" s="29" t="s">
        <v>15</v>
      </c>
      <c r="V356" s="29" t="s">
        <v>841</v>
      </c>
      <c r="W356" s="29" t="s">
        <v>841</v>
      </c>
    </row>
    <row r="357" spans="1:23" ht="10.5" customHeight="1" x14ac:dyDescent="0.25">
      <c r="A357" s="28">
        <v>46037</v>
      </c>
      <c r="B357" s="29" t="str">
        <f t="shared" si="12"/>
        <v>15/01/2026NL300058</v>
      </c>
      <c r="C357" s="30" t="s">
        <v>880</v>
      </c>
      <c r="D357" s="30" t="s">
        <v>835</v>
      </c>
      <c r="E357" s="29" t="s">
        <v>836</v>
      </c>
      <c r="F357" s="29" t="s">
        <v>837</v>
      </c>
      <c r="G357" s="29" t="s">
        <v>881</v>
      </c>
      <c r="H357" s="29" t="s">
        <v>481</v>
      </c>
      <c r="I357" s="29" t="s">
        <v>22</v>
      </c>
      <c r="J357" s="29" t="s">
        <v>237</v>
      </c>
      <c r="K357" s="31">
        <v>0.3</v>
      </c>
      <c r="L357" s="32">
        <v>55000</v>
      </c>
      <c r="M357" s="32">
        <v>0</v>
      </c>
      <c r="N357" s="33">
        <f t="shared" si="11"/>
        <v>16500</v>
      </c>
      <c r="O357" s="33">
        <v>0</v>
      </c>
      <c r="P357" s="32">
        <v>55000</v>
      </c>
      <c r="Q357" s="29" t="s">
        <v>839</v>
      </c>
      <c r="R357" s="29" t="s">
        <v>840</v>
      </c>
      <c r="S357" s="29" t="s">
        <v>15</v>
      </c>
      <c r="T357" s="29" t="s">
        <v>807</v>
      </c>
      <c r="U357" s="29" t="s">
        <v>15</v>
      </c>
      <c r="V357" s="29" t="s">
        <v>841</v>
      </c>
      <c r="W357" s="29" t="s">
        <v>841</v>
      </c>
    </row>
    <row r="358" spans="1:23" ht="10.5" customHeight="1" x14ac:dyDescent="0.25">
      <c r="A358" s="28">
        <v>46037</v>
      </c>
      <c r="B358" s="29" t="str">
        <f t="shared" si="12"/>
        <v>15/01/2026NL300053</v>
      </c>
      <c r="C358" s="30" t="s">
        <v>880</v>
      </c>
      <c r="D358" s="30" t="s">
        <v>835</v>
      </c>
      <c r="E358" s="29" t="s">
        <v>836</v>
      </c>
      <c r="F358" s="29" t="s">
        <v>837</v>
      </c>
      <c r="G358" s="29" t="s">
        <v>881</v>
      </c>
      <c r="H358" s="29" t="s">
        <v>475</v>
      </c>
      <c r="I358" s="29" t="s">
        <v>476</v>
      </c>
      <c r="J358" s="29" t="s">
        <v>237</v>
      </c>
      <c r="K358" s="31">
        <v>0.3</v>
      </c>
      <c r="L358" s="32">
        <v>30000</v>
      </c>
      <c r="M358" s="32">
        <v>0</v>
      </c>
      <c r="N358" s="33">
        <f t="shared" si="11"/>
        <v>9000</v>
      </c>
      <c r="O358" s="33">
        <v>0</v>
      </c>
      <c r="P358" s="32">
        <v>30000</v>
      </c>
      <c r="Q358" s="29" t="s">
        <v>839</v>
      </c>
      <c r="R358" s="29" t="s">
        <v>840</v>
      </c>
      <c r="S358" s="29" t="s">
        <v>15</v>
      </c>
      <c r="T358" s="29" t="s">
        <v>807</v>
      </c>
      <c r="U358" s="29" t="s">
        <v>15</v>
      </c>
      <c r="V358" s="29" t="s">
        <v>841</v>
      </c>
      <c r="W358" s="29" t="s">
        <v>841</v>
      </c>
    </row>
    <row r="359" spans="1:23" ht="10.5" customHeight="1" x14ac:dyDescent="0.25">
      <c r="A359" s="28">
        <v>46037</v>
      </c>
      <c r="B359" s="29" t="str">
        <f t="shared" si="12"/>
        <v>15/01/2026NL300014</v>
      </c>
      <c r="C359" s="30" t="s">
        <v>880</v>
      </c>
      <c r="D359" s="30" t="s">
        <v>835</v>
      </c>
      <c r="E359" s="29" t="s">
        <v>836</v>
      </c>
      <c r="F359" s="29" t="s">
        <v>837</v>
      </c>
      <c r="G359" s="29" t="s">
        <v>881</v>
      </c>
      <c r="H359" s="29" t="s">
        <v>280</v>
      </c>
      <c r="I359" s="29" t="s">
        <v>132</v>
      </c>
      <c r="J359" s="29" t="s">
        <v>237</v>
      </c>
      <c r="K359" s="31">
        <v>0.4</v>
      </c>
      <c r="L359" s="32">
        <v>55000</v>
      </c>
      <c r="M359" s="32">
        <v>0</v>
      </c>
      <c r="N359" s="33">
        <f t="shared" si="11"/>
        <v>22000</v>
      </c>
      <c r="O359" s="33">
        <v>0</v>
      </c>
      <c r="P359" s="32">
        <v>55000</v>
      </c>
      <c r="Q359" s="29" t="s">
        <v>839</v>
      </c>
      <c r="R359" s="29" t="s">
        <v>840</v>
      </c>
      <c r="S359" s="29" t="s">
        <v>15</v>
      </c>
      <c r="T359" s="29" t="s">
        <v>807</v>
      </c>
      <c r="U359" s="29" t="s">
        <v>15</v>
      </c>
      <c r="V359" s="29" t="s">
        <v>841</v>
      </c>
      <c r="W359" s="29" t="s">
        <v>841</v>
      </c>
    </row>
    <row r="360" spans="1:23" ht="10.5" customHeight="1" x14ac:dyDescent="0.25">
      <c r="A360" s="28">
        <v>46037</v>
      </c>
      <c r="B360" s="29" t="str">
        <f t="shared" si="12"/>
        <v>15/01/2026NL300061</v>
      </c>
      <c r="C360" s="30" t="s">
        <v>880</v>
      </c>
      <c r="D360" s="30" t="s">
        <v>835</v>
      </c>
      <c r="E360" s="29" t="s">
        <v>836</v>
      </c>
      <c r="F360" s="29" t="s">
        <v>837</v>
      </c>
      <c r="G360" s="29" t="s">
        <v>881</v>
      </c>
      <c r="H360" s="29" t="s">
        <v>482</v>
      </c>
      <c r="I360" s="29" t="s">
        <v>844</v>
      </c>
      <c r="J360" s="29" t="s">
        <v>237</v>
      </c>
      <c r="K360" s="31">
        <v>0.28999999999999998</v>
      </c>
      <c r="L360" s="32">
        <v>38000</v>
      </c>
      <c r="M360" s="32">
        <v>0</v>
      </c>
      <c r="N360" s="33">
        <f t="shared" si="11"/>
        <v>11020</v>
      </c>
      <c r="O360" s="33">
        <v>0</v>
      </c>
      <c r="P360" s="32">
        <v>38000</v>
      </c>
      <c r="Q360" s="29" t="s">
        <v>839</v>
      </c>
      <c r="R360" s="29" t="s">
        <v>840</v>
      </c>
      <c r="S360" s="29" t="s">
        <v>15</v>
      </c>
      <c r="T360" s="29" t="s">
        <v>807</v>
      </c>
      <c r="U360" s="29" t="s">
        <v>15</v>
      </c>
      <c r="V360" s="29" t="s">
        <v>841</v>
      </c>
      <c r="W360" s="29" t="s">
        <v>841</v>
      </c>
    </row>
    <row r="361" spans="1:23" ht="10.5" customHeight="1" x14ac:dyDescent="0.25">
      <c r="A361" s="28">
        <v>46037</v>
      </c>
      <c r="B361" s="29" t="str">
        <f t="shared" si="12"/>
        <v>15/01/2026NL300027</v>
      </c>
      <c r="C361" s="30" t="s">
        <v>880</v>
      </c>
      <c r="D361" s="30" t="s">
        <v>835</v>
      </c>
      <c r="E361" s="29" t="s">
        <v>836</v>
      </c>
      <c r="F361" s="29" t="s">
        <v>837</v>
      </c>
      <c r="G361" s="29" t="s">
        <v>881</v>
      </c>
      <c r="H361" s="29" t="s">
        <v>314</v>
      </c>
      <c r="I361" s="29" t="s">
        <v>126</v>
      </c>
      <c r="J361" s="29" t="s">
        <v>237</v>
      </c>
      <c r="K361" s="31">
        <v>1</v>
      </c>
      <c r="L361" s="32">
        <v>18000</v>
      </c>
      <c r="M361" s="32">
        <v>0</v>
      </c>
      <c r="N361" s="33">
        <f t="shared" si="11"/>
        <v>18000</v>
      </c>
      <c r="O361" s="33">
        <v>0</v>
      </c>
      <c r="P361" s="32">
        <v>18000</v>
      </c>
      <c r="Q361" s="29" t="s">
        <v>839</v>
      </c>
      <c r="R361" s="29" t="s">
        <v>840</v>
      </c>
      <c r="S361" s="29" t="s">
        <v>15</v>
      </c>
      <c r="T361" s="29" t="s">
        <v>807</v>
      </c>
      <c r="U361" s="29" t="s">
        <v>15</v>
      </c>
      <c r="V361" s="29" t="s">
        <v>841</v>
      </c>
      <c r="W361" s="29" t="s">
        <v>841</v>
      </c>
    </row>
    <row r="362" spans="1:23" ht="10.5" customHeight="1" x14ac:dyDescent="0.25">
      <c r="A362" s="28">
        <v>46037</v>
      </c>
      <c r="B362" s="29" t="str">
        <f t="shared" si="12"/>
        <v>15/01/2026NL300090</v>
      </c>
      <c r="C362" s="30" t="s">
        <v>880</v>
      </c>
      <c r="D362" s="30" t="s">
        <v>835</v>
      </c>
      <c r="E362" s="29" t="s">
        <v>836</v>
      </c>
      <c r="F362" s="29" t="s">
        <v>837</v>
      </c>
      <c r="G362" s="29" t="s">
        <v>881</v>
      </c>
      <c r="H362" s="29" t="s">
        <v>604</v>
      </c>
      <c r="I362" s="29" t="s">
        <v>40</v>
      </c>
      <c r="J362" s="29" t="s">
        <v>237</v>
      </c>
      <c r="K362" s="31">
        <v>2</v>
      </c>
      <c r="L362" s="32">
        <v>145000</v>
      </c>
      <c r="M362" s="32">
        <v>0</v>
      </c>
      <c r="N362" s="33">
        <f t="shared" si="11"/>
        <v>290000</v>
      </c>
      <c r="O362" s="33">
        <v>0</v>
      </c>
      <c r="P362" s="32">
        <v>145000</v>
      </c>
      <c r="Q362" s="29" t="s">
        <v>839</v>
      </c>
      <c r="R362" s="29" t="s">
        <v>840</v>
      </c>
      <c r="S362" s="29" t="s">
        <v>15</v>
      </c>
      <c r="T362" s="29" t="s">
        <v>807</v>
      </c>
      <c r="U362" s="29" t="s">
        <v>15</v>
      </c>
      <c r="V362" s="29" t="s">
        <v>841</v>
      </c>
      <c r="W362" s="29" t="s">
        <v>841</v>
      </c>
    </row>
    <row r="363" spans="1:23" ht="10.5" customHeight="1" x14ac:dyDescent="0.25">
      <c r="A363" s="28">
        <v>46037</v>
      </c>
      <c r="B363" s="29" t="str">
        <f t="shared" si="12"/>
        <v>15/01/2026NL300038</v>
      </c>
      <c r="C363" s="30" t="s">
        <v>880</v>
      </c>
      <c r="D363" s="30" t="s">
        <v>835</v>
      </c>
      <c r="E363" s="29" t="s">
        <v>836</v>
      </c>
      <c r="F363" s="29" t="s">
        <v>837</v>
      </c>
      <c r="G363" s="29" t="s">
        <v>881</v>
      </c>
      <c r="H363" s="29" t="s">
        <v>408</v>
      </c>
      <c r="I363" s="29" t="s">
        <v>20</v>
      </c>
      <c r="J363" s="29" t="s">
        <v>237</v>
      </c>
      <c r="K363" s="31">
        <v>0.9</v>
      </c>
      <c r="L363" s="32">
        <v>32000</v>
      </c>
      <c r="M363" s="32">
        <v>0</v>
      </c>
      <c r="N363" s="33">
        <f t="shared" si="11"/>
        <v>28800</v>
      </c>
      <c r="O363" s="33">
        <v>0</v>
      </c>
      <c r="P363" s="32">
        <v>32000</v>
      </c>
      <c r="Q363" s="29" t="s">
        <v>839</v>
      </c>
      <c r="R363" s="29" t="s">
        <v>840</v>
      </c>
      <c r="S363" s="29" t="s">
        <v>15</v>
      </c>
      <c r="T363" s="29" t="s">
        <v>807</v>
      </c>
      <c r="U363" s="29" t="s">
        <v>15</v>
      </c>
      <c r="V363" s="29" t="s">
        <v>841</v>
      </c>
      <c r="W363" s="29" t="s">
        <v>841</v>
      </c>
    </row>
    <row r="364" spans="1:23" ht="10.5" customHeight="1" x14ac:dyDescent="0.25">
      <c r="A364" s="28">
        <v>46037</v>
      </c>
      <c r="B364" s="29" t="str">
        <f t="shared" si="12"/>
        <v>15/01/2026NL300107</v>
      </c>
      <c r="C364" s="30" t="s">
        <v>880</v>
      </c>
      <c r="D364" s="30" t="s">
        <v>835</v>
      </c>
      <c r="E364" s="29" t="s">
        <v>836</v>
      </c>
      <c r="F364" s="29" t="s">
        <v>837</v>
      </c>
      <c r="G364" s="29" t="s">
        <v>881</v>
      </c>
      <c r="H364" s="29" t="s">
        <v>638</v>
      </c>
      <c r="I364" s="29" t="s">
        <v>842</v>
      </c>
      <c r="J364" s="29" t="s">
        <v>420</v>
      </c>
      <c r="K364" s="31">
        <v>5</v>
      </c>
      <c r="L364" s="32">
        <v>8500</v>
      </c>
      <c r="M364" s="32">
        <v>0</v>
      </c>
      <c r="N364" s="33">
        <f t="shared" si="11"/>
        <v>42500</v>
      </c>
      <c r="O364" s="33">
        <v>0</v>
      </c>
      <c r="P364" s="32">
        <v>8500</v>
      </c>
      <c r="Q364" s="29" t="s">
        <v>839</v>
      </c>
      <c r="R364" s="29" t="s">
        <v>840</v>
      </c>
      <c r="S364" s="29" t="s">
        <v>15</v>
      </c>
      <c r="T364" s="29" t="s">
        <v>807</v>
      </c>
      <c r="U364" s="29" t="s">
        <v>15</v>
      </c>
      <c r="V364" s="29" t="s">
        <v>841</v>
      </c>
      <c r="W364" s="29" t="s">
        <v>841</v>
      </c>
    </row>
    <row r="365" spans="1:23" ht="10.5" customHeight="1" x14ac:dyDescent="0.25">
      <c r="A365" s="28">
        <v>46037</v>
      </c>
      <c r="B365" s="29" t="str">
        <f t="shared" si="12"/>
        <v>15/01/2026NL300091</v>
      </c>
      <c r="C365" s="30" t="s">
        <v>880</v>
      </c>
      <c r="D365" s="30" t="s">
        <v>835</v>
      </c>
      <c r="E365" s="29" t="s">
        <v>836</v>
      </c>
      <c r="F365" s="29" t="s">
        <v>837</v>
      </c>
      <c r="G365" s="29" t="s">
        <v>881</v>
      </c>
      <c r="H365" s="29" t="s">
        <v>606</v>
      </c>
      <c r="I365" s="29" t="s">
        <v>54</v>
      </c>
      <c r="J365" s="29" t="s">
        <v>237</v>
      </c>
      <c r="K365" s="31">
        <v>1</v>
      </c>
      <c r="L365" s="32">
        <v>47000</v>
      </c>
      <c r="M365" s="32">
        <v>0</v>
      </c>
      <c r="N365" s="33">
        <f t="shared" si="11"/>
        <v>47000</v>
      </c>
      <c r="O365" s="33">
        <v>0</v>
      </c>
      <c r="P365" s="32">
        <v>47000</v>
      </c>
      <c r="Q365" s="29" t="s">
        <v>839</v>
      </c>
      <c r="R365" s="29" t="s">
        <v>840</v>
      </c>
      <c r="S365" s="29" t="s">
        <v>15</v>
      </c>
      <c r="T365" s="29" t="s">
        <v>807</v>
      </c>
      <c r="U365" s="29" t="s">
        <v>15</v>
      </c>
      <c r="V365" s="29" t="s">
        <v>841</v>
      </c>
      <c r="W365" s="29" t="s">
        <v>841</v>
      </c>
    </row>
    <row r="366" spans="1:23" ht="10.5" customHeight="1" x14ac:dyDescent="0.25">
      <c r="A366" s="28">
        <v>46037</v>
      </c>
      <c r="B366" s="29" t="str">
        <f t="shared" si="12"/>
        <v>15/01/2026NL300008</v>
      </c>
      <c r="C366" s="30" t="s">
        <v>880</v>
      </c>
      <c r="D366" s="30" t="s">
        <v>835</v>
      </c>
      <c r="E366" s="29" t="s">
        <v>836</v>
      </c>
      <c r="F366" s="29" t="s">
        <v>837</v>
      </c>
      <c r="G366" s="29" t="s">
        <v>881</v>
      </c>
      <c r="H366" s="29" t="s">
        <v>255</v>
      </c>
      <c r="I366" s="29" t="s">
        <v>256</v>
      </c>
      <c r="J366" s="29" t="s">
        <v>237</v>
      </c>
      <c r="K366" s="31">
        <v>1.1000000000000001</v>
      </c>
      <c r="L366" s="32">
        <v>40000</v>
      </c>
      <c r="M366" s="32">
        <v>0</v>
      </c>
      <c r="N366" s="33">
        <f t="shared" si="11"/>
        <v>44000</v>
      </c>
      <c r="O366" s="33">
        <v>0</v>
      </c>
      <c r="P366" s="32">
        <v>40000</v>
      </c>
      <c r="Q366" s="29" t="s">
        <v>839</v>
      </c>
      <c r="R366" s="29" t="s">
        <v>840</v>
      </c>
      <c r="S366" s="29" t="s">
        <v>15</v>
      </c>
      <c r="T366" s="29" t="s">
        <v>807</v>
      </c>
      <c r="U366" s="29" t="s">
        <v>15</v>
      </c>
      <c r="V366" s="29" t="s">
        <v>841</v>
      </c>
      <c r="W366" s="29" t="s">
        <v>841</v>
      </c>
    </row>
    <row r="367" spans="1:23" ht="10.5" customHeight="1" x14ac:dyDescent="0.25">
      <c r="A367" s="28">
        <v>46037</v>
      </c>
      <c r="B367" s="29" t="str">
        <f t="shared" si="12"/>
        <v>15/01/2026NL300119</v>
      </c>
      <c r="C367" s="30" t="s">
        <v>880</v>
      </c>
      <c r="D367" s="30" t="s">
        <v>835</v>
      </c>
      <c r="E367" s="29" t="s">
        <v>836</v>
      </c>
      <c r="F367" s="29" t="s">
        <v>837</v>
      </c>
      <c r="G367" s="29" t="s">
        <v>881</v>
      </c>
      <c r="H367" s="29" t="s">
        <v>672</v>
      </c>
      <c r="I367" s="29" t="s">
        <v>673</v>
      </c>
      <c r="J367" s="29" t="s">
        <v>237</v>
      </c>
      <c r="K367" s="31">
        <v>0.6</v>
      </c>
      <c r="L367" s="32">
        <v>21000</v>
      </c>
      <c r="M367" s="32">
        <v>0</v>
      </c>
      <c r="N367" s="33">
        <f t="shared" si="11"/>
        <v>12600</v>
      </c>
      <c r="O367" s="33">
        <v>0</v>
      </c>
      <c r="P367" s="32">
        <v>21000</v>
      </c>
      <c r="Q367" s="29" t="s">
        <v>839</v>
      </c>
      <c r="R367" s="29" t="s">
        <v>840</v>
      </c>
      <c r="S367" s="29" t="s">
        <v>15</v>
      </c>
      <c r="T367" s="29" t="s">
        <v>807</v>
      </c>
      <c r="U367" s="29" t="s">
        <v>15</v>
      </c>
      <c r="V367" s="29" t="s">
        <v>841</v>
      </c>
      <c r="W367" s="29" t="s">
        <v>841</v>
      </c>
    </row>
    <row r="368" spans="1:23" ht="10.5" customHeight="1" x14ac:dyDescent="0.25">
      <c r="A368" s="28">
        <v>46037</v>
      </c>
      <c r="B368" s="29" t="str">
        <f t="shared" si="12"/>
        <v>15/01/2026NL300113</v>
      </c>
      <c r="C368" s="30" t="s">
        <v>880</v>
      </c>
      <c r="D368" s="30" t="s">
        <v>835</v>
      </c>
      <c r="E368" s="29" t="s">
        <v>836</v>
      </c>
      <c r="F368" s="29" t="s">
        <v>837</v>
      </c>
      <c r="G368" s="29" t="s">
        <v>881</v>
      </c>
      <c r="H368" s="29" t="s">
        <v>649</v>
      </c>
      <c r="I368" s="29" t="s">
        <v>42</v>
      </c>
      <c r="J368" s="29" t="s">
        <v>237</v>
      </c>
      <c r="K368" s="31">
        <v>0.3</v>
      </c>
      <c r="L368" s="32">
        <v>145000</v>
      </c>
      <c r="M368" s="32">
        <v>0</v>
      </c>
      <c r="N368" s="33">
        <f t="shared" si="11"/>
        <v>43500</v>
      </c>
      <c r="O368" s="33">
        <v>0</v>
      </c>
      <c r="P368" s="32">
        <v>145000</v>
      </c>
      <c r="Q368" s="29" t="s">
        <v>839</v>
      </c>
      <c r="R368" s="29" t="s">
        <v>840</v>
      </c>
      <c r="S368" s="29" t="s">
        <v>15</v>
      </c>
      <c r="T368" s="29" t="s">
        <v>807</v>
      </c>
      <c r="U368" s="29" t="s">
        <v>15</v>
      </c>
      <c r="V368" s="29" t="s">
        <v>841</v>
      </c>
      <c r="W368" s="29" t="s">
        <v>841</v>
      </c>
    </row>
    <row r="369" spans="1:23" ht="10.5" customHeight="1" x14ac:dyDescent="0.25">
      <c r="A369" s="28">
        <v>46037</v>
      </c>
      <c r="B369" s="29" t="str">
        <f t="shared" si="12"/>
        <v>15/01/2026NL300080</v>
      </c>
      <c r="C369" s="30" t="s">
        <v>880</v>
      </c>
      <c r="D369" s="30" t="s">
        <v>835</v>
      </c>
      <c r="E369" s="29" t="s">
        <v>836</v>
      </c>
      <c r="F369" s="29" t="s">
        <v>837</v>
      </c>
      <c r="G369" s="29" t="s">
        <v>881</v>
      </c>
      <c r="H369" s="29" t="s">
        <v>553</v>
      </c>
      <c r="I369" s="29" t="s">
        <v>554</v>
      </c>
      <c r="J369" s="29" t="s">
        <v>237</v>
      </c>
      <c r="K369" s="31">
        <v>2</v>
      </c>
      <c r="L369" s="32">
        <v>95000</v>
      </c>
      <c r="M369" s="32">
        <v>0</v>
      </c>
      <c r="N369" s="33">
        <f t="shared" si="11"/>
        <v>190000</v>
      </c>
      <c r="O369" s="33">
        <v>0</v>
      </c>
      <c r="P369" s="32">
        <v>95000</v>
      </c>
      <c r="Q369" s="29" t="s">
        <v>839</v>
      </c>
      <c r="R369" s="29" t="s">
        <v>840</v>
      </c>
      <c r="S369" s="29" t="s">
        <v>15</v>
      </c>
      <c r="T369" s="29" t="s">
        <v>807</v>
      </c>
      <c r="U369" s="29" t="s">
        <v>15</v>
      </c>
      <c r="V369" s="29" t="s">
        <v>841</v>
      </c>
      <c r="W369" s="29" t="s">
        <v>841</v>
      </c>
    </row>
    <row r="370" spans="1:23" ht="10.5" customHeight="1" x14ac:dyDescent="0.25">
      <c r="A370" s="28">
        <v>46037</v>
      </c>
      <c r="B370" s="29" t="str">
        <f t="shared" si="12"/>
        <v>15/01/2026NL300145</v>
      </c>
      <c r="C370" s="30" t="s">
        <v>880</v>
      </c>
      <c r="D370" s="30" t="s">
        <v>835</v>
      </c>
      <c r="E370" s="29" t="s">
        <v>836</v>
      </c>
      <c r="F370" s="29" t="s">
        <v>837</v>
      </c>
      <c r="G370" s="29" t="s">
        <v>881</v>
      </c>
      <c r="H370" s="29" t="s">
        <v>790</v>
      </c>
      <c r="I370" s="29" t="s">
        <v>791</v>
      </c>
      <c r="J370" s="29" t="s">
        <v>237</v>
      </c>
      <c r="K370" s="31">
        <v>5.2</v>
      </c>
      <c r="L370" s="32">
        <v>38000</v>
      </c>
      <c r="M370" s="32">
        <v>0</v>
      </c>
      <c r="N370" s="33">
        <f t="shared" si="11"/>
        <v>197600</v>
      </c>
      <c r="O370" s="33">
        <v>0</v>
      </c>
      <c r="P370" s="32">
        <v>38000</v>
      </c>
      <c r="Q370" s="29" t="s">
        <v>839</v>
      </c>
      <c r="R370" s="29" t="s">
        <v>840</v>
      </c>
      <c r="S370" s="29" t="s">
        <v>15</v>
      </c>
      <c r="T370" s="29" t="s">
        <v>807</v>
      </c>
      <c r="U370" s="29" t="s">
        <v>15</v>
      </c>
      <c r="V370" s="29" t="s">
        <v>841</v>
      </c>
      <c r="W370" s="29" t="s">
        <v>841</v>
      </c>
    </row>
    <row r="371" spans="1:23" ht="10.5" customHeight="1" x14ac:dyDescent="0.25">
      <c r="A371" s="28">
        <v>46037</v>
      </c>
      <c r="B371" s="29" t="str">
        <f t="shared" si="12"/>
        <v>15/01/2026NL300142</v>
      </c>
      <c r="C371" s="30" t="s">
        <v>880</v>
      </c>
      <c r="D371" s="30" t="s">
        <v>835</v>
      </c>
      <c r="E371" s="29" t="s">
        <v>836</v>
      </c>
      <c r="F371" s="29" t="s">
        <v>837</v>
      </c>
      <c r="G371" s="29" t="s">
        <v>881</v>
      </c>
      <c r="H371" s="29" t="s">
        <v>777</v>
      </c>
      <c r="I371" s="29" t="s">
        <v>845</v>
      </c>
      <c r="J371" s="29" t="s">
        <v>237</v>
      </c>
      <c r="K371" s="31">
        <v>0</v>
      </c>
      <c r="L371" s="32">
        <v>50000</v>
      </c>
      <c r="M371" s="32">
        <v>0</v>
      </c>
      <c r="N371" s="33">
        <f t="shared" si="11"/>
        <v>0</v>
      </c>
      <c r="O371" s="33">
        <v>0</v>
      </c>
      <c r="P371" s="32">
        <v>50000</v>
      </c>
      <c r="Q371" s="29" t="s">
        <v>839</v>
      </c>
      <c r="R371" s="29" t="s">
        <v>840</v>
      </c>
      <c r="S371" s="29" t="s">
        <v>15</v>
      </c>
      <c r="T371" s="29" t="s">
        <v>807</v>
      </c>
      <c r="U371" s="29" t="s">
        <v>15</v>
      </c>
      <c r="V371" s="29" t="s">
        <v>841</v>
      </c>
      <c r="W371" s="29" t="s">
        <v>841</v>
      </c>
    </row>
    <row r="372" spans="1:23" ht="10.5" customHeight="1" x14ac:dyDescent="0.25">
      <c r="A372" s="28">
        <v>46037</v>
      </c>
      <c r="B372" s="29" t="str">
        <f t="shared" si="12"/>
        <v>15/01/2026NL300116</v>
      </c>
      <c r="C372" s="30" t="s">
        <v>882</v>
      </c>
      <c r="D372" s="30" t="s">
        <v>835</v>
      </c>
      <c r="E372" s="29" t="s">
        <v>836</v>
      </c>
      <c r="F372" s="29" t="s">
        <v>837</v>
      </c>
      <c r="G372" s="29" t="s">
        <v>881</v>
      </c>
      <c r="H372" s="29" t="s">
        <v>664</v>
      </c>
      <c r="I372" s="29" t="s">
        <v>855</v>
      </c>
      <c r="J372" s="29" t="s">
        <v>237</v>
      </c>
      <c r="K372" s="31">
        <v>0.3</v>
      </c>
      <c r="L372" s="32">
        <v>148000</v>
      </c>
      <c r="M372" s="32">
        <v>0</v>
      </c>
      <c r="N372" s="33">
        <f t="shared" si="11"/>
        <v>44400</v>
      </c>
      <c r="O372" s="33">
        <v>0</v>
      </c>
      <c r="P372" s="32">
        <v>148000</v>
      </c>
      <c r="Q372" s="29" t="s">
        <v>839</v>
      </c>
      <c r="R372" s="29" t="s">
        <v>840</v>
      </c>
      <c r="S372" s="29" t="s">
        <v>15</v>
      </c>
      <c r="T372" s="29" t="s">
        <v>807</v>
      </c>
      <c r="U372" s="29" t="s">
        <v>15</v>
      </c>
      <c r="V372" s="29" t="s">
        <v>841</v>
      </c>
      <c r="W372" s="29" t="s">
        <v>841</v>
      </c>
    </row>
  </sheetData>
  <autoFilter ref="A1:X1" xr:uid="{3C1AB2A3-0643-40E5-BE3E-412D47A9F7C0}"/>
  <conditionalFormatting sqref="H220:H252">
    <cfRule type="duplicateValues" dxfId="3" priority="6"/>
  </conditionalFormatting>
  <conditionalFormatting sqref="H282:H303">
    <cfRule type="duplicateValues" dxfId="2" priority="7"/>
  </conditionalFormatting>
  <conditionalFormatting sqref="H325:H348">
    <cfRule type="duplicateValues" dxfId="1" priority="1"/>
  </conditionalFormatting>
  <conditionalFormatting sqref="M282:M303 H282:H303"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56262-E731-4B58-A60A-333884A0AFA2}">
  <dimension ref="A1:F225"/>
  <sheetViews>
    <sheetView topLeftCell="A194" workbookViewId="0">
      <selection activeCell="D218" sqref="D218"/>
    </sheetView>
  </sheetViews>
  <sheetFormatPr defaultRowHeight="15" x14ac:dyDescent="0.25"/>
  <cols>
    <col min="4" max="4" width="24.140625" customWidth="1"/>
  </cols>
  <sheetData>
    <row r="1" spans="1:6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</row>
    <row r="2" spans="1:6" x14ac:dyDescent="0.25">
      <c r="A2">
        <v>1</v>
      </c>
      <c r="B2" t="s">
        <v>234</v>
      </c>
      <c r="C2" t="s">
        <v>235</v>
      </c>
      <c r="D2" t="s">
        <v>236</v>
      </c>
      <c r="E2" t="s">
        <v>237</v>
      </c>
      <c r="F2">
        <f>+VLOOKUP(C2,[1]Sheet1!A$2:D$168,4,0)</f>
        <v>20000</v>
      </c>
    </row>
    <row r="3" spans="1:6" x14ac:dyDescent="0.25">
      <c r="A3">
        <v>2</v>
      </c>
      <c r="B3" t="s">
        <v>238</v>
      </c>
      <c r="C3" t="s">
        <v>239</v>
      </c>
      <c r="D3" t="s">
        <v>240</v>
      </c>
      <c r="E3" t="s">
        <v>237</v>
      </c>
      <c r="F3">
        <f>+VLOOKUP(C3,[1]Sheet1!A$2:D$168,4,0)</f>
        <v>16000</v>
      </c>
    </row>
    <row r="4" spans="1:6" x14ac:dyDescent="0.25">
      <c r="A4">
        <v>3</v>
      </c>
      <c r="B4" t="s">
        <v>241</v>
      </c>
      <c r="C4" t="s">
        <v>242</v>
      </c>
      <c r="D4" t="s">
        <v>243</v>
      </c>
      <c r="E4" t="s">
        <v>237</v>
      </c>
      <c r="F4">
        <f>+VLOOKUP(C4,[1]Sheet1!A$2:D$168,4,0)</f>
        <v>26000</v>
      </c>
    </row>
    <row r="5" spans="1:6" x14ac:dyDescent="0.25">
      <c r="A5">
        <v>4</v>
      </c>
      <c r="B5" t="s">
        <v>12</v>
      </c>
      <c r="C5" t="s">
        <v>244</v>
      </c>
      <c r="D5" t="s">
        <v>13</v>
      </c>
      <c r="E5" t="s">
        <v>237</v>
      </c>
      <c r="F5">
        <f>+VLOOKUP(C5,[1]Sheet1!A$2:D$168,4,0)</f>
        <v>19000</v>
      </c>
    </row>
    <row r="6" spans="1:6" x14ac:dyDescent="0.25">
      <c r="A6">
        <v>5</v>
      </c>
      <c r="B6" t="s">
        <v>245</v>
      </c>
      <c r="C6" t="s">
        <v>246</v>
      </c>
      <c r="D6" t="s">
        <v>247</v>
      </c>
      <c r="E6" t="s">
        <v>237</v>
      </c>
      <c r="F6">
        <f>+VLOOKUP(C6,[1]Sheet1!A$2:D$168,4,0)</f>
        <v>24000</v>
      </c>
    </row>
    <row r="7" spans="1:6" x14ac:dyDescent="0.25">
      <c r="A7">
        <v>6</v>
      </c>
      <c r="B7" t="s">
        <v>245</v>
      </c>
      <c r="C7" t="s">
        <v>248</v>
      </c>
      <c r="D7" t="s">
        <v>249</v>
      </c>
      <c r="E7" t="s">
        <v>237</v>
      </c>
      <c r="F7" t="e">
        <f>+VLOOKUP(C7,[1]Sheet1!A$2:D$168,4,0)</f>
        <v>#N/A</v>
      </c>
    </row>
    <row r="8" spans="1:6" x14ac:dyDescent="0.25">
      <c r="A8">
        <v>7</v>
      </c>
      <c r="B8" t="s">
        <v>250</v>
      </c>
      <c r="C8" t="s">
        <v>251</v>
      </c>
      <c r="D8" t="s">
        <v>252</v>
      </c>
      <c r="E8" t="s">
        <v>237</v>
      </c>
      <c r="F8" t="e">
        <f>+VLOOKUP(C8,[1]Sheet1!A$2:D$168,4,0)</f>
        <v>#N/A</v>
      </c>
    </row>
    <row r="9" spans="1:6" x14ac:dyDescent="0.25">
      <c r="A9">
        <v>8</v>
      </c>
      <c r="B9" t="s">
        <v>59</v>
      </c>
      <c r="C9" t="s">
        <v>253</v>
      </c>
      <c r="D9" t="s">
        <v>254</v>
      </c>
      <c r="E9" t="s">
        <v>237</v>
      </c>
      <c r="F9">
        <f>+VLOOKUP(C9,[1]Sheet1!A$2:D$168,4,0)</f>
        <v>30000</v>
      </c>
    </row>
    <row r="10" spans="1:6" x14ac:dyDescent="0.25">
      <c r="A10">
        <v>9</v>
      </c>
      <c r="B10" t="s">
        <v>101</v>
      </c>
      <c r="C10" t="s">
        <v>255</v>
      </c>
      <c r="D10" t="s">
        <v>256</v>
      </c>
      <c r="E10" t="s">
        <v>237</v>
      </c>
      <c r="F10">
        <f>+VLOOKUP(C10,[1]Sheet1!A$2:D$168,4,0)</f>
        <v>40000</v>
      </c>
    </row>
    <row r="11" spans="1:6" x14ac:dyDescent="0.25">
      <c r="A11">
        <v>10</v>
      </c>
      <c r="B11" t="s">
        <v>250</v>
      </c>
      <c r="C11" t="s">
        <v>257</v>
      </c>
      <c r="D11" t="s">
        <v>258</v>
      </c>
      <c r="E11" t="s">
        <v>237</v>
      </c>
      <c r="F11" t="e">
        <f>+VLOOKUP(C11,[1]Sheet1!A$2:D$168,4,0)</f>
        <v>#N/A</v>
      </c>
    </row>
    <row r="12" spans="1:6" x14ac:dyDescent="0.25">
      <c r="A12">
        <v>11</v>
      </c>
      <c r="B12" t="s">
        <v>259</v>
      </c>
      <c r="C12" t="s">
        <v>260</v>
      </c>
      <c r="D12" t="s">
        <v>261</v>
      </c>
      <c r="E12" t="s">
        <v>237</v>
      </c>
      <c r="F12">
        <f>+VLOOKUP(C12,[1]Sheet1!A$2:D$168,4,0)</f>
        <v>28000</v>
      </c>
    </row>
    <row r="13" spans="1:6" x14ac:dyDescent="0.25">
      <c r="A13">
        <v>12</v>
      </c>
      <c r="B13" t="s">
        <v>262</v>
      </c>
      <c r="C13" t="s">
        <v>263</v>
      </c>
      <c r="D13" t="s">
        <v>264</v>
      </c>
      <c r="E13" t="s">
        <v>237</v>
      </c>
      <c r="F13" t="e">
        <f>+VLOOKUP(C13,[1]Sheet1!A$2:D$168,4,0)</f>
        <v>#N/A</v>
      </c>
    </row>
    <row r="14" spans="1:6" x14ac:dyDescent="0.25">
      <c r="A14">
        <v>13</v>
      </c>
      <c r="B14" t="s">
        <v>265</v>
      </c>
      <c r="C14" t="s">
        <v>266</v>
      </c>
      <c r="D14" t="s">
        <v>267</v>
      </c>
      <c r="E14" t="s">
        <v>237</v>
      </c>
      <c r="F14" t="e">
        <f>+VLOOKUP(C14,[1]Sheet1!A$2:D$168,4,0)</f>
        <v>#N/A</v>
      </c>
    </row>
    <row r="15" spans="1:6" x14ac:dyDescent="0.25">
      <c r="A15">
        <v>14</v>
      </c>
      <c r="B15" t="s">
        <v>268</v>
      </c>
      <c r="C15" t="s">
        <v>269</v>
      </c>
      <c r="D15" t="s">
        <v>270</v>
      </c>
      <c r="E15" t="s">
        <v>237</v>
      </c>
      <c r="F15" t="e">
        <f>+VLOOKUP(C15,[1]Sheet1!A$2:D$168,4,0)</f>
        <v>#N/A</v>
      </c>
    </row>
    <row r="16" spans="1:6" x14ac:dyDescent="0.25">
      <c r="A16">
        <v>15</v>
      </c>
      <c r="B16" t="s">
        <v>103</v>
      </c>
      <c r="C16" t="s">
        <v>271</v>
      </c>
      <c r="D16" t="s">
        <v>272</v>
      </c>
      <c r="E16" t="s">
        <v>237</v>
      </c>
      <c r="F16">
        <f>+VLOOKUP(C16,[1]Sheet1!A$2:D$168,4,0)</f>
        <v>15000</v>
      </c>
    </row>
    <row r="17" spans="1:6" x14ac:dyDescent="0.25">
      <c r="A17">
        <v>16</v>
      </c>
      <c r="B17" t="s">
        <v>273</v>
      </c>
      <c r="C17" t="s">
        <v>274</v>
      </c>
      <c r="D17" t="s">
        <v>275</v>
      </c>
      <c r="E17" t="s">
        <v>237</v>
      </c>
      <c r="F17" t="e">
        <f>+VLOOKUP(C17,[1]Sheet1!A$2:D$168,4,0)</f>
        <v>#N/A</v>
      </c>
    </row>
    <row r="18" spans="1:6" x14ac:dyDescent="0.25">
      <c r="A18">
        <v>17</v>
      </c>
      <c r="B18" t="s">
        <v>276</v>
      </c>
      <c r="C18" t="s">
        <v>277</v>
      </c>
      <c r="D18" t="s">
        <v>278</v>
      </c>
      <c r="E18" t="s">
        <v>237</v>
      </c>
      <c r="F18" t="e">
        <f>+VLOOKUP(C18,[1]Sheet1!A$2:D$168,4,0)</f>
        <v>#N/A</v>
      </c>
    </row>
    <row r="19" spans="1:6" x14ac:dyDescent="0.25">
      <c r="A19">
        <v>18</v>
      </c>
      <c r="B19" t="s">
        <v>150</v>
      </c>
      <c r="C19" t="s">
        <v>279</v>
      </c>
      <c r="D19" t="s">
        <v>151</v>
      </c>
      <c r="E19" t="s">
        <v>237</v>
      </c>
      <c r="F19">
        <f>+VLOOKUP(C19,[1]Sheet1!A$2:D$168,4,0)</f>
        <v>50000</v>
      </c>
    </row>
    <row r="20" spans="1:6" x14ac:dyDescent="0.25">
      <c r="A20">
        <v>19</v>
      </c>
      <c r="B20" t="s">
        <v>131</v>
      </c>
      <c r="C20" t="s">
        <v>280</v>
      </c>
      <c r="D20" t="s">
        <v>132</v>
      </c>
      <c r="E20" t="s">
        <v>237</v>
      </c>
      <c r="F20">
        <f>+VLOOKUP(C20,[1]Sheet1!A$2:D$168,4,0)</f>
        <v>55000</v>
      </c>
    </row>
    <row r="21" spans="1:6" x14ac:dyDescent="0.25">
      <c r="A21">
        <v>20</v>
      </c>
      <c r="B21" t="s">
        <v>281</v>
      </c>
      <c r="C21" t="s">
        <v>282</v>
      </c>
      <c r="D21" t="s">
        <v>283</v>
      </c>
      <c r="E21" t="s">
        <v>237</v>
      </c>
      <c r="F21" t="e">
        <f>+VLOOKUP(C21,[1]Sheet1!A$2:D$168,4,0)</f>
        <v>#N/A</v>
      </c>
    </row>
    <row r="22" spans="1:6" x14ac:dyDescent="0.25">
      <c r="A22">
        <v>21</v>
      </c>
      <c r="B22" t="s">
        <v>284</v>
      </c>
      <c r="C22" t="s">
        <v>285</v>
      </c>
      <c r="D22" t="s">
        <v>286</v>
      </c>
      <c r="E22" t="s">
        <v>237</v>
      </c>
      <c r="F22">
        <f>+VLOOKUP(C22,[1]Sheet1!A$2:D$168,4,0)</f>
        <v>82000</v>
      </c>
    </row>
    <row r="23" spans="1:6" x14ac:dyDescent="0.25">
      <c r="A23">
        <v>22</v>
      </c>
      <c r="B23" t="s">
        <v>287</v>
      </c>
      <c r="C23" t="s">
        <v>288</v>
      </c>
      <c r="D23" t="s">
        <v>289</v>
      </c>
      <c r="E23" t="s">
        <v>237</v>
      </c>
      <c r="F23" t="e">
        <f>+VLOOKUP(C23,[1]Sheet1!A$2:D$168,4,0)</f>
        <v>#N/A</v>
      </c>
    </row>
    <row r="24" spans="1:6" x14ac:dyDescent="0.25">
      <c r="A24">
        <v>23</v>
      </c>
      <c r="B24" t="s">
        <v>290</v>
      </c>
      <c r="C24" t="s">
        <v>291</v>
      </c>
      <c r="D24" t="s">
        <v>292</v>
      </c>
      <c r="E24" t="s">
        <v>237</v>
      </c>
      <c r="F24">
        <f>+VLOOKUP(C24,[1]Sheet1!A$2:D$168,4,0)</f>
        <v>85000</v>
      </c>
    </row>
    <row r="25" spans="1:6" x14ac:dyDescent="0.25">
      <c r="A25">
        <v>24</v>
      </c>
      <c r="B25" t="s">
        <v>293</v>
      </c>
      <c r="C25" t="s">
        <v>294</v>
      </c>
      <c r="D25" t="s">
        <v>295</v>
      </c>
      <c r="E25" t="s">
        <v>237</v>
      </c>
      <c r="F25" t="e">
        <f>+VLOOKUP(C25,[1]Sheet1!A$2:D$168,4,0)</f>
        <v>#N/A</v>
      </c>
    </row>
    <row r="26" spans="1:6" x14ac:dyDescent="0.25">
      <c r="A26">
        <v>25</v>
      </c>
      <c r="B26" t="s">
        <v>296</v>
      </c>
      <c r="C26" t="s">
        <v>297</v>
      </c>
      <c r="D26" t="s">
        <v>298</v>
      </c>
      <c r="E26" t="s">
        <v>237</v>
      </c>
      <c r="F26">
        <f>+VLOOKUP(C26,[1]Sheet1!A$2:D$168,4,0)</f>
        <v>120000</v>
      </c>
    </row>
    <row r="27" spans="1:6" x14ac:dyDescent="0.25">
      <c r="A27">
        <v>26</v>
      </c>
      <c r="B27" t="s">
        <v>299</v>
      </c>
      <c r="C27" t="s">
        <v>300</v>
      </c>
      <c r="D27" t="s">
        <v>301</v>
      </c>
      <c r="E27" t="s">
        <v>237</v>
      </c>
      <c r="F27">
        <f>+VLOOKUP(C27,[1]Sheet1!A$2:D$168,4,0)</f>
        <v>120000</v>
      </c>
    </row>
    <row r="28" spans="1:6" x14ac:dyDescent="0.25">
      <c r="A28">
        <v>27</v>
      </c>
      <c r="B28" t="s">
        <v>302</v>
      </c>
      <c r="C28" t="s">
        <v>303</v>
      </c>
      <c r="D28" t="s">
        <v>304</v>
      </c>
      <c r="E28" t="s">
        <v>237</v>
      </c>
      <c r="F28" t="e">
        <f>+VLOOKUP(C28,[1]Sheet1!A$2:D$168,4,0)</f>
        <v>#N/A</v>
      </c>
    </row>
    <row r="29" spans="1:6" x14ac:dyDescent="0.25">
      <c r="A29">
        <v>28</v>
      </c>
      <c r="B29" t="s">
        <v>305</v>
      </c>
      <c r="C29" t="s">
        <v>306</v>
      </c>
      <c r="D29" t="s">
        <v>307</v>
      </c>
      <c r="E29" t="s">
        <v>237</v>
      </c>
      <c r="F29">
        <f>+VLOOKUP(C29,[1]Sheet1!A$2:D$168,4,0)</f>
        <v>25000</v>
      </c>
    </row>
    <row r="30" spans="1:6" x14ac:dyDescent="0.25">
      <c r="A30">
        <v>29</v>
      </c>
      <c r="B30" t="s">
        <v>308</v>
      </c>
      <c r="C30" t="s">
        <v>309</v>
      </c>
      <c r="D30" t="s">
        <v>310</v>
      </c>
      <c r="E30" t="s">
        <v>237</v>
      </c>
      <c r="F30" t="e">
        <f>+VLOOKUP(C30,[1]Sheet1!A$2:D$168,4,0)</f>
        <v>#N/A</v>
      </c>
    </row>
    <row r="31" spans="1:6" x14ac:dyDescent="0.25">
      <c r="A31">
        <v>30</v>
      </c>
      <c r="B31" t="s">
        <v>311</v>
      </c>
      <c r="C31" t="s">
        <v>312</v>
      </c>
      <c r="D31" t="s">
        <v>313</v>
      </c>
      <c r="E31" t="s">
        <v>237</v>
      </c>
      <c r="F31">
        <f>+VLOOKUP(C31,[1]Sheet1!A$2:D$168,4,0)</f>
        <v>85000</v>
      </c>
    </row>
    <row r="32" spans="1:6" x14ac:dyDescent="0.25">
      <c r="A32">
        <v>31</v>
      </c>
      <c r="B32" t="s">
        <v>125</v>
      </c>
      <c r="C32" t="s">
        <v>314</v>
      </c>
      <c r="D32" t="s">
        <v>126</v>
      </c>
      <c r="E32" t="s">
        <v>237</v>
      </c>
      <c r="F32">
        <f>+VLOOKUP(C32,[1]Sheet1!A$2:D$168,4,0)</f>
        <v>18000</v>
      </c>
    </row>
    <row r="33" spans="1:6" x14ac:dyDescent="0.25">
      <c r="A33">
        <v>32</v>
      </c>
      <c r="B33" t="s">
        <v>109</v>
      </c>
      <c r="C33" t="s">
        <v>315</v>
      </c>
      <c r="D33" t="s">
        <v>108</v>
      </c>
      <c r="E33" t="s">
        <v>237</v>
      </c>
      <c r="F33">
        <f>+VLOOKUP(C33,[1]Sheet1!A$2:D$168,4,0)</f>
        <v>75000</v>
      </c>
    </row>
    <row r="34" spans="1:6" x14ac:dyDescent="0.25">
      <c r="A34">
        <v>33</v>
      </c>
      <c r="B34" t="s">
        <v>316</v>
      </c>
      <c r="C34" t="s">
        <v>317</v>
      </c>
      <c r="D34" t="s">
        <v>318</v>
      </c>
      <c r="E34" t="s">
        <v>237</v>
      </c>
      <c r="F34">
        <f>+VLOOKUP(C34,[1]Sheet1!A$2:D$168,4,0)</f>
        <v>33000</v>
      </c>
    </row>
    <row r="35" spans="1:6" x14ac:dyDescent="0.25">
      <c r="A35">
        <v>34</v>
      </c>
      <c r="B35" t="s">
        <v>319</v>
      </c>
      <c r="C35" t="s">
        <v>320</v>
      </c>
      <c r="D35" t="s">
        <v>321</v>
      </c>
      <c r="E35" t="s">
        <v>237</v>
      </c>
      <c r="F35">
        <f>+VLOOKUP(C35,[1]Sheet1!A$2:D$168,4,0)</f>
        <v>82000</v>
      </c>
    </row>
    <row r="36" spans="1:6" x14ac:dyDescent="0.25">
      <c r="A36">
        <v>35</v>
      </c>
      <c r="B36" t="s">
        <v>322</v>
      </c>
      <c r="C36" t="s">
        <v>323</v>
      </c>
      <c r="D36" t="s">
        <v>324</v>
      </c>
      <c r="E36" t="s">
        <v>237</v>
      </c>
      <c r="F36" t="e">
        <f>+VLOOKUP(C36,[1]Sheet1!A$2:D$168,4,0)</f>
        <v>#N/A</v>
      </c>
    </row>
    <row r="37" spans="1:6" x14ac:dyDescent="0.25">
      <c r="A37">
        <v>36</v>
      </c>
      <c r="B37" t="s">
        <v>325</v>
      </c>
      <c r="C37" t="s">
        <v>326</v>
      </c>
      <c r="D37" t="s">
        <v>327</v>
      </c>
      <c r="E37" t="s">
        <v>237</v>
      </c>
      <c r="F37">
        <f>+VLOOKUP(C37,[1]Sheet1!A$2:D$168,4,0)</f>
        <v>25000</v>
      </c>
    </row>
    <row r="38" spans="1:6" x14ac:dyDescent="0.25">
      <c r="A38">
        <v>37</v>
      </c>
      <c r="B38" t="s">
        <v>328</v>
      </c>
      <c r="C38" t="s">
        <v>329</v>
      </c>
      <c r="D38" t="s">
        <v>330</v>
      </c>
      <c r="E38" t="s">
        <v>237</v>
      </c>
      <c r="F38">
        <f>+VLOOKUP(C38,[1]Sheet1!A$2:D$168,4,0)</f>
        <v>22000</v>
      </c>
    </row>
    <row r="39" spans="1:6" x14ac:dyDescent="0.25">
      <c r="A39">
        <v>38</v>
      </c>
      <c r="B39" t="s">
        <v>331</v>
      </c>
      <c r="C39" t="s">
        <v>332</v>
      </c>
      <c r="D39" t="s">
        <v>333</v>
      </c>
      <c r="E39" t="s">
        <v>237</v>
      </c>
      <c r="F39">
        <f>+VLOOKUP(C39,[1]Sheet1!A$2:D$168,4,0)</f>
        <v>38000</v>
      </c>
    </row>
    <row r="40" spans="1:6" x14ac:dyDescent="0.25">
      <c r="A40">
        <v>39</v>
      </c>
      <c r="B40" t="s">
        <v>334</v>
      </c>
      <c r="C40" t="s">
        <v>335</v>
      </c>
      <c r="D40" t="s">
        <v>336</v>
      </c>
      <c r="E40" t="s">
        <v>237</v>
      </c>
      <c r="F40" t="e">
        <f>+VLOOKUP(C40,[1]Sheet1!A$2:D$168,4,0)</f>
        <v>#N/A</v>
      </c>
    </row>
    <row r="41" spans="1:6" x14ac:dyDescent="0.25">
      <c r="A41">
        <v>40</v>
      </c>
      <c r="B41" t="s">
        <v>99</v>
      </c>
      <c r="C41" t="s">
        <v>337</v>
      </c>
      <c r="D41" t="s">
        <v>338</v>
      </c>
      <c r="E41" t="s">
        <v>237</v>
      </c>
      <c r="F41">
        <f>+VLOOKUP(C41,[1]Sheet1!A$2:D$168,4,0)</f>
        <v>30000</v>
      </c>
    </row>
    <row r="42" spans="1:6" x14ac:dyDescent="0.25">
      <c r="A42">
        <v>41</v>
      </c>
      <c r="B42" t="s">
        <v>339</v>
      </c>
      <c r="C42" t="s">
        <v>340</v>
      </c>
      <c r="D42" t="s">
        <v>341</v>
      </c>
      <c r="E42" t="s">
        <v>237</v>
      </c>
      <c r="F42" t="e">
        <f>+VLOOKUP(C42,[1]Sheet1!A$2:D$168,4,0)</f>
        <v>#N/A</v>
      </c>
    </row>
    <row r="43" spans="1:6" x14ac:dyDescent="0.25">
      <c r="A43">
        <v>42</v>
      </c>
      <c r="B43" t="s">
        <v>342</v>
      </c>
      <c r="C43" t="s">
        <v>343</v>
      </c>
      <c r="D43" t="s">
        <v>344</v>
      </c>
      <c r="E43" t="s">
        <v>237</v>
      </c>
      <c r="F43">
        <f>+VLOOKUP(C43,[1]Sheet1!A$2:D$168,4,0)</f>
        <v>18000</v>
      </c>
    </row>
    <row r="44" spans="1:6" x14ac:dyDescent="0.25">
      <c r="A44">
        <v>43</v>
      </c>
      <c r="B44" t="s">
        <v>345</v>
      </c>
      <c r="C44" t="s">
        <v>346</v>
      </c>
      <c r="D44" t="s">
        <v>347</v>
      </c>
      <c r="E44" t="s">
        <v>237</v>
      </c>
      <c r="F44" t="e">
        <f>+VLOOKUP(C44,[1]Sheet1!A$2:D$168,4,0)</f>
        <v>#N/A</v>
      </c>
    </row>
    <row r="45" spans="1:6" x14ac:dyDescent="0.25">
      <c r="A45">
        <v>44</v>
      </c>
      <c r="B45" t="s">
        <v>348</v>
      </c>
      <c r="C45" t="s">
        <v>349</v>
      </c>
      <c r="D45" t="s">
        <v>350</v>
      </c>
      <c r="E45" t="s">
        <v>237</v>
      </c>
      <c r="F45">
        <f>+VLOOKUP(C45,[1]Sheet1!A$2:D$168,4,0)</f>
        <v>15000</v>
      </c>
    </row>
    <row r="46" spans="1:6" x14ac:dyDescent="0.25">
      <c r="A46">
        <v>45</v>
      </c>
      <c r="B46" t="s">
        <v>97</v>
      </c>
      <c r="C46" t="s">
        <v>351</v>
      </c>
      <c r="D46" t="s">
        <v>352</v>
      </c>
      <c r="E46" t="s">
        <v>237</v>
      </c>
      <c r="F46">
        <f>+VLOOKUP(C46,[1]Sheet1!A$2:D$168,4,0)</f>
        <v>75000</v>
      </c>
    </row>
    <row r="47" spans="1:6" x14ac:dyDescent="0.25">
      <c r="A47">
        <v>46</v>
      </c>
      <c r="B47" t="s">
        <v>353</v>
      </c>
      <c r="C47" t="s">
        <v>354</v>
      </c>
      <c r="D47" t="s">
        <v>355</v>
      </c>
      <c r="E47" t="s">
        <v>14</v>
      </c>
      <c r="F47">
        <f>+VLOOKUP(C47,[1]Sheet1!A$2:D$168,4,0)</f>
        <v>112000</v>
      </c>
    </row>
    <row r="48" spans="1:6" x14ac:dyDescent="0.25">
      <c r="A48">
        <v>47</v>
      </c>
      <c r="B48" t="s">
        <v>356</v>
      </c>
      <c r="C48" t="s">
        <v>354</v>
      </c>
      <c r="D48" t="s">
        <v>357</v>
      </c>
      <c r="E48" t="s">
        <v>237</v>
      </c>
      <c r="F48">
        <f>+VLOOKUP(C48,[1]Sheet1!A$2:D$168,4,0)</f>
        <v>112000</v>
      </c>
    </row>
    <row r="49" spans="1:6" x14ac:dyDescent="0.25">
      <c r="A49">
        <v>48</v>
      </c>
      <c r="B49" t="s">
        <v>358</v>
      </c>
      <c r="C49" t="s">
        <v>359</v>
      </c>
      <c r="D49" t="s">
        <v>360</v>
      </c>
      <c r="E49" t="s">
        <v>237</v>
      </c>
      <c r="F49" t="e">
        <f>+VLOOKUP(C49,[1]Sheet1!A$2:D$168,4,0)</f>
        <v>#N/A</v>
      </c>
    </row>
    <row r="50" spans="1:6" x14ac:dyDescent="0.25">
      <c r="A50">
        <v>49</v>
      </c>
      <c r="B50" t="s">
        <v>33</v>
      </c>
      <c r="C50" t="s">
        <v>361</v>
      </c>
      <c r="D50" t="s">
        <v>362</v>
      </c>
      <c r="E50" t="s">
        <v>237</v>
      </c>
      <c r="F50">
        <f>+VLOOKUP(C50,[1]Sheet1!A$2:D$168,4,0)</f>
        <v>22000</v>
      </c>
    </row>
    <row r="51" spans="1:6" x14ac:dyDescent="0.25">
      <c r="A51">
        <v>50</v>
      </c>
      <c r="B51" t="s">
        <v>93</v>
      </c>
      <c r="C51" t="s">
        <v>363</v>
      </c>
      <c r="D51" t="s">
        <v>364</v>
      </c>
      <c r="E51" t="s">
        <v>237</v>
      </c>
      <c r="F51">
        <f>+VLOOKUP(C51,[1]Sheet1!A$2:D$168,4,0)</f>
        <v>95000</v>
      </c>
    </row>
    <row r="52" spans="1:6" x14ac:dyDescent="0.25">
      <c r="A52">
        <v>51</v>
      </c>
      <c r="B52" t="s">
        <v>49</v>
      </c>
      <c r="C52" t="s">
        <v>365</v>
      </c>
      <c r="D52" t="s">
        <v>366</v>
      </c>
      <c r="E52" t="s">
        <v>237</v>
      </c>
      <c r="F52">
        <f>+VLOOKUP(C52,[1]Sheet1!A$2:D$168,4,0)</f>
        <v>34000</v>
      </c>
    </row>
    <row r="53" spans="1:6" x14ac:dyDescent="0.25">
      <c r="A53">
        <v>52</v>
      </c>
      <c r="B53" t="s">
        <v>367</v>
      </c>
      <c r="C53" t="s">
        <v>368</v>
      </c>
      <c r="D53" t="s">
        <v>369</v>
      </c>
      <c r="E53" t="s">
        <v>370</v>
      </c>
      <c r="F53" t="e">
        <f>+VLOOKUP(C53,[1]Sheet1!A$2:D$168,4,0)</f>
        <v>#N/A</v>
      </c>
    </row>
    <row r="54" spans="1:6" x14ac:dyDescent="0.25">
      <c r="A54">
        <v>53</v>
      </c>
      <c r="B54" t="s">
        <v>371</v>
      </c>
      <c r="C54" t="s">
        <v>372</v>
      </c>
      <c r="D54" t="s">
        <v>373</v>
      </c>
      <c r="E54" t="s">
        <v>237</v>
      </c>
      <c r="F54" t="e">
        <f>+VLOOKUP(C54,[1]Sheet1!A$2:D$168,4,0)</f>
        <v>#N/A</v>
      </c>
    </row>
    <row r="55" spans="1:6" x14ac:dyDescent="0.25">
      <c r="A55">
        <v>54</v>
      </c>
      <c r="B55" t="s">
        <v>127</v>
      </c>
      <c r="C55" t="s">
        <v>374</v>
      </c>
      <c r="D55" t="s">
        <v>375</v>
      </c>
      <c r="E55" t="s">
        <v>237</v>
      </c>
      <c r="F55">
        <f>+VLOOKUP(C55,[1]Sheet1!A$2:D$168,4,0)</f>
        <v>13000</v>
      </c>
    </row>
    <row r="56" spans="1:6" x14ac:dyDescent="0.25">
      <c r="A56">
        <v>55</v>
      </c>
      <c r="B56" t="s">
        <v>135</v>
      </c>
      <c r="C56" t="s">
        <v>376</v>
      </c>
      <c r="D56" t="s">
        <v>377</v>
      </c>
      <c r="E56" t="s">
        <v>237</v>
      </c>
      <c r="F56">
        <f>+VLOOKUP(C56,[1]Sheet1!A$2:D$168,4,0)</f>
        <v>40000</v>
      </c>
    </row>
    <row r="57" spans="1:6" x14ac:dyDescent="0.25">
      <c r="A57">
        <v>56</v>
      </c>
      <c r="B57" t="s">
        <v>378</v>
      </c>
      <c r="C57" t="s">
        <v>379</v>
      </c>
      <c r="D57" t="s">
        <v>380</v>
      </c>
      <c r="E57" t="s">
        <v>237</v>
      </c>
      <c r="F57" t="e">
        <f>+VLOOKUP(C57,[1]Sheet1!A$2:D$168,4,0)</f>
        <v>#N/A</v>
      </c>
    </row>
    <row r="58" spans="1:6" x14ac:dyDescent="0.25">
      <c r="A58">
        <v>57</v>
      </c>
      <c r="B58" t="s">
        <v>381</v>
      </c>
      <c r="C58" t="s">
        <v>382</v>
      </c>
      <c r="D58" t="s">
        <v>383</v>
      </c>
      <c r="E58" t="s">
        <v>237</v>
      </c>
      <c r="F58" t="e">
        <f>+VLOOKUP(C58,[1]Sheet1!A$2:D$168,4,0)</f>
        <v>#N/A</v>
      </c>
    </row>
    <row r="59" spans="1:6" x14ac:dyDescent="0.25">
      <c r="A59">
        <v>58</v>
      </c>
      <c r="B59" t="s">
        <v>384</v>
      </c>
      <c r="C59" t="s">
        <v>385</v>
      </c>
      <c r="D59" t="s">
        <v>386</v>
      </c>
      <c r="E59" t="s">
        <v>237</v>
      </c>
      <c r="F59">
        <f>+VLOOKUP(C59,[1]Sheet1!A$2:D$168,4,0)</f>
        <v>45000</v>
      </c>
    </row>
    <row r="60" spans="1:6" x14ac:dyDescent="0.25">
      <c r="A60">
        <v>59</v>
      </c>
      <c r="B60" t="s">
        <v>387</v>
      </c>
      <c r="C60" t="s">
        <v>388</v>
      </c>
      <c r="D60" t="s">
        <v>389</v>
      </c>
      <c r="E60" t="s">
        <v>237</v>
      </c>
      <c r="F60" t="e">
        <f>+VLOOKUP(C60,[1]Sheet1!A$2:D$168,4,0)</f>
        <v>#N/A</v>
      </c>
    </row>
    <row r="61" spans="1:6" x14ac:dyDescent="0.25">
      <c r="A61">
        <v>60</v>
      </c>
      <c r="B61" t="s">
        <v>390</v>
      </c>
      <c r="C61" t="s">
        <v>391</v>
      </c>
      <c r="D61" t="s">
        <v>392</v>
      </c>
      <c r="E61" t="s">
        <v>237</v>
      </c>
      <c r="F61" t="e">
        <f>+VLOOKUP(C61,[1]Sheet1!A$2:D$168,4,0)</f>
        <v>#N/A</v>
      </c>
    </row>
    <row r="62" spans="1:6" x14ac:dyDescent="0.25">
      <c r="A62">
        <v>61</v>
      </c>
      <c r="B62" t="s">
        <v>113</v>
      </c>
      <c r="C62" t="s">
        <v>393</v>
      </c>
      <c r="D62" t="s">
        <v>112</v>
      </c>
      <c r="E62" t="s">
        <v>237</v>
      </c>
      <c r="F62">
        <f>+VLOOKUP(C62,[1]Sheet1!A$2:D$168,4,0)</f>
        <v>25000</v>
      </c>
    </row>
    <row r="63" spans="1:6" x14ac:dyDescent="0.25">
      <c r="A63">
        <v>62</v>
      </c>
      <c r="B63" t="s">
        <v>91</v>
      </c>
      <c r="C63" t="s">
        <v>394</v>
      </c>
      <c r="D63" t="s">
        <v>90</v>
      </c>
      <c r="E63" t="s">
        <v>237</v>
      </c>
      <c r="F63">
        <f>+VLOOKUP(C63,[1]Sheet1!A$2:D$168,4,0)</f>
        <v>47000</v>
      </c>
    </row>
    <row r="64" spans="1:6" x14ac:dyDescent="0.25">
      <c r="A64">
        <v>63</v>
      </c>
      <c r="B64" t="s">
        <v>395</v>
      </c>
      <c r="C64" t="s">
        <v>396</v>
      </c>
      <c r="D64" t="s">
        <v>397</v>
      </c>
      <c r="E64" t="s">
        <v>237</v>
      </c>
      <c r="F64">
        <f>+VLOOKUP(C64,[1]Sheet1!A$2:D$168,4,0)</f>
        <v>100000</v>
      </c>
    </row>
    <row r="65" spans="1:6" x14ac:dyDescent="0.25">
      <c r="A65">
        <v>64</v>
      </c>
      <c r="B65" t="s">
        <v>398</v>
      </c>
      <c r="C65" t="s">
        <v>399</v>
      </c>
      <c r="D65" t="s">
        <v>400</v>
      </c>
      <c r="E65" t="s">
        <v>237</v>
      </c>
      <c r="F65" t="e">
        <f>+VLOOKUP(C65,[1]Sheet1!A$2:D$168,4,0)</f>
        <v>#N/A</v>
      </c>
    </row>
    <row r="66" spans="1:6" x14ac:dyDescent="0.25">
      <c r="A66">
        <v>65</v>
      </c>
      <c r="B66" t="s">
        <v>401</v>
      </c>
      <c r="C66" t="s">
        <v>402</v>
      </c>
      <c r="D66" t="s">
        <v>403</v>
      </c>
      <c r="E66" t="s">
        <v>404</v>
      </c>
      <c r="F66">
        <f>+VLOOKUP(C66,[1]Sheet1!A$2:D$168,4,0)</f>
        <v>18000</v>
      </c>
    </row>
    <row r="67" spans="1:6" x14ac:dyDescent="0.25">
      <c r="A67">
        <v>66</v>
      </c>
      <c r="B67" t="s">
        <v>405</v>
      </c>
      <c r="C67" t="s">
        <v>406</v>
      </c>
      <c r="D67" t="s">
        <v>407</v>
      </c>
      <c r="E67" t="s">
        <v>237</v>
      </c>
      <c r="F67" t="e">
        <f>+VLOOKUP(C67,[1]Sheet1!A$2:D$168,4,0)</f>
        <v>#N/A</v>
      </c>
    </row>
    <row r="68" spans="1:6" x14ac:dyDescent="0.25">
      <c r="A68">
        <v>67</v>
      </c>
      <c r="B68" t="s">
        <v>19</v>
      </c>
      <c r="C68" t="s">
        <v>408</v>
      </c>
      <c r="D68" t="s">
        <v>20</v>
      </c>
      <c r="E68" t="s">
        <v>237</v>
      </c>
      <c r="F68">
        <f>+VLOOKUP(C68,[1]Sheet1!A$2:D$168,4,0)</f>
        <v>32000</v>
      </c>
    </row>
    <row r="69" spans="1:6" x14ac:dyDescent="0.25">
      <c r="A69">
        <v>68</v>
      </c>
      <c r="B69" t="s">
        <v>409</v>
      </c>
      <c r="C69" t="s">
        <v>410</v>
      </c>
      <c r="D69" t="s">
        <v>411</v>
      </c>
      <c r="E69" t="s">
        <v>237</v>
      </c>
      <c r="F69">
        <f>+VLOOKUP(C69,[1]Sheet1!A$2:D$168,4,0)</f>
        <v>75000</v>
      </c>
    </row>
    <row r="70" spans="1:6" x14ac:dyDescent="0.25">
      <c r="A70">
        <v>69</v>
      </c>
      <c r="B70" t="s">
        <v>412</v>
      </c>
      <c r="C70" t="s">
        <v>413</v>
      </c>
      <c r="D70" t="s">
        <v>414</v>
      </c>
      <c r="E70" t="s">
        <v>237</v>
      </c>
      <c r="F70">
        <f>+VLOOKUP(C70,[1]Sheet1!A$2:D$168,4,0)</f>
        <v>25000</v>
      </c>
    </row>
    <row r="71" spans="1:6" x14ac:dyDescent="0.25">
      <c r="A71">
        <v>70</v>
      </c>
      <c r="B71" t="s">
        <v>415</v>
      </c>
      <c r="C71" t="s">
        <v>416</v>
      </c>
      <c r="D71" t="s">
        <v>417</v>
      </c>
      <c r="E71" t="s">
        <v>14</v>
      </c>
      <c r="F71" t="e">
        <f>+VLOOKUP(C71,[1]Sheet1!A$2:D$168,4,0)</f>
        <v>#N/A</v>
      </c>
    </row>
    <row r="72" spans="1:6" x14ac:dyDescent="0.25">
      <c r="A72">
        <v>71</v>
      </c>
      <c r="B72" t="s">
        <v>89</v>
      </c>
      <c r="C72" t="s">
        <v>418</v>
      </c>
      <c r="D72" t="s">
        <v>419</v>
      </c>
      <c r="E72" t="s">
        <v>420</v>
      </c>
      <c r="F72">
        <f>+VLOOKUP(C72,[1]Sheet1!A$2:D$168,4,0)</f>
        <v>15000</v>
      </c>
    </row>
    <row r="73" spans="1:6" x14ac:dyDescent="0.25">
      <c r="A73">
        <v>72</v>
      </c>
      <c r="B73" t="s">
        <v>421</v>
      </c>
      <c r="C73" t="s">
        <v>422</v>
      </c>
      <c r="D73" t="s">
        <v>423</v>
      </c>
      <c r="E73" t="s">
        <v>237</v>
      </c>
      <c r="F73" t="e">
        <f>+VLOOKUP(C73,[1]Sheet1!A$2:D$168,4,0)</f>
        <v>#N/A</v>
      </c>
    </row>
    <row r="74" spans="1:6" x14ac:dyDescent="0.25">
      <c r="A74">
        <v>73</v>
      </c>
      <c r="B74" t="s">
        <v>424</v>
      </c>
      <c r="C74" t="s">
        <v>425</v>
      </c>
      <c r="D74" t="s">
        <v>426</v>
      </c>
      <c r="E74" t="s">
        <v>237</v>
      </c>
      <c r="F74" t="e">
        <f>+VLOOKUP(C74,[1]Sheet1!A$2:D$168,4,0)</f>
        <v>#N/A</v>
      </c>
    </row>
    <row r="75" spans="1:6" x14ac:dyDescent="0.25">
      <c r="A75">
        <v>74</v>
      </c>
      <c r="B75" t="s">
        <v>427</v>
      </c>
      <c r="C75" t="s">
        <v>428</v>
      </c>
      <c r="D75" t="s">
        <v>429</v>
      </c>
      <c r="E75" t="s">
        <v>237</v>
      </c>
      <c r="F75" t="e">
        <f>+VLOOKUP(C75,[1]Sheet1!A$2:D$168,4,0)</f>
        <v>#N/A</v>
      </c>
    </row>
    <row r="76" spans="1:6" x14ac:dyDescent="0.25">
      <c r="A76">
        <v>75</v>
      </c>
      <c r="B76" t="s">
        <v>430</v>
      </c>
      <c r="C76" t="s">
        <v>431</v>
      </c>
      <c r="D76" t="s">
        <v>432</v>
      </c>
      <c r="E76" t="s">
        <v>237</v>
      </c>
      <c r="F76">
        <f>+VLOOKUP(C76,[1]Sheet1!A$2:D$168,4,0)</f>
        <v>24000</v>
      </c>
    </row>
    <row r="77" spans="1:6" x14ac:dyDescent="0.25">
      <c r="A77">
        <v>76</v>
      </c>
      <c r="B77" t="s">
        <v>433</v>
      </c>
      <c r="C77" t="s">
        <v>434</v>
      </c>
      <c r="D77" t="s">
        <v>435</v>
      </c>
      <c r="E77" t="s">
        <v>436</v>
      </c>
      <c r="F77">
        <f>+VLOOKUP(C77,[1]Sheet1!A$2:D$168,4,0)</f>
        <v>4000</v>
      </c>
    </row>
    <row r="78" spans="1:6" x14ac:dyDescent="0.25">
      <c r="A78">
        <v>77</v>
      </c>
      <c r="B78" t="s">
        <v>437</v>
      </c>
      <c r="C78" t="s">
        <v>438</v>
      </c>
      <c r="D78" t="s">
        <v>439</v>
      </c>
      <c r="E78" t="s">
        <v>237</v>
      </c>
      <c r="F78" t="e">
        <f>+VLOOKUP(C78,[1]Sheet1!A$2:D$168,4,0)</f>
        <v>#N/A</v>
      </c>
    </row>
    <row r="79" spans="1:6" x14ac:dyDescent="0.25">
      <c r="A79">
        <v>78</v>
      </c>
      <c r="B79" t="s">
        <v>440</v>
      </c>
      <c r="C79" t="s">
        <v>441</v>
      </c>
      <c r="D79" t="s">
        <v>442</v>
      </c>
      <c r="E79" t="s">
        <v>237</v>
      </c>
      <c r="F79">
        <f>+VLOOKUP(C79,[1]Sheet1!A$2:D$168,4,0)</f>
        <v>17000</v>
      </c>
    </row>
    <row r="80" spans="1:6" x14ac:dyDescent="0.25">
      <c r="A80">
        <v>79</v>
      </c>
      <c r="B80" t="s">
        <v>443</v>
      </c>
      <c r="C80" t="s">
        <v>444</v>
      </c>
      <c r="D80" t="s">
        <v>445</v>
      </c>
      <c r="E80" t="s">
        <v>237</v>
      </c>
      <c r="F80">
        <f>+VLOOKUP(C80,[1]Sheet1!A$2:D$168,4,0)</f>
        <v>32000</v>
      </c>
    </row>
    <row r="81" spans="1:6" x14ac:dyDescent="0.25">
      <c r="A81">
        <v>80</v>
      </c>
      <c r="B81" t="s">
        <v>446</v>
      </c>
      <c r="C81" t="s">
        <v>447</v>
      </c>
      <c r="D81" t="s">
        <v>448</v>
      </c>
      <c r="E81" t="s">
        <v>237</v>
      </c>
      <c r="F81">
        <f>+VLOOKUP(C81,[1]Sheet1!A$2:D$168,4,0)</f>
        <v>38000</v>
      </c>
    </row>
    <row r="82" spans="1:6" x14ac:dyDescent="0.25">
      <c r="A82">
        <v>81</v>
      </c>
      <c r="B82" t="s">
        <v>449</v>
      </c>
      <c r="C82" t="s">
        <v>450</v>
      </c>
      <c r="D82" t="s">
        <v>451</v>
      </c>
      <c r="E82" t="s">
        <v>237</v>
      </c>
      <c r="F82">
        <f>+VLOOKUP(C82,[1]Sheet1!A$2:D$168,4,0)</f>
        <v>9000</v>
      </c>
    </row>
    <row r="83" spans="1:6" x14ac:dyDescent="0.25">
      <c r="A83">
        <v>82</v>
      </c>
      <c r="B83" t="s">
        <v>452</v>
      </c>
      <c r="C83" t="s">
        <v>453</v>
      </c>
      <c r="D83" t="s">
        <v>454</v>
      </c>
      <c r="E83" t="s">
        <v>237</v>
      </c>
      <c r="F83" t="e">
        <f>+VLOOKUP(C83,[1]Sheet1!A$2:D$168,4,0)</f>
        <v>#N/A</v>
      </c>
    </row>
    <row r="84" spans="1:6" x14ac:dyDescent="0.25">
      <c r="A84">
        <v>83</v>
      </c>
      <c r="B84" t="s">
        <v>455</v>
      </c>
      <c r="C84" t="s">
        <v>456</v>
      </c>
      <c r="D84" t="s">
        <v>457</v>
      </c>
      <c r="E84" t="s">
        <v>237</v>
      </c>
      <c r="F84" t="e">
        <f>+VLOOKUP(C84,[1]Sheet1!A$2:D$168,4,0)</f>
        <v>#N/A</v>
      </c>
    </row>
    <row r="85" spans="1:6" x14ac:dyDescent="0.25">
      <c r="A85">
        <v>84</v>
      </c>
      <c r="B85" t="s">
        <v>328</v>
      </c>
      <c r="C85" t="s">
        <v>458</v>
      </c>
      <c r="D85" t="s">
        <v>459</v>
      </c>
      <c r="E85" t="s">
        <v>237</v>
      </c>
      <c r="F85">
        <f>+VLOOKUP(C85,[1]Sheet1!A$2:D$168,4,0)</f>
        <v>22000</v>
      </c>
    </row>
    <row r="86" spans="1:6" x14ac:dyDescent="0.25">
      <c r="A86">
        <v>85</v>
      </c>
      <c r="B86" t="s">
        <v>129</v>
      </c>
      <c r="C86" t="s">
        <v>460</v>
      </c>
      <c r="D86" t="s">
        <v>461</v>
      </c>
      <c r="E86" t="s">
        <v>237</v>
      </c>
      <c r="F86">
        <f>+VLOOKUP(C86,[1]Sheet1!A$2:D$168,4,0)</f>
        <v>18000</v>
      </c>
    </row>
    <row r="87" spans="1:6" x14ac:dyDescent="0.25">
      <c r="A87">
        <v>86</v>
      </c>
      <c r="B87" t="s">
        <v>51</v>
      </c>
      <c r="C87" t="s">
        <v>462</v>
      </c>
      <c r="D87" t="s">
        <v>52</v>
      </c>
      <c r="E87" t="s">
        <v>237</v>
      </c>
      <c r="F87">
        <f>+VLOOKUP(C87,[1]Sheet1!A$2:D$168,4,0)</f>
        <v>18000</v>
      </c>
    </row>
    <row r="88" spans="1:6" x14ac:dyDescent="0.25">
      <c r="A88">
        <v>87</v>
      </c>
      <c r="B88" t="s">
        <v>463</v>
      </c>
      <c r="C88" t="s">
        <v>464</v>
      </c>
      <c r="D88" t="s">
        <v>465</v>
      </c>
      <c r="E88" t="s">
        <v>237</v>
      </c>
      <c r="F88" t="e">
        <f>+VLOOKUP(C88,[1]Sheet1!A$2:D$168,4,0)</f>
        <v>#N/A</v>
      </c>
    </row>
    <row r="89" spans="1:6" x14ac:dyDescent="0.25">
      <c r="A89">
        <v>88</v>
      </c>
      <c r="B89" t="s">
        <v>466</v>
      </c>
      <c r="C89" t="s">
        <v>467</v>
      </c>
      <c r="D89" t="s">
        <v>468</v>
      </c>
      <c r="E89" t="s">
        <v>237</v>
      </c>
      <c r="F89" t="e">
        <f>+VLOOKUP(C89,[1]Sheet1!A$2:D$168,4,0)</f>
        <v>#N/A</v>
      </c>
    </row>
    <row r="90" spans="1:6" x14ac:dyDescent="0.25">
      <c r="A90">
        <v>89</v>
      </c>
      <c r="B90" t="s">
        <v>469</v>
      </c>
      <c r="C90" t="s">
        <v>470</v>
      </c>
      <c r="D90" t="s">
        <v>471</v>
      </c>
      <c r="E90" t="s">
        <v>237</v>
      </c>
      <c r="F90">
        <f>+VLOOKUP(C90,[1]Sheet1!A$2:D$168,4,0)</f>
        <v>80000</v>
      </c>
    </row>
    <row r="91" spans="1:6" x14ac:dyDescent="0.25">
      <c r="A91">
        <v>91</v>
      </c>
      <c r="B91" t="s">
        <v>472</v>
      </c>
      <c r="C91" t="s">
        <v>473</v>
      </c>
      <c r="D91" t="s">
        <v>474</v>
      </c>
      <c r="E91" t="s">
        <v>237</v>
      </c>
      <c r="F91" t="e">
        <f>+VLOOKUP(C91,[1]Sheet1!A$2:D$168,4,0)</f>
        <v>#N/A</v>
      </c>
    </row>
    <row r="92" spans="1:6" x14ac:dyDescent="0.25">
      <c r="A92">
        <v>92</v>
      </c>
      <c r="B92" t="s">
        <v>139</v>
      </c>
      <c r="C92" t="s">
        <v>475</v>
      </c>
      <c r="D92" t="s">
        <v>476</v>
      </c>
      <c r="E92" t="s">
        <v>237</v>
      </c>
      <c r="F92">
        <f>+VLOOKUP(C92,[1]Sheet1!A$2:D$168,4,0)</f>
        <v>30000</v>
      </c>
    </row>
    <row r="93" spans="1:6" x14ac:dyDescent="0.25">
      <c r="A93">
        <v>93</v>
      </c>
      <c r="B93" t="s">
        <v>35</v>
      </c>
      <c r="C93" t="s">
        <v>477</v>
      </c>
      <c r="D93" t="s">
        <v>478</v>
      </c>
      <c r="E93" t="s">
        <v>237</v>
      </c>
      <c r="F93">
        <f>+VLOOKUP(C93,[1]Sheet1!A$2:D$168,4,0)</f>
        <v>38000</v>
      </c>
    </row>
    <row r="94" spans="1:6" x14ac:dyDescent="0.25">
      <c r="A94">
        <v>94</v>
      </c>
      <c r="B94" t="s">
        <v>31</v>
      </c>
      <c r="C94" t="s">
        <v>479</v>
      </c>
      <c r="D94" t="s">
        <v>480</v>
      </c>
      <c r="E94" t="s">
        <v>237</v>
      </c>
      <c r="F94">
        <f>+VLOOKUP(C94,[1]Sheet1!A$2:D$168,4,0)</f>
        <v>80000</v>
      </c>
    </row>
    <row r="95" spans="1:6" x14ac:dyDescent="0.25">
      <c r="A95">
        <v>95</v>
      </c>
      <c r="B95" t="s">
        <v>21</v>
      </c>
      <c r="C95" t="s">
        <v>481</v>
      </c>
      <c r="D95" t="s">
        <v>22</v>
      </c>
      <c r="E95" t="s">
        <v>237</v>
      </c>
      <c r="F95">
        <f>+VLOOKUP(C95,[1]Sheet1!A$2:D$168,4,0)</f>
        <v>55000</v>
      </c>
    </row>
    <row r="96" spans="1:6" x14ac:dyDescent="0.25">
      <c r="A96">
        <v>96</v>
      </c>
      <c r="B96" t="s">
        <v>86</v>
      </c>
      <c r="C96" t="s">
        <v>482</v>
      </c>
      <c r="D96" t="s">
        <v>483</v>
      </c>
      <c r="E96" t="s">
        <v>237</v>
      </c>
      <c r="F96">
        <f>+VLOOKUP(C96,[1]Sheet1!A$2:D$168,4,0)</f>
        <v>38000</v>
      </c>
    </row>
    <row r="97" spans="1:6" x14ac:dyDescent="0.25">
      <c r="A97">
        <v>97</v>
      </c>
      <c r="B97" t="s">
        <v>23</v>
      </c>
      <c r="C97" t="s">
        <v>484</v>
      </c>
      <c r="D97" t="s">
        <v>24</v>
      </c>
      <c r="E97" t="s">
        <v>237</v>
      </c>
      <c r="F97">
        <f>+VLOOKUP(C97,[1]Sheet1!A$2:D$168,4,0)</f>
        <v>13000</v>
      </c>
    </row>
    <row r="98" spans="1:6" x14ac:dyDescent="0.25">
      <c r="A98">
        <v>98</v>
      </c>
      <c r="B98" t="s">
        <v>485</v>
      </c>
      <c r="C98" t="s">
        <v>486</v>
      </c>
      <c r="D98" t="s">
        <v>487</v>
      </c>
      <c r="E98" t="s">
        <v>237</v>
      </c>
      <c r="F98" t="e">
        <f>+VLOOKUP(C98,[1]Sheet1!A$2:D$168,4,0)</f>
        <v>#N/A</v>
      </c>
    </row>
    <row r="99" spans="1:6" x14ac:dyDescent="0.25">
      <c r="A99">
        <v>99</v>
      </c>
      <c r="B99" t="s">
        <v>488</v>
      </c>
      <c r="C99" t="s">
        <v>489</v>
      </c>
      <c r="D99" t="s">
        <v>490</v>
      </c>
      <c r="E99" t="s">
        <v>14</v>
      </c>
      <c r="F99" t="e">
        <f>+VLOOKUP(C99,[1]Sheet1!A$2:D$168,4,0)</f>
        <v>#N/A</v>
      </c>
    </row>
    <row r="100" spans="1:6" x14ac:dyDescent="0.25">
      <c r="A100">
        <v>100</v>
      </c>
      <c r="B100" t="s">
        <v>491</v>
      </c>
      <c r="C100" t="s">
        <v>479</v>
      </c>
      <c r="D100" t="s">
        <v>492</v>
      </c>
      <c r="E100" t="s">
        <v>237</v>
      </c>
      <c r="F100">
        <f>+VLOOKUP(C100,[1]Sheet1!A$2:D$168,4,0)</f>
        <v>80000</v>
      </c>
    </row>
    <row r="101" spans="1:6" x14ac:dyDescent="0.25">
      <c r="A101">
        <v>101</v>
      </c>
      <c r="B101" t="s">
        <v>493</v>
      </c>
      <c r="C101" t="s">
        <v>494</v>
      </c>
      <c r="D101" t="s">
        <v>495</v>
      </c>
      <c r="E101" t="s">
        <v>237</v>
      </c>
      <c r="F101">
        <f>+VLOOKUP(C101,[1]Sheet1!A$2:D$168,4,0)</f>
        <v>33000</v>
      </c>
    </row>
    <row r="102" spans="1:6" x14ac:dyDescent="0.25">
      <c r="A102">
        <v>102</v>
      </c>
      <c r="B102" t="s">
        <v>25</v>
      </c>
      <c r="C102" t="s">
        <v>496</v>
      </c>
      <c r="D102" t="s">
        <v>497</v>
      </c>
      <c r="E102" t="s">
        <v>237</v>
      </c>
      <c r="F102">
        <f>+VLOOKUP(C102,[1]Sheet1!A$2:D$168,4,0)</f>
        <v>65000</v>
      </c>
    </row>
    <row r="103" spans="1:6" x14ac:dyDescent="0.25">
      <c r="A103">
        <v>103</v>
      </c>
      <c r="B103" t="s">
        <v>498</v>
      </c>
      <c r="C103" t="s">
        <v>499</v>
      </c>
      <c r="D103" t="s">
        <v>500</v>
      </c>
      <c r="E103" t="s">
        <v>237</v>
      </c>
      <c r="F103">
        <f>+VLOOKUP(C103,[1]Sheet1!A$2:D$168,4,0)</f>
        <v>48000</v>
      </c>
    </row>
    <row r="104" spans="1:6" x14ac:dyDescent="0.25">
      <c r="A104">
        <v>104</v>
      </c>
      <c r="B104" t="s">
        <v>501</v>
      </c>
      <c r="C104" t="s">
        <v>502</v>
      </c>
      <c r="D104" t="s">
        <v>503</v>
      </c>
      <c r="E104" t="s">
        <v>237</v>
      </c>
      <c r="F104" t="e">
        <f>+VLOOKUP(C104,[1]Sheet1!A$2:D$168,4,0)</f>
        <v>#N/A</v>
      </c>
    </row>
    <row r="105" spans="1:6" x14ac:dyDescent="0.25">
      <c r="A105">
        <v>105</v>
      </c>
      <c r="B105" t="s">
        <v>504</v>
      </c>
      <c r="C105" t="s">
        <v>505</v>
      </c>
      <c r="D105" t="s">
        <v>506</v>
      </c>
      <c r="E105" t="s">
        <v>237</v>
      </c>
      <c r="F105">
        <f>+VLOOKUP(C105,[1]Sheet1!A$2:D$168,4,0)</f>
        <v>35000</v>
      </c>
    </row>
    <row r="106" spans="1:6" x14ac:dyDescent="0.25">
      <c r="A106">
        <v>106</v>
      </c>
      <c r="B106" t="s">
        <v>84</v>
      </c>
      <c r="C106" t="s">
        <v>507</v>
      </c>
      <c r="D106" t="s">
        <v>508</v>
      </c>
      <c r="E106" t="s">
        <v>237</v>
      </c>
      <c r="F106">
        <f>+VLOOKUP(C106,[1]Sheet1!A$2:D$168,4,0)</f>
        <v>23000</v>
      </c>
    </row>
    <row r="107" spans="1:6" x14ac:dyDescent="0.25">
      <c r="A107">
        <v>107</v>
      </c>
      <c r="B107" t="s">
        <v>509</v>
      </c>
      <c r="C107" t="s">
        <v>510</v>
      </c>
      <c r="D107" t="s">
        <v>511</v>
      </c>
      <c r="E107" t="s">
        <v>237</v>
      </c>
      <c r="F107" t="e">
        <f>+VLOOKUP(C107,[1]Sheet1!A$2:D$168,4,0)</f>
        <v>#N/A</v>
      </c>
    </row>
    <row r="108" spans="1:6" x14ac:dyDescent="0.25">
      <c r="A108">
        <v>108</v>
      </c>
      <c r="B108" t="s">
        <v>512</v>
      </c>
      <c r="C108" t="s">
        <v>513</v>
      </c>
      <c r="D108" t="s">
        <v>514</v>
      </c>
      <c r="E108" t="s">
        <v>237</v>
      </c>
      <c r="F108" t="e">
        <f>+VLOOKUP(C108,[1]Sheet1!A$2:D$168,4,0)</f>
        <v>#N/A</v>
      </c>
    </row>
    <row r="109" spans="1:6" x14ac:dyDescent="0.25">
      <c r="A109">
        <v>109</v>
      </c>
      <c r="B109" t="s">
        <v>515</v>
      </c>
      <c r="C109" t="s">
        <v>516</v>
      </c>
      <c r="D109" t="s">
        <v>517</v>
      </c>
      <c r="E109" t="s">
        <v>237</v>
      </c>
      <c r="F109">
        <f>+VLOOKUP(C109,[1]Sheet1!A$2:D$168,4,0)</f>
        <v>35000</v>
      </c>
    </row>
    <row r="110" spans="1:6" x14ac:dyDescent="0.25">
      <c r="A110">
        <v>110</v>
      </c>
      <c r="B110" t="s">
        <v>518</v>
      </c>
      <c r="C110" t="s">
        <v>519</v>
      </c>
      <c r="D110" t="s">
        <v>520</v>
      </c>
      <c r="E110" t="s">
        <v>237</v>
      </c>
      <c r="F110" t="e">
        <f>+VLOOKUP(C110,[1]Sheet1!A$2:D$168,4,0)</f>
        <v>#N/A</v>
      </c>
    </row>
    <row r="111" spans="1:6" x14ac:dyDescent="0.25">
      <c r="A111">
        <v>111</v>
      </c>
      <c r="B111" t="s">
        <v>521</v>
      </c>
      <c r="C111" t="s">
        <v>522</v>
      </c>
      <c r="D111" t="s">
        <v>523</v>
      </c>
      <c r="E111" t="s">
        <v>237</v>
      </c>
      <c r="F111" t="e">
        <f>+VLOOKUP(C111,[1]Sheet1!A$2:D$168,4,0)</f>
        <v>#N/A</v>
      </c>
    </row>
    <row r="112" spans="1:6" x14ac:dyDescent="0.25">
      <c r="A112">
        <v>112</v>
      </c>
      <c r="B112" t="s">
        <v>152</v>
      </c>
      <c r="C112" t="s">
        <v>524</v>
      </c>
      <c r="D112" t="s">
        <v>525</v>
      </c>
      <c r="E112" t="s">
        <v>237</v>
      </c>
      <c r="F112">
        <f>+VLOOKUP(C112,[1]Sheet1!A$2:D$168,4,0)</f>
        <v>20000</v>
      </c>
    </row>
    <row r="113" spans="1:6" x14ac:dyDescent="0.25">
      <c r="A113">
        <v>113</v>
      </c>
      <c r="B113" t="s">
        <v>526</v>
      </c>
      <c r="C113" t="s">
        <v>527</v>
      </c>
      <c r="D113" t="s">
        <v>528</v>
      </c>
      <c r="E113" t="s">
        <v>237</v>
      </c>
      <c r="F113">
        <f>+VLOOKUP(C113,[1]Sheet1!A$2:D$168,4,0)</f>
        <v>38000</v>
      </c>
    </row>
    <row r="114" spans="1:6" x14ac:dyDescent="0.25">
      <c r="A114">
        <v>114</v>
      </c>
      <c r="B114" t="s">
        <v>107</v>
      </c>
      <c r="C114" t="s">
        <v>529</v>
      </c>
      <c r="D114" t="s">
        <v>106</v>
      </c>
      <c r="E114" t="s">
        <v>237</v>
      </c>
      <c r="F114">
        <f>+VLOOKUP(C114,[1]Sheet1!A$2:D$168,4,0)</f>
        <v>42000</v>
      </c>
    </row>
    <row r="115" spans="1:6" x14ac:dyDescent="0.25">
      <c r="A115">
        <v>115</v>
      </c>
      <c r="B115" t="s">
        <v>530</v>
      </c>
      <c r="C115" t="s">
        <v>531</v>
      </c>
      <c r="D115" t="s">
        <v>532</v>
      </c>
      <c r="E115" t="s">
        <v>237</v>
      </c>
      <c r="F115">
        <f>+VLOOKUP(C115,[1]Sheet1!A$2:D$168,4,0)</f>
        <v>18000</v>
      </c>
    </row>
    <row r="116" spans="1:6" x14ac:dyDescent="0.25">
      <c r="A116">
        <v>116</v>
      </c>
      <c r="B116" t="s">
        <v>82</v>
      </c>
      <c r="C116" t="s">
        <v>533</v>
      </c>
      <c r="D116" t="s">
        <v>534</v>
      </c>
      <c r="E116" t="s">
        <v>237</v>
      </c>
      <c r="F116">
        <f>+VLOOKUP(C116,[1]Sheet1!A$2:D$168,4,0)</f>
        <v>18000</v>
      </c>
    </row>
    <row r="117" spans="1:6" x14ac:dyDescent="0.25">
      <c r="A117">
        <v>117</v>
      </c>
      <c r="B117" t="s">
        <v>535</v>
      </c>
      <c r="C117" t="s">
        <v>536</v>
      </c>
      <c r="D117" t="s">
        <v>537</v>
      </c>
      <c r="E117" t="s">
        <v>237</v>
      </c>
      <c r="F117" t="e">
        <f>+VLOOKUP(C117,[1]Sheet1!A$2:D$168,4,0)</f>
        <v>#N/A</v>
      </c>
    </row>
    <row r="118" spans="1:6" x14ac:dyDescent="0.25">
      <c r="A118">
        <v>118</v>
      </c>
      <c r="B118" t="s">
        <v>538</v>
      </c>
      <c r="C118" t="s">
        <v>539</v>
      </c>
      <c r="D118" t="s">
        <v>540</v>
      </c>
      <c r="E118" t="s">
        <v>237</v>
      </c>
      <c r="F118">
        <f>+VLOOKUP(C118,[1]Sheet1!A$2:D$168,4,0)</f>
        <v>80000</v>
      </c>
    </row>
    <row r="119" spans="1:6" x14ac:dyDescent="0.25">
      <c r="A119">
        <v>119</v>
      </c>
      <c r="B119" t="s">
        <v>541</v>
      </c>
      <c r="C119" t="s">
        <v>542</v>
      </c>
      <c r="D119" t="s">
        <v>543</v>
      </c>
      <c r="E119" t="s">
        <v>237</v>
      </c>
      <c r="F119">
        <f>+VLOOKUP(C119,[1]Sheet1!A$2:D$168,4,0)</f>
        <v>38000</v>
      </c>
    </row>
    <row r="120" spans="1:6" x14ac:dyDescent="0.25">
      <c r="A120">
        <v>120</v>
      </c>
      <c r="B120" t="s">
        <v>544</v>
      </c>
      <c r="C120" t="s">
        <v>545</v>
      </c>
      <c r="D120" t="s">
        <v>546</v>
      </c>
      <c r="E120" t="s">
        <v>237</v>
      </c>
      <c r="F120">
        <f>+VLOOKUP(C120,[1]Sheet1!A$2:D$168,4,0)</f>
        <v>220000</v>
      </c>
    </row>
    <row r="121" spans="1:6" x14ac:dyDescent="0.25">
      <c r="A121">
        <v>121</v>
      </c>
      <c r="B121" t="s">
        <v>547</v>
      </c>
      <c r="C121" t="s">
        <v>548</v>
      </c>
      <c r="D121" t="s">
        <v>549</v>
      </c>
      <c r="E121" t="s">
        <v>237</v>
      </c>
      <c r="F121">
        <f>+VLOOKUP(C121,[1]Sheet1!A$2:D$168,4,0)</f>
        <v>30000</v>
      </c>
    </row>
    <row r="122" spans="1:6" x14ac:dyDescent="0.25">
      <c r="A122">
        <v>122</v>
      </c>
      <c r="B122" t="s">
        <v>550</v>
      </c>
      <c r="C122" t="s">
        <v>551</v>
      </c>
      <c r="D122" t="s">
        <v>552</v>
      </c>
      <c r="E122" t="s">
        <v>237</v>
      </c>
      <c r="F122" t="e">
        <f>+VLOOKUP(C122,[1]Sheet1!A$2:D$168,4,0)</f>
        <v>#N/A</v>
      </c>
    </row>
    <row r="123" spans="1:6" x14ac:dyDescent="0.25">
      <c r="A123">
        <v>123</v>
      </c>
      <c r="B123" t="s">
        <v>141</v>
      </c>
      <c r="C123" t="s">
        <v>553</v>
      </c>
      <c r="D123" t="s">
        <v>554</v>
      </c>
      <c r="E123" t="s">
        <v>237</v>
      </c>
      <c r="F123">
        <f>+VLOOKUP(C123,[1]Sheet1!A$2:D$168,4,0)</f>
        <v>95000</v>
      </c>
    </row>
    <row r="124" spans="1:6" x14ac:dyDescent="0.25">
      <c r="A124">
        <v>124</v>
      </c>
      <c r="B124" t="s">
        <v>555</v>
      </c>
      <c r="C124" t="s">
        <v>556</v>
      </c>
      <c r="D124" t="s">
        <v>557</v>
      </c>
      <c r="E124" t="s">
        <v>558</v>
      </c>
      <c r="F124">
        <f>+VLOOKUP(C124,[1]Sheet1!A$2:D$168,4,0)</f>
        <v>40000</v>
      </c>
    </row>
    <row r="125" spans="1:6" x14ac:dyDescent="0.25">
      <c r="A125">
        <v>125</v>
      </c>
      <c r="B125" t="s">
        <v>559</v>
      </c>
      <c r="C125" t="s">
        <v>560</v>
      </c>
      <c r="D125" t="s">
        <v>561</v>
      </c>
      <c r="E125" t="s">
        <v>237</v>
      </c>
      <c r="F125" t="e">
        <f>+VLOOKUP(C125,[1]Sheet1!A$2:D$168,4,0)</f>
        <v>#N/A</v>
      </c>
    </row>
    <row r="126" spans="1:6" x14ac:dyDescent="0.25">
      <c r="A126">
        <v>126</v>
      </c>
      <c r="B126" t="e">
        <v>#N/A</v>
      </c>
      <c r="C126" t="s">
        <v>562</v>
      </c>
      <c r="D126" t="s">
        <v>563</v>
      </c>
      <c r="E126" t="s">
        <v>237</v>
      </c>
      <c r="F126">
        <f>+VLOOKUP(C126,[1]Sheet1!A$2:D$168,4,0)</f>
        <v>65000</v>
      </c>
    </row>
    <row r="127" spans="1:6" x14ac:dyDescent="0.25">
      <c r="A127">
        <v>127</v>
      </c>
      <c r="B127" t="e">
        <v>#N/A</v>
      </c>
      <c r="C127" t="s">
        <v>564</v>
      </c>
      <c r="D127" t="s">
        <v>565</v>
      </c>
      <c r="E127" t="s">
        <v>237</v>
      </c>
      <c r="F127" t="e">
        <f>+VLOOKUP(C127,[1]Sheet1!A$2:D$168,4,0)</f>
        <v>#N/A</v>
      </c>
    </row>
    <row r="128" spans="1:6" x14ac:dyDescent="0.25">
      <c r="A128">
        <v>128</v>
      </c>
      <c r="B128" t="e">
        <v>#N/A</v>
      </c>
      <c r="C128" t="s">
        <v>566</v>
      </c>
      <c r="D128" t="s">
        <v>567</v>
      </c>
      <c r="E128" t="s">
        <v>237</v>
      </c>
      <c r="F128" t="e">
        <f>+VLOOKUP(C128,[1]Sheet1!A$2:D$168,4,0)</f>
        <v>#N/A</v>
      </c>
    </row>
    <row r="129" spans="1:6" x14ac:dyDescent="0.25">
      <c r="A129">
        <v>129</v>
      </c>
      <c r="B129" t="s">
        <v>568</v>
      </c>
      <c r="C129" t="s">
        <v>569</v>
      </c>
      <c r="D129" t="s">
        <v>570</v>
      </c>
      <c r="E129" t="s">
        <v>237</v>
      </c>
      <c r="F129" t="e">
        <f>+VLOOKUP(C129,[1]Sheet1!A$2:D$168,4,0)</f>
        <v>#N/A</v>
      </c>
    </row>
    <row r="130" spans="1:6" x14ac:dyDescent="0.25">
      <c r="A130">
        <v>130</v>
      </c>
      <c r="B130" t="s">
        <v>571</v>
      </c>
      <c r="C130" t="s">
        <v>572</v>
      </c>
      <c r="D130" t="s">
        <v>573</v>
      </c>
      <c r="E130" t="s">
        <v>237</v>
      </c>
      <c r="F130" t="e">
        <f>+VLOOKUP(C130,[1]Sheet1!A$2:D$168,4,0)</f>
        <v>#N/A</v>
      </c>
    </row>
    <row r="131" spans="1:6" x14ac:dyDescent="0.25">
      <c r="A131">
        <v>131</v>
      </c>
      <c r="B131" t="s">
        <v>574</v>
      </c>
      <c r="C131" t="s">
        <v>575</v>
      </c>
      <c r="D131" t="s">
        <v>576</v>
      </c>
      <c r="E131" t="s">
        <v>237</v>
      </c>
      <c r="F131" t="e">
        <f>+VLOOKUP(C131,[1]Sheet1!A$2:D$168,4,0)</f>
        <v>#N/A</v>
      </c>
    </row>
    <row r="132" spans="1:6" x14ac:dyDescent="0.25">
      <c r="A132">
        <v>132</v>
      </c>
      <c r="B132" t="s">
        <v>577</v>
      </c>
      <c r="C132" t="s">
        <v>578</v>
      </c>
      <c r="D132" t="s">
        <v>579</v>
      </c>
      <c r="E132" t="s">
        <v>370</v>
      </c>
      <c r="F132" t="e">
        <f>+VLOOKUP(C132,[1]Sheet1!A$2:D$168,4,0)</f>
        <v>#N/A</v>
      </c>
    </row>
    <row r="133" spans="1:6" x14ac:dyDescent="0.25">
      <c r="A133">
        <v>133</v>
      </c>
      <c r="B133" t="s">
        <v>580</v>
      </c>
      <c r="C133" t="s">
        <v>581</v>
      </c>
      <c r="D133" t="s">
        <v>582</v>
      </c>
      <c r="E133" t="s">
        <v>370</v>
      </c>
      <c r="F133" t="e">
        <f>+VLOOKUP(C133,[1]Sheet1!A$2:D$168,4,0)</f>
        <v>#N/A</v>
      </c>
    </row>
    <row r="134" spans="1:6" x14ac:dyDescent="0.25">
      <c r="A134">
        <v>134</v>
      </c>
      <c r="B134" t="s">
        <v>583</v>
      </c>
      <c r="C134" t="s">
        <v>584</v>
      </c>
      <c r="D134" t="s">
        <v>585</v>
      </c>
      <c r="E134" t="s">
        <v>237</v>
      </c>
      <c r="F134" t="e">
        <f>+VLOOKUP(C134,[1]Sheet1!A$2:D$168,4,0)</f>
        <v>#N/A</v>
      </c>
    </row>
    <row r="135" spans="1:6" x14ac:dyDescent="0.25">
      <c r="A135">
        <v>135</v>
      </c>
      <c r="B135" t="s">
        <v>586</v>
      </c>
      <c r="C135" t="s">
        <v>587</v>
      </c>
      <c r="D135" t="s">
        <v>588</v>
      </c>
      <c r="E135" t="s">
        <v>237</v>
      </c>
      <c r="F135" t="e">
        <f>+VLOOKUP(C135,[1]Sheet1!A$2:D$168,4,0)</f>
        <v>#N/A</v>
      </c>
    </row>
    <row r="136" spans="1:6" x14ac:dyDescent="0.25">
      <c r="A136">
        <v>136</v>
      </c>
      <c r="B136" t="s">
        <v>589</v>
      </c>
      <c r="C136" t="s">
        <v>590</v>
      </c>
      <c r="D136" t="s">
        <v>591</v>
      </c>
      <c r="E136" t="s">
        <v>237</v>
      </c>
      <c r="F136">
        <f>+VLOOKUP(C136,[1]Sheet1!A$2:D$168,4,0)</f>
        <v>22000</v>
      </c>
    </row>
    <row r="137" spans="1:6" x14ac:dyDescent="0.25">
      <c r="A137">
        <v>137</v>
      </c>
      <c r="B137" t="s">
        <v>63</v>
      </c>
      <c r="C137" t="s">
        <v>592</v>
      </c>
      <c r="D137" t="s">
        <v>593</v>
      </c>
      <c r="E137" t="s">
        <v>237</v>
      </c>
      <c r="F137">
        <f>+VLOOKUP(C137,[1]Sheet1!A$2:D$168,4,0)</f>
        <v>45000</v>
      </c>
    </row>
    <row r="138" spans="1:6" x14ac:dyDescent="0.25">
      <c r="A138">
        <v>138</v>
      </c>
      <c r="B138" t="s">
        <v>594</v>
      </c>
      <c r="C138" t="s">
        <v>595</v>
      </c>
      <c r="D138" t="s">
        <v>596</v>
      </c>
      <c r="E138" t="s">
        <v>237</v>
      </c>
      <c r="F138" t="e">
        <f>+VLOOKUP(C138,[1]Sheet1!A$2:D$168,4,0)</f>
        <v>#N/A</v>
      </c>
    </row>
    <row r="139" spans="1:6" x14ac:dyDescent="0.25">
      <c r="A139">
        <v>139</v>
      </c>
      <c r="B139" t="s">
        <v>597</v>
      </c>
      <c r="C139" t="s">
        <v>598</v>
      </c>
      <c r="D139" t="s">
        <v>599</v>
      </c>
      <c r="E139" t="s">
        <v>237</v>
      </c>
      <c r="F139">
        <f>+VLOOKUP(C139,[1]Sheet1!A$2:D$168,4,0)</f>
        <v>33000</v>
      </c>
    </row>
    <row r="140" spans="1:6" x14ac:dyDescent="0.25">
      <c r="A140">
        <v>140</v>
      </c>
      <c r="B140" t="s">
        <v>600</v>
      </c>
      <c r="C140" t="s">
        <v>601</v>
      </c>
      <c r="D140" t="s">
        <v>602</v>
      </c>
      <c r="E140" t="s">
        <v>237</v>
      </c>
      <c r="F140">
        <f>+VLOOKUP(C140,[1]Sheet1!A$2:D$168,4,0)</f>
        <v>30000</v>
      </c>
    </row>
    <row r="141" spans="1:6" x14ac:dyDescent="0.25">
      <c r="A141">
        <v>141</v>
      </c>
      <c r="B141" t="s">
        <v>37</v>
      </c>
      <c r="C141" t="s">
        <v>603</v>
      </c>
      <c r="D141" t="s">
        <v>38</v>
      </c>
      <c r="E141" t="s">
        <v>237</v>
      </c>
      <c r="F141">
        <f>+VLOOKUP(C141,[1]Sheet1!A$2:D$168,4,0)</f>
        <v>27000</v>
      </c>
    </row>
    <row r="142" spans="1:6" x14ac:dyDescent="0.25">
      <c r="A142">
        <v>142</v>
      </c>
      <c r="B142" t="s">
        <v>39</v>
      </c>
      <c r="C142" t="s">
        <v>604</v>
      </c>
      <c r="D142" t="s">
        <v>605</v>
      </c>
      <c r="E142" t="s">
        <v>237</v>
      </c>
      <c r="F142">
        <f>+VLOOKUP(C142,[1]Sheet1!A$2:D$168,4,0)</f>
        <v>145000</v>
      </c>
    </row>
    <row r="143" spans="1:6" x14ac:dyDescent="0.25">
      <c r="A143">
        <v>143</v>
      </c>
      <c r="B143" t="s">
        <v>53</v>
      </c>
      <c r="C143" t="s">
        <v>606</v>
      </c>
      <c r="D143" t="s">
        <v>54</v>
      </c>
      <c r="E143" t="s">
        <v>237</v>
      </c>
      <c r="F143">
        <f>+VLOOKUP(C143,[1]Sheet1!A$2:D$168,4,0)</f>
        <v>47000</v>
      </c>
    </row>
    <row r="144" spans="1:6" x14ac:dyDescent="0.25">
      <c r="A144">
        <v>144</v>
      </c>
      <c r="B144" t="s">
        <v>80</v>
      </c>
      <c r="C144" t="s">
        <v>607</v>
      </c>
      <c r="D144" t="s">
        <v>79</v>
      </c>
      <c r="E144" t="s">
        <v>237</v>
      </c>
      <c r="F144">
        <f>+VLOOKUP(C144,[1]Sheet1!A$2:D$168,4,0)</f>
        <v>90000</v>
      </c>
    </row>
    <row r="145" spans="1:6" x14ac:dyDescent="0.25">
      <c r="A145">
        <v>145</v>
      </c>
      <c r="B145" t="s">
        <v>61</v>
      </c>
      <c r="C145" t="s">
        <v>608</v>
      </c>
      <c r="D145" t="s">
        <v>609</v>
      </c>
      <c r="E145" t="s">
        <v>237</v>
      </c>
      <c r="F145">
        <f>+VLOOKUP(C145,[1]Sheet1!A$2:D$168,4,0)</f>
        <v>80000</v>
      </c>
    </row>
    <row r="146" spans="1:6" x14ac:dyDescent="0.25">
      <c r="A146">
        <v>146</v>
      </c>
      <c r="B146" t="s">
        <v>29</v>
      </c>
      <c r="C146" t="s">
        <v>610</v>
      </c>
      <c r="D146" t="s">
        <v>30</v>
      </c>
      <c r="E146" t="s">
        <v>237</v>
      </c>
      <c r="F146">
        <f>+VLOOKUP(C146,[1]Sheet1!A$2:D$168,4,0)</f>
        <v>45000</v>
      </c>
    </row>
    <row r="147" spans="1:6" x14ac:dyDescent="0.25">
      <c r="A147">
        <v>147</v>
      </c>
      <c r="B147" t="s">
        <v>78</v>
      </c>
      <c r="C147" t="s">
        <v>611</v>
      </c>
      <c r="D147" t="s">
        <v>612</v>
      </c>
      <c r="E147" t="s">
        <v>237</v>
      </c>
      <c r="F147">
        <f>+VLOOKUP(C147,[1]Sheet1!A$2:D$168,4,0)</f>
        <v>90000</v>
      </c>
    </row>
    <row r="148" spans="1:6" x14ac:dyDescent="0.25">
      <c r="A148">
        <v>148</v>
      </c>
      <c r="B148" t="s">
        <v>121</v>
      </c>
      <c r="C148" t="s">
        <v>613</v>
      </c>
      <c r="D148" t="s">
        <v>614</v>
      </c>
      <c r="E148" t="s">
        <v>237</v>
      </c>
      <c r="F148">
        <f>+VLOOKUP(C148,[1]Sheet1!A$2:D$168,4,0)</f>
        <v>95000</v>
      </c>
    </row>
    <row r="149" spans="1:6" x14ac:dyDescent="0.25">
      <c r="A149">
        <v>149</v>
      </c>
      <c r="B149" t="s">
        <v>615</v>
      </c>
      <c r="C149" t="s">
        <v>616</v>
      </c>
      <c r="D149" t="s">
        <v>617</v>
      </c>
      <c r="E149" t="s">
        <v>237</v>
      </c>
      <c r="F149" t="e">
        <f>+VLOOKUP(C149,[1]Sheet1!A$2:D$168,4,0)</f>
        <v>#N/A</v>
      </c>
    </row>
    <row r="150" spans="1:6" x14ac:dyDescent="0.25">
      <c r="A150">
        <v>150</v>
      </c>
      <c r="B150" t="s">
        <v>618</v>
      </c>
      <c r="C150" t="s">
        <v>619</v>
      </c>
      <c r="D150" t="s">
        <v>620</v>
      </c>
      <c r="E150" t="s">
        <v>237</v>
      </c>
      <c r="F150">
        <f>+VLOOKUP(C150,[1]Sheet1!A$2:D$168,4,0)</f>
        <v>250000</v>
      </c>
    </row>
    <row r="151" spans="1:6" x14ac:dyDescent="0.25">
      <c r="A151">
        <v>151</v>
      </c>
      <c r="B151" t="s">
        <v>105</v>
      </c>
      <c r="C151" t="s">
        <v>621</v>
      </c>
      <c r="D151" t="s">
        <v>622</v>
      </c>
      <c r="E151" t="s">
        <v>237</v>
      </c>
      <c r="F151">
        <f>+VLOOKUP(C151,[1]Sheet1!A$2:D$168,4,0)</f>
        <v>195000</v>
      </c>
    </row>
    <row r="152" spans="1:6" x14ac:dyDescent="0.25">
      <c r="A152">
        <v>152</v>
      </c>
      <c r="B152" t="s">
        <v>623</v>
      </c>
      <c r="C152" t="s">
        <v>624</v>
      </c>
      <c r="D152" t="s">
        <v>625</v>
      </c>
      <c r="E152" t="s">
        <v>237</v>
      </c>
      <c r="F152" t="e">
        <f>+VLOOKUP(C152,[1]Sheet1!A$2:D$168,4,0)</f>
        <v>#N/A</v>
      </c>
    </row>
    <row r="153" spans="1:6" x14ac:dyDescent="0.25">
      <c r="A153">
        <v>153</v>
      </c>
      <c r="B153" t="s">
        <v>626</v>
      </c>
      <c r="C153" t="s">
        <v>627</v>
      </c>
      <c r="D153" t="s">
        <v>628</v>
      </c>
      <c r="E153" t="s">
        <v>237</v>
      </c>
      <c r="F153" t="e">
        <f>+VLOOKUP(C153,[1]Sheet1!A$2:D$168,4,0)</f>
        <v>#N/A</v>
      </c>
    </row>
    <row r="154" spans="1:6" x14ac:dyDescent="0.25">
      <c r="A154">
        <v>154</v>
      </c>
      <c r="B154" t="s">
        <v>629</v>
      </c>
      <c r="C154" t="s">
        <v>630</v>
      </c>
      <c r="D154" t="s">
        <v>631</v>
      </c>
      <c r="E154" t="s">
        <v>237</v>
      </c>
      <c r="F154" t="e">
        <f>+VLOOKUP(C154,[1]Sheet1!A$2:D$168,4,0)</f>
        <v>#N/A</v>
      </c>
    </row>
    <row r="155" spans="1:6" x14ac:dyDescent="0.25">
      <c r="A155">
        <v>155</v>
      </c>
      <c r="B155" t="s">
        <v>632</v>
      </c>
      <c r="C155" t="s">
        <v>633</v>
      </c>
      <c r="D155" t="s">
        <v>634</v>
      </c>
      <c r="E155" t="s">
        <v>237</v>
      </c>
      <c r="F155" t="e">
        <f>+VLOOKUP(C155,[1]Sheet1!A$2:D$168,4,0)</f>
        <v>#N/A</v>
      </c>
    </row>
    <row r="156" spans="1:6" x14ac:dyDescent="0.25">
      <c r="A156">
        <v>156</v>
      </c>
      <c r="B156" t="s">
        <v>635</v>
      </c>
      <c r="C156" t="s">
        <v>636</v>
      </c>
      <c r="D156" t="s">
        <v>637</v>
      </c>
      <c r="E156" t="s">
        <v>237</v>
      </c>
      <c r="F156">
        <f>+VLOOKUP(C156,[1]Sheet1!A$2:D$168,4,0)</f>
        <v>36000</v>
      </c>
    </row>
    <row r="157" spans="1:6" x14ac:dyDescent="0.25">
      <c r="A157">
        <v>157</v>
      </c>
      <c r="B157" t="s">
        <v>16</v>
      </c>
      <c r="C157" t="s">
        <v>638</v>
      </c>
      <c r="D157" t="s">
        <v>639</v>
      </c>
      <c r="E157" t="s">
        <v>420</v>
      </c>
      <c r="F157">
        <f>+VLOOKUP(C157,[1]Sheet1!A$2:D$168,4,0)</f>
        <v>8500</v>
      </c>
    </row>
    <row r="158" spans="1:6" x14ac:dyDescent="0.25">
      <c r="A158">
        <v>158</v>
      </c>
      <c r="B158" t="s">
        <v>640</v>
      </c>
      <c r="C158" t="s">
        <v>641</v>
      </c>
      <c r="D158" t="s">
        <v>642</v>
      </c>
      <c r="E158" t="s">
        <v>237</v>
      </c>
      <c r="F158" t="e">
        <f>+VLOOKUP(C158,[1]Sheet1!A$2:D$168,4,0)</f>
        <v>#N/A</v>
      </c>
    </row>
    <row r="159" spans="1:6" x14ac:dyDescent="0.25">
      <c r="A159">
        <v>159</v>
      </c>
      <c r="B159" t="s">
        <v>643</v>
      </c>
      <c r="C159" t="s">
        <v>644</v>
      </c>
      <c r="D159" t="s">
        <v>645</v>
      </c>
      <c r="E159" t="s">
        <v>237</v>
      </c>
      <c r="F159" t="e">
        <f>+VLOOKUP(C159,[1]Sheet1!A$2:D$168,4,0)</f>
        <v>#N/A</v>
      </c>
    </row>
    <row r="160" spans="1:6" x14ac:dyDescent="0.25">
      <c r="A160">
        <v>160</v>
      </c>
      <c r="B160" t="s">
        <v>646</v>
      </c>
      <c r="C160" t="s">
        <v>647</v>
      </c>
      <c r="D160" t="s">
        <v>648</v>
      </c>
      <c r="E160" t="s">
        <v>237</v>
      </c>
      <c r="F160">
        <f>+VLOOKUP(C160,[1]Sheet1!A$2:D$168,4,0)</f>
        <v>63000</v>
      </c>
    </row>
    <row r="161" spans="1:6" x14ac:dyDescent="0.25">
      <c r="A161">
        <v>161</v>
      </c>
      <c r="B161" t="s">
        <v>41</v>
      </c>
      <c r="C161" t="s">
        <v>649</v>
      </c>
      <c r="D161" t="s">
        <v>650</v>
      </c>
      <c r="E161" t="s">
        <v>237</v>
      </c>
      <c r="F161">
        <f>+VLOOKUP(C161,[1]Sheet1!A$2:D$168,4,0)</f>
        <v>145000</v>
      </c>
    </row>
    <row r="162" spans="1:6" x14ac:dyDescent="0.25">
      <c r="A162">
        <v>162</v>
      </c>
      <c r="B162" t="s">
        <v>111</v>
      </c>
      <c r="C162" t="s">
        <v>651</v>
      </c>
      <c r="D162" t="s">
        <v>110</v>
      </c>
      <c r="E162" t="s">
        <v>237</v>
      </c>
      <c r="F162">
        <f>+VLOOKUP(C162,[1]Sheet1!A$2:D$168,4,0)</f>
        <v>185000</v>
      </c>
    </row>
    <row r="163" spans="1:6" x14ac:dyDescent="0.25">
      <c r="A163">
        <v>163</v>
      </c>
      <c r="B163" t="s">
        <v>652</v>
      </c>
      <c r="C163" t="s">
        <v>653</v>
      </c>
      <c r="D163" t="s">
        <v>654</v>
      </c>
      <c r="E163" t="s">
        <v>237</v>
      </c>
      <c r="F163" t="e">
        <f>+VLOOKUP(C163,[1]Sheet1!A$2:D$168,4,0)</f>
        <v>#N/A</v>
      </c>
    </row>
    <row r="164" spans="1:6" x14ac:dyDescent="0.25">
      <c r="A164">
        <v>164</v>
      </c>
      <c r="B164" t="s">
        <v>655</v>
      </c>
      <c r="C164" t="s">
        <v>656</v>
      </c>
      <c r="D164" t="s">
        <v>657</v>
      </c>
      <c r="E164" t="s">
        <v>237</v>
      </c>
      <c r="F164" t="e">
        <f>+VLOOKUP(C164,[1]Sheet1!A$2:D$168,4,0)</f>
        <v>#N/A</v>
      </c>
    </row>
    <row r="165" spans="1:6" x14ac:dyDescent="0.25">
      <c r="A165">
        <v>165</v>
      </c>
      <c r="B165" t="s">
        <v>658</v>
      </c>
      <c r="C165" t="s">
        <v>659</v>
      </c>
      <c r="D165" t="s">
        <v>660</v>
      </c>
      <c r="E165" t="s">
        <v>237</v>
      </c>
      <c r="F165" t="e">
        <f>+VLOOKUP(C165,[1]Sheet1!A$2:D$168,4,0)</f>
        <v>#N/A</v>
      </c>
    </row>
    <row r="166" spans="1:6" x14ac:dyDescent="0.25">
      <c r="A166">
        <v>166</v>
      </c>
      <c r="B166" t="s">
        <v>661</v>
      </c>
      <c r="C166" t="s">
        <v>649</v>
      </c>
      <c r="D166" t="s">
        <v>662</v>
      </c>
      <c r="E166" t="s">
        <v>237</v>
      </c>
      <c r="F166">
        <f>+VLOOKUP(C166,[1]Sheet1!A$2:D$168,4,0)</f>
        <v>145000</v>
      </c>
    </row>
    <row r="167" spans="1:6" x14ac:dyDescent="0.25">
      <c r="A167">
        <v>167</v>
      </c>
      <c r="B167" t="s">
        <v>663</v>
      </c>
      <c r="C167" t="s">
        <v>664</v>
      </c>
      <c r="D167" t="s">
        <v>665</v>
      </c>
      <c r="E167" t="s">
        <v>237</v>
      </c>
      <c r="F167">
        <f>+VLOOKUP(C167,[1]Sheet1!A$2:D$168,4,0)</f>
        <v>148000</v>
      </c>
    </row>
    <row r="168" spans="1:6" x14ac:dyDescent="0.25">
      <c r="A168">
        <v>168</v>
      </c>
      <c r="B168" t="s">
        <v>666</v>
      </c>
      <c r="C168" t="s">
        <v>667</v>
      </c>
      <c r="D168" t="s">
        <v>668</v>
      </c>
      <c r="E168" t="s">
        <v>237</v>
      </c>
      <c r="F168">
        <f>+VLOOKUP(C168,[1]Sheet1!A$2:D$168,4,0)</f>
        <v>65000</v>
      </c>
    </row>
    <row r="169" spans="1:6" x14ac:dyDescent="0.25">
      <c r="A169">
        <v>169</v>
      </c>
      <c r="B169" t="s">
        <v>669</v>
      </c>
      <c r="C169" t="s">
        <v>670</v>
      </c>
      <c r="D169" t="s">
        <v>671</v>
      </c>
      <c r="E169" t="s">
        <v>237</v>
      </c>
      <c r="F169">
        <f>+VLOOKUP(C169,[1]Sheet1!A$2:D$168,4,0)</f>
        <v>46000</v>
      </c>
    </row>
    <row r="170" spans="1:6" x14ac:dyDescent="0.25">
      <c r="A170">
        <v>170</v>
      </c>
      <c r="B170" t="s">
        <v>47</v>
      </c>
      <c r="C170" t="s">
        <v>672</v>
      </c>
      <c r="D170" t="s">
        <v>673</v>
      </c>
      <c r="E170" t="s">
        <v>237</v>
      </c>
      <c r="F170">
        <f>+VLOOKUP(C170,[1]Sheet1!A$2:D$168,4,0)</f>
        <v>21000</v>
      </c>
    </row>
    <row r="171" spans="1:6" x14ac:dyDescent="0.25">
      <c r="A171">
        <v>171</v>
      </c>
      <c r="B171" t="s">
        <v>674</v>
      </c>
      <c r="C171" t="s">
        <v>675</v>
      </c>
      <c r="D171" t="s">
        <v>676</v>
      </c>
      <c r="E171" t="s">
        <v>237</v>
      </c>
      <c r="F171">
        <f>+VLOOKUP(C171,[1]Sheet1!A$2:D$168,4,0)</f>
        <v>36000</v>
      </c>
    </row>
    <row r="172" spans="1:6" x14ac:dyDescent="0.25">
      <c r="A172">
        <v>172</v>
      </c>
      <c r="B172" t="s">
        <v>677</v>
      </c>
      <c r="C172" t="s">
        <v>678</v>
      </c>
      <c r="D172" t="s">
        <v>679</v>
      </c>
      <c r="E172" t="s">
        <v>237</v>
      </c>
      <c r="F172" t="e">
        <f>+VLOOKUP(C172,[1]Sheet1!A$2:D$168,4,0)</f>
        <v>#N/A</v>
      </c>
    </row>
    <row r="173" spans="1:6" x14ac:dyDescent="0.25">
      <c r="A173">
        <v>173</v>
      </c>
      <c r="B173" t="s">
        <v>680</v>
      </c>
      <c r="C173" t="s">
        <v>681</v>
      </c>
      <c r="D173" t="s">
        <v>682</v>
      </c>
      <c r="E173" t="s">
        <v>237</v>
      </c>
      <c r="F173">
        <f>+VLOOKUP(C173,[1]Sheet1!A$2:D$168,4,0)</f>
        <v>63000</v>
      </c>
    </row>
    <row r="174" spans="1:6" x14ac:dyDescent="0.25">
      <c r="A174">
        <v>174</v>
      </c>
      <c r="B174" t="s">
        <v>683</v>
      </c>
      <c r="C174" t="s">
        <v>684</v>
      </c>
      <c r="D174" t="s">
        <v>685</v>
      </c>
      <c r="E174" t="s">
        <v>237</v>
      </c>
      <c r="F174" t="e">
        <f>+VLOOKUP(C174,[1]Sheet1!A$2:D$168,4,0)</f>
        <v>#N/A</v>
      </c>
    </row>
    <row r="175" spans="1:6" x14ac:dyDescent="0.25">
      <c r="A175">
        <v>175</v>
      </c>
      <c r="B175" t="s">
        <v>686</v>
      </c>
      <c r="C175" t="s">
        <v>687</v>
      </c>
      <c r="D175" t="s">
        <v>688</v>
      </c>
      <c r="E175" t="s">
        <v>237</v>
      </c>
      <c r="F175" t="e">
        <f>+VLOOKUP(C175,[1]Sheet1!A$2:D$168,4,0)</f>
        <v>#N/A</v>
      </c>
    </row>
    <row r="176" spans="1:6" x14ac:dyDescent="0.25">
      <c r="A176">
        <v>176</v>
      </c>
      <c r="B176" t="s">
        <v>95</v>
      </c>
      <c r="C176" t="s">
        <v>689</v>
      </c>
      <c r="D176" t="s">
        <v>690</v>
      </c>
      <c r="E176" t="s">
        <v>237</v>
      </c>
      <c r="F176">
        <f>+VLOOKUP(C176,[1]Sheet1!A$2:D$168,4,0)</f>
        <v>44000</v>
      </c>
    </row>
    <row r="177" spans="1:6" x14ac:dyDescent="0.25">
      <c r="A177">
        <v>177</v>
      </c>
      <c r="B177" t="s">
        <v>691</v>
      </c>
      <c r="C177" t="s">
        <v>692</v>
      </c>
      <c r="D177" t="s">
        <v>693</v>
      </c>
      <c r="E177" t="s">
        <v>237</v>
      </c>
      <c r="F177">
        <f>+VLOOKUP(C177,[1]Sheet1!A$2:D$168,4,0)</f>
        <v>35000</v>
      </c>
    </row>
    <row r="178" spans="1:6" x14ac:dyDescent="0.25">
      <c r="A178">
        <v>178</v>
      </c>
      <c r="B178" t="s">
        <v>148</v>
      </c>
      <c r="C178" t="s">
        <v>694</v>
      </c>
      <c r="D178" t="s">
        <v>695</v>
      </c>
      <c r="E178" t="s">
        <v>237</v>
      </c>
      <c r="F178">
        <f>+VLOOKUP(C178,[1]Sheet1!A$2:D$168,4,0)</f>
        <v>92000</v>
      </c>
    </row>
    <row r="179" spans="1:6" x14ac:dyDescent="0.25">
      <c r="A179">
        <v>179</v>
      </c>
      <c r="B179" t="s">
        <v>696</v>
      </c>
      <c r="C179" t="s">
        <v>697</v>
      </c>
      <c r="D179" t="s">
        <v>698</v>
      </c>
      <c r="E179" t="s">
        <v>237</v>
      </c>
      <c r="F179" t="e">
        <f>+VLOOKUP(C179,[1]Sheet1!A$2:D$168,4,0)</f>
        <v>#N/A</v>
      </c>
    </row>
    <row r="180" spans="1:6" x14ac:dyDescent="0.25">
      <c r="A180">
        <v>180</v>
      </c>
      <c r="B180" t="s">
        <v>699</v>
      </c>
      <c r="C180" t="s">
        <v>700</v>
      </c>
      <c r="D180" t="s">
        <v>701</v>
      </c>
      <c r="E180" t="s">
        <v>237</v>
      </c>
      <c r="F180" t="e">
        <f>+VLOOKUP(C180,[1]Sheet1!A$2:D$168,4,0)</f>
        <v>#N/A</v>
      </c>
    </row>
    <row r="181" spans="1:6" x14ac:dyDescent="0.25">
      <c r="A181">
        <v>181</v>
      </c>
      <c r="B181" t="s">
        <v>702</v>
      </c>
      <c r="C181" t="s">
        <v>703</v>
      </c>
      <c r="D181" t="s">
        <v>704</v>
      </c>
      <c r="E181" t="s">
        <v>705</v>
      </c>
      <c r="F181">
        <f>+VLOOKUP(C181,[1]Sheet1!A$2:D$168,4,0)</f>
        <v>3500</v>
      </c>
    </row>
    <row r="182" spans="1:6" x14ac:dyDescent="0.25">
      <c r="A182">
        <v>182</v>
      </c>
      <c r="B182" t="s">
        <v>706</v>
      </c>
      <c r="C182" t="s">
        <v>707</v>
      </c>
      <c r="D182" t="s">
        <v>708</v>
      </c>
      <c r="E182" t="s">
        <v>237</v>
      </c>
      <c r="F182" t="e">
        <f>+VLOOKUP(C182,[1]Sheet1!A$2:D$168,4,0)</f>
        <v>#N/A</v>
      </c>
    </row>
    <row r="183" spans="1:6" x14ac:dyDescent="0.25">
      <c r="A183">
        <v>183</v>
      </c>
      <c r="B183" t="s">
        <v>709</v>
      </c>
      <c r="C183" t="s">
        <v>710</v>
      </c>
      <c r="D183" t="s">
        <v>711</v>
      </c>
      <c r="E183" t="s">
        <v>237</v>
      </c>
      <c r="F183" t="e">
        <f>+VLOOKUP(C183,[1]Sheet1!A$2:D$168,4,0)</f>
        <v>#N/A</v>
      </c>
    </row>
    <row r="184" spans="1:6" x14ac:dyDescent="0.25">
      <c r="A184">
        <v>184</v>
      </c>
      <c r="B184" t="s">
        <v>712</v>
      </c>
      <c r="C184" t="s">
        <v>713</v>
      </c>
      <c r="D184" t="s">
        <v>714</v>
      </c>
      <c r="E184" t="s">
        <v>237</v>
      </c>
      <c r="F184" t="e">
        <f>+VLOOKUP(C184,[1]Sheet1!A$2:D$168,4,0)</f>
        <v>#N/A</v>
      </c>
    </row>
    <row r="185" spans="1:6" x14ac:dyDescent="0.25">
      <c r="A185">
        <v>185</v>
      </c>
      <c r="B185" t="s">
        <v>715</v>
      </c>
      <c r="C185" t="s">
        <v>716</v>
      </c>
      <c r="D185" t="s">
        <v>717</v>
      </c>
      <c r="E185" t="s">
        <v>237</v>
      </c>
      <c r="F185" t="e">
        <f>+VLOOKUP(C185,[1]Sheet1!A$2:D$168,4,0)</f>
        <v>#N/A</v>
      </c>
    </row>
    <row r="186" spans="1:6" x14ac:dyDescent="0.25">
      <c r="A186">
        <v>186</v>
      </c>
      <c r="B186" t="s">
        <v>76</v>
      </c>
      <c r="C186" t="s">
        <v>718</v>
      </c>
      <c r="D186" t="s">
        <v>719</v>
      </c>
      <c r="E186" t="s">
        <v>237</v>
      </c>
      <c r="F186">
        <f>+VLOOKUP(C186,[1]Sheet1!A$2:D$168,4,0)</f>
        <v>42000</v>
      </c>
    </row>
    <row r="187" spans="1:6" x14ac:dyDescent="0.25">
      <c r="A187">
        <v>186</v>
      </c>
      <c r="B187" t="s">
        <v>76</v>
      </c>
      <c r="C187" t="s">
        <v>720</v>
      </c>
      <c r="D187" t="s">
        <v>719</v>
      </c>
      <c r="E187" t="s">
        <v>237</v>
      </c>
      <c r="F187">
        <f>+VLOOKUP(C187,[1]Sheet1!A$2:D$168,4,0)</f>
        <v>42000</v>
      </c>
    </row>
    <row r="188" spans="1:6" x14ac:dyDescent="0.25">
      <c r="A188">
        <v>187</v>
      </c>
      <c r="B188" t="s">
        <v>55</v>
      </c>
      <c r="C188" t="s">
        <v>721</v>
      </c>
      <c r="D188" t="s">
        <v>722</v>
      </c>
      <c r="E188" t="s">
        <v>237</v>
      </c>
      <c r="F188">
        <f>+VLOOKUP(C188,[1]Sheet1!A$2:D$168,4,0)</f>
        <v>70000</v>
      </c>
    </row>
    <row r="189" spans="1:6" x14ac:dyDescent="0.25">
      <c r="A189">
        <v>188</v>
      </c>
      <c r="B189" t="s">
        <v>723</v>
      </c>
      <c r="C189" t="s">
        <v>724</v>
      </c>
      <c r="D189" t="s">
        <v>725</v>
      </c>
      <c r="E189" t="s">
        <v>237</v>
      </c>
      <c r="F189" t="e">
        <f>+VLOOKUP(C189,[1]Sheet1!A$2:D$168,4,0)</f>
        <v>#N/A</v>
      </c>
    </row>
    <row r="190" spans="1:6" x14ac:dyDescent="0.25">
      <c r="A190">
        <v>189</v>
      </c>
      <c r="B190" t="s">
        <v>726</v>
      </c>
      <c r="C190" t="s">
        <v>727</v>
      </c>
      <c r="D190" t="s">
        <v>728</v>
      </c>
      <c r="E190" t="s">
        <v>237</v>
      </c>
      <c r="F190">
        <f>+VLOOKUP(C190,[1]Sheet1!A$2:D$168,4,0)</f>
        <v>28000</v>
      </c>
    </row>
    <row r="191" spans="1:6" x14ac:dyDescent="0.25">
      <c r="A191">
        <v>190</v>
      </c>
      <c r="B191" t="s">
        <v>706</v>
      </c>
      <c r="C191" t="s">
        <v>729</v>
      </c>
      <c r="D191" t="s">
        <v>708</v>
      </c>
      <c r="E191" t="s">
        <v>237</v>
      </c>
      <c r="F191">
        <f>+VLOOKUP(C191,[1]Sheet1!A$2:D$168,4,0)</f>
        <v>15000</v>
      </c>
    </row>
    <row r="192" spans="1:6" x14ac:dyDescent="0.25">
      <c r="A192">
        <v>191</v>
      </c>
      <c r="B192" t="s">
        <v>730</v>
      </c>
      <c r="C192" t="s">
        <v>731</v>
      </c>
      <c r="D192" t="s">
        <v>732</v>
      </c>
      <c r="E192" t="s">
        <v>237</v>
      </c>
      <c r="F192">
        <f>+VLOOKUP(C192,[1]Sheet1!A$2:D$168,4,0)</f>
        <v>20000</v>
      </c>
    </row>
    <row r="193" spans="1:6" x14ac:dyDescent="0.25">
      <c r="A193">
        <v>192</v>
      </c>
      <c r="B193" t="s">
        <v>43</v>
      </c>
      <c r="C193" t="s">
        <v>733</v>
      </c>
      <c r="D193" t="s">
        <v>44</v>
      </c>
      <c r="E193" t="s">
        <v>237</v>
      </c>
      <c r="F193">
        <f>+VLOOKUP(C193,[1]Sheet1!A$2:D$168,4,0)</f>
        <v>22000</v>
      </c>
    </row>
    <row r="194" spans="1:6" x14ac:dyDescent="0.25">
      <c r="A194">
        <v>193</v>
      </c>
      <c r="B194" t="s">
        <v>45</v>
      </c>
      <c r="C194" t="s">
        <v>734</v>
      </c>
      <c r="D194" t="s">
        <v>735</v>
      </c>
      <c r="E194" t="s">
        <v>237</v>
      </c>
      <c r="F194">
        <f>+VLOOKUP(C194,[1]Sheet1!A$2:D$168,4,0)</f>
        <v>12000</v>
      </c>
    </row>
    <row r="195" spans="1:6" x14ac:dyDescent="0.25">
      <c r="A195">
        <v>194</v>
      </c>
      <c r="B195" t="s">
        <v>736</v>
      </c>
      <c r="C195" t="s">
        <v>737</v>
      </c>
      <c r="D195" t="s">
        <v>738</v>
      </c>
      <c r="E195" t="s">
        <v>237</v>
      </c>
      <c r="F195" t="e">
        <f>+VLOOKUP(C195,[1]Sheet1!A$2:D$168,4,0)</f>
        <v>#N/A</v>
      </c>
    </row>
    <row r="196" spans="1:6" x14ac:dyDescent="0.25">
      <c r="A196">
        <v>195</v>
      </c>
      <c r="B196" t="s">
        <v>739</v>
      </c>
      <c r="C196" t="s">
        <v>740</v>
      </c>
      <c r="D196" t="s">
        <v>741</v>
      </c>
      <c r="E196" t="s">
        <v>14</v>
      </c>
      <c r="F196">
        <f>+VLOOKUP(C196,[1]Sheet1!A$2:D$168,4,0)</f>
        <v>36000</v>
      </c>
    </row>
    <row r="197" spans="1:6" x14ac:dyDescent="0.25">
      <c r="A197">
        <v>196</v>
      </c>
      <c r="B197" t="s">
        <v>742</v>
      </c>
      <c r="C197" t="s">
        <v>743</v>
      </c>
      <c r="D197" t="s">
        <v>744</v>
      </c>
      <c r="E197" t="s">
        <v>237</v>
      </c>
      <c r="F197">
        <f>+VLOOKUP(C197,[1]Sheet1!A$2:D$168,4,0)</f>
        <v>20000</v>
      </c>
    </row>
    <row r="198" spans="1:6" x14ac:dyDescent="0.25">
      <c r="A198">
        <v>197</v>
      </c>
      <c r="B198" t="s">
        <v>119</v>
      </c>
      <c r="C198" t="s">
        <v>745</v>
      </c>
      <c r="D198" t="s">
        <v>746</v>
      </c>
      <c r="E198" t="s">
        <v>237</v>
      </c>
      <c r="F198">
        <f>+VLOOKUP(C198,[1]Sheet1!A$2:D$168,4,0)</f>
        <v>52000</v>
      </c>
    </row>
    <row r="199" spans="1:6" x14ac:dyDescent="0.25">
      <c r="A199">
        <v>198</v>
      </c>
      <c r="B199" t="s">
        <v>747</v>
      </c>
      <c r="C199" t="s">
        <v>748</v>
      </c>
      <c r="D199" t="s">
        <v>749</v>
      </c>
      <c r="E199" t="s">
        <v>237</v>
      </c>
      <c r="F199">
        <f>+VLOOKUP(C199,[1]Sheet1!A$2:D$168,4,0)</f>
        <v>50000</v>
      </c>
    </row>
    <row r="200" spans="1:6" x14ac:dyDescent="0.25">
      <c r="A200">
        <v>199</v>
      </c>
      <c r="B200" t="s">
        <v>750</v>
      </c>
      <c r="C200" t="s">
        <v>751</v>
      </c>
      <c r="D200" t="s">
        <v>752</v>
      </c>
      <c r="E200" t="s">
        <v>237</v>
      </c>
      <c r="F200" t="e">
        <f>+VLOOKUP(C200,[1]Sheet1!A$2:D$168,4,0)</f>
        <v>#N/A</v>
      </c>
    </row>
    <row r="201" spans="1:6" x14ac:dyDescent="0.25">
      <c r="A201">
        <v>200</v>
      </c>
      <c r="B201" t="s">
        <v>753</v>
      </c>
      <c r="C201" t="s">
        <v>754</v>
      </c>
      <c r="D201" t="s">
        <v>755</v>
      </c>
      <c r="E201" t="s">
        <v>237</v>
      </c>
      <c r="F201" t="e">
        <f>+VLOOKUP(C201,[1]Sheet1!A$2:D$168,4,0)</f>
        <v>#N/A</v>
      </c>
    </row>
    <row r="202" spans="1:6" x14ac:dyDescent="0.25">
      <c r="A202">
        <v>201</v>
      </c>
      <c r="B202" t="s">
        <v>756</v>
      </c>
      <c r="C202" t="s">
        <v>757</v>
      </c>
      <c r="D202" t="s">
        <v>758</v>
      </c>
      <c r="E202" t="s">
        <v>237</v>
      </c>
      <c r="F202" t="e">
        <f>+VLOOKUP(C202,[1]Sheet1!A$2:D$168,4,0)</f>
        <v>#N/A</v>
      </c>
    </row>
    <row r="203" spans="1:6" x14ac:dyDescent="0.25">
      <c r="A203">
        <v>202</v>
      </c>
      <c r="B203" t="s">
        <v>759</v>
      </c>
      <c r="C203" t="s">
        <v>760</v>
      </c>
      <c r="D203" t="s">
        <v>761</v>
      </c>
      <c r="E203" t="s">
        <v>237</v>
      </c>
      <c r="F203" t="e">
        <f>+VLOOKUP(C203,[1]Sheet1!A$2:D$168,4,0)</f>
        <v>#N/A</v>
      </c>
    </row>
    <row r="204" spans="1:6" x14ac:dyDescent="0.25">
      <c r="A204">
        <v>203</v>
      </c>
      <c r="B204" t="s">
        <v>762</v>
      </c>
      <c r="C204" t="s">
        <v>763</v>
      </c>
      <c r="D204" t="s">
        <v>764</v>
      </c>
      <c r="E204" t="s">
        <v>237</v>
      </c>
      <c r="F204" t="e">
        <f>+VLOOKUP(C204,[1]Sheet1!A$2:D$168,4,0)</f>
        <v>#N/A</v>
      </c>
    </row>
    <row r="205" spans="1:6" x14ac:dyDescent="0.25">
      <c r="A205">
        <v>204</v>
      </c>
      <c r="B205" t="s">
        <v>765</v>
      </c>
      <c r="C205" t="s">
        <v>766</v>
      </c>
      <c r="D205" t="s">
        <v>767</v>
      </c>
      <c r="E205" t="s">
        <v>237</v>
      </c>
      <c r="F205">
        <f>+VLOOKUP(C205,[1]Sheet1!A$2:D$168,4,0)</f>
        <v>145000</v>
      </c>
    </row>
    <row r="206" spans="1:6" x14ac:dyDescent="0.25">
      <c r="A206">
        <v>205</v>
      </c>
      <c r="B206" t="s">
        <v>74</v>
      </c>
      <c r="C206" t="s">
        <v>768</v>
      </c>
      <c r="D206" t="s">
        <v>769</v>
      </c>
      <c r="E206" t="s">
        <v>237</v>
      </c>
      <c r="F206">
        <f>+VLOOKUP(C206,[1]Sheet1!A$2:D$168,4,0)</f>
        <v>42000</v>
      </c>
    </row>
    <row r="207" spans="1:6" x14ac:dyDescent="0.25">
      <c r="A207">
        <v>206</v>
      </c>
      <c r="B207" t="s">
        <v>74</v>
      </c>
      <c r="C207" t="s">
        <v>770</v>
      </c>
      <c r="D207" t="s">
        <v>771</v>
      </c>
      <c r="E207" t="s">
        <v>237</v>
      </c>
      <c r="F207" t="e">
        <f>+VLOOKUP(C207,[1]Sheet1!A$2:D$168,4,0)</f>
        <v>#N/A</v>
      </c>
    </row>
    <row r="208" spans="1:6" x14ac:dyDescent="0.25">
      <c r="A208">
        <v>207</v>
      </c>
      <c r="B208" t="s">
        <v>157</v>
      </c>
      <c r="C208" t="s">
        <v>772</v>
      </c>
      <c r="D208" t="s">
        <v>773</v>
      </c>
      <c r="E208" t="s">
        <v>237</v>
      </c>
      <c r="F208">
        <f>+VLOOKUP(C208,[1]Sheet1!A$2:D$168,4,0)</f>
        <v>36000</v>
      </c>
    </row>
    <row r="209" spans="1:6" x14ac:dyDescent="0.25">
      <c r="A209">
        <v>208</v>
      </c>
      <c r="B209" t="s">
        <v>774</v>
      </c>
      <c r="C209" t="s">
        <v>775</v>
      </c>
      <c r="D209" t="s">
        <v>776</v>
      </c>
      <c r="E209" t="s">
        <v>237</v>
      </c>
      <c r="F209">
        <f>+VLOOKUP(C209,[1]Sheet1!A$2:D$168,4,0)</f>
        <v>90000</v>
      </c>
    </row>
    <row r="210" spans="1:6" x14ac:dyDescent="0.25">
      <c r="A210">
        <v>209</v>
      </c>
      <c r="B210" t="s">
        <v>27</v>
      </c>
      <c r="C210" t="s">
        <v>777</v>
      </c>
      <c r="D210" t="s">
        <v>778</v>
      </c>
      <c r="E210" t="s">
        <v>237</v>
      </c>
      <c r="F210">
        <f>+VLOOKUP(C210,[1]Sheet1!A$2:D$168,4,0)</f>
        <v>50000</v>
      </c>
    </row>
    <row r="211" spans="1:6" x14ac:dyDescent="0.25">
      <c r="A211">
        <v>210</v>
      </c>
      <c r="B211" t="s">
        <v>779</v>
      </c>
      <c r="C211" t="s">
        <v>780</v>
      </c>
      <c r="D211" t="s">
        <v>781</v>
      </c>
      <c r="E211" t="s">
        <v>705</v>
      </c>
      <c r="F211" t="e">
        <f>+VLOOKUP(C211,[1]Sheet1!A$2:D$168,4,0)</f>
        <v>#N/A</v>
      </c>
    </row>
    <row r="212" spans="1:6" x14ac:dyDescent="0.25">
      <c r="A212">
        <v>211</v>
      </c>
      <c r="B212" t="s">
        <v>72</v>
      </c>
      <c r="C212" t="s">
        <v>782</v>
      </c>
      <c r="D212" t="s">
        <v>71</v>
      </c>
      <c r="E212" t="s">
        <v>783</v>
      </c>
      <c r="F212">
        <f>+VLOOKUP(C212,[1]Sheet1!A$2:D$168,4,0)</f>
        <v>5000</v>
      </c>
    </row>
    <row r="213" spans="1:6" x14ac:dyDescent="0.25">
      <c r="A213">
        <v>212</v>
      </c>
      <c r="B213" t="s">
        <v>784</v>
      </c>
      <c r="C213" t="s">
        <v>785</v>
      </c>
      <c r="D213" t="s">
        <v>786</v>
      </c>
      <c r="E213" t="s">
        <v>783</v>
      </c>
      <c r="F213">
        <f>+VLOOKUP(C213,[1]Sheet1!A$2:D$168,4,0)</f>
        <v>4000</v>
      </c>
    </row>
    <row r="214" spans="1:6" x14ac:dyDescent="0.25">
      <c r="A214">
        <v>213</v>
      </c>
      <c r="B214" t="s">
        <v>787</v>
      </c>
      <c r="C214" t="s">
        <v>788</v>
      </c>
      <c r="D214" t="s">
        <v>789</v>
      </c>
      <c r="E214" t="s">
        <v>237</v>
      </c>
      <c r="F214" t="e">
        <f>+VLOOKUP(C214,[1]Sheet1!A$2:D$168,4,0)</f>
        <v>#N/A</v>
      </c>
    </row>
    <row r="215" spans="1:6" x14ac:dyDescent="0.25">
      <c r="A215">
        <v>214</v>
      </c>
      <c r="B215" t="s">
        <v>145</v>
      </c>
      <c r="C215" t="s">
        <v>790</v>
      </c>
      <c r="D215" t="s">
        <v>791</v>
      </c>
      <c r="E215" t="s">
        <v>237</v>
      </c>
      <c r="F215">
        <f>+VLOOKUP(C215,[1]Sheet1!A$2:D$168,4,0)</f>
        <v>38000</v>
      </c>
    </row>
    <row r="216" spans="1:6" x14ac:dyDescent="0.25">
      <c r="A216">
        <v>215</v>
      </c>
      <c r="B216" t="s">
        <v>143</v>
      </c>
      <c r="C216" t="s">
        <v>792</v>
      </c>
      <c r="D216" t="s">
        <v>793</v>
      </c>
      <c r="E216" t="s">
        <v>237</v>
      </c>
      <c r="F216">
        <f>+VLOOKUP(C216,[1]Sheet1!A$2:D$168,4,0)</f>
        <v>65000</v>
      </c>
    </row>
    <row r="217" spans="1:6" x14ac:dyDescent="0.25">
      <c r="A217">
        <v>216</v>
      </c>
      <c r="B217" t="s">
        <v>69</v>
      </c>
      <c r="C217" t="s">
        <v>794</v>
      </c>
      <c r="D217" t="s">
        <v>68</v>
      </c>
      <c r="E217" t="s">
        <v>237</v>
      </c>
      <c r="F217">
        <f>+VLOOKUP(C217,[1]Sheet1!A$2:D$168,4,0)</f>
        <v>220000</v>
      </c>
    </row>
    <row r="218" spans="1:6" x14ac:dyDescent="0.25">
      <c r="A218">
        <v>217</v>
      </c>
      <c r="B218" t="s">
        <v>66</v>
      </c>
      <c r="C218" t="s">
        <v>795</v>
      </c>
      <c r="D218" t="s">
        <v>796</v>
      </c>
      <c r="E218" t="s">
        <v>237</v>
      </c>
      <c r="F218">
        <f>+VLOOKUP(C218,[1]Sheet1!A$2:D$168,4,0)</f>
        <v>62000</v>
      </c>
    </row>
    <row r="219" spans="1:6" x14ac:dyDescent="0.25">
      <c r="A219">
        <v>218</v>
      </c>
      <c r="B219" t="s">
        <v>753</v>
      </c>
      <c r="C219" t="s">
        <v>797</v>
      </c>
      <c r="D219" t="s">
        <v>798</v>
      </c>
      <c r="E219" t="s">
        <v>237</v>
      </c>
      <c r="F219">
        <f>+VLOOKUP(C219,[1]Sheet1!A$2:D$168,4,0)</f>
        <v>65000</v>
      </c>
    </row>
    <row r="220" spans="1:6" x14ac:dyDescent="0.25">
      <c r="A220">
        <v>219</v>
      </c>
      <c r="B220" t="s">
        <v>799</v>
      </c>
      <c r="C220" t="s">
        <v>800</v>
      </c>
      <c r="D220" t="s">
        <v>801</v>
      </c>
      <c r="E220" t="s">
        <v>237</v>
      </c>
      <c r="F220">
        <f>+VLOOKUP(C220,[1]Sheet1!A$2:D$168,4,0)</f>
        <v>65000</v>
      </c>
    </row>
    <row r="221" spans="1:6" x14ac:dyDescent="0.25">
      <c r="B221" t="s">
        <v>119</v>
      </c>
      <c r="C221" t="s">
        <v>745</v>
      </c>
      <c r="D221" t="s">
        <v>746</v>
      </c>
      <c r="E221" t="s">
        <v>237</v>
      </c>
      <c r="F221">
        <f>+VLOOKUP(C221,[1]Sheet1!A$2:D$168,4,0)</f>
        <v>52000</v>
      </c>
    </row>
    <row r="222" spans="1:6" x14ac:dyDescent="0.25">
      <c r="B222" t="s">
        <v>133</v>
      </c>
      <c r="C222" t="s">
        <v>802</v>
      </c>
      <c r="D222" t="s">
        <v>803</v>
      </c>
      <c r="E222" t="s">
        <v>237</v>
      </c>
      <c r="F222">
        <f>+VLOOKUP(C222,[1]Sheet1!A$2:D$168,4,0)</f>
        <v>80000</v>
      </c>
    </row>
    <row r="223" spans="1:6" x14ac:dyDescent="0.25">
      <c r="B223" t="s">
        <v>137</v>
      </c>
      <c r="C223" t="s">
        <v>804</v>
      </c>
      <c r="D223" t="s">
        <v>805</v>
      </c>
      <c r="E223" t="s">
        <v>237</v>
      </c>
      <c r="F223">
        <f>+VLOOKUP(C223,[1]Sheet1!A$2:D$168,4,0)</f>
        <v>9000</v>
      </c>
    </row>
    <row r="224" spans="1:6" x14ac:dyDescent="0.25">
      <c r="C224" t="s">
        <v>524</v>
      </c>
      <c r="D224" t="s">
        <v>806</v>
      </c>
      <c r="E224" t="s">
        <v>237</v>
      </c>
      <c r="F224">
        <f>+VLOOKUP(C224,[1]Sheet1!A$2:D$168,4,0)</f>
        <v>20000</v>
      </c>
    </row>
    <row r="225" spans="3:6" x14ac:dyDescent="0.25">
      <c r="C225" t="s">
        <v>846</v>
      </c>
      <c r="D225" t="s">
        <v>847</v>
      </c>
      <c r="E225" t="s">
        <v>237</v>
      </c>
      <c r="F225">
        <v>68000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LW 1</vt:lpstr>
      <vt:lpstr>GMT</vt:lpstr>
      <vt:lpstr>Sheet2</vt:lpstr>
      <vt:lpstr>mã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Hp6300</dc:creator>
  <cp:lastModifiedBy>Administrator</cp:lastModifiedBy>
  <dcterms:created xsi:type="dcterms:W3CDTF">2025-08-19T03:16:11Z</dcterms:created>
  <dcterms:modified xsi:type="dcterms:W3CDTF">2026-01-23T08:11:22Z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